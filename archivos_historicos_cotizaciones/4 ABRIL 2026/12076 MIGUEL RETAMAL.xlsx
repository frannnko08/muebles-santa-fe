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448EE43D-0B4E-4500-BC55-3A374DEB5D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N21" i="1"/>
  <c r="T21" i="1" l="1"/>
  <c r="S21" i="1"/>
  <c r="O21" i="1"/>
  <c r="P21" i="1" s="1"/>
  <c r="P25" i="1" s="1"/>
  <c r="N5" i="6"/>
  <c r="A2" i="7"/>
  <c r="S26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5" i="1"/>
  <c r="L25" i="1" s="1"/>
  <c r="T24" i="1" l="1"/>
  <c r="S27" i="1" s="1"/>
  <c r="K39" i="1"/>
  <c r="S28" i="1" l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G21" i="1" s="1"/>
  <c r="O39" i="1"/>
  <c r="E15" i="3"/>
  <c r="R21" i="1" l="1"/>
  <c r="H21" i="1"/>
  <c r="F15" i="3"/>
  <c r="H24" i="1" l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<sst xmlns="http://schemas.openxmlformats.org/spreadsheetml/2006/main" count="486" uniqueCount="295">
  <si>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</si>
  <si>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</si>
  <si>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</si>
  <si>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</si>
  <si>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</si>
  <si>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</si>
  <si>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</si>
  <si>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</si>
  <si>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</si>
  <si>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</si>
  <si>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</si>
  <si>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</si>
  <si>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</si>
  <si>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</si>
  <si>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</si>
  <si>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</si>
  <si>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</si>
  <si>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</si>
  <si>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</si>
  <si>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</si>
  <si>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</si>
  <si>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</si>
  <si>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</si>
  <si>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</si>
  <si>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</si>
  <si>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</si>
  <si>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</si>
  <si>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</si>
  <si>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</si>
  <si>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</si>
  <si>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</si>
  <si>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</si>
  <si>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</si>
  <si>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</si>
  <si>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</si>
  <si>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</si>
  <si>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</si>
  <si>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</si>
  <si>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</si>
  <si>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</si>
  <si>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</si>
  <si>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</si>
  <si>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</si>
  <si>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</si>
  <si>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</si>
  <si>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</si>
  <si>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</si>
  <si>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</si>
  <si>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</si>
  <si>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</si>
  <si>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</si>
  <si>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</si>
  <si>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</si>
  <si>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</si>
  <si>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</si>
  <si>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</si>
  <si>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</si>
  <si>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</si>
  <si>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</si>
  <si>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</si>
  <si>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</si>
  <si>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</si>
  <si>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</si>
  <si>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</si>
  <si>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</si>
  <si>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</si>
  <si>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</si>
  <si>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</si>
  <si>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</si>
  <si>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</si>
  <si>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</si>
  <si>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</si>
  <si>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</si>
  <si>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</si>
  <si>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</si>
  <si>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</si>
  <si>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</si>
  <si>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</si>
  <si>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</si>
  <si>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</si>
  <si>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</si>
  <si>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</si>
  <si>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</si>
  <si>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</si>
  <si>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</si>
  <si>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</si>
  <si>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</si>
  <si>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</si>
  <si>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</si>
  <si>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</si>
  <si>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</si>
  <si>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</si>
  <si>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</si>
  <si>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</si>
  <si>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</si>
  <si>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</si>
  <si>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</si>
  <si>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</si>
  <si>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</si>
  <si>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</si>
  <si>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</si>
  <si>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</si>
  <si>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</si>
  <si>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</si>
  <si>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</si>
  <si>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</si>
  <si>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</si>
  <si>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</si>
  <si>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</si>
  <si>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</si>
  <si>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</si>
  <si>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</si>
  <si>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</si>
  <si>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</si>
  <si>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</si>
  <si>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</si>
  <si>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</si>
  <si>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</si>
  <si>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</si>
  <si>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</si>
  <si>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</si>
  <si>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</si>
  <si>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</si>
  <si>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</si>
  <si>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</si>
  <si>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</si>
  <si>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</si>
  <si>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</si>
  <si>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</si>
  <si>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</si>
  <si>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</si>
  <si>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</si>
  <si>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</si>
  <si>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</si>
  <si>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</si>
  <si>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</si>
  <si>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</si>
  <si>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</si>
  <si>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</si>
  <si>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</si>
  <si>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</si>
  <si>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</si>
  <si>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</si>
  <si>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</si>
  <si>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</si>
  <si>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</si>
  <si>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</si>
  <si>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</si>
  <si>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</si>
  <si>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</si>
  <si>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</si>
  <si>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</si>
  <si>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</si>
  <si>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</si>
  <si>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</si>
  <si>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</si>
  <si>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</si>
  <si>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</si>
  <si>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</si>
  <si>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</si>
  <si>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</si>
  <si>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</si>
  <si>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</si>
  <si>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</si>
  <si>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</si>
  <si>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</si>
  <si>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</si>
  <si>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</si>
  <si>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</si>
  <si>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</si>
  <si>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</si>
  <si>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</si>
  <si>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</si>
  <si>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</si>
  <si>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</si>
  <si>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</si>
  <si>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</si>
  <si>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</si>
  <si>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</si>
  <si>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</si>
  <si>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</si>
  <si>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</si>
  <si>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</si>
  <si>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</si>
  <si>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</si>
  <si>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</si>
  <si>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</si>
  <si>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</si>
  <si>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</si>
  <si>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</si>
  <si>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</si>
  <si>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</si>
  <si>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</si>
  <si>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</si>
  <si>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</si>
  <si>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</si>
  <si>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</si>
  <si>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</si>
  <si>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</si>
  <si>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</si>
  <si>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</si>
  <si>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</si>
  <si>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</si>
  <si>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</si>
  <si>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</si>
  <si>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</si>
  <si>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</si>
  <si>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</si>
  <si>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</si>
  <si>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</si>
  <si>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</si>
  <si>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</si>
  <si>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</si>
  <si>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</si>
  <si>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</si>
  <si>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</si>
  <si>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</si>
  <si>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</si>
  <si>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</si>
  <si>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</si>
  <si>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</si>
  <si>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</si>
  <si>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</si>
  <si>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</si>
  <si>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</si>
  <si>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</si>
  <si>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</si>
  <si>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</si>
  <si>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</si>
  <si>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</si>
  <si>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</si>
  <si>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</si>
  <si>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</si>
  <si>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</si>
  <si>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</si>
  <si>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</si>
  <si>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</si>
  <si>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</si>
  <si>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</si>
  <si>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</si>
  <si>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</si>
  <si>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</si>
  <si>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</si>
  <si>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</si>
  <si>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</si>
  <si>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</si>
  <si>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</si>
  <si>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</si>
  <si>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</si>
  <si>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</si>
  <si>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</si>
  <si>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</si>
  <si>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</si>
  <si>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</si>
  <si>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</si>
  <si>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</si>
  <si>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</si>
  <si>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</si>
  <si>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</si>
  <si>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</si>
  <si>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</si>
  <si>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</si>
  <si>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</si>
  <si>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</si>
  <si>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</si>
  <si>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</si>
  <si>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</si>
  <si>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</si>
  <si>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</si>
  <si>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</si>
  <si>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</si>
  <si>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</si>
  <si>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</si>
  <si>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</si>
  <si>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</si>
  <si>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</si>
  <si>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</si>
  <si>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</si>
  <si>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</si>
  <si>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</si>
  <si>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</si>
  <si>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</si>
  <si>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</si>
  <si>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</si>
  <si>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</si>
  <si>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</si>
  <si>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</si>
  <si>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</si>
  <si>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5 DIAS HABILES</t>
  </si>
  <si>
    <t>LAMINA DE 153X366</t>
  </si>
  <si>
    <t>MIGUEL RETAMAL</t>
  </si>
  <si>
    <t>+569 8540 4081</t>
  </si>
  <si>
    <t>CUBIERTA MESA 2 LADOS FTE 90°</t>
  </si>
  <si>
    <t>BLANCO BR</t>
  </si>
  <si>
    <t>N° 12076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</si>
</sst>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65" fontId="0" fillId="0" borderId="0" xfId="0" applyNumberFormat="1"/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215079</xdr:rowOff>
    </xdr:from>
    <xdr:to>
      <xdr:col>5</xdr:col>
      <xdr:colOff>1732649</xdr:colOff>
      <xdr:row>25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 SOBRE MEDIDAS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160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158</v>
      </c>
      <c r="C10" s="429" t="s">
        <v>290</v>
      </c>
      <c r="D10" s="243"/>
      <c r="E10" s="243"/>
      <c r="F10" s="418" t="s">
        <v>276</v>
      </c>
      <c r="G10" s="275">
        <v>46114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285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141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142</v>
      </c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8"/>
      <c r="D14" s="246"/>
      <c r="E14" s="246"/>
      <c r="F14" s="301" t="s">
        <v>284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291</v>
      </c>
      <c r="D15" s="424"/>
      <c r="F15" s="29" t="s">
        <v>283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159</v>
      </c>
      <c r="H16" s="247"/>
    </row>
    <row r="17" spans="1:25" ht="15" thickBot="1" x14ac:dyDescent="0.35">
      <c r="B17" s="425" t="s">
        <v>13</v>
      </c>
      <c r="C17" s="299" t="s">
        <v>286</v>
      </c>
      <c r="D17" s="300"/>
      <c r="E17" s="119"/>
      <c r="F17" s="426" t="s">
        <v>178</v>
      </c>
      <c r="G17" s="426" t="s">
        <v>179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8" t="s">
        <v>94</v>
      </c>
      <c r="C19" s="439"/>
      <c r="D19" s="439"/>
      <c r="E19" s="439"/>
      <c r="F19" s="439"/>
      <c r="G19" s="439"/>
      <c r="H19" s="440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O38</f>
        <v>68740.886075949369</v>
      </c>
      <c r="R20" s="257">
        <v>5000</v>
      </c>
      <c r="S20" s="38"/>
      <c r="T20" s="14" t="s">
        <v>126</v>
      </c>
      <c r="U20" s="9"/>
      <c r="X20" s="4"/>
    </row>
    <row r="21" spans="1:25" ht="18" thickBot="1" x14ac:dyDescent="0.35">
      <c r="B21" s="432">
        <v>1</v>
      </c>
      <c r="C21" s="433" t="s">
        <v>292</v>
      </c>
      <c r="D21" s="434">
        <v>1.5</v>
      </c>
      <c r="E21" s="434">
        <v>0.6</v>
      </c>
      <c r="F21" s="435" t="s">
        <v>293</v>
      </c>
      <c r="G21" s="436">
        <f>Q21</f>
        <v>65166.36</v>
      </c>
      <c r="H21" s="437">
        <f>G21*B21</f>
        <v>65166.36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1.58</v>
      </c>
      <c r="N21" s="39">
        <f t="shared" ref="N21" si="2">E21+$N$19</f>
        <v>0.6</v>
      </c>
      <c r="O21" s="260">
        <f t="shared" ref="O21" si="3">M21*N21</f>
        <v>0.94799999999999995</v>
      </c>
      <c r="P21" s="258">
        <f t="shared" ref="P21" si="4">O21*L21</f>
        <v>0.94799999999999995</v>
      </c>
      <c r="Q21" s="251">
        <f t="shared" ref="Q21" si="5">Q$20*O21</f>
        <v>65166.36</v>
      </c>
      <c r="R21" s="305">
        <f t="shared" ref="R21" si="6">Q21+R$20</f>
        <v>70166.36</v>
      </c>
      <c r="S21" s="290">
        <f>M21*L21*2</f>
        <v>3.16</v>
      </c>
      <c r="T21" s="46">
        <f>N21*L21*2</f>
        <v>1.2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SUM(H21:H22)</f>
        <v>65166.36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SUM(T21:T22)</f>
        <v>1.2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50</v>
      </c>
      <c r="H25" s="287">
        <f>H24*19%</f>
        <v>12381.608400000001</v>
      </c>
      <c r="I25" s="308"/>
      <c r="J25" s="264"/>
      <c r="K25" s="47"/>
      <c r="L25" s="431">
        <f>M25*10</f>
        <v>15.8</v>
      </c>
      <c r="M25" s="39">
        <f>SUM(M21:M24)</f>
        <v>1.58</v>
      </c>
      <c r="N25" s="12"/>
      <c r="O25" s="12"/>
      <c r="P25" s="252">
        <f>SUM(P21:P22)</f>
        <v>0.94799999999999995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77547.968399999998</v>
      </c>
      <c r="I26" s="308"/>
      <c r="J26" s="264"/>
      <c r="K26" s="47"/>
      <c r="L26" s="47"/>
      <c r="M26" s="39"/>
      <c r="N26" s="12"/>
      <c r="O26" s="12"/>
      <c r="P26" s="252">
        <f>P25</f>
        <v>0.94799999999999995</v>
      </c>
      <c r="Q26" s="14"/>
      <c r="R26" s="12"/>
      <c r="S26" s="239">
        <f>SUM(S21:S25)</f>
        <v>3.16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0.18959999999999999</v>
      </c>
      <c r="Q27" s="39" t="s">
        <v>128</v>
      </c>
      <c r="R27" s="42"/>
      <c r="S27" s="240">
        <f>S26+T24</f>
        <v>4.3600000000000003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1.1375999999999999</v>
      </c>
      <c r="Q28" s="14"/>
      <c r="R28" s="14"/>
      <c r="S28" s="238">
        <f>S27*20%</f>
        <v>0.87200000000000011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5.2320000000000002</v>
      </c>
      <c r="T29" s="14"/>
      <c r="U29" s="294" t="s">
        <v>21</v>
      </c>
      <c r="V29" s="291" t="s">
        <v>148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1.1375999999999999</v>
      </c>
      <c r="N30" s="12">
        <v>3500</v>
      </c>
      <c r="O30" s="12">
        <f t="shared" ref="O30:O35" si="7">M30*N30</f>
        <v>3981.6</v>
      </c>
      <c r="P30" s="14" t="s">
        <v>21</v>
      </c>
      <c r="Q30" s="14"/>
      <c r="R30" s="14"/>
      <c r="S30" s="241"/>
      <c r="T30" s="14"/>
      <c r="U30" s="294" t="s">
        <v>149</v>
      </c>
      <c r="V30" s="291">
        <v>3625</v>
      </c>
      <c r="W30" s="59" t="s">
        <v>150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0.3</v>
      </c>
      <c r="N31" s="12">
        <v>23500</v>
      </c>
      <c r="O31" s="12">
        <f t="shared" si="7"/>
        <v>7050</v>
      </c>
      <c r="P31" s="39" t="s">
        <v>287</v>
      </c>
      <c r="Q31" s="42"/>
      <c r="R31" s="14"/>
      <c r="S31" s="240"/>
      <c r="T31" s="14"/>
      <c r="U31" s="294"/>
      <c r="V31" s="59">
        <v>906.25</v>
      </c>
      <c r="W31" s="59" t="s">
        <v>151</v>
      </c>
      <c r="X31" s="296"/>
    </row>
    <row r="32" spans="1:25" s="230" customFormat="1" ht="17.399999999999999" x14ac:dyDescent="0.35">
      <c r="B32" s="24" t="s">
        <v>147</v>
      </c>
      <c r="J32" s="261"/>
      <c r="K32" s="232"/>
      <c r="L32" s="249"/>
      <c r="M32" s="14"/>
      <c r="N32" s="249">
        <v>33975</v>
      </c>
      <c r="O32" s="12">
        <f t="shared" si="7"/>
        <v>0</v>
      </c>
      <c r="P32" s="39" t="s">
        <v>289</v>
      </c>
      <c r="Q32" s="42"/>
      <c r="S32" s="240"/>
      <c r="T32" s="255"/>
      <c r="U32" s="59"/>
      <c r="V32" s="59">
        <f>V31*20%</f>
        <v>181.25</v>
      </c>
      <c r="W32" s="296" t="s">
        <v>152</v>
      </c>
      <c r="X32" s="59"/>
    </row>
    <row r="33" spans="1:24" s="230" customFormat="1" ht="17.399999999999999" x14ac:dyDescent="0.35">
      <c r="B33" s="24" t="s">
        <v>161</v>
      </c>
      <c r="C33"/>
      <c r="D33"/>
      <c r="E33"/>
      <c r="F33"/>
      <c r="J33" s="261"/>
      <c r="K33" s="232"/>
      <c r="L33" s="249"/>
      <c r="M33" s="14">
        <v>1</v>
      </c>
      <c r="N33" s="249">
        <v>20000</v>
      </c>
      <c r="O33" s="12">
        <f t="shared" si="7"/>
        <v>20000</v>
      </c>
      <c r="P33" s="14" t="s">
        <v>138</v>
      </c>
      <c r="Q33" s="17"/>
      <c r="S33" s="238"/>
      <c r="T33" s="255"/>
      <c r="U33" s="59"/>
      <c r="V33" s="59">
        <f>V31+V32</f>
        <v>1087.5</v>
      </c>
      <c r="W33" s="296" t="s">
        <v>153</v>
      </c>
      <c r="X33" s="59"/>
    </row>
    <row r="34" spans="1:24" s="230" customFormat="1" ht="17.399999999999999" x14ac:dyDescent="0.35">
      <c r="A34" s="230" t="s">
        <v>282</v>
      </c>
      <c r="B34" s="29" t="s">
        <v>123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7"/>
        <v>0</v>
      </c>
      <c r="P34" s="14" t="s">
        <v>31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1500</v>
      </c>
      <c r="O35" s="12">
        <f t="shared" si="7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31031.599999999999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32</v>
      </c>
      <c r="N37" s="12"/>
      <c r="O37" s="254">
        <f>O36*2.1</f>
        <v>65166.36</v>
      </c>
      <c r="P37" s="14" t="s">
        <v>137</v>
      </c>
      <c r="Q37" s="14"/>
      <c r="R37" s="40">
        <f>P28/R36</f>
        <v>0.30672993960310613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51290</v>
      </c>
      <c r="L38" s="249"/>
      <c r="M38" s="14"/>
      <c r="N38" s="12"/>
      <c r="O38" s="12">
        <f>O37/P26</f>
        <v>68740.886075949369</v>
      </c>
      <c r="P38" s="45" t="s">
        <v>24</v>
      </c>
      <c r="Q38" s="14"/>
      <c r="R38" s="14"/>
      <c r="S38"/>
      <c r="T38" s="238"/>
      <c r="U38" s="59" t="s">
        <v>154</v>
      </c>
      <c r="V38" s="291">
        <v>43650</v>
      </c>
    </row>
    <row r="39" spans="1:24" s="230" customFormat="1" ht="17.399999999999999" x14ac:dyDescent="0.35">
      <c r="G39"/>
      <c r="K39" s="230">
        <f>K38/1.19</f>
        <v>43100.840336134454</v>
      </c>
      <c r="L39" s="249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156</v>
      </c>
      <c r="V39" s="292" t="s">
        <v>155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157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152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144</v>
      </c>
    </row>
    <row r="74" spans="3:15" x14ac:dyDescent="0.3">
      <c r="C74" t="s">
        <v>143</v>
      </c>
    </row>
    <row r="77" spans="3:15" x14ac:dyDescent="0.3">
      <c r="C77" t="s">
        <v>143</v>
      </c>
    </row>
    <row r="154" spans="3:3" x14ac:dyDescent="0.3">
      <c r="C154" t="s">
        <v>143</v>
      </c>
    </row>
    <row r="155" spans="3:3" x14ac:dyDescent="0.3">
      <c r="C155" t="s">
        <v>145</v>
      </c>
    </row>
    <row r="156" spans="3:3" x14ac:dyDescent="0.3">
      <c r="C156" t="s">
        <v>146</v>
      </c>
    </row>
    <row r="581" spans="3:3" x14ac:dyDescent="0.3">
      <c r="C581" t="s">
        <v>143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46114</v>
      </c>
    </row>
    <row r="6" spans="2:31" ht="16.2" thickBot="1" x14ac:dyDescent="0.35">
      <c r="B6" s="140" t="s">
        <v>2</v>
      </c>
      <c r="C6" s="139" t="str">
        <f>'2229'!C10</f>
        <v>MIGUEL RETAMAL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2" t="s">
        <v>97</v>
      </c>
      <c r="I7" s="443"/>
      <c r="J7" s="443"/>
      <c r="K7" s="444"/>
      <c r="N7" s="75"/>
      <c r="O7" s="441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12076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1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377.00496654589369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'2229'!H24</f>
        <v>65166.36</v>
      </c>
      <c r="E11" s="132">
        <f>D11*0.19</f>
        <v>12381.608400000001</v>
      </c>
      <c r="F11" s="131">
        <f>E11+D11</f>
        <v>77547.968399999998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106367.00496654589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40865.690787439613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88367.004966545894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24300.669212560388</v>
      </c>
      <c r="E13" s="221">
        <f>(D11/D12)-1</f>
        <v>0.59464721492067341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79367.004966545894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40367.004966545894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67428.389799275363</v>
      </c>
      <c r="F15" s="216">
        <f>E15-D12</f>
        <v>26562.69901183575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40367.004966545894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80367.004966545894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'2229'!O31</f>
        <v>7050</v>
      </c>
      <c r="E19" s="123">
        <f>D19*0.19</f>
        <v>1339.5</v>
      </c>
      <c r="F19" s="120">
        <f>SUM(D19:E19)</f>
        <v>8389.5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3981.6</v>
      </c>
      <c r="E20" s="121">
        <f>D20*0.19</f>
        <v>756.50400000000002</v>
      </c>
      <c r="F20" s="120">
        <f>SUM(D20:E20)</f>
        <v>4738.1040000000003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11031.6</v>
      </c>
      <c r="E21" s="116">
        <f>SUM(E18:E20)</f>
        <v>2096.0039999999999</v>
      </c>
      <c r="F21" s="115">
        <f>SUM(F18:F20)</f>
        <v>13127.603999999999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10285.6044</v>
      </c>
    </row>
    <row r="41" spans="2:16" ht="15" thickBot="1" x14ac:dyDescent="0.35">
      <c r="H41" s="445" t="s">
        <v>59</v>
      </c>
      <c r="I41" s="446"/>
      <c r="J41" s="446"/>
      <c r="K41" s="446"/>
      <c r="L41" s="446"/>
      <c r="M41" s="447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65166.36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11031.6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24300.669212560388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24300.669212560388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139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140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162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163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12076</v>
      </c>
      <c r="E8" s="138"/>
      <c r="F8" s="318" t="s">
        <v>164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165</v>
      </c>
      <c r="C10" s="350" t="str">
        <f>IF('2229'!C10="","",'2229'!C10)</f>
        <v>MIGUEL RETAMAL</v>
      </c>
      <c r="D10" s="350"/>
      <c r="E10" s="350"/>
      <c r="F10" s="351" t="s">
        <v>166</v>
      </c>
      <c r="G10" s="352">
        <f>'2229'!G10</f>
        <v>46114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167</v>
      </c>
      <c r="G11" s="340">
        <f>WORKDAY(G10,5)</f>
        <v>46121</v>
      </c>
      <c r="H11" s="341"/>
      <c r="I11" s="138"/>
    </row>
    <row r="12" spans="1:17" ht="15.6" x14ac:dyDescent="0.3">
      <c r="A12" s="138"/>
      <c r="B12" s="354" t="s">
        <v>168</v>
      </c>
      <c r="C12" s="355" t="str">
        <f>IF('2229'!C12="","",'2229'!C12)</f>
        <v/>
      </c>
      <c r="D12" s="355"/>
      <c r="E12" s="355"/>
      <c r="F12" s="355" t="s">
        <v>180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142</v>
      </c>
      <c r="C13" s="246" t="str">
        <f>IF('2229'!C13="","",'2229'!C13)</f>
        <v/>
      </c>
      <c r="D13" s="246"/>
      <c r="E13" s="246"/>
      <c r="F13" s="246" t="s">
        <v>169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170</v>
      </c>
      <c r="G14" s="357" t="s">
        <v>171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+569 8540 4081</v>
      </c>
      <c r="D15" s="347"/>
      <c r="E15" s="345"/>
      <c r="F15" s="345" t="s">
        <v>172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173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8" t="s">
        <v>174</v>
      </c>
      <c r="G17" s="448"/>
      <c r="H17" s="449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0" t="s">
        <v>175</v>
      </c>
      <c r="C20" s="451"/>
      <c r="D20" s="451"/>
      <c r="E20" s="451"/>
      <c r="F20" s="451"/>
      <c r="G20" s="451"/>
      <c r="H20" s="452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176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177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3" t="s">
        <v>181</v>
      </c>
      <c r="C2" s="453"/>
      <c r="D2" s="453"/>
      <c r="E2" s="361"/>
      <c r="G2" s="453" t="s">
        <v>182</v>
      </c>
      <c r="H2" s="453"/>
      <c r="I2" s="453"/>
      <c r="P2" s="454" t="s">
        <v>183</v>
      </c>
      <c r="Q2" s="454"/>
      <c r="R2" s="454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184</v>
      </c>
      <c r="E4" s="246" t="s">
        <v>185</v>
      </c>
      <c r="G4" s="362">
        <v>50</v>
      </c>
      <c r="H4" s="362">
        <v>100</v>
      </c>
      <c r="I4" s="367" t="s">
        <v>184</v>
      </c>
      <c r="J4" s="54" t="s">
        <v>186</v>
      </c>
      <c r="K4" s="54"/>
      <c r="L4" s="54"/>
      <c r="M4" s="54"/>
      <c r="P4">
        <v>50</v>
      </c>
      <c r="Q4">
        <v>-30</v>
      </c>
      <c r="R4" t="s">
        <v>187</v>
      </c>
    </row>
    <row r="5" spans="2:18" x14ac:dyDescent="0.3">
      <c r="B5" s="365">
        <v>40</v>
      </c>
      <c r="C5" s="365">
        <v>90</v>
      </c>
      <c r="D5" s="366" t="s">
        <v>188</v>
      </c>
      <c r="E5" s="246" t="s">
        <v>189</v>
      </c>
      <c r="G5" s="362">
        <v>50</v>
      </c>
      <c r="H5" s="362"/>
      <c r="I5" s="367" t="s">
        <v>190</v>
      </c>
      <c r="J5" s="54" t="s">
        <v>191</v>
      </c>
      <c r="K5" s="54"/>
      <c r="L5" s="54"/>
      <c r="M5" s="54"/>
      <c r="P5">
        <v>50</v>
      </c>
      <c r="Q5">
        <v>-30</v>
      </c>
      <c r="R5" t="s">
        <v>187</v>
      </c>
    </row>
    <row r="6" spans="2:18" x14ac:dyDescent="0.3">
      <c r="B6" s="365">
        <v>40</v>
      </c>
      <c r="C6" s="365">
        <v>100</v>
      </c>
      <c r="D6" s="366" t="s">
        <v>192</v>
      </c>
      <c r="E6" s="246" t="s">
        <v>193</v>
      </c>
      <c r="G6" s="365">
        <v>50</v>
      </c>
      <c r="H6" s="365">
        <v>100</v>
      </c>
      <c r="I6" s="366" t="s">
        <v>192</v>
      </c>
      <c r="P6">
        <v>50</v>
      </c>
      <c r="Q6">
        <v>-30</v>
      </c>
      <c r="R6" t="s">
        <v>194</v>
      </c>
    </row>
    <row r="7" spans="2:18" x14ac:dyDescent="0.3">
      <c r="B7" s="365">
        <v>40</v>
      </c>
      <c r="C7" s="365">
        <v>150</v>
      </c>
      <c r="D7" s="366" t="s">
        <v>195</v>
      </c>
      <c r="E7" s="246" t="s">
        <v>196</v>
      </c>
      <c r="G7" s="365">
        <v>50</v>
      </c>
      <c r="H7" s="365"/>
      <c r="I7" s="366" t="s">
        <v>195</v>
      </c>
      <c r="P7">
        <v>50</v>
      </c>
      <c r="Q7">
        <v>-30</v>
      </c>
      <c r="R7" t="s">
        <v>197</v>
      </c>
    </row>
    <row r="8" spans="2:18" x14ac:dyDescent="0.3">
      <c r="B8" s="365">
        <v>40</v>
      </c>
      <c r="C8" s="365">
        <v>100</v>
      </c>
      <c r="D8" s="366" t="s">
        <v>198</v>
      </c>
      <c r="E8" s="246" t="s">
        <v>199</v>
      </c>
      <c r="G8" s="365">
        <v>50</v>
      </c>
      <c r="H8" s="365">
        <v>100</v>
      </c>
      <c r="I8" s="366" t="s">
        <v>198</v>
      </c>
      <c r="L8" s="454" t="s">
        <v>183</v>
      </c>
      <c r="M8" s="454"/>
      <c r="N8" s="454"/>
      <c r="P8">
        <v>50</v>
      </c>
      <c r="Q8">
        <v>-30</v>
      </c>
      <c r="R8" t="s">
        <v>200</v>
      </c>
    </row>
    <row r="9" spans="2:18" x14ac:dyDescent="0.3">
      <c r="B9" s="365">
        <v>40</v>
      </c>
      <c r="C9" s="365">
        <v>50</v>
      </c>
      <c r="D9" s="366" t="s">
        <v>201</v>
      </c>
      <c r="E9" s="246" t="s">
        <v>202</v>
      </c>
      <c r="G9" s="365">
        <v>50</v>
      </c>
      <c r="H9" s="365">
        <v>100</v>
      </c>
      <c r="I9" s="366" t="s">
        <v>203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204</v>
      </c>
    </row>
    <row r="10" spans="2:18" x14ac:dyDescent="0.3">
      <c r="B10" s="365">
        <v>40</v>
      </c>
      <c r="C10" s="365">
        <v>80</v>
      </c>
      <c r="D10" s="366" t="s">
        <v>205</v>
      </c>
      <c r="E10" s="246" t="s">
        <v>206</v>
      </c>
      <c r="G10" s="365">
        <v>50</v>
      </c>
      <c r="H10" s="365"/>
      <c r="I10" s="366" t="s">
        <v>207</v>
      </c>
      <c r="L10" s="365">
        <v>50</v>
      </c>
      <c r="M10" s="365">
        <v>-30</v>
      </c>
      <c r="N10" s="366" t="s">
        <v>187</v>
      </c>
      <c r="P10">
        <v>50</v>
      </c>
      <c r="Q10">
        <v>0</v>
      </c>
      <c r="R10" t="s">
        <v>208</v>
      </c>
    </row>
    <row r="11" spans="2:18" x14ac:dyDescent="0.3">
      <c r="B11" s="365">
        <v>40</v>
      </c>
      <c r="C11" s="365">
        <v>60</v>
      </c>
      <c r="D11" s="366" t="s">
        <v>209</v>
      </c>
      <c r="E11" s="246" t="s">
        <v>210</v>
      </c>
      <c r="G11" s="365">
        <v>50</v>
      </c>
      <c r="H11" s="365">
        <v>100</v>
      </c>
      <c r="I11" s="366" t="s">
        <v>201</v>
      </c>
      <c r="L11" s="365">
        <v>50</v>
      </c>
      <c r="M11" s="365">
        <v>0</v>
      </c>
      <c r="N11" s="366" t="s">
        <v>211</v>
      </c>
      <c r="P11">
        <v>50</v>
      </c>
      <c r="Q11">
        <v>0</v>
      </c>
      <c r="R11" t="s">
        <v>212</v>
      </c>
    </row>
    <row r="12" spans="2:18" x14ac:dyDescent="0.3">
      <c r="B12" s="365">
        <v>40</v>
      </c>
      <c r="C12" s="365">
        <v>100</v>
      </c>
      <c r="D12" s="366" t="s">
        <v>213</v>
      </c>
      <c r="E12" s="246" t="s">
        <v>214</v>
      </c>
      <c r="G12" s="365">
        <v>50</v>
      </c>
      <c r="H12" s="365"/>
      <c r="I12" s="366" t="s">
        <v>205</v>
      </c>
      <c r="L12" s="365">
        <v>50</v>
      </c>
      <c r="M12" s="365">
        <v>-2</v>
      </c>
      <c r="N12" s="366" t="s">
        <v>215</v>
      </c>
      <c r="P12">
        <v>50</v>
      </c>
      <c r="Q12">
        <v>0</v>
      </c>
      <c r="R12" t="s">
        <v>216</v>
      </c>
    </row>
    <row r="13" spans="2:18" x14ac:dyDescent="0.3">
      <c r="B13" s="365">
        <v>40</v>
      </c>
      <c r="C13" s="365">
        <v>130</v>
      </c>
      <c r="D13" s="366" t="s">
        <v>217</v>
      </c>
      <c r="E13" s="246" t="s">
        <v>218</v>
      </c>
      <c r="G13" s="365">
        <v>50</v>
      </c>
      <c r="H13" s="365">
        <v>-30</v>
      </c>
      <c r="I13" s="366" t="s">
        <v>187</v>
      </c>
      <c r="P13">
        <v>50</v>
      </c>
      <c r="Q13">
        <v>0</v>
      </c>
      <c r="R13" t="s">
        <v>219</v>
      </c>
    </row>
    <row r="14" spans="2:18" x14ac:dyDescent="0.3">
      <c r="B14" s="365">
        <v>40</v>
      </c>
      <c r="C14" s="365">
        <v>150</v>
      </c>
      <c r="D14" s="366" t="s">
        <v>194</v>
      </c>
      <c r="E14" s="246"/>
      <c r="G14" s="365">
        <v>50</v>
      </c>
      <c r="H14" s="365">
        <v>-30</v>
      </c>
      <c r="I14" s="366" t="s">
        <v>194</v>
      </c>
    </row>
    <row r="15" spans="2:18" x14ac:dyDescent="0.3">
      <c r="B15" s="365">
        <v>40</v>
      </c>
      <c r="C15" s="365">
        <v>150</v>
      </c>
      <c r="D15" s="366" t="s">
        <v>220</v>
      </c>
      <c r="E15" s="246" t="s">
        <v>221</v>
      </c>
      <c r="G15" s="365">
        <v>50</v>
      </c>
      <c r="H15" s="365">
        <v>-30</v>
      </c>
      <c r="I15" s="366" t="s">
        <v>197</v>
      </c>
      <c r="P15">
        <v>50</v>
      </c>
      <c r="Q15">
        <v>0</v>
      </c>
      <c r="R15" t="s">
        <v>222</v>
      </c>
    </row>
    <row r="16" spans="2:18" x14ac:dyDescent="0.3">
      <c r="B16" s="365">
        <v>40</v>
      </c>
      <c r="C16" s="365">
        <v>130</v>
      </c>
      <c r="D16" s="366" t="s">
        <v>223</v>
      </c>
      <c r="E16" s="246" t="s">
        <v>224</v>
      </c>
      <c r="G16" s="365">
        <v>50</v>
      </c>
      <c r="H16" s="365">
        <v>-30</v>
      </c>
      <c r="I16" s="366" t="s">
        <v>225</v>
      </c>
      <c r="P16">
        <v>50</v>
      </c>
      <c r="Q16">
        <v>0</v>
      </c>
      <c r="R16" t="s">
        <v>226</v>
      </c>
    </row>
    <row r="17" spans="2:18" x14ac:dyDescent="0.3">
      <c r="B17" s="365">
        <v>40</v>
      </c>
      <c r="C17" s="365">
        <v>150</v>
      </c>
      <c r="D17" s="366" t="s">
        <v>212</v>
      </c>
      <c r="E17" s="246" t="s">
        <v>227</v>
      </c>
      <c r="G17" s="365">
        <v>50</v>
      </c>
      <c r="H17" s="365"/>
      <c r="I17" s="366" t="s">
        <v>212</v>
      </c>
      <c r="P17">
        <v>50</v>
      </c>
      <c r="Q17">
        <v>0</v>
      </c>
      <c r="R17" t="s">
        <v>228</v>
      </c>
    </row>
    <row r="18" spans="2:18" x14ac:dyDescent="0.3">
      <c r="B18" s="365">
        <v>140</v>
      </c>
      <c r="C18" s="365">
        <v>150</v>
      </c>
      <c r="D18" s="366" t="s">
        <v>216</v>
      </c>
      <c r="E18" s="246" t="s">
        <v>229</v>
      </c>
      <c r="G18" s="365">
        <v>50</v>
      </c>
      <c r="H18" s="365"/>
      <c r="I18" s="366" t="s">
        <v>216</v>
      </c>
      <c r="P18">
        <v>50</v>
      </c>
      <c r="Q18">
        <v>0</v>
      </c>
      <c r="R18" t="s">
        <v>230</v>
      </c>
    </row>
    <row r="19" spans="2:18" x14ac:dyDescent="0.3">
      <c r="B19" s="365">
        <v>150</v>
      </c>
      <c r="C19" s="365">
        <v>150</v>
      </c>
      <c r="D19" s="366" t="s">
        <v>219</v>
      </c>
      <c r="E19" s="246" t="s">
        <v>231</v>
      </c>
      <c r="G19" s="365">
        <v>50</v>
      </c>
      <c r="H19" s="365"/>
      <c r="I19" s="366" t="s">
        <v>219</v>
      </c>
      <c r="P19">
        <v>50</v>
      </c>
      <c r="Q19">
        <v>0</v>
      </c>
      <c r="R19" t="s">
        <v>232</v>
      </c>
    </row>
    <row r="20" spans="2:18" x14ac:dyDescent="0.3">
      <c r="B20" s="365">
        <v>40</v>
      </c>
      <c r="C20" s="365">
        <v>100</v>
      </c>
      <c r="D20" s="366" t="s">
        <v>233</v>
      </c>
      <c r="E20" s="246" t="s">
        <v>234</v>
      </c>
      <c r="G20" s="365">
        <v>50</v>
      </c>
      <c r="H20" s="365">
        <v>0</v>
      </c>
      <c r="I20" s="366" t="s">
        <v>233</v>
      </c>
      <c r="J20" s="54" t="s">
        <v>235</v>
      </c>
      <c r="K20" s="54"/>
      <c r="L20" s="54"/>
      <c r="M20" s="54"/>
      <c r="P20">
        <v>50</v>
      </c>
      <c r="Q20">
        <v>0</v>
      </c>
      <c r="R20" t="s">
        <v>236</v>
      </c>
    </row>
    <row r="21" spans="2:18" x14ac:dyDescent="0.3">
      <c r="B21" s="365">
        <v>100</v>
      </c>
      <c r="C21" s="365">
        <v>100</v>
      </c>
      <c r="D21" s="366" t="s">
        <v>237</v>
      </c>
      <c r="E21" s="246" t="s">
        <v>238</v>
      </c>
      <c r="G21" s="365">
        <v>50</v>
      </c>
      <c r="H21" s="365">
        <v>0</v>
      </c>
      <c r="I21" s="366" t="s">
        <v>237</v>
      </c>
      <c r="P21">
        <v>50</v>
      </c>
      <c r="Q21">
        <v>0</v>
      </c>
      <c r="R21" t="s">
        <v>239</v>
      </c>
    </row>
    <row r="22" spans="2:18" x14ac:dyDescent="0.3">
      <c r="B22" s="365">
        <v>100</v>
      </c>
      <c r="C22" s="365">
        <v>100</v>
      </c>
      <c r="D22" s="366" t="s">
        <v>222</v>
      </c>
      <c r="E22" s="246" t="s">
        <v>240</v>
      </c>
      <c r="G22" s="362"/>
      <c r="H22" s="362"/>
      <c r="I22" s="367" t="s">
        <v>222</v>
      </c>
      <c r="P22">
        <v>50</v>
      </c>
      <c r="Q22">
        <v>0</v>
      </c>
      <c r="R22" t="s">
        <v>241</v>
      </c>
    </row>
    <row r="23" spans="2:18" x14ac:dyDescent="0.3">
      <c r="B23" s="365">
        <v>40</v>
      </c>
      <c r="C23" s="365">
        <v>150</v>
      </c>
      <c r="D23" s="366" t="s">
        <v>226</v>
      </c>
      <c r="E23" s="246" t="s">
        <v>242</v>
      </c>
      <c r="G23" s="365">
        <v>50</v>
      </c>
      <c r="H23" s="365"/>
      <c r="I23" s="366" t="s">
        <v>226</v>
      </c>
      <c r="R23" t="s">
        <v>243</v>
      </c>
    </row>
    <row r="24" spans="2:18" x14ac:dyDescent="0.3">
      <c r="B24" s="365">
        <v>140</v>
      </c>
      <c r="C24" s="365">
        <v>150</v>
      </c>
      <c r="D24" s="366" t="s">
        <v>228</v>
      </c>
      <c r="E24" s="246" t="s">
        <v>244</v>
      </c>
      <c r="G24" s="365">
        <v>50</v>
      </c>
      <c r="H24" s="365"/>
      <c r="I24" s="366" t="s">
        <v>228</v>
      </c>
      <c r="R24" t="s">
        <v>245</v>
      </c>
    </row>
    <row r="25" spans="2:18" x14ac:dyDescent="0.3">
      <c r="B25" s="365">
        <v>150</v>
      </c>
      <c r="C25" s="365">
        <v>150</v>
      </c>
      <c r="D25" s="366" t="s">
        <v>230</v>
      </c>
      <c r="E25" s="246" t="s">
        <v>246</v>
      </c>
      <c r="G25" s="365">
        <v>50</v>
      </c>
      <c r="H25" s="365"/>
      <c r="I25" s="366" t="s">
        <v>230</v>
      </c>
      <c r="R25" t="s">
        <v>192</v>
      </c>
    </row>
    <row r="26" spans="2:18" x14ac:dyDescent="0.3">
      <c r="B26" s="365">
        <v>40</v>
      </c>
      <c r="C26" s="365">
        <v>77</v>
      </c>
      <c r="D26" s="366" t="s">
        <v>232</v>
      </c>
      <c r="E26" s="246" t="s">
        <v>247</v>
      </c>
      <c r="G26" s="365">
        <v>50</v>
      </c>
      <c r="H26" s="365"/>
      <c r="I26" s="366" t="s">
        <v>232</v>
      </c>
      <c r="R26" t="s">
        <v>195</v>
      </c>
    </row>
    <row r="27" spans="2:18" x14ac:dyDescent="0.3">
      <c r="B27" s="365">
        <v>110</v>
      </c>
      <c r="C27" s="365">
        <v>77</v>
      </c>
      <c r="D27" s="366" t="s">
        <v>236</v>
      </c>
      <c r="E27" s="246" t="s">
        <v>248</v>
      </c>
      <c r="G27" s="365">
        <v>50</v>
      </c>
      <c r="H27" s="365"/>
      <c r="I27" s="366" t="s">
        <v>236</v>
      </c>
      <c r="R27" t="s">
        <v>198</v>
      </c>
    </row>
    <row r="28" spans="2:18" x14ac:dyDescent="0.3">
      <c r="B28" s="365">
        <v>120</v>
      </c>
      <c r="C28" s="365">
        <v>77</v>
      </c>
      <c r="D28" s="366" t="s">
        <v>239</v>
      </c>
      <c r="E28" s="246" t="s">
        <v>249</v>
      </c>
      <c r="G28" s="365">
        <v>50</v>
      </c>
      <c r="H28" s="365"/>
      <c r="I28" s="366" t="s">
        <v>239</v>
      </c>
      <c r="R28" t="s">
        <v>203</v>
      </c>
    </row>
    <row r="29" spans="2:18" x14ac:dyDescent="0.3">
      <c r="B29" s="365">
        <v>40</v>
      </c>
      <c r="C29" s="365">
        <v>50</v>
      </c>
      <c r="D29" s="366" t="s">
        <v>241</v>
      </c>
      <c r="E29" s="246" t="s">
        <v>250</v>
      </c>
      <c r="G29" s="365">
        <v>50</v>
      </c>
      <c r="H29" s="365"/>
      <c r="I29" s="366" t="s">
        <v>241</v>
      </c>
      <c r="R29" t="s">
        <v>207</v>
      </c>
    </row>
    <row r="30" spans="2:18" x14ac:dyDescent="0.3">
      <c r="B30" s="365">
        <v>40</v>
      </c>
      <c r="C30" s="365">
        <v>60</v>
      </c>
      <c r="D30" s="366" t="s">
        <v>251</v>
      </c>
      <c r="E30" s="246" t="s">
        <v>252</v>
      </c>
      <c r="G30" s="365">
        <v>50</v>
      </c>
      <c r="H30" s="365"/>
      <c r="I30" s="366" t="s">
        <v>208</v>
      </c>
      <c r="R30" t="s">
        <v>201</v>
      </c>
    </row>
    <row r="31" spans="2:18" x14ac:dyDescent="0.3">
      <c r="B31" s="365">
        <v>40</v>
      </c>
      <c r="C31" s="365">
        <v>100</v>
      </c>
      <c r="D31" s="366" t="s">
        <v>204</v>
      </c>
      <c r="E31" s="246" t="s">
        <v>253</v>
      </c>
      <c r="G31" s="365">
        <v>50</v>
      </c>
      <c r="H31" s="365"/>
      <c r="I31" s="366" t="s">
        <v>204</v>
      </c>
      <c r="R31" t="s">
        <v>205</v>
      </c>
    </row>
    <row r="32" spans="2:18" x14ac:dyDescent="0.3">
      <c r="B32" s="365">
        <v>40</v>
      </c>
      <c r="C32" s="365">
        <v>60</v>
      </c>
      <c r="D32" s="366" t="s">
        <v>254</v>
      </c>
      <c r="E32" s="246" t="s">
        <v>255</v>
      </c>
      <c r="G32" s="365">
        <v>50</v>
      </c>
      <c r="H32" s="365"/>
      <c r="I32" s="366" t="s">
        <v>254</v>
      </c>
      <c r="R32" t="s">
        <v>256</v>
      </c>
    </row>
    <row r="33" spans="2:18" x14ac:dyDescent="0.3">
      <c r="B33" s="365">
        <v>40</v>
      </c>
      <c r="C33" s="365">
        <v>90</v>
      </c>
      <c r="D33" s="366" t="s">
        <v>257</v>
      </c>
      <c r="E33" s="246" t="s">
        <v>258</v>
      </c>
      <c r="G33" s="365">
        <v>50</v>
      </c>
      <c r="H33" s="365">
        <v>-2</v>
      </c>
      <c r="I33" s="366" t="s">
        <v>257</v>
      </c>
      <c r="R33" t="s">
        <v>259</v>
      </c>
    </row>
    <row r="34" spans="2:18" x14ac:dyDescent="0.3">
      <c r="B34" s="365">
        <v>40</v>
      </c>
      <c r="C34" s="365">
        <v>90</v>
      </c>
      <c r="D34" s="366" t="s">
        <v>260</v>
      </c>
      <c r="E34" s="246"/>
      <c r="G34" s="365">
        <v>50</v>
      </c>
      <c r="H34" s="365">
        <v>-2</v>
      </c>
      <c r="I34" s="366" t="s">
        <v>260</v>
      </c>
    </row>
    <row r="35" spans="2:18" x14ac:dyDescent="0.3">
      <c r="B35" s="365">
        <v>40</v>
      </c>
      <c r="C35" s="365">
        <v>90</v>
      </c>
      <c r="D35" s="366" t="s">
        <v>256</v>
      </c>
      <c r="E35" s="246" t="s">
        <v>261</v>
      </c>
      <c r="G35" s="365">
        <v>50</v>
      </c>
      <c r="H35" s="365">
        <v>-2</v>
      </c>
      <c r="I35" s="366" t="s">
        <v>256</v>
      </c>
      <c r="R35" t="s">
        <v>262</v>
      </c>
    </row>
    <row r="36" spans="2:18" x14ac:dyDescent="0.3">
      <c r="B36" s="368">
        <v>40</v>
      </c>
      <c r="C36" s="368">
        <v>90</v>
      </c>
      <c r="D36" s="369" t="s">
        <v>259</v>
      </c>
      <c r="G36" s="365">
        <v>50</v>
      </c>
      <c r="H36" s="365">
        <v>-2</v>
      </c>
      <c r="I36" s="366" t="s">
        <v>259</v>
      </c>
      <c r="R36" t="s">
        <v>257</v>
      </c>
    </row>
    <row r="37" spans="2:18" x14ac:dyDescent="0.3">
      <c r="B37" s="368">
        <v>40</v>
      </c>
      <c r="C37" s="368">
        <v>90</v>
      </c>
      <c r="D37" s="369" t="s">
        <v>262</v>
      </c>
      <c r="G37" s="365">
        <v>50</v>
      </c>
      <c r="H37" s="365">
        <v>-2</v>
      </c>
      <c r="I37" s="366" t="s">
        <v>262</v>
      </c>
      <c r="R37" t="s">
        <v>260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263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9" t="s">
        <v>264</v>
      </c>
      <c r="L3" s="459"/>
      <c r="M3" s="459" t="s">
        <v>265</v>
      </c>
      <c r="N3" s="459"/>
    </row>
    <row r="4" spans="1:14" ht="15.75" customHeight="1" x14ac:dyDescent="0.3">
      <c r="A4" s="138"/>
      <c r="B4" s="138"/>
      <c r="C4" s="370" t="s">
        <v>164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266</v>
      </c>
      <c r="D5" s="372" t="str">
        <f>'NOTA DE VENTA'!$C$10</f>
        <v>MIGUEL RETAMAL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46114</v>
      </c>
      <c r="E7" s="138"/>
      <c r="F7" s="138"/>
      <c r="G7" s="138"/>
    </row>
    <row r="8" spans="1:14" ht="15.6" x14ac:dyDescent="0.3">
      <c r="A8" s="138"/>
      <c r="B8" s="138"/>
      <c r="C8" s="370" t="s">
        <v>267</v>
      </c>
      <c r="D8" s="405">
        <f>'NOTA DE VENTA'!$G$11</f>
        <v>46121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0" t="s">
        <v>264</v>
      </c>
      <c r="B10" s="460"/>
      <c r="C10" s="460"/>
      <c r="D10" s="460"/>
      <c r="E10" s="460"/>
      <c r="F10" s="460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268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0" t="s">
        <v>265</v>
      </c>
      <c r="B17" s="460"/>
      <c r="C17" s="460"/>
      <c r="D17" s="460"/>
      <c r="E17" s="460"/>
      <c r="F17" s="460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268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269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270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268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164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266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0" t="s">
        <v>271</v>
      </c>
      <c r="B45" s="460"/>
      <c r="C45" s="460"/>
      <c r="D45" s="460"/>
      <c r="E45" s="460"/>
      <c r="F45" s="460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5" t="s">
        <v>94</v>
      </c>
      <c r="C47" s="456"/>
      <c r="D47" s="457"/>
      <c r="E47" s="457"/>
      <c r="F47" s="458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272</v>
      </c>
      <c r="G48" s="138"/>
    </row>
    <row r="49" spans="1:7" s="59" customFormat="1" ht="15" customHeight="1" x14ac:dyDescent="0.3">
      <c r="A49" s="380" t="s">
        <v>273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274</v>
      </c>
      <c r="B1" s="414" t="s">
        <v>275</v>
      </c>
      <c r="C1" s="413" t="s">
        <v>276</v>
      </c>
      <c r="D1" s="413" t="s">
        <v>277</v>
      </c>
      <c r="E1" s="413" t="s">
        <v>278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279</v>
      </c>
      <c r="L1" s="415" t="s">
        <v>280</v>
      </c>
      <c r="M1" s="413" t="s">
        <v>281</v>
      </c>
    </row>
    <row r="2" spans="1:13" x14ac:dyDescent="0.3">
      <c r="A2">
        <f>'NOTA DE VENTA'!$G$8</f>
        <v>0</v>
      </c>
      <c r="B2" t="str">
        <f>'NOTA DE VENTA'!$D$8</f>
        <v>N° 12076</v>
      </c>
      <c r="C2" s="1">
        <f>'NOTA DE VENTA'!$G$10</f>
        <v>46114</v>
      </c>
      <c r="D2" s="1">
        <f>'NOTA DE VENTA'!$G$11</f>
        <v>46121</v>
      </c>
      <c r="E2" t="str">
        <f>'NOTA DE VENTA'!$C$10</f>
        <v>MIGUEL RETAMAL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2026-04-02T19:42:08Z</cp:lastPrinted>
  <dcterms:created xsi:type="dcterms:W3CDTF">2013-03-18T13:35:42Z</dcterms:created>
  <dcterms:modified xsi:type="dcterms:W3CDTF">2026-04-06T15:43:01Z</dcterms:modified>
</cp:coreProperties>
</file>