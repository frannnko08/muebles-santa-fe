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06FC6B6F-2E86-4F9D-94A9-B41315DFA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P30" i="1" s="1"/>
  <c r="N5" i="6"/>
  <c r="A2" i="7"/>
  <c r="S31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30" i="1"/>
  <c r="L30" i="1" s="1"/>
  <c r="T29" i="1" l="1"/>
  <c r="S32" i="1" s="1"/>
  <c r="K44" i="1"/>
  <c r="S33" i="1" l="1"/>
  <c r="S34" i="1" s="1"/>
  <c r="V37" i="1"/>
  <c r="V38" i="1" s="1"/>
  <c r="P31" i="1" l="1"/>
  <c r="N20" i="1"/>
  <c r="L20" i="1"/>
  <c r="P32" i="1" l="1"/>
  <c r="P33" i="1" s="1"/>
  <c r="M35" i="1" s="1"/>
  <c r="O37" i="1"/>
  <c r="R41" i="1"/>
  <c r="R42" i="1" l="1"/>
  <c r="O36" i="1" s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l="1"/>
  <c r="O42" i="1" s="1"/>
  <c r="D20" i="3"/>
  <c r="E20" i="3" s="1"/>
  <c r="E21" i="3" s="1"/>
  <c r="O43" i="1" l="1"/>
  <c r="Q20" i="1" s="1"/>
  <c r="D21" i="3"/>
  <c r="M43" i="3" s="1"/>
  <c r="D12" i="3" s="1"/>
  <c r="F20" i="3"/>
  <c r="F21" i="3" s="1"/>
  <c r="Q21" i="1" l="1"/>
  <c r="G21" i="1" s="1"/>
  <c r="O44" i="1"/>
  <c r="E15" i="3"/>
  <c r="R21" i="1" l="1"/>
  <c r="H21" i="1"/>
  <c r="F15" i="3"/>
  <c r="H29" i="1" l="1"/>
  <c r="H30" i="1" l="1"/>
  <c r="H3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<sst xmlns="http://schemas.openxmlformats.org/spreadsheetml/2006/main" count="486" uniqueCount="295">
  <si>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</si>
  <si>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</si>
  <si>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</si>
  <si>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</si>
  <si>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</si>
  <si>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</si>
  <si>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</si>
  <si>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</si>
  <si>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</si>
  <si>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</si>
  <si>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</si>
  <si>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</si>
  <si>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</si>
  <si>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</si>
  <si>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</si>
  <si>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</si>
  <si>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</si>
  <si>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</si>
  <si>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</si>
  <si>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</si>
  <si>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</si>
  <si>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</si>
  <si>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</si>
  <si>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</si>
  <si>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</si>
  <si>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</si>
  <si>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</si>
  <si>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</si>
  <si>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</si>
  <si>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</si>
  <si>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</si>
  <si>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</si>
  <si>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</si>
  <si>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</si>
  <si>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</si>
  <si>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</si>
  <si>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</si>
  <si>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</si>
  <si>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</si>
  <si>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</si>
  <si>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</si>
  <si>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</si>
  <si>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</si>
  <si>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</si>
  <si>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</si>
  <si>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</si>
  <si>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</si>
  <si>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</si>
  <si>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</si>
  <si>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</si>
  <si>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</si>
  <si>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</si>
  <si>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</si>
  <si>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</si>
  <si>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</si>
  <si>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</si>
  <si>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</si>
  <si>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</si>
  <si>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</si>
  <si>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</si>
  <si>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</si>
  <si>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</si>
  <si>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</si>
  <si>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</si>
  <si>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</si>
  <si>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</si>
  <si>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</si>
  <si>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</si>
  <si>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</si>
  <si>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</si>
  <si>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</si>
  <si>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</si>
  <si>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</si>
  <si>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</si>
  <si>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</si>
  <si>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</si>
  <si>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</si>
  <si>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</si>
  <si>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</si>
  <si>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</si>
  <si>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</si>
  <si>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</si>
  <si>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</si>
  <si>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</si>
  <si>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</si>
  <si>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</si>
  <si>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</si>
  <si>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</si>
  <si>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</si>
  <si>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</si>
  <si>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</si>
  <si>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</si>
  <si>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</si>
  <si>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</si>
  <si>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</si>
  <si>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</si>
  <si>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</si>
  <si>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</si>
  <si>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</si>
  <si>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</si>
  <si>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</si>
  <si>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</si>
  <si>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</si>
  <si>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</si>
  <si>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</si>
  <si>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</si>
  <si>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</si>
  <si>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</si>
  <si>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</si>
  <si>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</si>
  <si>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</si>
  <si>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</si>
  <si>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</si>
  <si>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</si>
  <si>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</si>
  <si>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</si>
  <si>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</si>
  <si>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</si>
  <si>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</si>
  <si>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</si>
  <si>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</si>
  <si>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</si>
  <si>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</si>
  <si>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</si>
  <si>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</si>
  <si>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</si>
  <si>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</si>
  <si>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</si>
  <si>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</si>
  <si>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</si>
  <si>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</si>
  <si>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</si>
  <si>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</si>
  <si>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</si>
  <si>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</si>
  <si>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</si>
  <si>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</si>
  <si>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</si>
  <si>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</si>
  <si>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</si>
  <si>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</si>
  <si>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</si>
  <si>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</si>
  <si>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</si>
  <si>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</si>
  <si>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</si>
  <si>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</si>
  <si>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</si>
  <si>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</si>
  <si>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</si>
  <si>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</si>
  <si>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</si>
  <si>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</si>
  <si>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</si>
  <si>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</si>
  <si>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</si>
  <si>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</si>
  <si>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</si>
  <si>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</si>
  <si>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</si>
  <si>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</si>
  <si>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</si>
  <si>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</si>
  <si>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</si>
  <si>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</si>
  <si>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</si>
  <si>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</si>
  <si>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</si>
  <si>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</si>
  <si>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</si>
  <si>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</si>
  <si>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</si>
  <si>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</si>
  <si>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</si>
  <si>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</si>
  <si>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</si>
  <si>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</si>
  <si>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</si>
  <si>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</si>
  <si>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</si>
  <si>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</si>
  <si>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</si>
  <si>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</si>
  <si>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</si>
  <si>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</si>
  <si>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</si>
  <si>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</si>
  <si>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</si>
  <si>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</si>
  <si>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</si>
  <si>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</si>
  <si>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</si>
  <si>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</si>
  <si>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</si>
  <si>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</si>
  <si>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</si>
  <si>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</si>
  <si>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</si>
  <si>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</si>
  <si>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</si>
  <si>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</si>
  <si>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</si>
  <si>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</si>
  <si>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</si>
  <si>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</si>
  <si>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</si>
  <si>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</si>
  <si>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</si>
  <si>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</si>
  <si>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</si>
  <si>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</si>
  <si>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</si>
  <si>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</si>
  <si>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</si>
  <si>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</si>
  <si>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</si>
  <si>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</si>
  <si>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</si>
  <si>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</si>
  <si>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</si>
  <si>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</si>
  <si>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</si>
  <si>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</si>
  <si>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</si>
  <si>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</si>
  <si>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</si>
  <si>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</si>
  <si>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</si>
  <si>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</si>
  <si>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</si>
  <si>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</si>
  <si>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</si>
  <si>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</si>
  <si>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</si>
  <si>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</si>
  <si>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</si>
  <si>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</si>
  <si>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</si>
  <si>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</si>
  <si>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</si>
  <si>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</si>
  <si>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</si>
  <si>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</si>
  <si>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</si>
  <si>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</si>
  <si>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</si>
  <si>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</si>
  <si>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</si>
  <si>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</si>
  <si>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</si>
  <si>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</si>
  <si>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</si>
  <si>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</si>
  <si>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</si>
  <si>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</si>
  <si>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</si>
  <si>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</si>
  <si>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</si>
  <si>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</si>
  <si>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</si>
  <si>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</si>
  <si>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</si>
  <si>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</si>
  <si>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</si>
  <si>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</si>
  <si>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</si>
  <si>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</si>
  <si>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</si>
  <si>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</si>
  <si>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</si>
  <si>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</si>
  <si>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</si>
  <si>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</si>
  <si>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</si>
  <si>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</si>
  <si>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</si>
  <si>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</si>
  <si>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</si>
  <si>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</si>
  <si>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</si>
  <si>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</si>
  <si>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</si>
  <si>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</si>
  <si>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</si>
  <si>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</si>
  <si>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</si>
  <si>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</si>
  <si>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</si>
  <si>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</si>
  <si>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</si>
  <si>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N° 12075</t>
  </si>
  <si>
    <t>JAVIER MOYA</t>
  </si>
  <si>
    <t>+569 6609 2180</t>
  </si>
  <si>
    <t>E/R 2 CARAS MDF 25MM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</si>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</sst>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215079</xdr:rowOff>
    </xdr:from>
    <xdr:to>
      <xdr:col>5</xdr:col>
      <xdr:colOff>1732649</xdr:colOff>
      <xdr:row>30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291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O43</f>
        <v>84574.224598930479</v>
      </c>
      <c r="R20" s="257">
        <v>5000</v>
      </c>
      <c r="S20" s="38"/>
      <c r="T20" s="14" t="s">
        <v>126</v>
      </c>
      <c r="U20" s="9"/>
      <c r="X20" s="4"/>
    </row>
    <row r="21" spans="2:25" ht="18" thickBot="1" x14ac:dyDescent="0.35">
      <c r="B21" s="432">
        <v>1</v>
      </c>
      <c r="C21" s="433" t="s">
        <v>293</v>
      </c>
      <c r="D21" s="434">
        <v>1.79</v>
      </c>
      <c r="E21" s="434">
        <v>0.6</v>
      </c>
      <c r="F21" s="435" t="s">
        <v>294</v>
      </c>
      <c r="G21" s="436">
        <f>Q21</f>
        <v>94892.280000000013</v>
      </c>
      <c r="H21" s="437">
        <f>G21*B21</f>
        <v>94892.280000000013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1.87</v>
      </c>
      <c r="N21" s="39">
        <f t="shared" ref="N21" si="2">E21+$N$19</f>
        <v>0.6</v>
      </c>
      <c r="O21" s="260">
        <f t="shared" ref="O21" si="3">M21*N21</f>
        <v>1.1220000000000001</v>
      </c>
      <c r="P21" s="258">
        <f t="shared" ref="P21" si="4">O21*L21</f>
        <v>1.1220000000000001</v>
      </c>
      <c r="Q21" s="251">
        <f t="shared" ref="Q21" si="5">Q$20*O21</f>
        <v>94892.280000000013</v>
      </c>
      <c r="R21" s="305">
        <f t="shared" ref="R21" si="6">Q21+R$20</f>
        <v>99892.280000000013</v>
      </c>
      <c r="S21" s="290">
        <f>M21*L21*2</f>
        <v>3.74</v>
      </c>
      <c r="T21" s="46">
        <f>N21*L21*2</f>
        <v>1.2</v>
      </c>
      <c r="U21" s="9"/>
      <c r="X21" s="4"/>
    </row>
    <row r="22" spans="2:25" ht="17.399999999999999" x14ac:dyDescent="0.3">
      <c r="B22" s="461"/>
      <c r="C22" s="462"/>
      <c r="D22" s="463"/>
      <c r="E22" s="463"/>
      <c r="F22" s="461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461"/>
      <c r="C23" s="462"/>
      <c r="D23" s="463"/>
      <c r="E23" s="463"/>
      <c r="F23" s="461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461"/>
      <c r="C24" s="462"/>
      <c r="D24" s="463"/>
      <c r="E24" s="463"/>
      <c r="F24" s="461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7.399999999999999" x14ac:dyDescent="0.3">
      <c r="B25" s="461"/>
      <c r="C25" s="462"/>
      <c r="D25" s="463"/>
      <c r="E25" s="463"/>
      <c r="F25" s="461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7.399999999999999" x14ac:dyDescent="0.3">
      <c r="B26" s="461"/>
      <c r="C26" s="462"/>
      <c r="D26" s="463"/>
      <c r="E26" s="463"/>
      <c r="F26" s="461"/>
      <c r="G26" s="306"/>
      <c r="H26" s="306"/>
      <c r="I26" s="306"/>
      <c r="J26" s="264"/>
      <c r="K26" s="47"/>
      <c r="L26" s="47"/>
      <c r="M26" s="39"/>
      <c r="N26" s="39"/>
      <c r="O26" s="260"/>
      <c r="P26" s="258"/>
      <c r="Q26" s="251"/>
      <c r="R26" s="305"/>
      <c r="S26" s="290"/>
      <c r="T26" s="46"/>
      <c r="U26" s="9"/>
      <c r="X26" s="4"/>
    </row>
    <row r="27" spans="2:25" ht="17.399999999999999" x14ac:dyDescent="0.3">
      <c r="B27" s="283"/>
      <c r="C27" s="325"/>
      <c r="D27" s="284"/>
      <c r="E27" s="284"/>
      <c r="F27" s="283"/>
      <c r="G27" s="306"/>
      <c r="H27" s="306"/>
      <c r="I27" s="306"/>
      <c r="J27" s="264"/>
      <c r="K27" s="47"/>
      <c r="L27" s="47"/>
      <c r="M27" s="39"/>
      <c r="N27" s="39"/>
      <c r="O27" s="260"/>
      <c r="P27" s="258"/>
      <c r="Q27" s="251"/>
      <c r="R27" s="305"/>
      <c r="S27" s="290"/>
      <c r="T27" s="46"/>
      <c r="U27" s="9"/>
      <c r="X27" s="4"/>
    </row>
    <row r="28" spans="2:25" ht="18" thickBot="1" x14ac:dyDescent="0.35">
      <c r="B28" s="283"/>
      <c r="C28" s="325"/>
      <c r="D28" s="284"/>
      <c r="E28" s="284"/>
      <c r="F28" s="283"/>
      <c r="G28" s="264"/>
      <c r="H28" s="307"/>
      <c r="I28" s="309"/>
      <c r="J28" s="233"/>
      <c r="K28" s="47"/>
      <c r="L28" s="47"/>
      <c r="M28" s="39"/>
      <c r="N28" s="39"/>
      <c r="O28" s="260"/>
      <c r="P28" s="258"/>
      <c r="Q28" s="251"/>
      <c r="R28" s="257"/>
      <c r="S28" s="290"/>
      <c r="T28" s="14"/>
      <c r="U28" s="9"/>
      <c r="X28" s="4"/>
    </row>
    <row r="29" spans="2:25" ht="17.399999999999999" x14ac:dyDescent="0.3">
      <c r="B29" s="283"/>
      <c r="C29" s="283"/>
      <c r="D29" s="284"/>
      <c r="E29" s="284"/>
      <c r="F29" s="283"/>
      <c r="G29" s="310" t="s">
        <v>28</v>
      </c>
      <c r="H29" s="311">
        <f>SUM(H21:H27)</f>
        <v>94892.280000000013</v>
      </c>
      <c r="I29" s="308"/>
      <c r="J29" s="264"/>
      <c r="K29" s="47"/>
      <c r="L29" s="47"/>
      <c r="M29" s="39"/>
      <c r="N29" s="39"/>
      <c r="O29" s="260"/>
      <c r="P29" s="258"/>
      <c r="Q29" s="251"/>
      <c r="R29" s="257"/>
      <c r="S29" s="290"/>
      <c r="T29" s="46">
        <f>SUM(T21:T27)</f>
        <v>1.2</v>
      </c>
      <c r="U29" s="9"/>
      <c r="X29" s="4"/>
    </row>
    <row r="30" spans="2:25" ht="17.399999999999999" x14ac:dyDescent="0.3">
      <c r="B30" s="277"/>
      <c r="C30" s="280"/>
      <c r="D30" s="281"/>
      <c r="E30" s="281"/>
      <c r="F30" s="282"/>
      <c r="G30" s="289" t="s">
        <v>50</v>
      </c>
      <c r="H30" s="287">
        <f>H29*19%</f>
        <v>18029.533200000002</v>
      </c>
      <c r="I30" s="308"/>
      <c r="J30" s="264"/>
      <c r="K30" s="47"/>
      <c r="L30" s="431">
        <f>M30*10</f>
        <v>18.700000000000003</v>
      </c>
      <c r="M30" s="39">
        <f>SUM(M21:M29)</f>
        <v>1.87</v>
      </c>
      <c r="N30" s="12"/>
      <c r="O30" s="12"/>
      <c r="P30" s="252">
        <f>SUM(P21:P27)</f>
        <v>1.1220000000000001</v>
      </c>
      <c r="Q30" s="14"/>
      <c r="R30" s="12"/>
      <c r="S30" s="239"/>
      <c r="T30" s="46"/>
      <c r="U30" s="9"/>
      <c r="X30" s="4"/>
    </row>
    <row r="31" spans="2:25" ht="18" thickBot="1" x14ac:dyDescent="0.35">
      <c r="B31" s="274"/>
      <c r="C31" s="279"/>
      <c r="D31" s="271"/>
      <c r="E31" s="271"/>
      <c r="F31" s="272"/>
      <c r="G31" s="278" t="s">
        <v>6</v>
      </c>
      <c r="H31" s="288">
        <f>H29+H30</f>
        <v>112921.81320000002</v>
      </c>
      <c r="I31" s="308"/>
      <c r="J31" s="264"/>
      <c r="K31" s="47"/>
      <c r="L31" s="47"/>
      <c r="M31" s="39"/>
      <c r="N31" s="12"/>
      <c r="O31" s="12"/>
      <c r="P31" s="252">
        <f>P30</f>
        <v>1.1220000000000001</v>
      </c>
      <c r="Q31" s="14"/>
      <c r="R31" s="12"/>
      <c r="S31" s="239">
        <f>SUM(S21:S30)</f>
        <v>3.74</v>
      </c>
      <c r="T31" s="46"/>
      <c r="U31" s="9"/>
      <c r="X31" s="4"/>
    </row>
    <row r="32" spans="2:25" ht="17.399999999999999" x14ac:dyDescent="0.3">
      <c r="B32" s="274"/>
      <c r="C32" s="270"/>
      <c r="D32" s="271"/>
      <c r="E32" s="271"/>
      <c r="F32" s="272"/>
      <c r="J32" s="264"/>
      <c r="K32" s="47"/>
      <c r="L32" s="47"/>
      <c r="M32" s="14"/>
      <c r="N32" s="12"/>
      <c r="O32" s="12"/>
      <c r="P32" s="39">
        <f>P31*20%</f>
        <v>0.22440000000000004</v>
      </c>
      <c r="Q32" s="39" t="s">
        <v>128</v>
      </c>
      <c r="R32" s="42"/>
      <c r="S32" s="240">
        <f>S31+T29</f>
        <v>4.9400000000000004</v>
      </c>
      <c r="T32" s="14"/>
      <c r="U32" s="9"/>
      <c r="X32" s="4"/>
    </row>
    <row r="33" spans="1:24" ht="17.399999999999999" x14ac:dyDescent="0.35">
      <c r="B33" s="268"/>
      <c r="C33" s="230"/>
      <c r="D33" s="230"/>
      <c r="E33" s="233"/>
      <c r="F33" s="234"/>
      <c r="G33" s="230"/>
      <c r="H33" s="273"/>
      <c r="I33" s="273"/>
      <c r="J33" s="264"/>
      <c r="K33" s="47"/>
      <c r="L33" s="47"/>
      <c r="M33" s="14"/>
      <c r="N33" s="12"/>
      <c r="O33" s="12"/>
      <c r="P33" s="46">
        <f>P31+P32</f>
        <v>1.3464</v>
      </c>
      <c r="Q33" s="14"/>
      <c r="R33" s="14"/>
      <c r="S33" s="238">
        <f>S32*20%</f>
        <v>0.9880000000000001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3"/>
      <c r="J34" s="264"/>
      <c r="K34" s="47"/>
      <c r="L34" s="47"/>
      <c r="M34" s="14"/>
      <c r="N34" s="14"/>
      <c r="O34" s="14"/>
      <c r="P34" s="14"/>
      <c r="Q34" s="14"/>
      <c r="R34" s="14"/>
      <c r="S34" s="240">
        <f>S32+S33</f>
        <v>5.9280000000000008</v>
      </c>
      <c r="T34" s="14"/>
      <c r="U34" s="294" t="s">
        <v>21</v>
      </c>
      <c r="V34" s="291" t="s">
        <v>148</v>
      </c>
      <c r="W34" s="295">
        <v>44971</v>
      </c>
      <c r="X34" s="296"/>
    </row>
    <row r="35" spans="1:24" ht="17.399999999999999" x14ac:dyDescent="0.35">
      <c r="B35" s="230"/>
      <c r="C35" s="230"/>
      <c r="D35" s="230"/>
      <c r="E35" s="230"/>
      <c r="F35" s="230"/>
      <c r="G35" s="230"/>
      <c r="J35" s="264"/>
      <c r="K35" s="47"/>
      <c r="L35" s="47"/>
      <c r="M35" s="39">
        <f>P33</f>
        <v>1.3464</v>
      </c>
      <c r="N35" s="12">
        <v>3500</v>
      </c>
      <c r="O35" s="12">
        <f t="shared" ref="O35:O40" si="7">M35*N35</f>
        <v>4712.4000000000005</v>
      </c>
      <c r="P35" s="14" t="s">
        <v>21</v>
      </c>
      <c r="Q35" s="14"/>
      <c r="R35" s="14"/>
      <c r="S35" s="241"/>
      <c r="T35" s="14"/>
      <c r="U35" s="294" t="s">
        <v>149</v>
      </c>
      <c r="V35" s="291">
        <v>3625</v>
      </c>
      <c r="W35" s="59" t="s">
        <v>150</v>
      </c>
      <c r="X35" s="296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4"/>
      <c r="K36" s="47"/>
      <c r="L36" s="47"/>
      <c r="M36" s="248">
        <v>0.4</v>
      </c>
      <c r="N36" s="12">
        <v>40386</v>
      </c>
      <c r="O36" s="12">
        <f t="shared" si="7"/>
        <v>16154.400000000001</v>
      </c>
      <c r="P36" s="39" t="s">
        <v>287</v>
      </c>
      <c r="Q36" s="42"/>
      <c r="R36" s="14"/>
      <c r="S36" s="240"/>
      <c r="T36" s="14"/>
      <c r="U36" s="294"/>
      <c r="V36" s="59">
        <v>906.25</v>
      </c>
      <c r="W36" s="59" t="s">
        <v>151</v>
      </c>
      <c r="X36" s="296"/>
    </row>
    <row r="37" spans="1:24" s="230" customFormat="1" ht="17.399999999999999" x14ac:dyDescent="0.35">
      <c r="B37" s="24" t="s">
        <v>147</v>
      </c>
      <c r="J37" s="261"/>
      <c r="K37" s="232"/>
      <c r="L37" s="249"/>
      <c r="M37" s="14"/>
      <c r="N37" s="249">
        <v>33975</v>
      </c>
      <c r="O37" s="12">
        <f t="shared" si="7"/>
        <v>0</v>
      </c>
      <c r="P37" s="39" t="s">
        <v>289</v>
      </c>
      <c r="Q37" s="42"/>
      <c r="S37" s="240"/>
      <c r="T37" s="255"/>
      <c r="U37" s="59"/>
      <c r="V37" s="59">
        <f>V36*20%</f>
        <v>181.25</v>
      </c>
      <c r="W37" s="296" t="s">
        <v>152</v>
      </c>
      <c r="X37" s="59"/>
    </row>
    <row r="38" spans="1:24" s="230" customFormat="1" ht="17.399999999999999" x14ac:dyDescent="0.35">
      <c r="B38" s="24" t="s">
        <v>161</v>
      </c>
      <c r="C38"/>
      <c r="D38"/>
      <c r="E38"/>
      <c r="F38"/>
      <c r="J38" s="261"/>
      <c r="K38" s="232"/>
      <c r="L38" s="249"/>
      <c r="M38" s="14">
        <v>1</v>
      </c>
      <c r="N38" s="249">
        <v>20000</v>
      </c>
      <c r="O38" s="12">
        <f t="shared" si="7"/>
        <v>20000</v>
      </c>
      <c r="P38" s="14" t="s">
        <v>138</v>
      </c>
      <c r="Q38" s="17"/>
      <c r="S38" s="238"/>
      <c r="T38" s="255"/>
      <c r="U38" s="59"/>
      <c r="V38" s="59">
        <f>V36+V37</f>
        <v>1087.5</v>
      </c>
      <c r="W38" s="296" t="s">
        <v>153</v>
      </c>
      <c r="X38" s="59"/>
    </row>
    <row r="39" spans="1:24" s="230" customFormat="1" ht="17.399999999999999" x14ac:dyDescent="0.35">
      <c r="A39" s="230" t="s">
        <v>282</v>
      </c>
      <c r="B39" s="29" t="s">
        <v>123</v>
      </c>
      <c r="C39"/>
      <c r="D39"/>
      <c r="E39"/>
      <c r="F39" s="229" t="s">
        <v>15</v>
      </c>
      <c r="J39" s="261"/>
      <c r="K39" s="259"/>
      <c r="L39" s="249"/>
      <c r="M39" s="248">
        <v>1.8</v>
      </c>
      <c r="N39" s="249">
        <v>900</v>
      </c>
      <c r="O39" s="12">
        <f t="shared" si="7"/>
        <v>1620</v>
      </c>
      <c r="P39" s="14" t="s">
        <v>31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86"/>
      <c r="K40" s="259"/>
      <c r="L40" s="249"/>
      <c r="M40" s="265">
        <v>1.8</v>
      </c>
      <c r="N40" s="12">
        <v>1500</v>
      </c>
      <c r="O40" s="12">
        <f t="shared" si="7"/>
        <v>2700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59"/>
      <c r="L41" s="249"/>
      <c r="M41" s="14"/>
      <c r="N41" s="12"/>
      <c r="O41" s="12">
        <f>SUM(O35:O40)</f>
        <v>45186.8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49"/>
      <c r="M42" s="253" t="s">
        <v>32</v>
      </c>
      <c r="N42" s="12"/>
      <c r="O42" s="254">
        <f>O41*2.1</f>
        <v>94892.280000000013</v>
      </c>
      <c r="P42" s="14" t="s">
        <v>137</v>
      </c>
      <c r="Q42" s="14"/>
      <c r="R42" s="40">
        <f>P33/R41</f>
        <v>0.36302847282139777</v>
      </c>
      <c r="S42"/>
      <c r="T42" s="256"/>
    </row>
    <row r="43" spans="1:24" s="230" customFormat="1" ht="17.399999999999999" x14ac:dyDescent="0.35">
      <c r="G43"/>
      <c r="H43" s="259"/>
      <c r="I43" s="259"/>
      <c r="J43" s="259"/>
      <c r="K43" s="230">
        <v>51290</v>
      </c>
      <c r="L43" s="249"/>
      <c r="M43" s="14"/>
      <c r="N43" s="12"/>
      <c r="O43" s="12">
        <f>O42/P31</f>
        <v>84574.224598930479</v>
      </c>
      <c r="P43" s="45" t="s">
        <v>24</v>
      </c>
      <c r="Q43" s="14"/>
      <c r="R43" s="14"/>
      <c r="S43"/>
      <c r="T43" s="238"/>
      <c r="U43" s="59" t="s">
        <v>154</v>
      </c>
      <c r="V43" s="291">
        <v>43650</v>
      </c>
    </row>
    <row r="44" spans="1:24" s="230" customFormat="1" ht="17.399999999999999" x14ac:dyDescent="0.35">
      <c r="G44"/>
      <c r="K44" s="230">
        <f>K43/1.19</f>
        <v>43100.840336134454</v>
      </c>
      <c r="L44" s="249"/>
      <c r="M44" s="13"/>
      <c r="N44" s="14"/>
      <c r="O44" s="17">
        <f>O42/O41</f>
        <v>2.1</v>
      </c>
      <c r="P44" s="15"/>
      <c r="Q44"/>
      <c r="R44"/>
      <c r="S44"/>
      <c r="T44" s="238"/>
      <c r="U44" s="59" t="s">
        <v>156</v>
      </c>
      <c r="V44" s="292" t="s">
        <v>155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157</v>
      </c>
      <c r="V45" s="293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152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49"/>
    </row>
    <row r="49" spans="12:20" x14ac:dyDescent="0.3">
      <c r="L49" s="249"/>
      <c r="T49" s="269"/>
    </row>
    <row r="50" spans="12:20" x14ac:dyDescent="0.3">
      <c r="L50" s="249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144</v>
      </c>
    </row>
    <row r="79" spans="3:15" x14ac:dyDescent="0.3">
      <c r="C79" t="s">
        <v>143</v>
      </c>
    </row>
    <row r="82" spans="3:3" x14ac:dyDescent="0.3">
      <c r="C82" t="s">
        <v>143</v>
      </c>
    </row>
    <row r="159" spans="3:3" x14ac:dyDescent="0.3">
      <c r="C159" t="s">
        <v>143</v>
      </c>
    </row>
    <row r="160" spans="3:3" x14ac:dyDescent="0.3">
      <c r="C160" t="s">
        <v>145</v>
      </c>
    </row>
    <row r="161" spans="3:3" x14ac:dyDescent="0.3">
      <c r="C161" t="s">
        <v>146</v>
      </c>
    </row>
    <row r="586" spans="3:3" x14ac:dyDescent="0.3">
      <c r="C586" t="s">
        <v>143</v>
      </c>
    </row>
  </sheetData>
  <mergeCells count="1">
    <mergeCell ref="B19:H19"/>
  </mergeCells>
  <phoneticPr fontId="32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JAVIER MOYA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-1872.6350334541082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'2229'!H29</f>
        <v>94892.280000000013</v>
      </c>
      <c r="E11" s="132">
        <f>D11*0.19</f>
        <v>18029.533200000002</v>
      </c>
      <c r="F11" s="131">
        <f>E11+D11</f>
        <v>112921.81320000002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104117.36496654589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50700.890787439617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86117.364966545894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44191.389212560396</v>
      </c>
      <c r="E13" s="221">
        <f>(D11/D12)-1</f>
        <v>0.87160971979427515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77117.364966545894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38117.364966545894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83656.469799275364</v>
      </c>
      <c r="F15" s="216">
        <f>E15-D12</f>
        <v>32955.579011835747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38117.364966545894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78117.364966545894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'2229'!O36</f>
        <v>16154.400000000001</v>
      </c>
      <c r="E19" s="123">
        <f>D19*0.19</f>
        <v>3069.3360000000002</v>
      </c>
      <c r="F19" s="120">
        <f>SUM(D19:E19)</f>
        <v>19223.736000000001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4712.4000000000005</v>
      </c>
      <c r="E20" s="121">
        <f>D20*0.19</f>
        <v>895.35600000000011</v>
      </c>
      <c r="F20" s="120">
        <f>SUM(D20:E20)</f>
        <v>5607.7560000000003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20866.800000000003</v>
      </c>
      <c r="E21" s="116">
        <f>SUM(E18:E20)</f>
        <v>3964.6920000000005</v>
      </c>
      <c r="F21" s="115">
        <f>SUM(F18:F20)</f>
        <v>24831.492000000002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14064.841200000001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94892.280000000013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20866.800000000003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44191.389212560396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44191.389212560396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12075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JAVIER MOYA</v>
      </c>
      <c r="D10" s="350"/>
      <c r="E10" s="350"/>
      <c r="F10" s="351" t="s">
        <v>166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+569 6609 2180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1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JAVIER MOYA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12075</v>
      </c>
      <c r="C2" s="1">
        <f>'NOTA DE VENTA'!$G$10</f>
        <v>46113</v>
      </c>
      <c r="D2" s="1">
        <f>'NOTA DE VENTA'!$G$11</f>
        <v>46120</v>
      </c>
      <c r="E2" t="str">
        <f>'NOTA DE VENTA'!$C$10</f>
        <v>JAVIER MOYA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2026-04-01T15:32:23Z</cp:lastPrinted>
  <dcterms:created xsi:type="dcterms:W3CDTF">2013-03-18T13:35:42Z</dcterms:created>
  <dcterms:modified xsi:type="dcterms:W3CDTF">2026-04-01T21:38:00Z</dcterms:modified>
</cp:coreProperties>
</file>