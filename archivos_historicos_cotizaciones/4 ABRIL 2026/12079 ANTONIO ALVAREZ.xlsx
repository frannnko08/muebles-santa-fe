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C685DB3A-336D-4262-8905-55BC53494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P24" i="1" s="1"/>
  <c r="N5" i="6"/>
  <c r="A2" i="7"/>
  <c r="S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/>
  <c r="F15" i="3"/>
  <c r="H23" i="1" l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<sst xmlns="http://schemas.openxmlformats.org/spreadsheetml/2006/main" count="486" uniqueCount="295">
  <si>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</si>
  <si>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</si>
  <si>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</si>
  <si>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</si>
  <si>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</si>
  <si>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</si>
  <si>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</si>
  <si>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</si>
  <si>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</si>
  <si>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</si>
  <si>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</si>
  <si>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</si>
  <si>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</si>
  <si>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</si>
  <si>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</si>
  <si>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</si>
  <si>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</si>
  <si>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</si>
  <si>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</si>
  <si>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</si>
  <si>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</si>
  <si>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</si>
  <si>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</si>
  <si>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</si>
  <si>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</si>
  <si>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</si>
  <si>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</si>
  <si>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</si>
  <si>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</si>
  <si>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</si>
  <si>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</si>
  <si>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</si>
  <si>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</si>
  <si>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</si>
  <si>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</si>
  <si>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</si>
  <si>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</si>
  <si>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</si>
  <si>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</si>
  <si>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</si>
  <si>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</si>
  <si>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</si>
  <si>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</si>
  <si>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</si>
  <si>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</si>
  <si>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</si>
  <si>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</si>
  <si>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</si>
  <si>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</si>
  <si>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</si>
  <si>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</si>
  <si>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</si>
  <si>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</si>
  <si>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</si>
  <si>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</si>
  <si>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</si>
  <si>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</si>
  <si>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</si>
  <si>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</si>
  <si>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</si>
  <si>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</si>
  <si>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</si>
  <si>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</si>
  <si>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</si>
  <si>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</si>
  <si>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</si>
  <si>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</si>
  <si>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</si>
  <si>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</si>
  <si>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</si>
  <si>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</si>
  <si>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</si>
  <si>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</si>
  <si>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</si>
  <si>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</si>
  <si>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</si>
  <si>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</si>
  <si>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</si>
  <si>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</si>
  <si>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</si>
  <si>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</si>
  <si>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</si>
  <si>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</si>
  <si>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</si>
  <si>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</si>
  <si>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</si>
  <si>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</si>
  <si>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</si>
  <si>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</si>
  <si>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</si>
  <si>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</si>
  <si>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</si>
  <si>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</si>
  <si>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</si>
  <si>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</si>
  <si>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</si>
  <si>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</si>
  <si>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</si>
  <si>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</si>
  <si>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</si>
  <si>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</si>
  <si>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</si>
  <si>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</si>
  <si>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</si>
  <si>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</si>
  <si>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</si>
  <si>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</si>
  <si>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</si>
  <si>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</si>
  <si>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</si>
  <si>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</si>
  <si>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</si>
  <si>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</si>
  <si>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</si>
  <si>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</si>
  <si>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</si>
  <si>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</si>
  <si>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</si>
  <si>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</si>
  <si>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</si>
  <si>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</si>
  <si>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</si>
  <si>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</si>
  <si>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</si>
  <si>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</si>
  <si>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</si>
  <si>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</si>
  <si>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</si>
  <si>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</si>
  <si>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</si>
  <si>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</si>
  <si>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</si>
  <si>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</si>
  <si>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</si>
  <si>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</si>
  <si>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</si>
  <si>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</si>
  <si>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</si>
  <si>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</si>
  <si>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</si>
  <si>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</si>
  <si>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</si>
  <si>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</si>
  <si>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</si>
  <si>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</si>
  <si>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</si>
  <si>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</si>
  <si>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</si>
  <si>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</si>
  <si>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</si>
  <si>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</si>
  <si>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</si>
  <si>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</si>
  <si>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</si>
  <si>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</si>
  <si>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</si>
  <si>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</si>
  <si>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</si>
  <si>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</si>
  <si>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</si>
  <si>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</si>
  <si>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</si>
  <si>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</si>
  <si>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</si>
  <si>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</si>
  <si>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</si>
  <si>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</si>
  <si>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</si>
  <si>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</si>
  <si>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</si>
  <si>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</si>
  <si>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</si>
  <si>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</si>
  <si>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</si>
  <si>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</si>
  <si>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</si>
  <si>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</si>
  <si>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</si>
  <si>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</si>
  <si>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</si>
  <si>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</si>
  <si>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</si>
  <si>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</si>
  <si>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</si>
  <si>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</si>
  <si>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</si>
  <si>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</si>
  <si>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</si>
  <si>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</si>
  <si>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</si>
  <si>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</si>
  <si>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</si>
  <si>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</si>
  <si>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</si>
  <si>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</si>
  <si>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</si>
  <si>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</si>
  <si>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</si>
  <si>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</si>
  <si>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</si>
  <si>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</si>
  <si>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</si>
  <si>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</si>
  <si>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</si>
  <si>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</si>
  <si>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</si>
  <si>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</si>
  <si>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</si>
  <si>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</si>
  <si>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</si>
  <si>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</si>
  <si>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</si>
  <si>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</si>
  <si>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</si>
  <si>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</si>
  <si>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</si>
  <si>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</si>
  <si>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</si>
  <si>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</si>
  <si>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</si>
  <si>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</si>
  <si>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</si>
  <si>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</si>
  <si>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</si>
  <si>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</si>
  <si>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</si>
  <si>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</si>
  <si>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</si>
  <si>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</si>
  <si>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</si>
  <si>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</si>
  <si>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</si>
  <si>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</si>
  <si>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</si>
  <si>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</si>
  <si>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</si>
  <si>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</si>
  <si>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</si>
  <si>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</si>
  <si>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</si>
  <si>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</si>
  <si>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</si>
  <si>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</si>
  <si>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</si>
  <si>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</si>
  <si>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</si>
  <si>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</si>
  <si>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</si>
  <si>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</si>
  <si>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</si>
  <si>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</si>
  <si>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</si>
  <si>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</si>
  <si>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</si>
  <si>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</si>
  <si>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</si>
  <si>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</si>
  <si>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</si>
  <si>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</si>
  <si>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</si>
  <si>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</si>
  <si>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</si>
  <si>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</si>
  <si>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</si>
  <si>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</si>
  <si>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</si>
  <si>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</si>
  <si>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</si>
  <si>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</si>
  <si>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</si>
  <si>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</si>
  <si>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</si>
  <si>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</si>
  <si>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</si>
  <si>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</si>
  <si>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</si>
  <si>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</si>
  <si>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</si>
  <si>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</si>
  <si>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</si>
  <si>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</si>
  <si>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</si>
  <si>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</si>
  <si>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</si>
  <si>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</si>
  <si>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</si>
  <si>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</si>
  <si>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</si>
  <si>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5 DIAS HABILES</t>
  </si>
  <si>
    <t>LAMINA DE 153X366</t>
  </si>
  <si>
    <t>N° 12079</t>
  </si>
  <si>
    <t>ANTONIO ALVAREZ</t>
  </si>
  <si>
    <t>+56 9 9339 9955</t>
  </si>
  <si>
    <t>BLANCO BR</t>
  </si>
  <si>
    <t>CUB CON RESPALDO FTE 90°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</si>
</sst>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SOBRE 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9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291</v>
      </c>
      <c r="D10" s="243"/>
      <c r="E10" s="243"/>
      <c r="F10" s="418" t="s">
        <v>276</v>
      </c>
      <c r="G10" s="275">
        <v>46118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292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2" t="s">
        <v>94</v>
      </c>
      <c r="C19" s="433"/>
      <c r="D19" s="433"/>
      <c r="E19" s="433"/>
      <c r="F19" s="433"/>
      <c r="G19" s="433"/>
      <c r="H19" s="434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67276.659619450322</v>
      </c>
      <c r="R20" s="257">
        <v>5000</v>
      </c>
      <c r="S20" s="38"/>
      <c r="T20" s="14" t="s">
        <v>126</v>
      </c>
      <c r="U20" s="9"/>
      <c r="X20" s="4"/>
    </row>
    <row r="21" spans="1:25" ht="18" thickBot="1" x14ac:dyDescent="0.35">
      <c r="B21" s="455">
        <v>1</v>
      </c>
      <c r="C21" s="456" t="s">
        <v>294</v>
      </c>
      <c r="D21" s="457">
        <v>2.5</v>
      </c>
      <c r="E21" s="457">
        <v>0.55000000000000004</v>
      </c>
      <c r="F21" s="458" t="s">
        <v>293</v>
      </c>
      <c r="G21" s="459">
        <f>Q21</f>
        <v>95465.580000000031</v>
      </c>
      <c r="H21" s="460">
        <f>G21*B21</f>
        <v>95465.580000000031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2.58</v>
      </c>
      <c r="N21" s="39">
        <f t="shared" ref="N21" si="2">E21+$N$19</f>
        <v>0.55000000000000004</v>
      </c>
      <c r="O21" s="260">
        <f t="shared" ref="O21" si="3">M21*N21</f>
        <v>1.4190000000000003</v>
      </c>
      <c r="P21" s="258">
        <f t="shared" ref="P21" si="4">O21*L21</f>
        <v>1.4190000000000003</v>
      </c>
      <c r="Q21" s="251">
        <f t="shared" ref="Q21" si="5">Q$20*O21</f>
        <v>95465.580000000031</v>
      </c>
      <c r="R21" s="305">
        <f t="shared" ref="R21" si="6">Q21+R$20</f>
        <v>100465.58000000003</v>
      </c>
      <c r="S21" s="290">
        <f>M21*L21*2</f>
        <v>5.16</v>
      </c>
      <c r="T21" s="46">
        <f>N21*L21*2</f>
        <v>1.1000000000000001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95465.580000000031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1.1000000000000001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18138.460200000005</v>
      </c>
      <c r="I24" s="308"/>
      <c r="J24" s="264"/>
      <c r="K24" s="47"/>
      <c r="L24" s="431">
        <f>M24*10</f>
        <v>25.8</v>
      </c>
      <c r="M24" s="39">
        <f>SUM(M21:M23)</f>
        <v>2.58</v>
      </c>
      <c r="N24" s="12"/>
      <c r="O24" s="12"/>
      <c r="P24" s="252">
        <f>SUM(P21:P21)</f>
        <v>1.4190000000000003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113604.04020000003</v>
      </c>
      <c r="I25" s="308"/>
      <c r="J25" s="264"/>
      <c r="K25" s="47"/>
      <c r="L25" s="47"/>
      <c r="M25" s="39"/>
      <c r="N25" s="12"/>
      <c r="O25" s="12"/>
      <c r="P25" s="252">
        <f>P24</f>
        <v>1.4190000000000003</v>
      </c>
      <c r="Q25" s="14"/>
      <c r="R25" s="12"/>
      <c r="S25" s="239">
        <f>SUM(S21:S24)</f>
        <v>5.16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0.28380000000000005</v>
      </c>
      <c r="Q26" s="39" t="s">
        <v>128</v>
      </c>
      <c r="R26" s="42"/>
      <c r="S26" s="240">
        <f>S25+T23</f>
        <v>6.26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1.7028000000000003</v>
      </c>
      <c r="Q27" s="14"/>
      <c r="R27" s="14"/>
      <c r="S27" s="238">
        <f>S26*20%</f>
        <v>1.252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7.5119999999999996</v>
      </c>
      <c r="T28" s="14"/>
      <c r="U28" s="294" t="s">
        <v>21</v>
      </c>
      <c r="V28" s="291" t="s">
        <v>148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1.7028000000000003</v>
      </c>
      <c r="N29" s="12">
        <v>3500</v>
      </c>
      <c r="O29" s="12">
        <f t="shared" ref="O29:O34" si="7">M29*N29</f>
        <v>5959.8000000000011</v>
      </c>
      <c r="P29" s="14" t="s">
        <v>21</v>
      </c>
      <c r="Q29" s="14"/>
      <c r="R29" s="14"/>
      <c r="S29" s="241"/>
      <c r="T29" s="14"/>
      <c r="U29" s="294" t="s">
        <v>149</v>
      </c>
      <c r="V29" s="291">
        <v>3625</v>
      </c>
      <c r="W29" s="59" t="s">
        <v>150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0.5</v>
      </c>
      <c r="N30" s="12">
        <v>25000</v>
      </c>
      <c r="O30" s="12">
        <f t="shared" si="7"/>
        <v>12500</v>
      </c>
      <c r="P30" s="39" t="s">
        <v>287</v>
      </c>
      <c r="Q30" s="42"/>
      <c r="R30" s="14"/>
      <c r="S30" s="240"/>
      <c r="T30" s="14"/>
      <c r="U30" s="294"/>
      <c r="V30" s="59">
        <v>906.25</v>
      </c>
      <c r="W30" s="59" t="s">
        <v>151</v>
      </c>
      <c r="X30" s="296"/>
    </row>
    <row r="31" spans="1:25" s="230" customFormat="1" ht="17.399999999999999" x14ac:dyDescent="0.35">
      <c r="B31" s="24" t="s">
        <v>147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289</v>
      </c>
      <c r="Q31" s="42"/>
      <c r="S31" s="240"/>
      <c r="T31" s="255"/>
      <c r="U31" s="59"/>
      <c r="V31" s="59">
        <f>V30*20%</f>
        <v>181.25</v>
      </c>
      <c r="W31" s="296" t="s">
        <v>152</v>
      </c>
      <c r="X31" s="59"/>
    </row>
    <row r="32" spans="1:25" s="230" customFormat="1" ht="17.399999999999999" x14ac:dyDescent="0.35">
      <c r="B32" s="24" t="s">
        <v>161</v>
      </c>
      <c r="C32"/>
      <c r="D32"/>
      <c r="E32"/>
      <c r="F32"/>
      <c r="J32" s="261"/>
      <c r="K32" s="232"/>
      <c r="L32" s="249"/>
      <c r="M32" s="14">
        <v>1</v>
      </c>
      <c r="N32" s="249">
        <v>27000</v>
      </c>
      <c r="O32" s="12">
        <f t="shared" si="7"/>
        <v>27000</v>
      </c>
      <c r="P32" s="14" t="s">
        <v>138</v>
      </c>
      <c r="Q32" s="17"/>
      <c r="S32" s="238"/>
      <c r="T32" s="255"/>
      <c r="U32" s="59"/>
      <c r="V32" s="59">
        <f>V30+V31</f>
        <v>1087.5</v>
      </c>
      <c r="W32" s="296" t="s">
        <v>153</v>
      </c>
      <c r="X32" s="59"/>
    </row>
    <row r="33" spans="1:24" s="230" customFormat="1" ht="17.399999999999999" x14ac:dyDescent="0.35">
      <c r="A33" s="230" t="s">
        <v>282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7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45459.8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O35*2.1</f>
        <v>95465.580000000016</v>
      </c>
      <c r="P36" s="14" t="s">
        <v>137</v>
      </c>
      <c r="Q36" s="14"/>
      <c r="R36" s="40">
        <f>P27/R35</f>
        <v>0.45912424503882665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67276.659619450322</v>
      </c>
      <c r="P37" s="45" t="s">
        <v>24</v>
      </c>
      <c r="Q37" s="14"/>
      <c r="R37" s="14"/>
      <c r="S37"/>
      <c r="T37" s="238"/>
      <c r="U37" s="59" t="s">
        <v>154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156</v>
      </c>
      <c r="V38" s="292" t="s">
        <v>155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157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152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144</v>
      </c>
    </row>
    <row r="73" spans="3:3" x14ac:dyDescent="0.3">
      <c r="C73" t="s">
        <v>143</v>
      </c>
    </row>
    <row r="76" spans="3:3" x14ac:dyDescent="0.3">
      <c r="C76" t="s">
        <v>143</v>
      </c>
    </row>
    <row r="153" spans="3:3" x14ac:dyDescent="0.3">
      <c r="C153" t="s">
        <v>143</v>
      </c>
    </row>
    <row r="154" spans="3:3" x14ac:dyDescent="0.3">
      <c r="C154" t="s">
        <v>145</v>
      </c>
    </row>
    <row r="155" spans="3:3" x14ac:dyDescent="0.3">
      <c r="C155" t="s">
        <v>146</v>
      </c>
    </row>
    <row r="580" spans="3:3" x14ac:dyDescent="0.3">
      <c r="C580" t="s">
        <v>143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46118</v>
      </c>
    </row>
    <row r="6" spans="2:31" ht="16.2" thickBot="1" x14ac:dyDescent="0.35">
      <c r="B6" s="140" t="s">
        <v>2</v>
      </c>
      <c r="C6" s="139" t="str">
        <f>'2229'!C10</f>
        <v>ANTONIO ALVAREZ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6" t="s">
        <v>97</v>
      </c>
      <c r="I7" s="437"/>
      <c r="J7" s="437"/>
      <c r="K7" s="438"/>
      <c r="N7" s="75"/>
      <c r="O7" s="435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5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-2630.1100334541115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95465.580000000031</v>
      </c>
      <c r="E11" s="132">
        <f>D11*0.19</f>
        <v>18138.460200000005</v>
      </c>
      <c r="F11" s="131">
        <f>E11+D11</f>
        <v>113604.04020000003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103359.88996654589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48293.890787439617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85359.889966545888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47171.689212560414</v>
      </c>
      <c r="E13" s="221">
        <f>(D11/D12)-1</f>
        <v>0.97676307382607774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76359.889966545888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37359.889966545888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79684.919799275362</v>
      </c>
      <c r="F15" s="216">
        <f>E15-D12</f>
        <v>31391.029011835744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37359.889966545888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77359.889966545888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5959.8000000000011</v>
      </c>
      <c r="E20" s="121">
        <f>D20*0.19</f>
        <v>1132.3620000000003</v>
      </c>
      <c r="F20" s="120">
        <f>SUM(D20:E20)</f>
        <v>7092.1620000000012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18459.800000000003</v>
      </c>
      <c r="E21" s="116">
        <f>SUM(E18:E20)</f>
        <v>3507.3620000000001</v>
      </c>
      <c r="F21" s="115">
        <f>SUM(F18:F20)</f>
        <v>21967.162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14631.098200000004</v>
      </c>
    </row>
    <row r="41" spans="2:16" ht="15" thickBot="1" x14ac:dyDescent="0.35">
      <c r="H41" s="439" t="s">
        <v>59</v>
      </c>
      <c r="I41" s="440"/>
      <c r="J41" s="440"/>
      <c r="K41" s="440"/>
      <c r="L41" s="440"/>
      <c r="M41" s="441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95465.580000000031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18459.800000000003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47171.689212560414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47171.689212560414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12079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ANTONIO ALVAREZ</v>
      </c>
      <c r="D10" s="350"/>
      <c r="E10" s="350"/>
      <c r="F10" s="351" t="s">
        <v>166</v>
      </c>
      <c r="G10" s="352">
        <f>'2229'!G10</f>
        <v>46118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+56 9 9339 9955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2" t="s">
        <v>174</v>
      </c>
      <c r="G17" s="442"/>
      <c r="H17" s="44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4" t="s">
        <v>175</v>
      </c>
      <c r="C20" s="445"/>
      <c r="D20" s="445"/>
      <c r="E20" s="445"/>
      <c r="F20" s="445"/>
      <c r="G20" s="445"/>
      <c r="H20" s="44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7" t="s">
        <v>181</v>
      </c>
      <c r="C2" s="447"/>
      <c r="D2" s="447"/>
      <c r="E2" s="361"/>
      <c r="G2" s="447" t="s">
        <v>182</v>
      </c>
      <c r="H2" s="447"/>
      <c r="I2" s="447"/>
      <c r="P2" s="448" t="s">
        <v>183</v>
      </c>
      <c r="Q2" s="448"/>
      <c r="R2" s="448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48" t="s">
        <v>183</v>
      </c>
      <c r="M8" s="448"/>
      <c r="N8" s="448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3" t="s">
        <v>264</v>
      </c>
      <c r="L3" s="453"/>
      <c r="M3" s="453" t="s">
        <v>265</v>
      </c>
      <c r="N3" s="453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ANTONIO ALVAREZ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46118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4" t="s">
        <v>264</v>
      </c>
      <c r="B10" s="454"/>
      <c r="C10" s="454"/>
      <c r="D10" s="454"/>
      <c r="E10" s="454"/>
      <c r="F10" s="45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4" t="s">
        <v>265</v>
      </c>
      <c r="B17" s="454"/>
      <c r="C17" s="454"/>
      <c r="D17" s="454"/>
      <c r="E17" s="454"/>
      <c r="F17" s="45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4" t="s">
        <v>271</v>
      </c>
      <c r="B45" s="454"/>
      <c r="C45" s="454"/>
      <c r="D45" s="454"/>
      <c r="E45" s="454"/>
      <c r="F45" s="45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9" t="s">
        <v>94</v>
      </c>
      <c r="C47" s="450"/>
      <c r="D47" s="451"/>
      <c r="E47" s="451"/>
      <c r="F47" s="452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12079</v>
      </c>
      <c r="C2" s="1">
        <f>'NOTA DE VENTA'!$G$10</f>
        <v>46118</v>
      </c>
      <c r="D2" s="1">
        <f>'NOTA DE VENTA'!$G$11</f>
        <v>46125</v>
      </c>
      <c r="E2" t="str">
        <f>'NOTA DE VENTA'!$C$10</f>
        <v>ANTONIO ALVAREZ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2026-04-06T13:39:12Z</cp:lastPrinted>
  <dcterms:created xsi:type="dcterms:W3CDTF">2013-03-18T13:35:42Z</dcterms:created>
  <dcterms:modified xsi:type="dcterms:W3CDTF">2026-04-06T14:23:04Z</dcterms:modified>
</cp:coreProperties>
</file>