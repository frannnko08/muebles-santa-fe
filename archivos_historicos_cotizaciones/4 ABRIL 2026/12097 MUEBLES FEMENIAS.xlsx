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6\"/>
    </mc:Choice>
  </mc:AlternateContent>
  <xr:revisionPtr revIDLastSave="0" documentId="13_ncr:1_{90117424-F72C-4BC5-B6F6-90B9BC7300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M14" i="1"/>
  <c r="M16" i="1" s="1"/>
  <c r="B28" i="3" l="1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4" i="1" s="1"/>
  <c r="L21" i="1" l="1"/>
  <c r="N21" i="1"/>
  <c r="S21" i="1" l="1"/>
  <c r="S24" i="1" s="1"/>
  <c r="T21" i="1"/>
  <c r="T23" i="1" s="1"/>
  <c r="O21" i="1"/>
  <c r="P21" i="1" s="1"/>
  <c r="P24" i="1" s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4" i="1"/>
  <c r="O33" i="1"/>
  <c r="F18" i="3" l="1"/>
  <c r="O29" i="1" l="1"/>
  <c r="O35" i="1" s="1"/>
  <c r="O36" i="1" s="1"/>
  <c r="O37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O38" i="1" l="1"/>
  <c r="Q21" i="1" l="1"/>
  <c r="G21" i="1" s="1"/>
  <c r="F15" i="3"/>
  <c r="R21" i="1" l="1"/>
  <c r="H21" i="1" l="1"/>
  <c r="H23" i="1" l="1"/>
  <c r="H24" i="1" s="1"/>
  <c r="H25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<sst xmlns="http://schemas.openxmlformats.org/spreadsheetml/2006/main" count="234" uniqueCount="179">
  <si>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</si>
  <si>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</si>
  <si>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</si>
  <si>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</si>
  <si>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</si>
  <si>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</si>
  <si>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</si>
  <si>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</si>
  <si>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</si>
  <si>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</si>
  <si>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</si>
  <si>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</si>
  <si>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</si>
  <si>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</si>
  <si>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</si>
  <si>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</si>
  <si>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</si>
  <si>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</si>
  <si>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</si>
  <si>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</si>
  <si>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</si>
  <si>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</si>
  <si>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</si>
  <si>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</si>
  <si>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</si>
  <si>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</si>
  <si>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</si>
  <si>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</si>
  <si>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</si>
  <si>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</si>
  <si>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</si>
  <si>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</si>
  <si>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</si>
  <si>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</si>
  <si>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</si>
  <si>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</si>
  <si>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</si>
  <si>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</si>
  <si>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</si>
  <si>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</si>
  <si>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</si>
  <si>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</si>
  <si>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</si>
  <si>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</si>
  <si>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</si>
  <si>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</si>
  <si>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</si>
  <si>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</si>
  <si>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</si>
  <si>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</si>
  <si>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</si>
  <si>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</si>
  <si>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</si>
  <si>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</si>
  <si>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</si>
  <si>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</si>
  <si>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</si>
  <si>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</si>
  <si>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</si>
  <si>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</si>
  <si>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</si>
  <si>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</si>
  <si>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</si>
  <si>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</si>
  <si>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</si>
  <si>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</si>
  <si>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</si>
  <si>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</si>
  <si>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</si>
  <si>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</si>
  <si>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</si>
  <si>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</si>
  <si>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</si>
  <si>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</si>
  <si>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</si>
  <si>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</si>
  <si>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</si>
  <si>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</si>
  <si>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</si>
  <si>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</si>
  <si>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</si>
  <si>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</si>
  <si>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</si>
  <si>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</si>
  <si>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</si>
  <si>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</si>
  <si>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</si>
  <si>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</si>
  <si>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</si>
  <si>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</si>
  <si>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</si>
  <si>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</si>
  <si>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</si>
  <si>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</si>
  <si>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</si>
  <si>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</si>
  <si>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</si>
  <si>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</si>
  <si>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</si>
  <si>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</si>
  <si>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</si>
  <si>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</si>
  <si>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</si>
  <si>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</si>
  <si>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</si>
  <si>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</si>
  <si>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</si>
  <si>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</si>
  <si>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</si>
  <si>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</si>
  <si>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</si>
  <si>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</si>
  <si>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</si>
  <si>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</si>
  <si>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</si>
  <si>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</si>
  <si>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</si>
  <si>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</si>
  <si>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</si>
  <si>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</si>
  <si>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</si>
  <si>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</si>
  <si>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</si>
  <si>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</si>
  <si>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</si>
  <si>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</si>
  <si>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</si>
  <si>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</si>
  <si>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</si>
  <si>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</si>
  <si>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</si>
  <si>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</si>
  <si>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</si>
  <si>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</si>
  <si>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</si>
  <si>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</si>
  <si>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</si>
  <si>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</si>
  <si>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</si>
  <si>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</si>
  <si>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</si>
  <si>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</si>
  <si>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</si>
  <si>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</si>
  <si>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</si>
  <si>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</si>
  <si>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</si>
  <si>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</si>
  <si>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</si>
  <si>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</si>
  <si>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</si>
  <si>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</si>
  <si>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</si>
  <si>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</si>
  <si>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</si>
  <si>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</si>
  <si>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</si>
  <si>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</si>
  <si>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</si>
  <si>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</si>
  <si>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</si>
  <si>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</si>
  <si>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</si>
  <si>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</si>
  <si>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</si>
  <si>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</si>
  <si>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</si>
  <si>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</si>
  <si>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</si>
  <si>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</si>
  <si>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ORDEN DE COMPRA:</t>
  </si>
  <si>
    <t xml:space="preserve">5 DIAS HABILES </t>
  </si>
  <si>
    <t>CUB CON RESPALDO FTE 90°</t>
  </si>
  <si>
    <t>MUEBLES FEMENIAS</t>
  </si>
  <si>
    <t>CHRISTIAN FEMENIAS</t>
  </si>
  <si>
    <t>+56 9 9727 8419</t>
  </si>
  <si>
    <t>VIÑA DEL MAR</t>
  </si>
  <si>
    <t>NIEBLA 2191 MT</t>
  </si>
  <si>
    <t>N° 12097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</si>
</sst>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2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41" fillId="22" borderId="40" xfId="0" applyFont="1" applyFill="1" applyBorder="1" applyAlignment="1">
      <alignment horizontal="center" vertical="center"/>
    </xf>
    <xf numFmtId="0" fontId="41" fillId="22" borderId="39" xfId="0" applyFont="1" applyFill="1" applyBorder="1" applyAlignment="1">
      <alignment horizontal="center" vertical="center"/>
    </xf>
    <xf numFmtId="0" fontId="41" fillId="22" borderId="43" xfId="0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40" fillId="21" borderId="40" xfId="0" applyFont="1" applyFill="1" applyBorder="1" applyAlignment="1">
      <alignment horizontal="center" vertical="center"/>
    </xf>
    <xf numFmtId="0" fontId="40" fillId="21" borderId="39" xfId="0" applyFont="1" applyFill="1" applyBorder="1" applyAlignment="1">
      <alignment horizontal="center" vertical="center"/>
    </xf>
    <xf numFmtId="0" fontId="40" fillId="21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r>
            <a:rPr lang="es-CL" sz="1200" b="1" baseline="0"/>
            <a:t> 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282398</xdr:colOff>
      <xdr:row>5</xdr:row>
      <xdr:rowOff>171227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1964981</xdr:colOff>
      <xdr:row>5</xdr:row>
      <xdr:rowOff>130524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J17" sqref="J17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3.218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3" t="s">
        <v>122</v>
      </c>
      <c r="C8" s="334"/>
      <c r="D8" s="335" t="s">
        <v>178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173</v>
      </c>
      <c r="D10" s="236"/>
      <c r="E10" s="236"/>
      <c r="F10" s="237" t="s">
        <v>162</v>
      </c>
      <c r="G10" s="268">
        <v>46129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/>
      <c r="F11" t="s">
        <v>161</v>
      </c>
      <c r="G11" s="297" t="s">
        <v>171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298"/>
      <c r="D12" s="299"/>
      <c r="E12" s="299"/>
      <c r="F12" s="299" t="s">
        <v>123</v>
      </c>
      <c r="G12" s="300" t="s">
        <v>130</v>
      </c>
      <c r="H12" s="240"/>
      <c r="M12">
        <v>1.22</v>
      </c>
      <c r="Q12" s="19"/>
      <c r="R12" s="22"/>
      <c r="S12" s="19"/>
    </row>
    <row r="13" spans="2:24" x14ac:dyDescent="0.3">
      <c r="B13" s="276" t="s">
        <v>140</v>
      </c>
      <c r="C13" t="s">
        <v>174</v>
      </c>
      <c r="F13" t="s">
        <v>170</v>
      </c>
      <c r="G13" s="301"/>
      <c r="H13" s="277"/>
      <c r="M13">
        <v>3.05</v>
      </c>
      <c r="Q13" s="19"/>
      <c r="R13" s="22"/>
      <c r="S13" s="19"/>
    </row>
    <row r="14" spans="2:24" x14ac:dyDescent="0.3">
      <c r="B14" s="239" t="s">
        <v>134</v>
      </c>
      <c r="C14" s="336"/>
      <c r="D14" s="299"/>
      <c r="E14" s="299"/>
      <c r="F14" s="299" t="s">
        <v>131</v>
      </c>
      <c r="G14" s="302" t="s">
        <v>130</v>
      </c>
      <c r="H14" s="240"/>
      <c r="K14" s="26"/>
      <c r="M14">
        <f>M12*M13</f>
        <v>3.7209999999999996</v>
      </c>
      <c r="Q14" s="20"/>
      <c r="R14" s="23" t="s">
        <v>17</v>
      </c>
      <c r="S14" s="20"/>
    </row>
    <row r="15" spans="2:24" ht="15.6" x14ac:dyDescent="0.3">
      <c r="B15" s="276" t="s">
        <v>4</v>
      </c>
      <c r="C15" s="303" t="s">
        <v>175</v>
      </c>
      <c r="D15" s="304"/>
      <c r="F15" t="s">
        <v>163</v>
      </c>
      <c r="G15" s="305" t="s">
        <v>130</v>
      </c>
      <c r="H15" s="277"/>
      <c r="M15">
        <v>27</v>
      </c>
    </row>
    <row r="16" spans="2:24" ht="16.8" x14ac:dyDescent="0.4">
      <c r="B16" s="290" t="s">
        <v>3</v>
      </c>
      <c r="C16" s="306"/>
      <c r="D16" s="299"/>
      <c r="E16" s="299"/>
      <c r="F16" s="307" t="s">
        <v>125</v>
      </c>
      <c r="G16" s="308" t="s">
        <v>157</v>
      </c>
      <c r="H16" s="240"/>
      <c r="M16">
        <f>M15/M14</f>
        <v>7.2561139478634784</v>
      </c>
    </row>
    <row r="17" spans="1:25" ht="15" thickBot="1" x14ac:dyDescent="0.35">
      <c r="B17" s="287" t="s">
        <v>13</v>
      </c>
      <c r="C17" s="288" t="s">
        <v>176</v>
      </c>
      <c r="D17" s="289"/>
      <c r="E17" s="113"/>
      <c r="F17" s="345" t="s">
        <v>159</v>
      </c>
      <c r="G17" s="345"/>
      <c r="H17" s="346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47" t="s">
        <v>92</v>
      </c>
      <c r="C19" s="348"/>
      <c r="D19" s="348"/>
      <c r="E19" s="348"/>
      <c r="F19" s="348"/>
      <c r="G19" s="348"/>
      <c r="H19" s="349"/>
      <c r="I19" s="256"/>
      <c r="J19" s="256"/>
      <c r="K19" s="5"/>
      <c r="L19" s="242"/>
      <c r="M19" s="14">
        <v>0.08</v>
      </c>
      <c r="N19" s="14"/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1:25" ht="18" thickBot="1" x14ac:dyDescent="0.35">
      <c r="B20" s="342" t="s">
        <v>7</v>
      </c>
      <c r="C20" s="343" t="s">
        <v>1</v>
      </c>
      <c r="D20" s="343" t="s">
        <v>127</v>
      </c>
      <c r="E20" s="343" t="s">
        <v>11</v>
      </c>
      <c r="F20" s="343" t="s">
        <v>8</v>
      </c>
      <c r="G20" s="343" t="s">
        <v>5</v>
      </c>
      <c r="H20" s="344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O37</f>
        <v>91379.99173439866</v>
      </c>
      <c r="R20" s="250">
        <v>2000</v>
      </c>
      <c r="S20" s="35"/>
      <c r="T20" s="14" t="s">
        <v>124</v>
      </c>
      <c r="U20" s="9"/>
      <c r="X20" s="4"/>
    </row>
    <row r="21" spans="1:25" ht="17.399999999999999" x14ac:dyDescent="0.3">
      <c r="B21" s="337">
        <v>1</v>
      </c>
      <c r="C21" s="338" t="s">
        <v>172</v>
      </c>
      <c r="D21" s="339">
        <v>2.2999999999999998</v>
      </c>
      <c r="E21" s="339">
        <v>0.61</v>
      </c>
      <c r="F21" s="338" t="s">
        <v>177</v>
      </c>
      <c r="G21" s="340">
        <f>Q21</f>
        <v>132665.47199999998</v>
      </c>
      <c r="H21" s="341">
        <f>G21*B21</f>
        <v>132665.47199999998</v>
      </c>
      <c r="I21" s="292"/>
      <c r="J21" s="257"/>
      <c r="K21" s="44"/>
      <c r="L21" s="44">
        <f>B21</f>
        <v>1</v>
      </c>
      <c r="M21" s="36">
        <f>D21+M$19</f>
        <v>2.38</v>
      </c>
      <c r="N21" s="36">
        <f>E21+$N$19</f>
        <v>0.61</v>
      </c>
      <c r="O21" s="253">
        <f t="shared" ref="O21" si="1">M21*N21</f>
        <v>1.4518</v>
      </c>
      <c r="P21" s="251">
        <f t="shared" ref="P21" si="2">O21*L21</f>
        <v>1.4518</v>
      </c>
      <c r="Q21" s="244">
        <f t="shared" ref="Q21" si="3">Q$20*O21</f>
        <v>132665.47199999998</v>
      </c>
      <c r="R21" s="291">
        <f t="shared" ref="R21" si="4">Q21+R$20</f>
        <v>134665.47199999998</v>
      </c>
      <c r="S21" s="279">
        <f>M21*L21</f>
        <v>2.38</v>
      </c>
      <c r="T21" s="43">
        <f>N21*2*L21*2</f>
        <v>2.44</v>
      </c>
      <c r="U21" s="9"/>
      <c r="X21" s="4"/>
    </row>
    <row r="22" spans="1:25" ht="18" thickBot="1" x14ac:dyDescent="0.35">
      <c r="B22" s="274"/>
      <c r="C22" s="274"/>
      <c r="D22" s="275"/>
      <c r="E22" s="275"/>
      <c r="F22" s="274"/>
      <c r="G22" s="257"/>
      <c r="H22" s="293"/>
      <c r="I22" s="295"/>
      <c r="J22" s="226"/>
      <c r="K22" s="44">
        <v>50390</v>
      </c>
      <c r="L22" s="44"/>
      <c r="M22" s="36"/>
      <c r="N22" s="36"/>
      <c r="O22" s="253"/>
      <c r="P22" s="251"/>
      <c r="Q22" s="244"/>
      <c r="R22" s="250"/>
      <c r="S22" s="279"/>
      <c r="T22" s="14"/>
      <c r="U22" s="9"/>
      <c r="X22" s="4"/>
    </row>
    <row r="23" spans="1:25" ht="17.399999999999999" x14ac:dyDescent="0.3">
      <c r="B23" s="274"/>
      <c r="C23" s="274"/>
      <c r="D23" s="275"/>
      <c r="E23" s="275"/>
      <c r="F23" s="274"/>
      <c r="G23" s="331" t="s">
        <v>28</v>
      </c>
      <c r="H23" s="332">
        <f>SUM(H21:H22)</f>
        <v>132665.47199999998</v>
      </c>
      <c r="I23" s="294"/>
      <c r="J23" s="324"/>
      <c r="K23" s="309">
        <f>K22/1.19</f>
        <v>42344.537815126052</v>
      </c>
      <c r="L23" s="44"/>
      <c r="M23" s="36"/>
      <c r="N23" s="36"/>
      <c r="O23" s="253"/>
      <c r="P23" s="251"/>
      <c r="Q23" s="244"/>
      <c r="R23" s="250"/>
      <c r="S23" s="279"/>
      <c r="T23" s="43">
        <f>SUM(T21:T22)</f>
        <v>2.44</v>
      </c>
      <c r="U23" s="9"/>
      <c r="X23" s="4"/>
    </row>
    <row r="24" spans="1:25" ht="17.399999999999999" x14ac:dyDescent="0.3">
      <c r="B24" s="269"/>
      <c r="C24" s="271"/>
      <c r="D24" s="272"/>
      <c r="E24" s="272"/>
      <c r="F24" s="273"/>
      <c r="G24" s="325" t="s">
        <v>51</v>
      </c>
      <c r="H24" s="327">
        <f>H23*0.19</f>
        <v>25206.439679999996</v>
      </c>
      <c r="I24" s="294"/>
      <c r="J24" s="257"/>
      <c r="K24" s="309"/>
      <c r="L24" s="44"/>
      <c r="M24" s="36">
        <f>SUM(M21:M21)</f>
        <v>2.38</v>
      </c>
      <c r="N24" s="12"/>
      <c r="O24" s="12"/>
      <c r="P24" s="245">
        <f>SUM(P21:P22)</f>
        <v>1.4518</v>
      </c>
      <c r="Q24" s="14"/>
      <c r="R24" s="12"/>
      <c r="S24" s="232">
        <f>SUM(S21:S23)</f>
        <v>2.38</v>
      </c>
      <c r="T24" s="43"/>
      <c r="U24" s="9"/>
      <c r="X24" s="4"/>
    </row>
    <row r="25" spans="1:25" ht="18" thickBot="1" x14ac:dyDescent="0.35">
      <c r="B25" s="267"/>
      <c r="C25" s="270"/>
      <c r="D25" s="264"/>
      <c r="E25" s="264"/>
      <c r="F25" s="265"/>
      <c r="G25" s="326" t="s">
        <v>6</v>
      </c>
      <c r="H25" s="328">
        <f>H24+H23</f>
        <v>157871.91167999996</v>
      </c>
      <c r="I25" s="294"/>
      <c r="J25" s="257"/>
      <c r="K25" s="309"/>
      <c r="L25" s="44"/>
      <c r="M25" s="36"/>
      <c r="N25" s="12"/>
      <c r="O25" s="12"/>
      <c r="P25" s="245">
        <f>P24</f>
        <v>1.4518</v>
      </c>
      <c r="Q25" s="14"/>
      <c r="R25" s="12"/>
      <c r="S25" s="232"/>
      <c r="T25" s="43"/>
      <c r="U25" s="9"/>
      <c r="X25" s="4"/>
    </row>
    <row r="26" spans="1:25" ht="17.399999999999999" x14ac:dyDescent="0.3">
      <c r="B26" s="267"/>
      <c r="C26" s="263"/>
      <c r="D26" s="264"/>
      <c r="E26" s="264"/>
      <c r="F26" s="265"/>
      <c r="J26" s="257"/>
      <c r="K26" s="309"/>
      <c r="L26" s="44"/>
      <c r="M26" s="14"/>
      <c r="N26" s="12"/>
      <c r="O26" s="12"/>
      <c r="P26" s="36">
        <f>P25*20%</f>
        <v>0.29036000000000001</v>
      </c>
      <c r="Q26" s="36" t="s">
        <v>126</v>
      </c>
      <c r="R26" s="39"/>
      <c r="S26" s="233"/>
      <c r="T26" s="14"/>
      <c r="U26" s="9"/>
      <c r="X26" s="4"/>
    </row>
    <row r="27" spans="1:25" ht="17.399999999999999" x14ac:dyDescent="0.35">
      <c r="B27" s="261"/>
      <c r="C27" s="223"/>
      <c r="D27" s="223"/>
      <c r="E27" s="226"/>
      <c r="F27" s="227"/>
      <c r="G27" s="223"/>
      <c r="H27" s="266"/>
      <c r="I27" s="266"/>
      <c r="J27" s="257"/>
      <c r="K27" s="44"/>
      <c r="L27" s="44"/>
      <c r="M27" s="14"/>
      <c r="N27" s="12"/>
      <c r="O27" s="12"/>
      <c r="P27" s="43">
        <f>P25+P26</f>
        <v>1.7421599999999999</v>
      </c>
      <c r="Q27" s="14"/>
      <c r="R27" s="14"/>
      <c r="S27" s="231"/>
      <c r="T27" s="14"/>
      <c r="U27" s="9"/>
      <c r="X27" s="4"/>
    </row>
    <row r="28" spans="1:25" ht="17.399999999999999" x14ac:dyDescent="0.35">
      <c r="B28" s="228"/>
      <c r="C28" s="229"/>
      <c r="D28" s="230"/>
      <c r="E28" s="228"/>
      <c r="F28" s="223"/>
      <c r="G28" s="223"/>
      <c r="I28" s="266"/>
      <c r="J28" s="257"/>
      <c r="K28" s="44"/>
      <c r="L28" s="44"/>
      <c r="M28" s="14"/>
      <c r="N28" s="14"/>
      <c r="O28" s="14"/>
      <c r="P28" s="14"/>
      <c r="Q28" s="14"/>
      <c r="R28" s="14"/>
      <c r="S28" s="233"/>
      <c r="T28" s="14"/>
      <c r="U28" s="283" t="s">
        <v>21</v>
      </c>
      <c r="V28" s="280" t="s">
        <v>146</v>
      </c>
      <c r="W28" s="284">
        <v>44971</v>
      </c>
      <c r="X28" s="285"/>
    </row>
    <row r="29" spans="1:25" ht="17.399999999999999" x14ac:dyDescent="0.35">
      <c r="B29" s="223"/>
      <c r="C29" s="223"/>
      <c r="D29" s="223"/>
      <c r="E29" s="223"/>
      <c r="F29" s="223"/>
      <c r="G29" s="223"/>
      <c r="J29" s="257"/>
      <c r="K29" s="44"/>
      <c r="L29" s="44"/>
      <c r="M29" s="36">
        <f>P27</f>
        <v>1.7421599999999999</v>
      </c>
      <c r="N29" s="12">
        <v>4000</v>
      </c>
      <c r="O29" s="12">
        <f t="shared" ref="O29:O34" si="5">M29*N29</f>
        <v>6968.6399999999994</v>
      </c>
      <c r="P29" s="14" t="s">
        <v>21</v>
      </c>
      <c r="Q29" s="14"/>
      <c r="R29" s="14"/>
      <c r="S29" s="234"/>
      <c r="T29" s="14"/>
      <c r="U29" s="283" t="s">
        <v>147</v>
      </c>
      <c r="V29" s="280">
        <v>3625</v>
      </c>
      <c r="W29" s="56" t="s">
        <v>148</v>
      </c>
      <c r="X29" s="285"/>
    </row>
    <row r="30" spans="1:25" ht="17.399999999999999" x14ac:dyDescent="0.35">
      <c r="A30" s="223"/>
      <c r="B30" s="223"/>
      <c r="C30" s="223"/>
      <c r="D30" s="223"/>
      <c r="E30" s="223"/>
      <c r="F30" s="223"/>
      <c r="G30" s="223"/>
      <c r="H30" s="223"/>
      <c r="J30" s="257"/>
      <c r="K30" s="44"/>
      <c r="L30" s="44"/>
      <c r="M30" s="241">
        <v>0.5</v>
      </c>
      <c r="N30" s="12">
        <v>25000</v>
      </c>
      <c r="O30" s="12">
        <f t="shared" si="5"/>
        <v>12500</v>
      </c>
      <c r="P30" s="36" t="s">
        <v>31</v>
      </c>
      <c r="Q30" s="39"/>
      <c r="R30" s="14"/>
      <c r="S30" s="233"/>
      <c r="T30" s="14"/>
      <c r="U30" s="283"/>
      <c r="V30" s="56">
        <v>906.25</v>
      </c>
      <c r="W30" s="56" t="s">
        <v>149</v>
      </c>
      <c r="X30" s="285"/>
    </row>
    <row r="31" spans="1:25" s="223" customFormat="1" ht="17.399999999999999" x14ac:dyDescent="0.35">
      <c r="B31" s="21" t="s">
        <v>145</v>
      </c>
      <c r="J31" s="254"/>
      <c r="K31" s="225"/>
      <c r="L31" s="242"/>
      <c r="M31" s="14"/>
      <c r="N31" s="242">
        <v>68800</v>
      </c>
      <c r="O31" s="12">
        <f t="shared" si="5"/>
        <v>0</v>
      </c>
      <c r="P31" s="36" t="s">
        <v>30</v>
      </c>
      <c r="Q31" s="39"/>
      <c r="S31" s="233"/>
      <c r="T31" s="248"/>
      <c r="U31" s="56"/>
      <c r="V31" s="56">
        <f>V30*20%</f>
        <v>181.25</v>
      </c>
      <c r="W31" s="285" t="s">
        <v>150</v>
      </c>
      <c r="X31" s="56"/>
    </row>
    <row r="32" spans="1:25" s="223" customFormat="1" ht="17.399999999999999" x14ac:dyDescent="0.35">
      <c r="B32" s="21" t="s">
        <v>160</v>
      </c>
      <c r="C32"/>
      <c r="D32"/>
      <c r="E32"/>
      <c r="F32"/>
      <c r="J32" s="254"/>
      <c r="K32" s="225"/>
      <c r="L32" s="242"/>
      <c r="M32" s="14">
        <v>1</v>
      </c>
      <c r="N32" s="242">
        <v>32500</v>
      </c>
      <c r="O32" s="12">
        <f t="shared" si="5"/>
        <v>32500</v>
      </c>
      <c r="P32" s="14" t="s">
        <v>136</v>
      </c>
      <c r="Q32" s="17"/>
      <c r="S32" s="231"/>
      <c r="T32" s="248"/>
      <c r="U32" s="56"/>
      <c r="V32" s="56">
        <f>V30+V31</f>
        <v>1087.5</v>
      </c>
      <c r="W32" s="285" t="s">
        <v>151</v>
      </c>
      <c r="X32" s="56"/>
    </row>
    <row r="33" spans="2:24" s="223" customFormat="1" ht="17.399999999999999" x14ac:dyDescent="0.35">
      <c r="B33" s="26" t="s">
        <v>121</v>
      </c>
      <c r="C33"/>
      <c r="D33"/>
      <c r="E33"/>
      <c r="F33" s="222" t="s">
        <v>15</v>
      </c>
      <c r="J33" s="254"/>
      <c r="K33" s="252"/>
      <c r="L33" s="242"/>
      <c r="M33" s="241">
        <v>2.38</v>
      </c>
      <c r="N33" s="242">
        <v>900</v>
      </c>
      <c r="O33" s="12">
        <f t="shared" si="5"/>
        <v>2142</v>
      </c>
      <c r="P33" s="14" t="s">
        <v>32</v>
      </c>
      <c r="Q33" s="14"/>
      <c r="R33" s="223">
        <v>1.52</v>
      </c>
      <c r="S33" s="231"/>
      <c r="T33" s="231"/>
    </row>
    <row r="34" spans="2:24" s="223" customFormat="1" ht="17.399999999999999" x14ac:dyDescent="0.35">
      <c r="J34" s="278"/>
      <c r="K34" s="252"/>
      <c r="L34" s="242"/>
      <c r="M34" s="258">
        <v>2.38</v>
      </c>
      <c r="N34" s="12">
        <v>1500</v>
      </c>
      <c r="O34" s="12">
        <f t="shared" si="5"/>
        <v>3570</v>
      </c>
      <c r="P34" s="14" t="s">
        <v>22</v>
      </c>
      <c r="Q34" s="14"/>
      <c r="R34">
        <v>2.44</v>
      </c>
      <c r="S34"/>
      <c r="T34" s="231"/>
      <c r="X34" s="224"/>
    </row>
    <row r="35" spans="2:24" s="223" customFormat="1" ht="17.399999999999999" x14ac:dyDescent="0.35">
      <c r="K35" s="252"/>
      <c r="L35" s="242"/>
      <c r="M35" s="14"/>
      <c r="N35" s="12"/>
      <c r="O35" s="12">
        <f>SUM(O29:O34)</f>
        <v>57680.639999999999</v>
      </c>
      <c r="P35" s="36" t="s">
        <v>23</v>
      </c>
      <c r="Q35" s="14"/>
      <c r="R35">
        <f>R33*R34</f>
        <v>3.7088000000000001</v>
      </c>
      <c r="S35"/>
      <c r="T35" s="231"/>
      <c r="X35" s="224"/>
    </row>
    <row r="36" spans="2:24" s="223" customFormat="1" ht="17.399999999999999" x14ac:dyDescent="0.35">
      <c r="L36" s="242"/>
      <c r="M36" s="246" t="s">
        <v>33</v>
      </c>
      <c r="N36" s="12"/>
      <c r="O36" s="247">
        <f>O35*2.3</f>
        <v>132665.47199999998</v>
      </c>
      <c r="P36" s="14" t="s">
        <v>135</v>
      </c>
      <c r="Q36" s="14"/>
      <c r="R36" s="37">
        <f>P27/R35</f>
        <v>0.46973684210526312</v>
      </c>
      <c r="S36"/>
      <c r="T36" s="249"/>
    </row>
    <row r="37" spans="2:24" s="223" customFormat="1" ht="17.399999999999999" x14ac:dyDescent="0.35">
      <c r="G37"/>
      <c r="H37" s="252"/>
      <c r="I37" s="252"/>
      <c r="J37" s="329"/>
      <c r="L37" s="242"/>
      <c r="M37" s="14"/>
      <c r="N37" s="12"/>
      <c r="O37" s="12">
        <f>O36/P25</f>
        <v>91379.99173439866</v>
      </c>
      <c r="P37" s="42" t="s">
        <v>24</v>
      </c>
      <c r="Q37" s="14"/>
      <c r="R37" s="14"/>
      <c r="S37"/>
      <c r="T37" s="231"/>
      <c r="U37" s="56" t="s">
        <v>152</v>
      </c>
      <c r="V37" s="280">
        <v>43650</v>
      </c>
    </row>
    <row r="38" spans="2:24" s="223" customFormat="1" ht="17.399999999999999" x14ac:dyDescent="0.35">
      <c r="G38"/>
      <c r="L38" s="242"/>
      <c r="M38" s="13"/>
      <c r="N38" s="14"/>
      <c r="O38" s="17">
        <f>O36/O35</f>
        <v>2.2999999999999998</v>
      </c>
      <c r="P38" s="15"/>
      <c r="Q38"/>
      <c r="R38"/>
      <c r="S38"/>
      <c r="T38" s="231"/>
      <c r="U38" s="56" t="s">
        <v>154</v>
      </c>
      <c r="V38" s="281" t="s">
        <v>153</v>
      </c>
      <c r="W38" s="56">
        <v>2.4</v>
      </c>
    </row>
    <row r="39" spans="2:24" s="223" customFormat="1" ht="17.399999999999999" x14ac:dyDescent="0.35">
      <c r="D39" s="275"/>
      <c r="E39" s="275"/>
      <c r="F39" s="274"/>
      <c r="G39" s="310"/>
      <c r="H39" s="311"/>
      <c r="J39" s="330"/>
      <c r="L39" s="12"/>
      <c r="T39" s="231"/>
      <c r="U39" s="56" t="s">
        <v>155</v>
      </c>
      <c r="V39" s="282">
        <v>395.37</v>
      </c>
    </row>
    <row r="40" spans="2:24" s="223" customFormat="1" ht="17.399999999999999" x14ac:dyDescent="0.35">
      <c r="B40"/>
      <c r="C40" s="312"/>
      <c r="D40" s="275"/>
      <c r="E40" s="275"/>
      <c r="F40" s="274"/>
      <c r="G40" s="310"/>
      <c r="H40" s="311"/>
      <c r="L40" s="12"/>
      <c r="T40" s="231"/>
      <c r="U40" s="56" t="s">
        <v>150</v>
      </c>
      <c r="V40" s="56">
        <v>474.45</v>
      </c>
    </row>
    <row r="41" spans="2:24" ht="14.4" customHeight="1" x14ac:dyDescent="0.35">
      <c r="D41" s="275"/>
      <c r="E41" s="275"/>
      <c r="F41" s="274"/>
      <c r="G41" s="310"/>
      <c r="H41" s="311"/>
      <c r="L41" s="12"/>
      <c r="U41" s="56"/>
      <c r="V41" s="56"/>
    </row>
    <row r="42" spans="2:24" ht="17.399999999999999" x14ac:dyDescent="0.35">
      <c r="D42" s="275"/>
      <c r="E42" s="275"/>
      <c r="F42" s="274"/>
      <c r="G42" s="310"/>
      <c r="H42" s="311"/>
      <c r="L42" s="242"/>
    </row>
    <row r="43" spans="2:24" ht="17.399999999999999" x14ac:dyDescent="0.35">
      <c r="D43" s="275"/>
      <c r="E43" s="275"/>
      <c r="F43" s="274"/>
      <c r="G43" s="310"/>
      <c r="H43" s="311"/>
      <c r="L43" s="242"/>
      <c r="T43" s="262"/>
    </row>
    <row r="44" spans="2:24" ht="17.399999999999999" x14ac:dyDescent="0.35">
      <c r="D44" s="275"/>
      <c r="E44" s="275"/>
      <c r="F44" s="274"/>
      <c r="G44" s="310"/>
      <c r="H44" s="311"/>
      <c r="L44" s="242"/>
    </row>
    <row r="45" spans="2:24" ht="15" customHeight="1" x14ac:dyDescent="0.35">
      <c r="D45" s="275"/>
      <c r="E45" s="275"/>
      <c r="F45" s="274"/>
      <c r="G45" s="310"/>
      <c r="H45" s="311"/>
    </row>
    <row r="46" spans="2:24" ht="17.399999999999999" x14ac:dyDescent="0.35">
      <c r="D46" s="275"/>
      <c r="E46" s="275"/>
      <c r="F46" s="274"/>
      <c r="G46" s="310"/>
      <c r="H46" s="311"/>
    </row>
    <row r="47" spans="2:24" ht="17.399999999999999" x14ac:dyDescent="0.35">
      <c r="D47" s="275"/>
      <c r="E47" s="275"/>
      <c r="F47" s="274"/>
      <c r="G47" s="310"/>
      <c r="H47" s="311"/>
      <c r="O47">
        <v>40935</v>
      </c>
      <c r="P47" t="s">
        <v>16</v>
      </c>
      <c r="Q47" t="s">
        <v>26</v>
      </c>
    </row>
    <row r="48" spans="2:24" ht="17.399999999999999" x14ac:dyDescent="0.35">
      <c r="D48" s="275"/>
      <c r="E48" s="275"/>
      <c r="F48" s="274"/>
      <c r="G48" s="310"/>
      <c r="H48" s="311"/>
    </row>
    <row r="49" spans="4:20" ht="17.399999999999999" x14ac:dyDescent="0.35">
      <c r="D49" s="275"/>
      <c r="E49" s="275"/>
      <c r="F49" s="274"/>
      <c r="G49" s="310"/>
      <c r="H49" s="311"/>
      <c r="O49" s="51"/>
      <c r="P49" s="51"/>
    </row>
    <row r="50" spans="4:20" ht="17.399999999999999" x14ac:dyDescent="0.35">
      <c r="D50" s="275"/>
      <c r="E50" s="275"/>
      <c r="F50" s="274"/>
      <c r="G50" s="310"/>
      <c r="H50" s="311"/>
      <c r="S50" s="18"/>
      <c r="T50" s="18"/>
    </row>
    <row r="51" spans="4:20" ht="17.399999999999999" x14ac:dyDescent="0.35">
      <c r="D51" s="275"/>
      <c r="E51" s="275"/>
      <c r="F51" s="274"/>
      <c r="G51" s="310"/>
      <c r="H51" s="311"/>
      <c r="S51" s="18"/>
      <c r="T51" s="18"/>
    </row>
    <row r="52" spans="4:20" ht="17.399999999999999" x14ac:dyDescent="0.35">
      <c r="D52" s="275"/>
      <c r="E52" s="275"/>
      <c r="F52" s="274"/>
      <c r="G52" s="310"/>
      <c r="H52" s="311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72" spans="3:3" x14ac:dyDescent="0.3">
      <c r="C72" t="s">
        <v>142</v>
      </c>
    </row>
    <row r="73" spans="3:3" x14ac:dyDescent="0.3">
      <c r="C73" t="s">
        <v>141</v>
      </c>
    </row>
    <row r="76" spans="3:3" x14ac:dyDescent="0.3">
      <c r="C76" t="s">
        <v>141</v>
      </c>
    </row>
    <row r="153" spans="3:3" x14ac:dyDescent="0.3">
      <c r="C153" t="s">
        <v>141</v>
      </c>
    </row>
    <row r="154" spans="3:3" x14ac:dyDescent="0.3">
      <c r="C154" t="s">
        <v>143</v>
      </c>
    </row>
    <row r="155" spans="3:3" x14ac:dyDescent="0.3">
      <c r="C155" t="s">
        <v>144</v>
      </c>
    </row>
    <row r="580" spans="3:3" x14ac:dyDescent="0.3">
      <c r="C580" t="s">
        <v>141</v>
      </c>
    </row>
  </sheetData>
  <mergeCells count="2">
    <mergeCell ref="F17:H17"/>
    <mergeCell ref="B19:H19"/>
  </mergeCells>
  <phoneticPr fontId="31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46129</v>
      </c>
    </row>
    <row r="6" spans="1:31" ht="16.2" thickBot="1" x14ac:dyDescent="0.35">
      <c r="B6" s="134" t="s">
        <v>2</v>
      </c>
      <c r="C6" s="133" t="str">
        <f>'2229'!C10</f>
        <v>MUEBLES FEMENIAS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55" t="s">
        <v>95</v>
      </c>
      <c r="I7" s="356"/>
      <c r="J7" s="356"/>
      <c r="K7" s="357"/>
      <c r="N7" s="72"/>
      <c r="O7" s="354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12097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54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2310310.1460489132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4756235.4976708973</v>
      </c>
      <c r="C15" s="207" t="s">
        <v>118</v>
      </c>
      <c r="D15" s="208">
        <v>0.73</v>
      </c>
      <c r="E15" s="209">
        <f>(100%+D15)*D12</f>
        <v>3996836.5526646199</v>
      </c>
      <c r="F15" s="210">
        <f>E15-D12</f>
        <v>1686526.4066157066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167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164</v>
      </c>
      <c r="D18" s="116">
        <f>'2229'!O31</f>
        <v>0</v>
      </c>
      <c r="E18" s="117">
        <f>D18*0.19</f>
        <v>0</v>
      </c>
      <c r="F18" s="114">
        <f>SUM(D18:E18)</f>
        <v>0</v>
      </c>
      <c r="H18" s="318">
        <v>6</v>
      </c>
      <c r="I18" s="317">
        <v>543</v>
      </c>
      <c r="J18" s="6" t="s">
        <v>168</v>
      </c>
      <c r="K18" s="319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165</v>
      </c>
      <c r="D19" s="116">
        <f>'2229'!O32</f>
        <v>32500</v>
      </c>
      <c r="E19" s="117">
        <f>D19*0.19</f>
        <v>6175</v>
      </c>
      <c r="F19" s="114">
        <f>SUM(D19:E19)</f>
        <v>38675</v>
      </c>
      <c r="H19" s="321"/>
      <c r="I19" s="320"/>
      <c r="J19" s="144" t="s">
        <v>169</v>
      </c>
      <c r="K19" s="322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3"/>
      <c r="C20" s="76" t="s">
        <v>31</v>
      </c>
      <c r="D20" s="116">
        <f>'2229'!O30</f>
        <v>12500</v>
      </c>
      <c r="E20" s="117">
        <f>D20*0.19</f>
        <v>2375</v>
      </c>
      <c r="F20" s="114">
        <f>SUM(D20:E20)</f>
        <v>14875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3">
        <f>1300000*1.2</f>
        <v>1560000</v>
      </c>
      <c r="B21" s="113"/>
      <c r="C21" s="71" t="s">
        <v>21</v>
      </c>
      <c r="D21" s="116">
        <f>'2229'!O29</f>
        <v>6968.6399999999994</v>
      </c>
      <c r="E21" s="115">
        <f>D21*0.19</f>
        <v>1324.0416</v>
      </c>
      <c r="F21" s="114">
        <f>SUM(D21:E21)</f>
        <v>8292.6815999999999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3">
        <f>1300000*1.2</f>
        <v>1560000</v>
      </c>
      <c r="B22" s="108" t="s">
        <v>80</v>
      </c>
      <c r="C22" s="112" t="s">
        <v>6</v>
      </c>
      <c r="D22" s="111">
        <f>SUM(D18:D21)</f>
        <v>51968.639999999999</v>
      </c>
      <c r="E22" s="110">
        <f>SUM(E18:E21)</f>
        <v>9874.0416000000005</v>
      </c>
      <c r="F22" s="109">
        <f>SUM(F18:F21)</f>
        <v>61842.681599999996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3">
        <f>950000*1.2</f>
        <v>1140000</v>
      </c>
      <c r="B23" s="314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166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3">
        <v>450000</v>
      </c>
      <c r="B24" s="314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3">
        <v>450000</v>
      </c>
      <c r="B25" s="314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3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3"/>
      <c r="B26" s="314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3">
        <v>350000</v>
      </c>
      <c r="B27" s="314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3">
        <v>500000</v>
      </c>
      <c r="B28" s="314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3"/>
      <c r="B29" s="314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3">
        <v>450000</v>
      </c>
      <c r="B30" s="315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3">
        <v>350000</v>
      </c>
      <c r="B31" s="315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3">
        <f>A21+A24+A27+A28+A30</f>
        <v>3310000</v>
      </c>
      <c r="B32" s="315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3"/>
      <c r="B33" s="313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6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51" t="s">
        <v>60</v>
      </c>
      <c r="I43" s="352"/>
      <c r="J43" s="352"/>
      <c r="K43" s="352"/>
      <c r="L43" s="352"/>
      <c r="M43" s="353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51968.639999999999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50"/>
      <c r="J52" s="350"/>
      <c r="K52" s="350"/>
      <c r="L52" s="350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2026-04-17T14:29:56Z</cp:lastPrinted>
  <dcterms:created xsi:type="dcterms:W3CDTF">2013-03-18T13:35:42Z</dcterms:created>
  <dcterms:modified xsi:type="dcterms:W3CDTF">2026-04-17T14:32:26Z</dcterms:modified>
</cp:coreProperties>
</file>