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0175B46A-8FA2-4AEE-A2BE-724A916D9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O41" i="1" l="1"/>
  <c r="E15" i="3"/>
  <c r="Q21" i="1" l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<sst xmlns="http://schemas.openxmlformats.org/spreadsheetml/2006/main" count="490" uniqueCount="298">
  <si>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</si>
  <si>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</si>
  <si>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</si>
  <si>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</si>
  <si>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</si>
  <si>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</si>
  <si>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</si>
  <si>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</si>
  <si>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</si>
  <si>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</si>
  <si>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</si>
  <si>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</si>
  <si>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</si>
  <si>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</si>
  <si>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</si>
  <si>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</si>
  <si>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</si>
  <si>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</si>
  <si>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</si>
  <si>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</si>
  <si>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</si>
  <si>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</si>
  <si>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</si>
  <si>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</si>
  <si>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</si>
  <si>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</si>
  <si>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</si>
  <si>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</si>
  <si>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</si>
  <si>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</si>
  <si>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</si>
  <si>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</si>
  <si>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</si>
  <si>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</si>
  <si>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</si>
  <si>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</si>
  <si>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</si>
  <si>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</si>
  <si>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</si>
  <si>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</si>
  <si>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</si>
  <si>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</si>
  <si>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</si>
  <si>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</si>
  <si>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</si>
  <si>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</si>
  <si>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</si>
  <si>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</si>
  <si>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</si>
  <si>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</si>
  <si>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</si>
  <si>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</si>
  <si>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</si>
  <si>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</si>
  <si>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</si>
  <si>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</si>
  <si>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</si>
  <si>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</si>
  <si>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</si>
  <si>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</si>
  <si>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</si>
  <si>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</si>
  <si>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</si>
  <si>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</si>
  <si>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</si>
  <si>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</si>
  <si>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</si>
  <si>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</si>
  <si>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</si>
  <si>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</si>
  <si>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</si>
  <si>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</si>
  <si>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</si>
  <si>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</si>
  <si>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</si>
  <si>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</si>
  <si>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</si>
  <si>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</si>
  <si>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</si>
  <si>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</si>
  <si>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</si>
  <si>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</si>
  <si>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</si>
  <si>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</si>
  <si>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</si>
  <si>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</si>
  <si>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</si>
  <si>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</si>
  <si>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</si>
  <si>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</si>
  <si>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</si>
  <si>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</si>
  <si>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</si>
  <si>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</si>
  <si>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</si>
  <si>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</si>
  <si>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</si>
  <si>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</si>
  <si>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</si>
  <si>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</si>
  <si>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</si>
  <si>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</si>
  <si>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</si>
  <si>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</si>
  <si>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</si>
  <si>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</si>
  <si>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</si>
  <si>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</si>
  <si>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</si>
  <si>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</si>
  <si>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</si>
  <si>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</si>
  <si>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</si>
  <si>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</si>
  <si>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</si>
  <si>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</si>
  <si>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</si>
  <si>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</si>
  <si>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</si>
  <si>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</si>
  <si>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</si>
  <si>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</si>
  <si>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</si>
  <si>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</si>
  <si>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</si>
  <si>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</si>
  <si>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</si>
  <si>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</si>
  <si>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</si>
  <si>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</si>
  <si>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</si>
  <si>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</si>
  <si>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</si>
  <si>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</si>
  <si>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</si>
  <si>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</si>
  <si>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</si>
  <si>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</si>
  <si>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</si>
  <si>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</si>
  <si>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</si>
  <si>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</si>
  <si>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</si>
  <si>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</si>
  <si>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</si>
  <si>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</si>
  <si>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</si>
  <si>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</si>
  <si>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</si>
  <si>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</si>
  <si>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</si>
  <si>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</si>
  <si>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</si>
  <si>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</si>
  <si>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</si>
  <si>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</si>
  <si>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</si>
  <si>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</si>
  <si>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</si>
  <si>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</si>
  <si>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</si>
  <si>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</si>
  <si>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</si>
  <si>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</si>
  <si>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</si>
  <si>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</si>
  <si>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</si>
  <si>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</si>
  <si>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</si>
  <si>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</si>
  <si>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</si>
  <si>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</si>
  <si>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</si>
  <si>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</si>
  <si>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</si>
  <si>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</si>
  <si>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</si>
  <si>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</si>
  <si>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</si>
  <si>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</si>
  <si>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</si>
  <si>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</si>
  <si>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</si>
  <si>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</si>
  <si>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</si>
  <si>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</si>
  <si>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</si>
  <si>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</si>
  <si>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</si>
  <si>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</si>
  <si>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</si>
  <si>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</si>
  <si>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</si>
  <si>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</si>
  <si>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</si>
  <si>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</si>
  <si>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</si>
  <si>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</si>
  <si>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</si>
  <si>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</si>
  <si>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</si>
  <si>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</si>
  <si>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</si>
  <si>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</si>
  <si>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</si>
  <si>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</si>
  <si>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</si>
  <si>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</si>
  <si>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</si>
  <si>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</si>
  <si>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</si>
  <si>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</si>
  <si>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</si>
  <si>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</si>
  <si>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</si>
  <si>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</si>
  <si>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</si>
  <si>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</si>
  <si>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</si>
  <si>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</si>
  <si>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</si>
  <si>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</si>
  <si>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</si>
  <si>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</si>
  <si>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</si>
  <si>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</si>
  <si>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</si>
  <si>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</si>
  <si>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</si>
  <si>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</si>
  <si>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</si>
  <si>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</si>
  <si>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</si>
  <si>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</si>
  <si>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</si>
  <si>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</si>
  <si>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</si>
  <si>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</si>
  <si>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</si>
  <si>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</si>
  <si>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</si>
  <si>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</si>
  <si>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</si>
  <si>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</si>
  <si>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</si>
  <si>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</si>
  <si>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</si>
  <si>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</si>
  <si>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</si>
  <si>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</si>
  <si>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</si>
  <si>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</si>
  <si>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</si>
  <si>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</si>
  <si>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</si>
  <si>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</si>
  <si>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</si>
  <si>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</si>
  <si>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</si>
  <si>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</si>
  <si>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</si>
  <si>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</si>
  <si>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</si>
  <si>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</si>
  <si>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</si>
  <si>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</si>
  <si>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</si>
  <si>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</si>
  <si>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</si>
  <si>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</si>
  <si>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</si>
  <si>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</si>
  <si>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</si>
  <si>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</si>
  <si>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</si>
  <si>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</si>
  <si>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</si>
  <si>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</si>
  <si>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</si>
  <si>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</si>
  <si>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</si>
  <si>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</si>
  <si>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</si>
  <si>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</si>
  <si>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</si>
  <si>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</si>
  <si>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</si>
  <si>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</si>
  <si>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</si>
  <si>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</si>
  <si>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</si>
  <si>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</si>
  <si>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</si>
  <si>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</si>
  <si>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CUB S/R 180°</t>
  </si>
  <si>
    <t>5 DIAS HABILES</t>
  </si>
  <si>
    <t>WHITE OAK 1336 MT</t>
  </si>
  <si>
    <t>N° 12098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</si>
</sst>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46132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180465.88996763754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1</v>
      </c>
      <c r="C21" s="434" t="s">
        <v>294</v>
      </c>
      <c r="D21" s="431">
        <v>0.95</v>
      </c>
      <c r="E21" s="431">
        <v>0.6</v>
      </c>
      <c r="F21" s="430" t="s">
        <v>296</v>
      </c>
      <c r="G21" s="432">
        <v>111528</v>
      </c>
      <c r="H21" s="432">
        <f>G21*B21</f>
        <v>111528</v>
      </c>
      <c r="I21" s="306"/>
      <c r="J21" s="264"/>
      <c r="K21" s="47"/>
      <c r="L21" s="47">
        <f>B21</f>
        <v>1</v>
      </c>
      <c r="M21" s="39">
        <f>D21+M$19</f>
        <v>1.03</v>
      </c>
      <c r="N21" s="39">
        <f>E21+$N$19</f>
        <v>0.6</v>
      </c>
      <c r="O21" s="260">
        <f t="shared" ref="O21" si="0">M21*N21</f>
        <v>0.61799999999999999</v>
      </c>
      <c r="P21" s="258">
        <f t="shared" ref="P21" si="1">O21*L21</f>
        <v>0.61799999999999999</v>
      </c>
      <c r="Q21" s="251">
        <f t="shared" ref="Q21" si="2">Q$20*O21</f>
        <v>111527.92</v>
      </c>
      <c r="R21" s="305">
        <f t="shared" ref="R21" si="3">Q21+R$20</f>
        <v>114527.92</v>
      </c>
      <c r="S21" s="290">
        <f>M21*L21</f>
        <v>1.03</v>
      </c>
      <c r="T21" s="46">
        <f>N21*2*L21*2</f>
        <v>2.4</v>
      </c>
      <c r="U21" s="9"/>
      <c r="X21" s="4"/>
    </row>
    <row r="22" spans="2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111528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21190.32</v>
      </c>
      <c r="I27" s="308"/>
      <c r="J27" s="264"/>
      <c r="K27" s="47"/>
      <c r="L27" s="47"/>
      <c r="M27" s="39">
        <f>SUM(M21:M26)</f>
        <v>1.03</v>
      </c>
      <c r="N27" s="12"/>
      <c r="O27" s="12"/>
      <c r="P27" s="252">
        <f>SUM(P21:P21)</f>
        <v>0.61799999999999999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132718.32</v>
      </c>
      <c r="I28" s="308"/>
      <c r="J28" s="264"/>
      <c r="K28" s="47"/>
      <c r="L28" s="47"/>
      <c r="M28" s="39"/>
      <c r="N28" s="12"/>
      <c r="O28" s="12"/>
      <c r="P28" s="252">
        <f>P27</f>
        <v>0.61799999999999999</v>
      </c>
      <c r="Q28" s="14"/>
      <c r="R28" s="12"/>
      <c r="S28" s="239">
        <f>SUM(S21:S27)</f>
        <v>1.03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0.1236</v>
      </c>
      <c r="Q29" s="39" t="s">
        <v>129</v>
      </c>
      <c r="R29" s="42"/>
      <c r="S29" s="240">
        <f>S28+T26</f>
        <v>3.4299999999999997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0.74160000000000004</v>
      </c>
      <c r="Q30" s="14"/>
      <c r="R30" s="14"/>
      <c r="S30" s="238">
        <f>S29*20%</f>
        <v>0.68599999999999994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4.1159999999999997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0.74160000000000004</v>
      </c>
      <c r="N32" s="12">
        <v>4000</v>
      </c>
      <c r="O32" s="12">
        <f t="shared" ref="O32:O37" si="4">M32*N32</f>
        <v>2966.4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0.2</v>
      </c>
      <c r="N33" s="12">
        <v>24910</v>
      </c>
      <c r="O33" s="12">
        <f t="shared" si="4"/>
        <v>4982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40542</v>
      </c>
      <c r="O35" s="12">
        <f t="shared" si="4"/>
        <v>40542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4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48490.400000000001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O38*2.3</f>
        <v>111527.92</v>
      </c>
      <c r="P39" s="14" t="s">
        <v>138</v>
      </c>
      <c r="Q39" s="14"/>
      <c r="R39" s="40">
        <f>P30/R38</f>
        <v>0.19995685936151855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180465.88996763754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2.2999999999999998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46132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12098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-8197.815033454106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111528</v>
      </c>
      <c r="E11" s="132">
        <f>D11*0.19</f>
        <v>21190.32</v>
      </c>
      <c r="F11" s="131">
        <f>E11+D11</f>
        <v>132718.32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97792.184966545901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37782.490787439616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79792.184966545901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73745.509212560384</v>
      </c>
      <c r="E13" s="221">
        <f>(D11/D12)-1</f>
        <v>1.9518435041100117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70792.184966545901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31792.184966545894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62341.109799275364</v>
      </c>
      <c r="F15" s="216">
        <f>E15-D12</f>
        <v>24558.619011835748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31792.184966545894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71792.184966545901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4982</v>
      </c>
      <c r="E19" s="123">
        <f>D19*0.19</f>
        <v>946.58</v>
      </c>
      <c r="F19" s="120">
        <f>SUM(D19:E19)</f>
        <v>5928.58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2966.4</v>
      </c>
      <c r="E20" s="121">
        <f>D20*0.19</f>
        <v>563.61599999999999</v>
      </c>
      <c r="F20" s="120">
        <f>SUM(D20:E20)</f>
        <v>3530.0160000000001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7948.4</v>
      </c>
      <c r="E21" s="116">
        <f>SUM(E18:E20)</f>
        <v>1510.1959999999999</v>
      </c>
      <c r="F21" s="115">
        <f>SUM(F18:F20)</f>
        <v>9458.5959999999995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19680.124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111528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7948.4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73745.509212560384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73745.509212560384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12098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FCA. DE MUEBLES ALVEAR Y ALVEAR LTDA</v>
      </c>
      <c r="D10" s="350"/>
      <c r="E10" s="350"/>
      <c r="F10" s="351" t="s">
        <v>167</v>
      </c>
      <c r="G10" s="352">
        <f>'2229'!G10</f>
        <v>46132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76.143.978-2</v>
      </c>
      <c r="D11" s="345"/>
      <c r="E11" s="345"/>
      <c r="F11" s="345" t="s">
        <v>168</v>
      </c>
      <c r="G11" s="340">
        <f>WORKDAY(G10,5)</f>
        <v>46139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FCA DE MUEBLES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56973069852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ROSA ESTER 03281 LA PINTANA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S/R 180°</v>
      </c>
      <c r="D22" s="321">
        <f>'2229'!D21*1000</f>
        <v>950</v>
      </c>
      <c r="E22" s="321">
        <f>'2229'!E21*1000</f>
        <v>600</v>
      </c>
      <c r="F22" s="322" t="str">
        <f>'2229'!F21</f>
        <v>WHITE OAK 1336 MT</v>
      </c>
      <c r="G22" s="314">
        <f>'2229'!G21</f>
        <v>111528</v>
      </c>
      <c r="H22" s="323">
        <f>G22*B22</f>
        <v>111528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111528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21190.32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132718.32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46139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12098</v>
      </c>
      <c r="C2" s="1">
        <f>'NOTA DE VENTA'!$G$10</f>
        <v>46132</v>
      </c>
      <c r="D2" s="1">
        <f>'NOTA DE VENTA'!$G$11</f>
        <v>46139</v>
      </c>
      <c r="E2" t="str">
        <f>'NOTA DE VENTA'!$C$10</f>
        <v>FCA. DE MUEBLES ALVEAR Y ALVEAR LTDA</v>
      </c>
      <c r="F2" t="str">
        <f>'NOTA DE VENTA'!$C$22</f>
        <v>CUB S/R 180°</v>
      </c>
      <c r="G2" t="str">
        <f>'NOTA DE VENTA'!$F$22</f>
        <v>WHITE OAK 1336 MT</v>
      </c>
      <c r="H2" s="416">
        <f>'NOTA DE VENTA'!$H$25</f>
        <v>111528</v>
      </c>
      <c r="I2" s="416">
        <f>H2*0.19</f>
        <v>21190.32</v>
      </c>
      <c r="J2" s="416">
        <f>I2+H2</f>
        <v>132718.32</v>
      </c>
      <c r="L2" s="61">
        <f>J2-K2</f>
        <v>132718.32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2026-04-20T14:10:27Z</dcterms:modified>
</cp:coreProperties>
</file>