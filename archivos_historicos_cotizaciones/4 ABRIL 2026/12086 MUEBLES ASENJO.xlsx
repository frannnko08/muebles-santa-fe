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48882B56-2D02-468E-BF55-0FE9867A5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S21" i="1" l="1"/>
  <c r="N21" i="1" l="1"/>
  <c r="O21" i="1" l="1"/>
  <c r="P21" i="1" s="1"/>
  <c r="P25" i="1" s="1"/>
  <c r="S26" i="1"/>
  <c r="M25" i="1"/>
  <c r="T24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H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<sst xmlns="http://schemas.openxmlformats.org/spreadsheetml/2006/main" count="230" uniqueCount="175">
  <si>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</si>
  <si>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</si>
  <si>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</si>
  <si>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</si>
  <si>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</si>
  <si>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</si>
  <si>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</si>
  <si>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</si>
  <si>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</si>
  <si>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</si>
  <si>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</si>
  <si>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</si>
  <si>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</si>
  <si>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</si>
  <si>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</si>
  <si>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</si>
  <si>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</si>
  <si>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</si>
  <si>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</si>
  <si>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</si>
  <si>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</si>
  <si>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</si>
  <si>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</si>
  <si>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</si>
  <si>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</si>
  <si>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</si>
  <si>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</si>
  <si>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</si>
  <si>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</si>
  <si>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</si>
  <si>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</si>
  <si>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</si>
  <si>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</si>
  <si>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</si>
  <si>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</si>
  <si>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</si>
  <si>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</si>
  <si>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</si>
  <si>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</si>
  <si>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</si>
  <si>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</si>
  <si>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</si>
  <si>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</si>
  <si>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</si>
  <si>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</si>
  <si>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</si>
  <si>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</si>
  <si>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</si>
  <si>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</si>
  <si>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</si>
  <si>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</si>
  <si>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</si>
  <si>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</si>
  <si>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</si>
  <si>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</si>
  <si>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</si>
  <si>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</si>
  <si>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</si>
  <si>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</si>
  <si>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</si>
  <si>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</si>
  <si>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</si>
  <si>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</si>
  <si>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</si>
  <si>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</si>
  <si>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</si>
  <si>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</si>
  <si>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</si>
  <si>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</si>
  <si>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</si>
  <si>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</si>
  <si>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</si>
  <si>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</si>
  <si>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</si>
  <si>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</si>
  <si>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</si>
  <si>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</si>
  <si>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</si>
  <si>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</si>
  <si>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</si>
  <si>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</si>
  <si>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</si>
  <si>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</si>
  <si>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</si>
  <si>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</si>
  <si>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</si>
  <si>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</si>
  <si>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</si>
  <si>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</si>
  <si>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</si>
  <si>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</si>
  <si>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</si>
  <si>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</si>
  <si>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</si>
  <si>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</si>
  <si>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</si>
  <si>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</si>
  <si>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</si>
  <si>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</si>
  <si>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</si>
  <si>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</si>
  <si>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</si>
  <si>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</si>
  <si>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</si>
  <si>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</si>
  <si>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</si>
  <si>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</si>
  <si>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</si>
  <si>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</si>
  <si>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</si>
  <si>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</si>
  <si>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</si>
  <si>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</si>
  <si>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</si>
  <si>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</si>
  <si>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</si>
  <si>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</si>
  <si>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</si>
  <si>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</si>
  <si>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</si>
  <si>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</si>
  <si>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</si>
  <si>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</si>
  <si>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</si>
  <si>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</si>
  <si>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</si>
  <si>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</si>
  <si>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</si>
  <si>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</si>
  <si>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</si>
  <si>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</si>
  <si>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</si>
  <si>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</si>
  <si>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</si>
  <si>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</si>
  <si>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</si>
  <si>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</si>
  <si>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</si>
  <si>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</si>
  <si>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</si>
  <si>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</si>
  <si>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</si>
  <si>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</si>
  <si>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</si>
  <si>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</si>
  <si>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</si>
  <si>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</si>
  <si>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</si>
  <si>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</si>
  <si>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</si>
  <si>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</si>
  <si>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</si>
  <si>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</si>
  <si>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</si>
  <si>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</si>
  <si>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</si>
  <si>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</si>
  <si>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</si>
  <si>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</si>
  <si>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</si>
  <si>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</si>
  <si>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</si>
  <si>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</si>
  <si>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</si>
  <si>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</si>
  <si>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</si>
  <si>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</si>
  <si>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</si>
  <si>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</si>
  <si>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</si>
  <si>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</si>
  <si>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</si>
  <si>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3 DIAS HABILES</t>
  </si>
  <si>
    <t>N° 12086</t>
  </si>
  <si>
    <t>LIME 21163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</si>
</sst>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25913</xdr:rowOff>
    </xdr:from>
    <xdr:to>
      <xdr:col>5</xdr:col>
      <xdr:colOff>1728839</xdr:colOff>
      <xdr:row>26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84" zoomScaleNormal="84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46119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60437.423971377459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2.5</v>
      </c>
      <c r="E21" s="332">
        <v>0.65</v>
      </c>
      <c r="F21" s="330" t="s">
        <v>174</v>
      </c>
      <c r="G21" s="331">
        <v>104354</v>
      </c>
      <c r="H21" s="331">
        <f t="shared" ref="H21" si="1">G21*B21</f>
        <v>104354</v>
      </c>
      <c r="I21" s="320"/>
      <c r="J21" s="265"/>
      <c r="K21" s="47"/>
      <c r="L21" s="333">
        <f>B21</f>
        <v>1</v>
      </c>
      <c r="M21" s="39">
        <f>D21+M$19</f>
        <v>2.58</v>
      </c>
      <c r="N21" s="39">
        <f t="shared" ref="N21" si="2">E21+$N$19</f>
        <v>0.65</v>
      </c>
      <c r="O21" s="261">
        <f t="shared" ref="O21" si="3">M21*N21</f>
        <v>1.677</v>
      </c>
      <c r="P21" s="259">
        <f t="shared" ref="P21" si="4">O21*L21</f>
        <v>1.677</v>
      </c>
      <c r="Q21" s="252">
        <f t="shared" ref="Q21" si="5">Q$20*O21</f>
        <v>101353.56</v>
      </c>
      <c r="R21" s="319">
        <f t="shared" ref="R21" si="6">Q21+R$20</f>
        <v>104353.56</v>
      </c>
      <c r="S21" s="297">
        <f t="shared" ref="S21" si="7">L21*M21</f>
        <v>2.58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3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104354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19827.260000000002</v>
      </c>
      <c r="I25" s="322"/>
      <c r="J25" s="265"/>
      <c r="K25" s="47"/>
      <c r="L25" s="47"/>
      <c r="M25" s="39">
        <f>SUM(M21:M24)</f>
        <v>2.58</v>
      </c>
      <c r="N25" s="12"/>
      <c r="O25" s="12"/>
      <c r="P25" s="253">
        <f>SUM(P21:P23)</f>
        <v>1.677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124181.26000000001</v>
      </c>
      <c r="I26" s="322"/>
      <c r="J26" s="265"/>
      <c r="K26" s="47"/>
      <c r="L26" s="47"/>
      <c r="M26" s="39"/>
      <c r="N26" s="12"/>
      <c r="O26" s="12"/>
      <c r="P26" s="253">
        <f>P25</f>
        <v>1.677</v>
      </c>
      <c r="Q26" s="14"/>
      <c r="R26" s="12"/>
      <c r="S26" s="239">
        <f>SUM(S21:S25)</f>
        <v>2.58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0.33540000000000003</v>
      </c>
      <c r="Q27" s="39" t="s">
        <v>130</v>
      </c>
      <c r="R27" s="42"/>
      <c r="S27" s="240">
        <f>S26+T24</f>
        <v>2.58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2.0124</v>
      </c>
      <c r="Q28" s="14"/>
      <c r="R28" s="14"/>
      <c r="S28" s="238">
        <f>S27*20%</f>
        <v>0.51600000000000001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3.0960000000000001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2.0124</v>
      </c>
      <c r="N30" s="12">
        <v>1500</v>
      </c>
      <c r="O30" s="12">
        <f t="shared" ref="O30:O35" si="8">M30*N30</f>
        <v>3018.6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24910</v>
      </c>
      <c r="O31" s="12">
        <f t="shared" si="8"/>
        <v>12455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23500</v>
      </c>
      <c r="O32" s="12">
        <f t="shared" si="8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1</v>
      </c>
      <c r="N33" s="250">
        <v>31500</v>
      </c>
      <c r="O33" s="12">
        <f t="shared" si="8"/>
        <v>31500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15700</v>
      </c>
      <c r="O34" s="12">
        <f t="shared" si="8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2.58</v>
      </c>
      <c r="N35" s="12">
        <v>500</v>
      </c>
      <c r="O35" s="12">
        <f t="shared" si="8"/>
        <v>1290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48263.6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101353.56</v>
      </c>
      <c r="P37" s="14" t="s">
        <v>140</v>
      </c>
      <c r="Q37" s="14"/>
      <c r="R37" s="40">
        <f>P28/R36</f>
        <v>0.43986885245901636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60437.423971377459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12086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-4932.7183667874415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104354</v>
      </c>
      <c r="E11" s="132">
        <f>D11*0.19</f>
        <v>19827.260000000002</v>
      </c>
      <c r="F11" s="131">
        <f>E11+D11</f>
        <v>124181.26000000001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101057.28163321255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45307.690787439613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83057.281633212551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59046.309212560387</v>
      </c>
      <c r="E13" s="221">
        <f>(D11/D12)-1</f>
        <v>1.3032292793198246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74057.281633212551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35057.281633212559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74757.689799275351</v>
      </c>
      <c r="F15" s="216">
        <f>E15-D12</f>
        <v>29449.999011835738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35057.281633212559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75057.281633212551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12455</v>
      </c>
      <c r="E19" s="123">
        <f>D19*0.19</f>
        <v>2366.4499999999998</v>
      </c>
      <c r="F19" s="120">
        <f>SUM(D19:E19)</f>
        <v>14821.45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3018.6</v>
      </c>
      <c r="E20" s="121">
        <f>D20*0.19</f>
        <v>573.53399999999999</v>
      </c>
      <c r="F20" s="120">
        <f>SUM(D20:E20)</f>
        <v>3592.134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15473.6</v>
      </c>
      <c r="E21" s="116">
        <f>SUM(E18:E20)</f>
        <v>2939.9839999999999</v>
      </c>
      <c r="F21" s="115">
        <f>SUM(F18:F20)</f>
        <v>18413.584000000003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16887.276000000002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104354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15473.6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59046.309212560387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59046.309212560387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2026-04-07T21:09:52Z</dcterms:modified>
</cp:coreProperties>
</file>