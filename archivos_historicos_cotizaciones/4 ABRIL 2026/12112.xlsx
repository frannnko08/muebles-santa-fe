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52C27781-74AE-4149-A3E9-2269F4905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<sst xmlns="http://schemas.openxmlformats.org/spreadsheetml/2006/main" count="486" uniqueCount="295">
  <si>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</si>
  <si>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</si>
  <si>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</si>
  <si>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</si>
  <si>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</si>
  <si>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</si>
  <si>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</si>
  <si>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</si>
  <si>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</si>
  <si>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</si>
  <si>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</si>
  <si>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</si>
  <si>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</si>
  <si>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</si>
  <si>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</si>
  <si>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</si>
  <si>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</si>
  <si>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</si>
  <si>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</si>
  <si>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</si>
  <si>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</si>
  <si>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</si>
  <si>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</si>
  <si>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</si>
  <si>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</si>
  <si>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</si>
  <si>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</si>
  <si>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</si>
  <si>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</si>
  <si>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</si>
  <si>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</si>
  <si>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</si>
  <si>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</si>
  <si>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</si>
  <si>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</si>
  <si>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</si>
  <si>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</si>
  <si>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</si>
  <si>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</si>
  <si>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</si>
  <si>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</si>
  <si>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</si>
  <si>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</si>
  <si>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</si>
  <si>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</si>
  <si>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</si>
  <si>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</si>
  <si>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</si>
  <si>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</si>
  <si>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</si>
  <si>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</si>
  <si>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</si>
  <si>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</si>
  <si>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</si>
  <si>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</si>
  <si>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</si>
  <si>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</si>
  <si>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</si>
  <si>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</si>
  <si>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</si>
  <si>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</si>
  <si>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</si>
  <si>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</si>
  <si>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</si>
  <si>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</si>
  <si>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</si>
  <si>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</si>
  <si>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</si>
  <si>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</si>
  <si>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</si>
  <si>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</si>
  <si>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</si>
  <si>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</si>
  <si>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</si>
  <si>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</si>
  <si>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</si>
  <si>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</si>
  <si>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</si>
  <si>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</si>
  <si>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</si>
  <si>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</si>
  <si>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</si>
  <si>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</si>
  <si>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</si>
  <si>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</si>
  <si>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</si>
  <si>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</si>
  <si>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</si>
  <si>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</si>
  <si>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</si>
  <si>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</si>
  <si>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</si>
  <si>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</si>
  <si>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</si>
  <si>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</si>
  <si>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</si>
  <si>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</si>
  <si>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</si>
  <si>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</si>
  <si>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</si>
  <si>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</si>
  <si>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</si>
  <si>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</si>
  <si>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</si>
  <si>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</si>
  <si>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</si>
  <si>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</si>
  <si>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</si>
  <si>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</si>
  <si>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</si>
  <si>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</si>
  <si>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</si>
  <si>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</si>
  <si>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</si>
  <si>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</si>
  <si>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</si>
  <si>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</si>
  <si>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</si>
  <si>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</si>
  <si>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</si>
  <si>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</si>
  <si>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</si>
  <si>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</si>
  <si>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</si>
  <si>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</si>
  <si>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</si>
  <si>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</si>
  <si>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</si>
  <si>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</si>
  <si>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</si>
  <si>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</si>
  <si>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</si>
  <si>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</si>
  <si>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</si>
  <si>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</si>
  <si>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</si>
  <si>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</si>
  <si>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</si>
  <si>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</si>
  <si>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</si>
  <si>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</si>
  <si>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</si>
  <si>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</si>
  <si>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</si>
  <si>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</si>
  <si>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</si>
  <si>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</si>
  <si>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</si>
  <si>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</si>
  <si>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</si>
  <si>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</si>
  <si>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</si>
  <si>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</si>
  <si>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</si>
  <si>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</si>
  <si>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</si>
  <si>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</si>
  <si>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</si>
  <si>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</si>
  <si>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</si>
  <si>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</si>
  <si>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</si>
  <si>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</si>
  <si>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</si>
  <si>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</si>
  <si>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</si>
  <si>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</si>
  <si>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</si>
  <si>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</si>
  <si>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</si>
  <si>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</si>
  <si>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</si>
  <si>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</si>
  <si>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</si>
  <si>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</si>
  <si>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</si>
  <si>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</si>
  <si>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</si>
  <si>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</si>
  <si>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</si>
  <si>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</si>
  <si>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</si>
  <si>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</si>
  <si>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</si>
  <si>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</si>
  <si>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</si>
  <si>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</si>
  <si>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</si>
  <si>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</si>
  <si>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</si>
  <si>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</si>
  <si>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</si>
  <si>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</si>
  <si>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</si>
  <si>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</si>
  <si>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</si>
  <si>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</si>
  <si>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</si>
  <si>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</si>
  <si>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</si>
  <si>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</si>
  <si>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</si>
  <si>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</si>
  <si>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</si>
  <si>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</si>
  <si>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</si>
  <si>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</si>
  <si>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</si>
  <si>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</si>
  <si>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</si>
  <si>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</si>
  <si>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</si>
  <si>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</si>
  <si>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</si>
  <si>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</si>
  <si>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</si>
  <si>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</si>
  <si>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</si>
  <si>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</si>
  <si>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</si>
  <si>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</si>
  <si>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</si>
  <si>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</si>
  <si>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</si>
  <si>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</si>
  <si>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</si>
  <si>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</si>
  <si>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</si>
  <si>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</si>
  <si>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</si>
  <si>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</si>
  <si>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</si>
  <si>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</si>
  <si>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</si>
  <si>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</si>
  <si>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</si>
  <si>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</si>
  <si>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</si>
  <si>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</si>
  <si>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</si>
  <si>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</si>
  <si>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</si>
  <si>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</si>
  <si>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</si>
  <si>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</si>
  <si>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</si>
  <si>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</si>
  <si>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</si>
  <si>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</si>
  <si>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</si>
  <si>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</si>
  <si>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</si>
  <si>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</si>
  <si>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</si>
  <si>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</si>
  <si>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</si>
  <si>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</si>
  <si>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</si>
  <si>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</si>
  <si>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</si>
  <si>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</si>
  <si>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</si>
  <si>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</si>
  <si>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</si>
  <si>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</si>
  <si>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</si>
  <si>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</si>
  <si>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</si>
  <si>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</si>
  <si>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</si>
  <si>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</si>
  <si>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</si>
  <si>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</si>
  <si>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</si>
  <si>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</si>
  <si>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</si>
  <si>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</si>
  <si>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</si>
  <si>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</si>
  <si>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</si>
  <si>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</si>
  <si>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</si>
  <si>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</si>
  <si>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</si>
  <si>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</si>
  <si>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</si>
  <si>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</si>
  <si>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</si>
  <si>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SANTIAGO</t>
  </si>
  <si>
    <t>SI</t>
  </si>
  <si>
    <t>NEGRO MT</t>
  </si>
  <si>
    <t>CUB MESA 2 LADOS FTE 90°</t>
  </si>
  <si>
    <t>VICTOR PEREZ</t>
  </si>
  <si>
    <t>N° 12112</t>
  </si>
  <si>
    <t>+569 6190 7765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</si>
</sst>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153629</xdr:rowOff>
    </xdr:from>
    <xdr:to>
      <xdr:col>5</xdr:col>
      <xdr:colOff>1736459</xdr:colOff>
      <xdr:row>24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46142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289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294</v>
      </c>
      <c r="D15" s="424"/>
      <c r="F15" s="29" t="s">
        <v>284</v>
      </c>
      <c r="G15" s="75" t="s">
        <v>289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288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57370.714285714275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291</v>
      </c>
      <c r="D21" s="431">
        <v>3</v>
      </c>
      <c r="E21" s="431">
        <v>0.8</v>
      </c>
      <c r="F21" s="312" t="s">
        <v>290</v>
      </c>
      <c r="G21" s="313">
        <f>Q21</f>
        <v>141361.44</v>
      </c>
      <c r="H21" s="432">
        <f>G21*B21</f>
        <v>141361.44</v>
      </c>
      <c r="I21" s="305"/>
      <c r="J21" s="264"/>
      <c r="K21" s="47"/>
      <c r="L21" s="47">
        <f>B21</f>
        <v>1</v>
      </c>
      <c r="M21" s="39">
        <f>D21+M$19</f>
        <v>3.08</v>
      </c>
      <c r="N21" s="39">
        <f>E21+$N$19</f>
        <v>0.8</v>
      </c>
      <c r="O21" s="260">
        <f t="shared" ref="O21" si="0">M21*N21</f>
        <v>2.4640000000000004</v>
      </c>
      <c r="P21" s="258">
        <f t="shared" ref="P21" si="1">O21*L21</f>
        <v>2.4640000000000004</v>
      </c>
      <c r="Q21" s="251">
        <f t="shared" ref="Q21" si="2">Q$20*O21</f>
        <v>141361.44</v>
      </c>
      <c r="R21" s="304">
        <f t="shared" ref="R21" si="3">Q21+R$20</f>
        <v>144361.44</v>
      </c>
      <c r="S21" s="290">
        <f>M21*L21</f>
        <v>3.08</v>
      </c>
      <c r="T21" s="46">
        <f>N21*2*L21*2</f>
        <v>3.2</v>
      </c>
      <c r="U21" s="9"/>
      <c r="X21" s="4"/>
    </row>
    <row r="22" spans="1:25" ht="18" thickBot="1" x14ac:dyDescent="0.35">
      <c r="B22" s="283"/>
      <c r="C22" s="324"/>
      <c r="D22" s="284"/>
      <c r="E22" s="284"/>
      <c r="F22" s="283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9" t="s">
        <v>28</v>
      </c>
      <c r="H23" s="310">
        <f>SUM(H21:H21)</f>
        <v>141361.44</v>
      </c>
      <c r="I23" s="307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3.2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26858.673600000002</v>
      </c>
      <c r="I24" s="307"/>
      <c r="J24" s="264"/>
      <c r="K24" s="47"/>
      <c r="L24" s="47"/>
      <c r="M24" s="39">
        <f>SUM(M21:M23)</f>
        <v>3.08</v>
      </c>
      <c r="N24" s="12"/>
      <c r="O24" s="12"/>
      <c r="P24" s="252">
        <f>SUM(P21:P22)</f>
        <v>2.4640000000000004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168220.11360000001</v>
      </c>
      <c r="I25" s="307"/>
      <c r="J25" s="264"/>
      <c r="K25" s="47"/>
      <c r="L25" s="47"/>
      <c r="M25" s="39"/>
      <c r="N25" s="12"/>
      <c r="O25" s="12"/>
      <c r="P25" s="252">
        <f>P24</f>
        <v>2.4640000000000004</v>
      </c>
      <c r="Q25" s="14"/>
      <c r="R25" s="12"/>
      <c r="S25" s="239">
        <f>SUM(S21:S24)</f>
        <v>3.08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0.49280000000000013</v>
      </c>
      <c r="Q26" s="39" t="s">
        <v>129</v>
      </c>
      <c r="R26" s="42"/>
      <c r="S26" s="240">
        <f>S25+T23</f>
        <v>6.28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2.9568000000000003</v>
      </c>
      <c r="Q27" s="14"/>
      <c r="R27" s="14"/>
      <c r="S27" s="238">
        <f>S26*20%</f>
        <v>1.2560000000000002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7.5360000000000005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2.9568000000000003</v>
      </c>
      <c r="N29" s="12">
        <v>4000</v>
      </c>
      <c r="O29" s="12">
        <f t="shared" ref="O29:O34" si="4">M29*N29</f>
        <v>11827.2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0.8</v>
      </c>
      <c r="N30" s="12">
        <v>24910</v>
      </c>
      <c r="O30" s="12">
        <f t="shared" si="4"/>
        <v>19928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32500</v>
      </c>
      <c r="O32" s="12">
        <f t="shared" si="4"/>
        <v>32500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64255.199999999997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141361.44</v>
      </c>
      <c r="P36" s="14" t="s">
        <v>138</v>
      </c>
      <c r="Q36" s="14"/>
      <c r="R36" s="40">
        <f>P27/R35</f>
        <v>0.79723899913718732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57370.714285714275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46142</v>
      </c>
    </row>
    <row r="6" spans="2:31" ht="16.2" thickBot="1" x14ac:dyDescent="0.35">
      <c r="B6" s="140" t="s">
        <v>2</v>
      </c>
      <c r="C6" s="139" t="str">
        <f>'2229'!C10</f>
        <v>VICTOR PEREZ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-6623.1850334541059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141361.44</v>
      </c>
      <c r="E11" s="132">
        <f>D11*0.19</f>
        <v>26858.673600000002</v>
      </c>
      <c r="F11" s="131">
        <f>E11+D11</f>
        <v>168220.11360000001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99366.814966545891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61589.290787439619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81366.814966545891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79772.149212560384</v>
      </c>
      <c r="E13" s="221">
        <f>(D11/D12)-1</f>
        <v>1.2952275987050159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72366.814966545891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33366.814966545891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101622.32979927537</v>
      </c>
      <c r="F15" s="216">
        <f>E15-D12</f>
        <v>40033.039011835746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33366.814966545891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73366.814966545891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19928</v>
      </c>
      <c r="E19" s="123">
        <f>D19*0.19</f>
        <v>3786.32</v>
      </c>
      <c r="F19" s="120">
        <f>SUM(D19:E19)</f>
        <v>23714.32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11827.2</v>
      </c>
      <c r="E20" s="121">
        <f>D20*0.19</f>
        <v>2247.1680000000001</v>
      </c>
      <c r="F20" s="120">
        <f>SUM(D20:E20)</f>
        <v>14074.368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31755.200000000001</v>
      </c>
      <c r="E21" s="116">
        <f>SUM(E18:E20)</f>
        <v>6033.4880000000003</v>
      </c>
      <c r="F21" s="115">
        <f>SUM(F18:F20)</f>
        <v>37788.688000000002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20825.185600000001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141361.44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31755.200000000001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79772.149212560384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79772.149212560384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12112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VICTOR PEREZ</v>
      </c>
      <c r="D10" s="349"/>
      <c r="E10" s="349"/>
      <c r="F10" s="350" t="s">
        <v>167</v>
      </c>
      <c r="G10" s="351">
        <f>'2229'!G10</f>
        <v>46142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46149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SI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+569 6190 7765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MESA 2 LADOS FTE 90°</v>
      </c>
      <c r="D22" s="320">
        <f>'2229'!D21*1000</f>
        <v>3000</v>
      </c>
      <c r="E22" s="320">
        <f>'2229'!E21*1000</f>
        <v>800</v>
      </c>
      <c r="F22" s="321" t="str">
        <f>'2229'!F21</f>
        <v>NEGRO MT</v>
      </c>
      <c r="G22" s="313">
        <f>'2229'!G21</f>
        <v>141361.44</v>
      </c>
      <c r="H22" s="322">
        <f>G22*B22</f>
        <v>141361.44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141361.44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26858.673600000002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168220.11360000001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VICTOR PEREZ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46142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12112</v>
      </c>
      <c r="C2" s="1">
        <f>'NOTA DE VENTA'!$G$10</f>
        <v>46142</v>
      </c>
      <c r="D2" s="1">
        <f>'NOTA DE VENTA'!$G$11</f>
        <v>46149</v>
      </c>
      <c r="E2" t="str">
        <f>'NOTA DE VENTA'!$C$10</f>
        <v>VICTOR PEREZ</v>
      </c>
      <c r="F2" t="str">
        <f>'NOTA DE VENTA'!$C$22</f>
        <v>CUB MESA 2 LADOS FTE 90°</v>
      </c>
      <c r="G2" t="str">
        <f>'NOTA DE VENTA'!$F$22</f>
        <v>NEGRO MT</v>
      </c>
      <c r="H2" s="415">
        <f>'NOTA DE VENTA'!$H$25</f>
        <v>141361.44</v>
      </c>
      <c r="I2" s="415">
        <f>H2*0.19</f>
        <v>26858.673600000002</v>
      </c>
      <c r="J2" s="415">
        <f>I2+H2</f>
        <v>168220.11360000001</v>
      </c>
      <c r="L2" s="61">
        <f>J2-K2</f>
        <v>168220.11360000001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2026-04-30T21:14:28Z</cp:lastPrinted>
  <dcterms:created xsi:type="dcterms:W3CDTF">2013-03-18T13:35:42Z</dcterms:created>
  <dcterms:modified xsi:type="dcterms:W3CDTF">2026-05-05T04:26:01Z</dcterms:modified>
</cp:coreProperties>
</file>