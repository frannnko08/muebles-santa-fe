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9E2F3645-83E9-4221-98C0-20B77C408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O22" i="1" s="1"/>
  <c r="P22" i="1" s="1"/>
  <c r="N22" i="1"/>
  <c r="T22" i="1" s="1"/>
  <c r="L23" i="1"/>
  <c r="M23" i="1"/>
  <c r="S23" i="1" s="1"/>
  <c r="N23" i="1"/>
  <c r="O23" i="1" s="1"/>
  <c r="L24" i="1"/>
  <c r="M24" i="1"/>
  <c r="N24" i="1"/>
  <c r="T24" i="1" s="1"/>
  <c r="L25" i="1"/>
  <c r="M25" i="1"/>
  <c r="N25" i="1"/>
  <c r="T25" i="1"/>
  <c r="L26" i="1"/>
  <c r="M26" i="1"/>
  <c r="S26" i="1" s="1"/>
  <c r="N26" i="1"/>
  <c r="T26" i="1" s="1"/>
  <c r="L21" i="1"/>
  <c r="M21" i="1"/>
  <c r="N21" i="1"/>
  <c r="O26" i="1" l="1"/>
  <c r="P26" i="1" s="1"/>
  <c r="O24" i="1"/>
  <c r="O25" i="1"/>
  <c r="P25" i="1" s="1"/>
  <c r="S22" i="1"/>
  <c r="P24" i="1"/>
  <c r="P23" i="1"/>
  <c r="S25" i="1"/>
  <c r="S24" i="1"/>
  <c r="T23" i="1"/>
  <c r="T21" i="1"/>
  <c r="S21" i="1"/>
  <c r="O21" i="1"/>
  <c r="P21" i="1" s="1"/>
  <c r="N5" i="6"/>
  <c r="A2" i="7"/>
  <c r="P29" i="1" l="1"/>
  <c r="S30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9" i="1"/>
  <c r="L29" i="1" s="1"/>
  <c r="T28" i="1" l="1"/>
  <c r="S31" i="1" s="1"/>
  <c r="K43" i="1"/>
  <c r="S32" i="1" l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4" i="1" l="1"/>
  <c r="Q26" i="1"/>
  <c r="Q25" i="1"/>
  <c r="Q23" i="1"/>
  <c r="Q22" i="1"/>
  <c r="Q21" i="1"/>
  <c r="O43" i="1"/>
  <c r="E15" i="3"/>
  <c r="R23" i="1" l="1"/>
  <c r="H23" i="1" s="1"/>
  <c r="R26" i="1"/>
  <c r="H26" i="1" s="1"/>
  <c r="R25" i="1"/>
  <c r="H25" i="1" s="1"/>
  <c r="R24" i="1"/>
  <c r="H24" i="1" s="1"/>
  <c r="R22" i="1"/>
  <c r="H22" i="1" s="1"/>
  <c r="R21" i="1"/>
  <c r="H21" i="1"/>
  <c r="F15" i="3"/>
  <c r="H28" i="1" l="1"/>
  <c r="D11" i="3" s="1"/>
  <c r="X9" i="3" s="1"/>
  <c r="X15" i="3" s="1"/>
  <c r="H29" i="1"/>
  <c r="H30" i="1" s="1"/>
  <c r="G22" i="4"/>
  <c r="H22" i="4" s="1"/>
  <c r="H25" i="4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<sst xmlns="http://schemas.openxmlformats.org/spreadsheetml/2006/main" count="496" uniqueCount="296">
  <si>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</si>
  <si>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</si>
  <si>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</si>
  <si>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</si>
  <si>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</si>
  <si>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</si>
  <si>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</si>
  <si>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</si>
  <si>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</si>
  <si>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</si>
  <si>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</si>
  <si>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</si>
  <si>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</si>
  <si>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</si>
  <si>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</si>
  <si>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</si>
  <si>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</si>
  <si>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</si>
  <si>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</si>
  <si>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</si>
  <si>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</si>
  <si>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</si>
  <si>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</si>
  <si>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</si>
  <si>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</si>
  <si>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</si>
  <si>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</si>
  <si>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</si>
  <si>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</si>
  <si>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</si>
  <si>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</si>
  <si>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</si>
  <si>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</si>
  <si>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</si>
  <si>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</si>
  <si>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</si>
  <si>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</si>
  <si>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</si>
  <si>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</si>
  <si>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</si>
  <si>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</si>
  <si>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</si>
  <si>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</si>
  <si>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</si>
  <si>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</si>
  <si>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</si>
  <si>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</si>
  <si>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</si>
  <si>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</si>
  <si>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</si>
  <si>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</si>
  <si>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</si>
  <si>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</si>
  <si>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</si>
  <si>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</si>
  <si>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</si>
  <si>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</si>
  <si>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</si>
  <si>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</si>
  <si>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</si>
  <si>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</si>
  <si>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</si>
  <si>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</si>
  <si>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</si>
  <si>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</si>
  <si>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</si>
  <si>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</si>
  <si>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</si>
  <si>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</si>
  <si>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</si>
  <si>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</si>
  <si>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</si>
  <si>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</si>
  <si>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</si>
  <si>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</si>
  <si>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</si>
  <si>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</si>
  <si>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</si>
  <si>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</si>
  <si>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</si>
  <si>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</si>
  <si>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</si>
  <si>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</si>
  <si>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</si>
  <si>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</si>
  <si>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</si>
  <si>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</si>
  <si>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</si>
  <si>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</si>
  <si>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</si>
  <si>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</si>
  <si>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</si>
  <si>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</si>
  <si>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</si>
  <si>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</si>
  <si>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</si>
  <si>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</si>
  <si>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</si>
  <si>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</si>
  <si>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</si>
  <si>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</si>
  <si>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</si>
  <si>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</si>
  <si>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</si>
  <si>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</si>
  <si>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</si>
  <si>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</si>
  <si>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</si>
  <si>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</si>
  <si>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</si>
  <si>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</si>
  <si>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</si>
  <si>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</si>
  <si>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</si>
  <si>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</si>
  <si>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</si>
  <si>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</si>
  <si>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</si>
  <si>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</si>
  <si>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</si>
  <si>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</si>
  <si>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</si>
  <si>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</si>
  <si>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</si>
  <si>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</si>
  <si>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</si>
  <si>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</si>
  <si>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</si>
  <si>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</si>
  <si>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</si>
  <si>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</si>
  <si>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</si>
  <si>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</si>
  <si>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</si>
  <si>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</si>
  <si>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</si>
  <si>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</si>
  <si>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</si>
  <si>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</si>
  <si>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</si>
  <si>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</si>
  <si>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</si>
  <si>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</si>
  <si>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</si>
  <si>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</si>
  <si>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</si>
  <si>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</si>
  <si>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</si>
  <si>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</si>
  <si>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</si>
  <si>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</si>
  <si>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</si>
  <si>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</si>
  <si>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</si>
  <si>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</si>
  <si>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</si>
  <si>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</si>
  <si>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</si>
  <si>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</si>
  <si>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</si>
  <si>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</si>
  <si>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</si>
  <si>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</si>
  <si>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</si>
  <si>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</si>
  <si>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</si>
  <si>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</si>
  <si>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</si>
  <si>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</si>
  <si>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</si>
  <si>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</si>
  <si>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</si>
  <si>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</si>
  <si>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</si>
  <si>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</si>
  <si>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</si>
  <si>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</si>
  <si>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</si>
  <si>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</si>
  <si>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</si>
  <si>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</si>
  <si>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</si>
  <si>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</si>
  <si>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</si>
  <si>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</si>
  <si>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</si>
  <si>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</si>
  <si>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</si>
  <si>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</si>
  <si>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</si>
  <si>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</si>
  <si>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</si>
  <si>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</si>
  <si>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</si>
  <si>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</si>
  <si>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</si>
  <si>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</si>
  <si>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</si>
  <si>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</si>
  <si>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</si>
  <si>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</si>
  <si>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</si>
  <si>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</si>
  <si>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</si>
  <si>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</si>
  <si>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</si>
  <si>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</si>
  <si>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</si>
  <si>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</si>
  <si>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</si>
  <si>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</si>
  <si>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</si>
  <si>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</si>
  <si>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</si>
  <si>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</si>
  <si>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</si>
  <si>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</si>
  <si>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</si>
  <si>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</si>
  <si>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</si>
  <si>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</si>
  <si>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</si>
  <si>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</si>
  <si>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</si>
  <si>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</si>
  <si>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</si>
  <si>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</si>
  <si>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</si>
  <si>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</si>
  <si>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</si>
  <si>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</si>
  <si>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</si>
  <si>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</si>
  <si>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</si>
  <si>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</si>
  <si>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</si>
  <si>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</si>
  <si>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</si>
  <si>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</si>
  <si>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</si>
  <si>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</si>
  <si>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</si>
  <si>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</si>
  <si>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</si>
  <si>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</si>
  <si>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</si>
  <si>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</si>
  <si>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</si>
  <si>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</si>
  <si>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</si>
  <si>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</si>
  <si>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</si>
  <si>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</si>
  <si>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</si>
  <si>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</si>
  <si>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</si>
  <si>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</si>
  <si>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</si>
  <si>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</si>
  <si>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</si>
  <si>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</si>
  <si>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</si>
  <si>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</si>
  <si>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</si>
  <si>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</si>
  <si>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</si>
  <si>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</si>
  <si>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</si>
  <si>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</si>
  <si>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</si>
  <si>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</si>
  <si>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</si>
  <si>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</si>
  <si>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</si>
  <si>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</si>
  <si>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</si>
  <si>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</si>
  <si>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</si>
  <si>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</si>
  <si>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</si>
  <si>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</si>
  <si>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</si>
  <si>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</si>
  <si>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</si>
  <si>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</si>
  <si>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</si>
  <si>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</si>
  <si>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</si>
  <si>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PUERTA POSTFORMADA R6</t>
  </si>
  <si>
    <t>HAYA 1750 MT</t>
  </si>
  <si>
    <t>LAMINA 305*123</t>
  </si>
  <si>
    <t>LUIS SANTOS</t>
  </si>
  <si>
    <t>N° 12080</t>
  </si>
  <si>
    <t>8 DIAS HABILES</t>
  </si>
  <si>
    <t>SI</t>
  </si>
  <si>
    <t xml:space="preserve">+56 9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</si>
</sst>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215079</xdr:rowOff>
    </xdr:from>
    <xdr:to>
      <xdr:col>5</xdr:col>
      <xdr:colOff>1732649</xdr:colOff>
      <xdr:row>29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PUERTAS SE ENTREGAN ENCHAPADAS CON TAPACANTO PVC 0,45MM LO MAS PARECIDO A LA LAMINA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 18MM TRASCARA BLANCA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6" zoomScale="93" zoomScaleNormal="93" workbookViewId="0">
      <selection activeCell="J16" sqref="J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291</v>
      </c>
      <c r="D10" s="243"/>
      <c r="E10" s="243"/>
      <c r="F10" s="418" t="s">
        <v>275</v>
      </c>
      <c r="G10" s="275">
        <v>46120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 t="s">
        <v>293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3" t="s">
        <v>294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295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  <c r="J16">
        <v>712556</v>
      </c>
    </row>
    <row r="17" spans="2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0" t="s">
        <v>94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O42</f>
        <v>98696.54320987656</v>
      </c>
      <c r="R20" s="257">
        <v>3000</v>
      </c>
      <c r="S20" s="38"/>
      <c r="T20" s="14" t="s">
        <v>126</v>
      </c>
      <c r="U20" s="9"/>
      <c r="X20" s="4"/>
    </row>
    <row r="21" spans="2:25" ht="18" thickBot="1" x14ac:dyDescent="0.35">
      <c r="B21" s="432">
        <v>2</v>
      </c>
      <c r="C21" s="433" t="s">
        <v>288</v>
      </c>
      <c r="D21" s="434">
        <v>0.4</v>
      </c>
      <c r="E21" s="434">
        <v>0.84</v>
      </c>
      <c r="F21" s="435" t="s">
        <v>289</v>
      </c>
      <c r="G21" s="436">
        <v>35347</v>
      </c>
      <c r="H21" s="437">
        <f>G21*B21</f>
        <v>70694</v>
      </c>
      <c r="I21" s="306"/>
      <c r="J21" s="264"/>
      <c r="K21" s="47"/>
      <c r="L21" s="47">
        <f t="shared" ref="L21" si="0">B21</f>
        <v>2</v>
      </c>
      <c r="M21" s="39">
        <f t="shared" ref="M21" si="1">D21+M$19</f>
        <v>0.45</v>
      </c>
      <c r="N21" s="39">
        <f t="shared" ref="N21" si="2">E21+$N$19</f>
        <v>0.84</v>
      </c>
      <c r="O21" s="260">
        <f t="shared" ref="O21" si="3">M21*N21</f>
        <v>0.378</v>
      </c>
      <c r="P21" s="258">
        <f t="shared" ref="P21" si="4">O21*L21</f>
        <v>0.75600000000000001</v>
      </c>
      <c r="Q21" s="251">
        <f t="shared" ref="Q21" si="5">Q$20*O21</f>
        <v>37307.293333333342</v>
      </c>
      <c r="R21" s="305">
        <f t="shared" ref="R21" si="6">Q21+R$20</f>
        <v>40307.293333333342</v>
      </c>
      <c r="S21" s="290">
        <f>M21*L21*2</f>
        <v>1.8</v>
      </c>
      <c r="T21" s="46">
        <f>N21*L21*2</f>
        <v>3.36</v>
      </c>
      <c r="U21" s="9"/>
      <c r="X21" s="4"/>
    </row>
    <row r="22" spans="2:25" ht="18" thickBot="1" x14ac:dyDescent="0.35">
      <c r="B22" s="432">
        <v>1</v>
      </c>
      <c r="C22" s="433" t="s">
        <v>288</v>
      </c>
      <c r="D22" s="434">
        <v>0.8</v>
      </c>
      <c r="E22" s="434">
        <v>0.54</v>
      </c>
      <c r="F22" s="435" t="s">
        <v>289</v>
      </c>
      <c r="G22" s="436">
        <v>41307</v>
      </c>
      <c r="H22" s="437">
        <f t="shared" ref="H22:H26" si="7">G22*B22</f>
        <v>41307</v>
      </c>
      <c r="I22" s="306"/>
      <c r="J22" s="264"/>
      <c r="K22" s="47"/>
      <c r="L22" s="47">
        <f t="shared" ref="L22:L26" si="8">B22</f>
        <v>1</v>
      </c>
      <c r="M22" s="39">
        <f t="shared" ref="M22:M26" si="9">D22+M$19</f>
        <v>0.85000000000000009</v>
      </c>
      <c r="N22" s="39">
        <f t="shared" ref="N22:N26" si="10">E22+$N$19</f>
        <v>0.54</v>
      </c>
      <c r="O22" s="260">
        <f t="shared" ref="O22:O26" si="11">M22*N22</f>
        <v>0.45900000000000007</v>
      </c>
      <c r="P22" s="258">
        <f t="shared" ref="P22:P26" si="12">O22*L22</f>
        <v>0.45900000000000007</v>
      </c>
      <c r="Q22" s="251">
        <f t="shared" ref="Q22:Q26" si="13">Q$20*O22</f>
        <v>45301.713333333348</v>
      </c>
      <c r="R22" s="305">
        <f t="shared" ref="R22:R26" si="14">Q22+R$20</f>
        <v>48301.713333333348</v>
      </c>
      <c r="S22" s="290">
        <f t="shared" ref="S22:S26" si="15">M22*L22*2</f>
        <v>1.7000000000000002</v>
      </c>
      <c r="T22" s="46">
        <f t="shared" ref="T22:T26" si="16">N22*L22*2</f>
        <v>1.08</v>
      </c>
      <c r="U22" s="9"/>
      <c r="X22" s="4"/>
    </row>
    <row r="23" spans="2:25" ht="18" thickBot="1" x14ac:dyDescent="0.35">
      <c r="B23" s="432">
        <v>1</v>
      </c>
      <c r="C23" s="433" t="s">
        <v>288</v>
      </c>
      <c r="D23" s="434">
        <v>0.8</v>
      </c>
      <c r="E23" s="434">
        <v>0.15</v>
      </c>
      <c r="F23" s="435" t="s">
        <v>289</v>
      </c>
      <c r="G23" s="436">
        <v>13641</v>
      </c>
      <c r="H23" s="437">
        <f t="shared" si="7"/>
        <v>13641</v>
      </c>
      <c r="I23" s="306"/>
      <c r="J23" s="264"/>
      <c r="K23" s="47"/>
      <c r="L23" s="47">
        <f t="shared" si="8"/>
        <v>1</v>
      </c>
      <c r="M23" s="39">
        <f t="shared" si="9"/>
        <v>0.85000000000000009</v>
      </c>
      <c r="N23" s="39">
        <f t="shared" si="10"/>
        <v>0.15</v>
      </c>
      <c r="O23" s="260">
        <f t="shared" si="11"/>
        <v>0.1275</v>
      </c>
      <c r="P23" s="258">
        <f t="shared" si="12"/>
        <v>0.1275</v>
      </c>
      <c r="Q23" s="251">
        <f t="shared" si="13"/>
        <v>12583.809259259262</v>
      </c>
      <c r="R23" s="305">
        <f t="shared" si="14"/>
        <v>15583.809259259262</v>
      </c>
      <c r="S23" s="290">
        <f t="shared" si="15"/>
        <v>1.7000000000000002</v>
      </c>
      <c r="T23" s="46">
        <f t="shared" si="16"/>
        <v>0.3</v>
      </c>
      <c r="U23" s="9"/>
      <c r="X23" s="4"/>
    </row>
    <row r="24" spans="2:25" ht="18" thickBot="1" x14ac:dyDescent="0.35">
      <c r="B24" s="432">
        <v>1</v>
      </c>
      <c r="C24" s="433" t="s">
        <v>288</v>
      </c>
      <c r="D24" s="434">
        <v>0.8</v>
      </c>
      <c r="E24" s="434">
        <v>0.4</v>
      </c>
      <c r="F24" s="435" t="s">
        <v>289</v>
      </c>
      <c r="G24" s="436">
        <v>31376</v>
      </c>
      <c r="H24" s="437">
        <f t="shared" si="7"/>
        <v>31376</v>
      </c>
      <c r="I24" s="306"/>
      <c r="J24" s="264"/>
      <c r="K24" s="47"/>
      <c r="L24" s="47">
        <f t="shared" si="8"/>
        <v>1</v>
      </c>
      <c r="M24" s="39">
        <f t="shared" si="9"/>
        <v>0.85000000000000009</v>
      </c>
      <c r="N24" s="39">
        <f t="shared" si="10"/>
        <v>0.4</v>
      </c>
      <c r="O24" s="260">
        <f t="shared" si="11"/>
        <v>0.34000000000000008</v>
      </c>
      <c r="P24" s="258">
        <f t="shared" si="12"/>
        <v>0.34000000000000008</v>
      </c>
      <c r="Q24" s="251">
        <f t="shared" si="13"/>
        <v>33556.824691358037</v>
      </c>
      <c r="R24" s="305">
        <f t="shared" si="14"/>
        <v>36556.824691358037</v>
      </c>
      <c r="S24" s="290">
        <f t="shared" si="15"/>
        <v>1.7000000000000002</v>
      </c>
      <c r="T24" s="46">
        <f t="shared" si="16"/>
        <v>0.8</v>
      </c>
      <c r="U24" s="9"/>
      <c r="X24" s="4"/>
    </row>
    <row r="25" spans="2:25" ht="18" thickBot="1" x14ac:dyDescent="0.35">
      <c r="B25" s="432">
        <v>1</v>
      </c>
      <c r="C25" s="433" t="s">
        <v>288</v>
      </c>
      <c r="D25" s="434">
        <v>0.8</v>
      </c>
      <c r="E25" s="434">
        <v>0.35</v>
      </c>
      <c r="F25" s="435" t="s">
        <v>289</v>
      </c>
      <c r="G25" s="436">
        <v>27829</v>
      </c>
      <c r="H25" s="437">
        <f t="shared" si="7"/>
        <v>27829</v>
      </c>
      <c r="I25" s="306"/>
      <c r="J25" s="264"/>
      <c r="K25" s="47"/>
      <c r="L25" s="47">
        <f t="shared" si="8"/>
        <v>1</v>
      </c>
      <c r="M25" s="39">
        <f t="shared" si="9"/>
        <v>0.85000000000000009</v>
      </c>
      <c r="N25" s="39">
        <f t="shared" si="10"/>
        <v>0.35</v>
      </c>
      <c r="O25" s="260">
        <f t="shared" si="11"/>
        <v>0.29749999999999999</v>
      </c>
      <c r="P25" s="258">
        <f t="shared" si="12"/>
        <v>0.29749999999999999</v>
      </c>
      <c r="Q25" s="251">
        <f t="shared" si="13"/>
        <v>29362.221604938277</v>
      </c>
      <c r="R25" s="305">
        <f t="shared" si="14"/>
        <v>32362.221604938277</v>
      </c>
      <c r="S25" s="290">
        <f t="shared" si="15"/>
        <v>1.7000000000000002</v>
      </c>
      <c r="T25" s="46">
        <f t="shared" si="16"/>
        <v>0.7</v>
      </c>
      <c r="U25" s="9"/>
      <c r="X25" s="4"/>
    </row>
    <row r="26" spans="2:25" ht="18" thickBot="1" x14ac:dyDescent="0.35">
      <c r="B26" s="432">
        <v>2</v>
      </c>
      <c r="C26" s="433" t="s">
        <v>288</v>
      </c>
      <c r="D26" s="434">
        <v>0.7</v>
      </c>
      <c r="E26" s="434">
        <v>0.3</v>
      </c>
      <c r="F26" s="435" t="s">
        <v>289</v>
      </c>
      <c r="G26" s="436">
        <v>26890</v>
      </c>
      <c r="H26" s="437">
        <f t="shared" si="7"/>
        <v>53780</v>
      </c>
      <c r="I26" s="306"/>
      <c r="J26" s="264"/>
      <c r="K26" s="47"/>
      <c r="L26" s="438">
        <f t="shared" si="8"/>
        <v>2</v>
      </c>
      <c r="M26" s="439">
        <f t="shared" si="9"/>
        <v>0.75</v>
      </c>
      <c r="N26" s="439">
        <f t="shared" si="10"/>
        <v>0.3</v>
      </c>
      <c r="O26" s="260">
        <f t="shared" si="11"/>
        <v>0.22499999999999998</v>
      </c>
      <c r="P26" s="258">
        <f t="shared" si="12"/>
        <v>0.44999999999999996</v>
      </c>
      <c r="Q26" s="251">
        <f t="shared" si="13"/>
        <v>22206.722222222223</v>
      </c>
      <c r="R26" s="305">
        <f t="shared" si="14"/>
        <v>25206.722222222223</v>
      </c>
      <c r="S26" s="290">
        <f t="shared" si="15"/>
        <v>3</v>
      </c>
      <c r="T26" s="46">
        <f t="shared" si="16"/>
        <v>1.2</v>
      </c>
      <c r="U26" s="9"/>
      <c r="X26" s="4"/>
    </row>
    <row r="27" spans="2:25" ht="18" thickBot="1" x14ac:dyDescent="0.35">
      <c r="B27" s="283"/>
      <c r="C27" s="325"/>
      <c r="D27" s="284"/>
      <c r="E27" s="284"/>
      <c r="F27" s="283"/>
      <c r="G27" s="264"/>
      <c r="H27" s="307"/>
      <c r="I27" s="309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10" t="s">
        <v>28</v>
      </c>
      <c r="H28" s="311">
        <f>SUM(H21:H26)</f>
        <v>238627</v>
      </c>
      <c r="I28" s="308"/>
      <c r="J28" s="264"/>
      <c r="K28" s="47"/>
      <c r="L28" s="47"/>
      <c r="M28" s="39"/>
      <c r="N28" s="39"/>
      <c r="O28" s="260"/>
      <c r="P28" s="258"/>
      <c r="Q28" s="251"/>
      <c r="R28" s="257"/>
      <c r="S28" s="290"/>
      <c r="T28" s="46">
        <f>SUM(T21:T21)</f>
        <v>3.36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50</v>
      </c>
      <c r="H29" s="287">
        <f>H28*19%</f>
        <v>45339.13</v>
      </c>
      <c r="I29" s="308"/>
      <c r="J29" s="264"/>
      <c r="K29" s="47"/>
      <c r="L29" s="431">
        <f>M29*10</f>
        <v>46.000000000000007</v>
      </c>
      <c r="M29" s="39">
        <f>SUM(M21:M28)</f>
        <v>4.6000000000000005</v>
      </c>
      <c r="N29" s="12"/>
      <c r="O29" s="12"/>
      <c r="P29" s="252">
        <f>SUM(P21:P26)</f>
        <v>2.4299999999999997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283966.13</v>
      </c>
      <c r="I30" s="308"/>
      <c r="J30" s="264"/>
      <c r="K30" s="47"/>
      <c r="L30" s="47"/>
      <c r="M30" s="39"/>
      <c r="N30" s="12"/>
      <c r="O30" s="12"/>
      <c r="P30" s="252">
        <f>P29</f>
        <v>2.4299999999999997</v>
      </c>
      <c r="Q30" s="14"/>
      <c r="R30" s="12"/>
      <c r="S30" s="239">
        <f>SUM(S21:S29)</f>
        <v>11.600000000000001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47"/>
      <c r="L31" s="47"/>
      <c r="M31" s="14"/>
      <c r="N31" s="12"/>
      <c r="O31" s="12"/>
      <c r="P31" s="39">
        <f>P30*20%</f>
        <v>0.48599999999999999</v>
      </c>
      <c r="Q31" s="39" t="s">
        <v>128</v>
      </c>
      <c r="R31" s="42"/>
      <c r="S31" s="240">
        <f>S30+T28</f>
        <v>14.96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2.9159999999999995</v>
      </c>
      <c r="Q32" s="14"/>
      <c r="R32" s="14"/>
      <c r="S32" s="238">
        <f>S31*20%</f>
        <v>2.9920000000000004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>
        <f>S31+S32</f>
        <v>17.952000000000002</v>
      </c>
      <c r="T33" s="14"/>
      <c r="U33" s="294" t="s">
        <v>21</v>
      </c>
      <c r="V33" s="291" t="s">
        <v>147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</f>
        <v>2.9159999999999995</v>
      </c>
      <c r="N34" s="12">
        <v>3500</v>
      </c>
      <c r="O34" s="12">
        <f t="shared" ref="O34:O39" si="17">M34*N34</f>
        <v>10205.999999999998</v>
      </c>
      <c r="P34" s="14" t="s">
        <v>21</v>
      </c>
      <c r="Q34" s="14"/>
      <c r="R34" s="14"/>
      <c r="S34" s="241"/>
      <c r="T34" s="14"/>
      <c r="U34" s="294" t="s">
        <v>148</v>
      </c>
      <c r="V34" s="291">
        <v>3625</v>
      </c>
      <c r="W34" s="59" t="s">
        <v>149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1</v>
      </c>
      <c r="N35" s="12">
        <v>42000</v>
      </c>
      <c r="O35" s="12">
        <f t="shared" si="17"/>
        <v>42000</v>
      </c>
      <c r="P35" s="39" t="s">
        <v>286</v>
      </c>
      <c r="Q35" s="42"/>
      <c r="R35" s="14"/>
      <c r="S35" s="240"/>
      <c r="T35" s="14"/>
      <c r="U35" s="294"/>
      <c r="V35" s="59">
        <v>906.25</v>
      </c>
      <c r="W35" s="59" t="s">
        <v>150</v>
      </c>
      <c r="X35" s="296"/>
    </row>
    <row r="36" spans="1:24" s="230" customFormat="1" ht="17.399999999999999" x14ac:dyDescent="0.35">
      <c r="B36" s="24" t="s">
        <v>146</v>
      </c>
      <c r="J36" s="261"/>
      <c r="K36" s="232"/>
      <c r="L36" s="249"/>
      <c r="M36" s="14"/>
      <c r="N36" s="249">
        <v>33975</v>
      </c>
      <c r="O36" s="12">
        <f t="shared" si="17"/>
        <v>0</v>
      </c>
      <c r="P36" s="39" t="s">
        <v>287</v>
      </c>
      <c r="Q36" s="42"/>
      <c r="S36" s="240"/>
      <c r="T36" s="255"/>
      <c r="U36" s="59"/>
      <c r="V36" s="59">
        <f>V35*20%</f>
        <v>181.25</v>
      </c>
      <c r="W36" s="296" t="s">
        <v>151</v>
      </c>
      <c r="X36" s="59"/>
    </row>
    <row r="37" spans="1:24" s="230" customFormat="1" ht="17.399999999999999" x14ac:dyDescent="0.35">
      <c r="B37" s="24" t="s">
        <v>160</v>
      </c>
      <c r="C37"/>
      <c r="D37"/>
      <c r="E37"/>
      <c r="F37"/>
      <c r="J37" s="261"/>
      <c r="K37" s="232"/>
      <c r="L37" s="249"/>
      <c r="M37" s="14">
        <v>2</v>
      </c>
      <c r="N37" s="249">
        <v>31000</v>
      </c>
      <c r="O37" s="12">
        <f t="shared" si="17"/>
        <v>62000</v>
      </c>
      <c r="P37" s="14" t="s">
        <v>290</v>
      </c>
      <c r="Q37" s="17"/>
      <c r="S37" s="238"/>
      <c r="T37" s="255"/>
      <c r="U37" s="59"/>
      <c r="V37" s="59">
        <f>V35+V36</f>
        <v>1087.5</v>
      </c>
      <c r="W37" s="296" t="s">
        <v>152</v>
      </c>
      <c r="X37" s="59"/>
    </row>
    <row r="38" spans="1:24" s="230" customFormat="1" ht="17.399999999999999" x14ac:dyDescent="0.35">
      <c r="A38" s="230" t="s">
        <v>281</v>
      </c>
      <c r="B38" s="29" t="s">
        <v>123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17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/>
      <c r="K39" s="259"/>
      <c r="L39" s="249"/>
      <c r="M39" s="265"/>
      <c r="N39" s="12">
        <v>1500</v>
      </c>
      <c r="O39" s="12">
        <f t="shared" si="17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114206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32</v>
      </c>
      <c r="N41" s="12"/>
      <c r="O41" s="254">
        <f>O40*2.1</f>
        <v>239832.6</v>
      </c>
      <c r="P41" s="14" t="s">
        <v>137</v>
      </c>
      <c r="Q41" s="14"/>
      <c r="R41" s="40">
        <f>P32/R40</f>
        <v>0.78623813632441741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51290</v>
      </c>
      <c r="L42" s="249"/>
      <c r="M42" s="14"/>
      <c r="N42" s="12"/>
      <c r="O42" s="12">
        <f>O41/P30</f>
        <v>98696.54320987656</v>
      </c>
      <c r="P42" s="45" t="s">
        <v>24</v>
      </c>
      <c r="Q42" s="14"/>
      <c r="R42" s="14"/>
      <c r="S42"/>
      <c r="T42" s="238"/>
      <c r="U42" s="59" t="s">
        <v>153</v>
      </c>
      <c r="V42" s="291">
        <v>43650</v>
      </c>
    </row>
    <row r="43" spans="1:24" s="230" customFormat="1" ht="17.399999999999999" x14ac:dyDescent="0.35">
      <c r="G43"/>
      <c r="K43" s="230">
        <f>K42/1.19</f>
        <v>43100.840336134454</v>
      </c>
      <c r="L43" s="249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155</v>
      </c>
      <c r="V43" s="292" t="s">
        <v>154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156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151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143</v>
      </c>
    </row>
    <row r="78" spans="3:15" x14ac:dyDescent="0.3">
      <c r="C78" t="s">
        <v>142</v>
      </c>
    </row>
    <row r="81" spans="3:3" x14ac:dyDescent="0.3">
      <c r="C81" t="s">
        <v>142</v>
      </c>
    </row>
    <row r="158" spans="3:3" x14ac:dyDescent="0.3">
      <c r="C158" t="s">
        <v>142</v>
      </c>
    </row>
    <row r="159" spans="3:3" x14ac:dyDescent="0.3">
      <c r="C159" t="s">
        <v>144</v>
      </c>
    </row>
    <row r="160" spans="3:3" x14ac:dyDescent="0.3">
      <c r="C160" t="s">
        <v>145</v>
      </c>
    </row>
    <row r="585" spans="3:3" x14ac:dyDescent="0.3">
      <c r="C585" t="s">
        <v>142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46120</v>
      </c>
    </row>
    <row r="6" spans="2:31" ht="16.2" thickBot="1" x14ac:dyDescent="0.35">
      <c r="B6" s="140" t="s">
        <v>2</v>
      </c>
      <c r="C6" s="139" t="str">
        <f>'2229'!C10</f>
        <v>LUIS SANTOS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97</v>
      </c>
      <c r="I7" s="445"/>
      <c r="J7" s="445"/>
      <c r="K7" s="446"/>
      <c r="N7" s="75"/>
      <c r="O7" s="443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12080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3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-17210.141700120774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'2229'!H28</f>
        <v>238627</v>
      </c>
      <c r="E11" s="132">
        <f>D11*0.19</f>
        <v>45339.13</v>
      </c>
      <c r="F11" s="131">
        <f>E11+D11</f>
        <v>283966.13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88779.858299879226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82040.090787439607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70779.858299879226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156586.90921256039</v>
      </c>
      <c r="E13" s="221">
        <f>(D11/D12)-1</f>
        <v>1.9086632853474845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61779.858299879226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22779.858299879226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135366.14979927536</v>
      </c>
      <c r="F15" s="216">
        <f>E15-D12</f>
        <v>53326.05901183575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22779.858299879226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62779.858299879226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'2229'!O35</f>
        <v>42000</v>
      </c>
      <c r="E19" s="123">
        <f>D19*0.19</f>
        <v>7980</v>
      </c>
      <c r="F19" s="120">
        <f>SUM(D19:E19)</f>
        <v>49980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10205.999999999998</v>
      </c>
      <c r="E20" s="121">
        <f>D20*0.19</f>
        <v>1939.1399999999996</v>
      </c>
      <c r="F20" s="120">
        <f>SUM(D20:E20)</f>
        <v>12145.139999999998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52206</v>
      </c>
      <c r="E21" s="116">
        <f>SUM(E18:E20)</f>
        <v>9919.14</v>
      </c>
      <c r="F21" s="115">
        <f>SUM(F18:F20)</f>
        <v>62125.14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35419.99</v>
      </c>
    </row>
    <row r="41" spans="2:16" ht="15" thickBot="1" x14ac:dyDescent="0.35">
      <c r="H41" s="447" t="s">
        <v>59</v>
      </c>
      <c r="I41" s="448"/>
      <c r="J41" s="448"/>
      <c r="K41" s="448"/>
      <c r="L41" s="448"/>
      <c r="M41" s="449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238627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52206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156586.90921256039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156586.90921256039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12080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LUIS SANTOS</v>
      </c>
      <c r="D10" s="350"/>
      <c r="E10" s="350"/>
      <c r="F10" s="351" t="s">
        <v>165</v>
      </c>
      <c r="G10" s="352">
        <f>'2229'!G10</f>
        <v>46120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46127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 xml:space="preserve">+56 9 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0" t="s">
        <v>173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174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180</v>
      </c>
      <c r="C2" s="455"/>
      <c r="D2" s="455"/>
      <c r="E2" s="361"/>
      <c r="G2" s="455" t="s">
        <v>181</v>
      </c>
      <c r="H2" s="455"/>
      <c r="I2" s="455"/>
      <c r="P2" s="456" t="s">
        <v>182</v>
      </c>
      <c r="Q2" s="456"/>
      <c r="R2" s="456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6" t="s">
        <v>182</v>
      </c>
      <c r="M8" s="456"/>
      <c r="N8" s="456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263</v>
      </c>
      <c r="L3" s="461"/>
      <c r="M3" s="461" t="s">
        <v>264</v>
      </c>
      <c r="N3" s="461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LUIS SANTOS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46120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263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264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270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94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12080</v>
      </c>
      <c r="C2" s="1">
        <f>'NOTA DE VENTA'!$G$10</f>
        <v>46120</v>
      </c>
      <c r="D2" s="1">
        <f>'NOTA DE VENTA'!$G$11</f>
        <v>46127</v>
      </c>
      <c r="E2" t="str">
        <f>'NOTA DE VENTA'!$C$10</f>
        <v>LUIS SANTOS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2026-04-08T12:22:10Z</cp:lastPrinted>
  <dcterms:created xsi:type="dcterms:W3CDTF">2013-03-18T13:35:42Z</dcterms:created>
  <dcterms:modified xsi:type="dcterms:W3CDTF">2026-04-08T18:14:55Z</dcterms:modified>
</cp:coreProperties>
</file>