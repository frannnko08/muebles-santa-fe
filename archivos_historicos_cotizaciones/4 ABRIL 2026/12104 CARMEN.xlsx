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6\"/>
    </mc:Choice>
  </mc:AlternateContent>
  <xr:revisionPtr revIDLastSave="0" documentId="13_ncr:1_{D3EE1BFD-E5F8-4AD0-96E0-BE51D8EABE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J14" i="6" s="1"/>
  <c r="C27" i="6"/>
  <c r="F21" i="6" s="1"/>
  <c r="B27" i="6"/>
  <c r="I21" i="6" s="1"/>
  <c r="K21" i="6"/>
  <c r="J21" i="6"/>
  <c r="K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G21" i="1" s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<sst xmlns="http://schemas.openxmlformats.org/spreadsheetml/2006/main" count="485" uniqueCount="293">
  <si>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</si>
  <si>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</si>
  <si>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</si>
  <si>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</si>
  <si>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</si>
  <si>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</si>
  <si>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</si>
  <si>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</si>
  <si>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</si>
  <si>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</si>
  <si>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</si>
  <si>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</si>
  <si>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</si>
  <si>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</si>
  <si>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</si>
  <si>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</si>
  <si>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</si>
  <si>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</si>
  <si>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</si>
  <si>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</si>
  <si>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</si>
  <si>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</si>
  <si>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</si>
  <si>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</si>
  <si>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</si>
  <si>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</si>
  <si>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</si>
  <si>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</si>
  <si>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</si>
  <si>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</si>
  <si>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</si>
  <si>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</si>
  <si>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</si>
  <si>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</si>
  <si>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</si>
  <si>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</si>
  <si>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</si>
  <si>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</si>
  <si>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</si>
  <si>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</si>
  <si>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</si>
  <si>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</si>
  <si>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</si>
  <si>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</si>
  <si>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</si>
  <si>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</si>
  <si>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</si>
  <si>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</si>
  <si>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</si>
  <si>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</si>
  <si>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</si>
  <si>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</si>
  <si>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</si>
  <si>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</si>
  <si>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</si>
  <si>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</si>
  <si>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</si>
  <si>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</si>
  <si>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</si>
  <si>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</si>
  <si>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</si>
  <si>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</si>
  <si>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</si>
  <si>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</si>
  <si>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</si>
  <si>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</si>
  <si>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</si>
  <si>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</si>
  <si>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</si>
  <si>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</si>
  <si>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</si>
  <si>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</si>
  <si>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</si>
  <si>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</si>
  <si>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</si>
  <si>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</si>
  <si>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</si>
  <si>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</si>
  <si>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</si>
  <si>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</si>
  <si>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</si>
  <si>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</si>
  <si>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</si>
  <si>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</si>
  <si>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</si>
  <si>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</si>
  <si>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</si>
  <si>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</si>
  <si>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</si>
  <si>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</si>
  <si>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</si>
  <si>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</si>
  <si>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</si>
  <si>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</si>
  <si>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</si>
  <si>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</si>
  <si>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</si>
  <si>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</si>
  <si>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</si>
  <si>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</si>
  <si>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</si>
  <si>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</si>
  <si>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</si>
  <si>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</si>
  <si>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</si>
  <si>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</si>
  <si>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</si>
  <si>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</si>
  <si>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</si>
  <si>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</si>
  <si>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</si>
  <si>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</si>
  <si>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</si>
  <si>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</si>
  <si>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</si>
  <si>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</si>
  <si>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</si>
  <si>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</si>
  <si>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</si>
  <si>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</si>
  <si>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</si>
  <si>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</si>
  <si>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</si>
  <si>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</si>
  <si>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</si>
  <si>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</si>
  <si>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</si>
  <si>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</si>
  <si>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</si>
  <si>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</si>
  <si>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</si>
  <si>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</si>
  <si>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</si>
  <si>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</si>
  <si>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</si>
  <si>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</si>
  <si>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</si>
  <si>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</si>
  <si>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</si>
  <si>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</si>
  <si>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</si>
  <si>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</si>
  <si>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</si>
  <si>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</si>
  <si>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</si>
  <si>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</si>
  <si>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</si>
  <si>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</si>
  <si>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</si>
  <si>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</si>
  <si>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</si>
  <si>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</si>
  <si>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</si>
  <si>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</si>
  <si>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</si>
  <si>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</si>
  <si>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</si>
  <si>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</si>
  <si>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</si>
  <si>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</si>
  <si>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</si>
  <si>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</si>
  <si>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</si>
  <si>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</si>
  <si>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</si>
  <si>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</si>
  <si>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</si>
  <si>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</si>
  <si>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</si>
  <si>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</si>
  <si>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</si>
  <si>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</si>
  <si>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</si>
  <si>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</si>
  <si>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</si>
  <si>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</si>
  <si>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</si>
  <si>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</si>
  <si>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</si>
  <si>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</si>
  <si>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</si>
  <si>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</si>
  <si>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</si>
  <si>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</si>
  <si>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</si>
  <si>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</si>
  <si>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</si>
  <si>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</si>
  <si>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</si>
  <si>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</si>
  <si>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</si>
  <si>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</si>
  <si>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</si>
  <si>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</si>
  <si>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</si>
  <si>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</si>
  <si>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</si>
  <si>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</si>
  <si>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</si>
  <si>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</si>
  <si>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</si>
  <si>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</si>
  <si>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</si>
  <si>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</si>
  <si>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</si>
  <si>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</si>
  <si>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</si>
  <si>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</si>
  <si>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</si>
  <si>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</si>
  <si>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</si>
  <si>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</si>
  <si>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</si>
  <si>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</si>
  <si>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</si>
  <si>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</si>
  <si>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</si>
  <si>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</si>
  <si>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</si>
  <si>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</si>
  <si>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</si>
  <si>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</si>
  <si>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</si>
  <si>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</si>
  <si>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</si>
  <si>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</si>
  <si>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</si>
  <si>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</si>
  <si>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</si>
  <si>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</si>
  <si>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</si>
  <si>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</si>
  <si>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</si>
  <si>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</si>
  <si>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</si>
  <si>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</si>
  <si>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</si>
  <si>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</si>
  <si>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</si>
  <si>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</si>
  <si>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</si>
  <si>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</si>
  <si>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</si>
  <si>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</si>
  <si>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</si>
  <si>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</si>
  <si>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</si>
  <si>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</si>
  <si>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</si>
  <si>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</si>
  <si>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</si>
  <si>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</si>
  <si>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</si>
  <si>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</si>
  <si>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</si>
  <si>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</si>
  <si>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</si>
  <si>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</si>
  <si>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</si>
  <si>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</si>
  <si>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</si>
  <si>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</si>
  <si>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</si>
  <si>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</si>
  <si>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</si>
  <si>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</si>
  <si>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</si>
  <si>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</si>
  <si>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</si>
  <si>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</si>
  <si>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</si>
  <si>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</si>
  <si>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</si>
  <si>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</si>
  <si>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</si>
  <si>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</si>
  <si>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</si>
  <si>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</si>
  <si>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</si>
  <si>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</si>
  <si>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</si>
  <si>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</si>
  <si>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</si>
  <si>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</si>
  <si>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</si>
  <si>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</si>
  <si>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</si>
  <si>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</si>
  <si>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</si>
  <si>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CLAUDIO BECERRA</t>
  </si>
  <si>
    <t>N° 12102A</t>
  </si>
  <si>
    <t>CUB ENCHAPE RECTO</t>
  </si>
  <si>
    <t>FASHION GREY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</si>
</sst>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215081</xdr:rowOff>
    </xdr:from>
    <xdr:to>
      <xdr:col>5</xdr:col>
      <xdr:colOff>1732649</xdr:colOff>
      <xdr:row>25</xdr:row>
      <xdr:rowOff>219321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608871"/>
          <a:ext cx="6454182" cy="65972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S CUBIERTAS LLEVAN REGRUESO DE 5cm EN LOS COSTADOS Y SON ENCHAPADOS CON LA MISMA LAMINA.</a:t>
          </a:r>
        </a:p>
        <a:p>
          <a:pPr algn="l"/>
          <a:r>
            <a:rPr lang="es-CL" sz="1200" b="1" baseline="0"/>
            <a:t>CUB DE 1,300 VA CON REGRUESO DE 15cm EN UN LARGO SEGUN DIBUJO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C16" zoomScale="93" zoomScaleNormal="93" workbookViewId="0">
      <selection activeCell="D21" sqref="D2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77734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0" t="s">
        <v>289</v>
      </c>
      <c r="D10" s="243"/>
      <c r="E10" s="243"/>
      <c r="F10" s="418" t="s">
        <v>277</v>
      </c>
      <c r="G10" s="275">
        <v>46135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/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116999.18650793649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431" t="s">
        <v>291</v>
      </c>
      <c r="D21" s="432">
        <v>1.72</v>
      </c>
      <c r="E21" s="432">
        <v>0.56000000000000005</v>
      </c>
      <c r="F21" s="313" t="s">
        <v>292</v>
      </c>
      <c r="G21" s="314">
        <f>Q21</f>
        <v>117935.18000000001</v>
      </c>
      <c r="H21" s="433">
        <f>G21*B21</f>
        <v>117935.18000000001</v>
      </c>
      <c r="I21" s="306"/>
      <c r="J21" s="264"/>
      <c r="K21" s="47"/>
      <c r="L21" s="47">
        <f>B21</f>
        <v>1</v>
      </c>
      <c r="M21" s="39">
        <f>D21+M$19</f>
        <v>1.8</v>
      </c>
      <c r="N21" s="39">
        <f>E21+$N$19</f>
        <v>0.56000000000000005</v>
      </c>
      <c r="O21" s="260">
        <f t="shared" ref="O21" si="0">M21*N21</f>
        <v>1.0080000000000002</v>
      </c>
      <c r="P21" s="258">
        <f t="shared" ref="P21" si="1">O21*L21</f>
        <v>1.0080000000000002</v>
      </c>
      <c r="Q21" s="251">
        <f t="shared" ref="Q21" si="2">Q$20*O21</f>
        <v>117935.18000000001</v>
      </c>
      <c r="R21" s="305">
        <f t="shared" ref="R21" si="3">Q21+R$20</f>
        <v>120935.18000000001</v>
      </c>
      <c r="S21" s="290">
        <f>M21*L21</f>
        <v>1.8</v>
      </c>
      <c r="T21" s="46">
        <f>N21*2*L21*2</f>
        <v>2.2400000000000002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SUM(H21:H21)</f>
        <v>117935.18000000001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SUM(T21:T21)</f>
        <v>2.2400000000000002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22407.684200000003</v>
      </c>
      <c r="I25" s="308"/>
      <c r="J25" s="264"/>
      <c r="K25" s="47"/>
      <c r="L25" s="47"/>
      <c r="M25" s="39">
        <f>SUM(M21:M24)</f>
        <v>1.8</v>
      </c>
      <c r="N25" s="12"/>
      <c r="O25" s="12"/>
      <c r="P25" s="252">
        <f>SUM(P21:P23)</f>
        <v>1.0080000000000002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140342.86420000001</v>
      </c>
      <c r="I26" s="308"/>
      <c r="J26" s="264"/>
      <c r="K26" s="47"/>
      <c r="L26" s="47"/>
      <c r="M26" s="39"/>
      <c r="N26" s="12"/>
      <c r="O26" s="12"/>
      <c r="P26" s="252">
        <f>P25</f>
        <v>1.0080000000000002</v>
      </c>
      <c r="Q26" s="14"/>
      <c r="R26" s="12"/>
      <c r="S26" s="239">
        <f>SUM(S21:S25)</f>
        <v>1.8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0.20160000000000006</v>
      </c>
      <c r="Q27" s="39" t="s">
        <v>129</v>
      </c>
      <c r="R27" s="42"/>
      <c r="S27" s="240">
        <f>S26+T24</f>
        <v>4.04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1.2096000000000002</v>
      </c>
      <c r="Q28" s="14"/>
      <c r="R28" s="14"/>
      <c r="S28" s="238">
        <f>S27*20%</f>
        <v>0.80800000000000005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4.8479999999999999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1.2096000000000002</v>
      </c>
      <c r="N30" s="12">
        <v>4000</v>
      </c>
      <c r="O30" s="12">
        <f t="shared" ref="O30:O35" si="4">M30*N30</f>
        <v>4838.4000000000005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0.35</v>
      </c>
      <c r="N31" s="12">
        <v>24910</v>
      </c>
      <c r="O31" s="12">
        <f t="shared" si="4"/>
        <v>8718.5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37500</v>
      </c>
      <c r="O33" s="12">
        <f t="shared" si="4"/>
        <v>37500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1.7</v>
      </c>
      <c r="N35" s="12">
        <v>1500</v>
      </c>
      <c r="O35" s="12">
        <f t="shared" si="4"/>
        <v>2550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53606.9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117935.18000000001</v>
      </c>
      <c r="P37" s="14" t="s">
        <v>138</v>
      </c>
      <c r="Q37" s="14"/>
      <c r="R37" s="40">
        <f>P28/R36</f>
        <v>0.32614322691975844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116999.18650793649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46135</v>
      </c>
    </row>
    <row r="6" spans="2:31" ht="16.2" thickBot="1" x14ac:dyDescent="0.35">
      <c r="B6" s="140" t="s">
        <v>2</v>
      </c>
      <c r="C6" s="139" t="str">
        <f>'2229'!C10</f>
        <v>CLAUDIO BECERRA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12102A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-7723.3408667874419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117935.18000000001</v>
      </c>
      <c r="E11" s="132">
        <f>D11*0.19</f>
        <v>22407.684200000003</v>
      </c>
      <c r="F11" s="131">
        <f>E11+D11</f>
        <v>140342.86420000001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98266.659133212554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43390.990787439616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80266.659133212554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74544.189212560392</v>
      </c>
      <c r="E13" s="221">
        <f>(D11/D12)-1</f>
        <v>1.7179646710012135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71266.659133212554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32266.659133212557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71595.134799275358</v>
      </c>
      <c r="F15" s="216">
        <f>E15-D12</f>
        <v>28204.144011835742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32266.659133212557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72266.659133212554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8718.5</v>
      </c>
      <c r="E19" s="123">
        <f>D19*0.19</f>
        <v>1656.5150000000001</v>
      </c>
      <c r="F19" s="120">
        <f>SUM(D19:E19)</f>
        <v>10375.014999999999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4838.4000000000005</v>
      </c>
      <c r="E20" s="121">
        <f>D20*0.19</f>
        <v>919.29600000000016</v>
      </c>
      <c r="F20" s="120">
        <f>SUM(D20:E20)</f>
        <v>5757.6960000000008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13556.900000000001</v>
      </c>
      <c r="E21" s="116">
        <f>SUM(E18:E20)</f>
        <v>2575.8110000000001</v>
      </c>
      <c r="F21" s="115">
        <f>SUM(F18:F20)</f>
        <v>16132.710999999999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19831.873200000002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117935.18000000001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13556.900000000001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74544.189212560392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74544.189212560392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12102A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CLAUDIO BECERRA</v>
      </c>
      <c r="D10" s="350"/>
      <c r="E10" s="350"/>
      <c r="F10" s="351" t="s">
        <v>167</v>
      </c>
      <c r="G10" s="352">
        <f>'2229'!G10</f>
        <v>46135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46142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/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ENCHAPE RECTO</v>
      </c>
      <c r="D22" s="321">
        <f>'2229'!D21*1000</f>
        <v>1720</v>
      </c>
      <c r="E22" s="321">
        <f>'2229'!E21*1000</f>
        <v>560</v>
      </c>
      <c r="F22" s="322" t="str">
        <f>'2229'!F21</f>
        <v>FASHION GREY BR</v>
      </c>
      <c r="G22" s="314">
        <f>'2229'!G21</f>
        <v>117935.18000000001</v>
      </c>
      <c r="H22" s="323">
        <f>G22*B22</f>
        <v>117935.18000000001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117935.18000000001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22407.684200000003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140342.86420000001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CLAUDIO BECERRA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46135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46142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12102A</v>
      </c>
      <c r="C2" s="1">
        <f>'NOTA DE VENTA'!$G$10</f>
        <v>46135</v>
      </c>
      <c r="D2" s="1">
        <f>'NOTA DE VENTA'!$G$11</f>
        <v>46142</v>
      </c>
      <c r="E2" t="str">
        <f>'NOTA DE VENTA'!$C$10</f>
        <v>CLAUDIO BECERRA</v>
      </c>
      <c r="F2" t="str">
        <f>'NOTA DE VENTA'!$C$22</f>
        <v>CUB ENCHAPE RECTO</v>
      </c>
      <c r="G2" t="str">
        <f>'NOTA DE VENTA'!$F$22</f>
        <v>FASHION GREY BR</v>
      </c>
      <c r="H2" s="416">
        <f>'NOTA DE VENTA'!$H$25</f>
        <v>117935.18000000001</v>
      </c>
      <c r="I2" s="416">
        <f>H2*0.19</f>
        <v>22407.684200000003</v>
      </c>
      <c r="J2" s="416">
        <f>I2+H2</f>
        <v>140342.86420000001</v>
      </c>
      <c r="L2" s="61">
        <f>J2-K2</f>
        <v>140342.86420000001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2026-04-27T13:28:49Z</cp:lastPrinted>
  <dcterms:created xsi:type="dcterms:W3CDTF">2013-03-18T13:35:42Z</dcterms:created>
  <dcterms:modified xsi:type="dcterms:W3CDTF">2026-04-29T21:03:02Z</dcterms:modified>
</cp:coreProperties>
</file>