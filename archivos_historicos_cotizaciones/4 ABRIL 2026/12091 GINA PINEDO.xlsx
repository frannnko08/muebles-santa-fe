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082088F0-738A-4092-BC18-177C4E70F3A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H23" i="1" s="1"/>
  <c r="F15" i="3"/>
  <c r="H24" i="1" l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<sst xmlns="http://schemas.openxmlformats.org/spreadsheetml/2006/main" count="486" uniqueCount="295">
  <si>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</si>
  <si>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</si>
  <si>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</si>
  <si>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</si>
  <si>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</si>
  <si>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</si>
  <si>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</si>
  <si>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</si>
  <si>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</si>
  <si>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</si>
  <si>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</si>
  <si>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</si>
  <si>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</si>
  <si>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</si>
  <si>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</si>
  <si>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</si>
  <si>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</si>
  <si>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</si>
  <si>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</si>
  <si>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</si>
  <si>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</si>
  <si>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</si>
  <si>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</si>
  <si>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</si>
  <si>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</si>
  <si>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</si>
  <si>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</si>
  <si>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</si>
  <si>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</si>
  <si>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</si>
  <si>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</si>
  <si>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</si>
  <si>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</si>
  <si>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</si>
  <si>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</si>
  <si>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</si>
  <si>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</si>
  <si>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</si>
  <si>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</si>
  <si>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</si>
  <si>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</si>
  <si>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</si>
  <si>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</si>
  <si>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</si>
  <si>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</si>
  <si>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</si>
  <si>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</si>
  <si>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</si>
  <si>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</si>
  <si>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</si>
  <si>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</si>
  <si>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</si>
  <si>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</si>
  <si>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</si>
  <si>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</si>
  <si>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</si>
  <si>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</si>
  <si>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</si>
  <si>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</si>
  <si>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</si>
  <si>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</si>
  <si>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</si>
  <si>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</si>
  <si>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</si>
  <si>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</si>
  <si>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</si>
  <si>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</si>
  <si>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</si>
  <si>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</si>
  <si>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</si>
  <si>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</si>
  <si>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</si>
  <si>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</si>
  <si>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</si>
  <si>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</si>
  <si>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</si>
  <si>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</si>
  <si>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</si>
  <si>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</si>
  <si>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</si>
  <si>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</si>
  <si>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</si>
  <si>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</si>
  <si>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</si>
  <si>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</si>
  <si>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</si>
  <si>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</si>
  <si>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</si>
  <si>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</si>
  <si>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</si>
  <si>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</si>
  <si>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</si>
  <si>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</si>
  <si>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</si>
  <si>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</si>
  <si>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</si>
  <si>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</si>
  <si>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</si>
  <si>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</si>
  <si>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</si>
  <si>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</si>
  <si>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</si>
  <si>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</si>
  <si>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</si>
  <si>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</si>
  <si>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</si>
  <si>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</si>
  <si>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</si>
  <si>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</si>
  <si>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</si>
  <si>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</si>
  <si>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</si>
  <si>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</si>
  <si>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</si>
  <si>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</si>
  <si>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</si>
  <si>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</si>
  <si>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</si>
  <si>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</si>
  <si>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</si>
  <si>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</si>
  <si>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</si>
  <si>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</si>
  <si>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</si>
  <si>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</si>
  <si>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</si>
  <si>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</si>
  <si>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</si>
  <si>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</si>
  <si>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</si>
  <si>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</si>
  <si>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</si>
  <si>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</si>
  <si>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</si>
  <si>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</si>
  <si>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</si>
  <si>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</si>
  <si>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</si>
  <si>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</si>
  <si>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</si>
  <si>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</si>
  <si>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</si>
  <si>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</si>
  <si>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</si>
  <si>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</si>
  <si>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</si>
  <si>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</si>
  <si>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</si>
  <si>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</si>
  <si>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</si>
  <si>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</si>
  <si>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</si>
  <si>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</si>
  <si>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</si>
  <si>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</si>
  <si>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</si>
  <si>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</si>
  <si>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</si>
  <si>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</si>
  <si>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</si>
  <si>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</si>
  <si>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</si>
  <si>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</si>
  <si>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</si>
  <si>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</si>
  <si>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</si>
  <si>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</si>
  <si>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</si>
  <si>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</si>
  <si>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</si>
  <si>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</si>
  <si>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</si>
  <si>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</si>
  <si>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</si>
  <si>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</si>
  <si>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</si>
  <si>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</si>
  <si>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</si>
  <si>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</si>
  <si>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</si>
  <si>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</si>
  <si>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</si>
  <si>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</si>
  <si>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</si>
  <si>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</si>
  <si>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</si>
  <si>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</si>
  <si>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</si>
  <si>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</si>
  <si>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</si>
  <si>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</si>
  <si>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</si>
  <si>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</si>
  <si>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</si>
  <si>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</si>
  <si>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</si>
  <si>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</si>
  <si>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</si>
  <si>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</si>
  <si>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</si>
  <si>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</si>
  <si>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</si>
  <si>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</si>
  <si>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</si>
  <si>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</si>
  <si>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</si>
  <si>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</si>
  <si>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</si>
  <si>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</si>
  <si>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</si>
  <si>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</si>
  <si>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</si>
  <si>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</si>
  <si>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</si>
  <si>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</si>
  <si>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</si>
  <si>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</si>
  <si>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</si>
  <si>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</si>
  <si>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</si>
  <si>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</si>
  <si>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</si>
  <si>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</si>
  <si>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</si>
  <si>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</si>
  <si>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</si>
  <si>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</si>
  <si>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</si>
  <si>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</si>
  <si>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</si>
  <si>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</si>
  <si>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</si>
  <si>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</si>
  <si>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</si>
  <si>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</si>
  <si>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</si>
  <si>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</si>
  <si>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</si>
  <si>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</si>
  <si>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</si>
  <si>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</si>
  <si>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</si>
  <si>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</si>
  <si>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</si>
  <si>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</si>
  <si>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</si>
  <si>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</si>
  <si>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</si>
  <si>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</si>
  <si>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</si>
  <si>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</si>
  <si>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</si>
  <si>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</si>
  <si>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</si>
  <si>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</si>
  <si>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</si>
  <si>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</si>
  <si>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</si>
  <si>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</si>
  <si>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</si>
  <si>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</si>
  <si>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</si>
  <si>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</si>
  <si>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</si>
  <si>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</si>
  <si>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</si>
  <si>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</si>
  <si>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</si>
  <si>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</si>
  <si>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</si>
  <si>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</si>
  <si>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</si>
  <si>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</si>
  <si>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</si>
  <si>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</si>
  <si>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</si>
  <si>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</si>
  <si>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</si>
  <si>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</si>
  <si>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</si>
  <si>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</si>
  <si>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</si>
  <si>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</si>
  <si>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</si>
  <si>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</si>
  <si>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</si>
  <si>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</si>
  <si>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</si>
  <si>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</si>
  <si>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BLANCO MT</t>
  </si>
  <si>
    <t>GINA PINEDO</t>
  </si>
  <si>
    <t>N° 12091</t>
  </si>
  <si>
    <t>CUB CON RESPALDO FTE 90°</t>
  </si>
  <si>
    <t>15.319.389-4</t>
  </si>
  <si>
    <t>+569 6170 3367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</si>
</sst>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C18" zoomScale="93" zoomScaleNormal="93" workbookViewId="0">
      <selection activeCell="N29" sqref="N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290</v>
      </c>
      <c r="D10" s="243"/>
      <c r="E10" s="243"/>
      <c r="F10" s="418" t="s">
        <v>275</v>
      </c>
      <c r="G10" s="275">
        <v>46122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293</v>
      </c>
      <c r="F11" s="29" t="s">
        <v>284</v>
      </c>
      <c r="G11" s="421">
        <v>46128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s="438"/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294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9" t="s">
        <v>94</v>
      </c>
      <c r="C19" s="440"/>
      <c r="D19" s="440"/>
      <c r="E19" s="440"/>
      <c r="F19" s="440"/>
      <c r="G19" s="440"/>
      <c r="H19" s="441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57314.651547365946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292</v>
      </c>
      <c r="D21" s="434">
        <v>2.5</v>
      </c>
      <c r="E21" s="434">
        <v>0.83</v>
      </c>
      <c r="F21" s="435" t="s">
        <v>289</v>
      </c>
      <c r="G21" s="436">
        <f>Q21</f>
        <v>121306.46000000002</v>
      </c>
      <c r="H21" s="437">
        <f>G21*B21</f>
        <v>121306.46000000002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2.5499999999999998</v>
      </c>
      <c r="N21" s="39">
        <f t="shared" ref="N21" si="2">E21+$N$19</f>
        <v>0.83</v>
      </c>
      <c r="O21" s="260">
        <f t="shared" ref="O21" si="3">M21*N21</f>
        <v>2.1164999999999998</v>
      </c>
      <c r="P21" s="258">
        <f t="shared" ref="P21" si="4">O21*L21</f>
        <v>2.1164999999999998</v>
      </c>
      <c r="Q21" s="251">
        <f t="shared" ref="Q21" si="5">Q$20*O21</f>
        <v>121306.46000000002</v>
      </c>
      <c r="R21" s="305">
        <f t="shared" ref="R21" si="6">Q21+R$20</f>
        <v>124306.46000000002</v>
      </c>
      <c r="S21" s="290">
        <f>M21*L21*2</f>
        <v>5.0999999999999996</v>
      </c>
      <c r="T21" s="46">
        <f>N21*L21*2</f>
        <v>1.66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H21</f>
        <v>121306.46000000002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1.66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23048.227400000003</v>
      </c>
      <c r="I24" s="308"/>
      <c r="J24" s="264"/>
      <c r="K24" s="47"/>
      <c r="L24" s="431">
        <f>M24*10</f>
        <v>25.5</v>
      </c>
      <c r="M24" s="39">
        <f>SUM(M21:M23)</f>
        <v>2.5499999999999998</v>
      </c>
      <c r="N24" s="12"/>
      <c r="O24" s="12"/>
      <c r="P24" s="252">
        <f>SUM(P21:P21)</f>
        <v>2.1164999999999998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144354.68740000002</v>
      </c>
      <c r="I25" s="308"/>
      <c r="J25" s="264"/>
      <c r="K25" s="47"/>
      <c r="L25" s="47"/>
      <c r="M25" s="39"/>
      <c r="N25" s="12"/>
      <c r="O25" s="12"/>
      <c r="P25" s="252">
        <f>P24</f>
        <v>2.1164999999999998</v>
      </c>
      <c r="Q25" s="14"/>
      <c r="R25" s="12"/>
      <c r="S25" s="239">
        <f>SUM(S21:S24)</f>
        <v>5.0999999999999996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0.42330000000000001</v>
      </c>
      <c r="Q26" s="39" t="s">
        <v>128</v>
      </c>
      <c r="R26" s="42"/>
      <c r="S26" s="240">
        <f>S25+T23</f>
        <v>6.76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2.5397999999999996</v>
      </c>
      <c r="Q27" s="14"/>
      <c r="R27" s="14"/>
      <c r="S27" s="238">
        <f>S26*20%</f>
        <v>1.3520000000000001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8.1120000000000001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2.5397999999999996</v>
      </c>
      <c r="N29" s="12">
        <v>3500</v>
      </c>
      <c r="O29" s="12">
        <f t="shared" ref="O29:O34" si="7">M29*N29</f>
        <v>8889.2999999999993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0.7</v>
      </c>
      <c r="N30" s="12">
        <v>25000</v>
      </c>
      <c r="O30" s="12">
        <f t="shared" si="7"/>
        <v>17500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25000</v>
      </c>
      <c r="O32" s="12">
        <f t="shared" si="7"/>
        <v>25000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2.5</v>
      </c>
      <c r="N34" s="12">
        <v>1500</v>
      </c>
      <c r="O34" s="12">
        <f t="shared" si="7"/>
        <v>3750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55139.3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121306.46000000002</v>
      </c>
      <c r="P36" s="14" t="s">
        <v>137</v>
      </c>
      <c r="Q36" s="14"/>
      <c r="R36" s="40">
        <f>P27/R35</f>
        <v>0.68480371009490926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57314.651547365946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46122</v>
      </c>
    </row>
    <row r="6" spans="2:31" ht="16.2" thickBot="1" x14ac:dyDescent="0.35">
      <c r="B6" s="140" t="s">
        <v>2</v>
      </c>
      <c r="C6" s="139" t="str">
        <f>'2229'!C10</f>
        <v>GINA PINEDO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3" t="s">
        <v>97</v>
      </c>
      <c r="I7" s="444"/>
      <c r="J7" s="444"/>
      <c r="K7" s="445"/>
      <c r="N7" s="75"/>
      <c r="O7" s="4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12091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-4756.3108667874449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121306.46000000002</v>
      </c>
      <c r="E11" s="132">
        <f>D11*0.19</f>
        <v>23048.227400000003</v>
      </c>
      <c r="F11" s="131">
        <f>E11+D11</f>
        <v>144354.68740000002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101233.68913321255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56223.39078743961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83233.689133212552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65083.069212560411</v>
      </c>
      <c r="E13" s="221">
        <f>(D11/D12)-1</f>
        <v>1.1575799378343445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74233.689133212552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35233.689133212552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92768.59479927535</v>
      </c>
      <c r="F15" s="216">
        <f>E15-D12</f>
        <v>36545.20401183574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35233.689133212552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75233.689133212552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8889.2999999999993</v>
      </c>
      <c r="E20" s="121">
        <f>D20*0.19</f>
        <v>1688.9669999999999</v>
      </c>
      <c r="F20" s="120">
        <f>SUM(D20:E20)</f>
        <v>10578.267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26389.3</v>
      </c>
      <c r="E21" s="116">
        <f>SUM(E18:E20)</f>
        <v>5013.9669999999996</v>
      </c>
      <c r="F21" s="115">
        <f>SUM(F18:F20)</f>
        <v>31403.267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18034.260400000003</v>
      </c>
    </row>
    <row r="41" spans="2:16" ht="15" thickBot="1" x14ac:dyDescent="0.35">
      <c r="H41" s="446" t="s">
        <v>59</v>
      </c>
      <c r="I41" s="447"/>
      <c r="J41" s="447"/>
      <c r="K41" s="447"/>
      <c r="L41" s="447"/>
      <c r="M41" s="4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121306.46000000002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26389.3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65083.069212560411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65083.069212560411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12091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GINA PINEDO</v>
      </c>
      <c r="D10" s="350"/>
      <c r="E10" s="350"/>
      <c r="F10" s="351" t="s">
        <v>165</v>
      </c>
      <c r="G10" s="352">
        <f>'2229'!G10</f>
        <v>46122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15.319.389-4</v>
      </c>
      <c r="D11" s="345"/>
      <c r="E11" s="345"/>
      <c r="F11" s="345" t="s">
        <v>166</v>
      </c>
      <c r="G11" s="340">
        <f>WORKDAY(G10,5)</f>
        <v>46129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+569 6170 3367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9" t="s">
        <v>173</v>
      </c>
      <c r="G17" s="449"/>
      <c r="H17" s="45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1" t="s">
        <v>174</v>
      </c>
      <c r="C20" s="452"/>
      <c r="D20" s="452"/>
      <c r="E20" s="452"/>
      <c r="F20" s="452"/>
      <c r="G20" s="452"/>
      <c r="H20" s="45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4" t="s">
        <v>180</v>
      </c>
      <c r="C2" s="454"/>
      <c r="D2" s="454"/>
      <c r="E2" s="361"/>
      <c r="G2" s="454" t="s">
        <v>181</v>
      </c>
      <c r="H2" s="454"/>
      <c r="I2" s="454"/>
      <c r="P2" s="455" t="s">
        <v>182</v>
      </c>
      <c r="Q2" s="455"/>
      <c r="R2" s="455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5" t="s">
        <v>182</v>
      </c>
      <c r="M8" s="455"/>
      <c r="N8" s="455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G14" sqref="G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0" t="s">
        <v>263</v>
      </c>
      <c r="L3" s="460"/>
      <c r="M3" s="460" t="s">
        <v>264</v>
      </c>
      <c r="N3" s="460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GINA PINEDO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46122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1" t="s">
        <v>263</v>
      </c>
      <c r="B10" s="461"/>
      <c r="C10" s="461"/>
      <c r="D10" s="461"/>
      <c r="E10" s="461"/>
      <c r="F10" s="46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1" t="s">
        <v>264</v>
      </c>
      <c r="B17" s="461"/>
      <c r="C17" s="461"/>
      <c r="D17" s="461"/>
      <c r="E17" s="461"/>
      <c r="F17" s="46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1" t="s">
        <v>270</v>
      </c>
      <c r="B45" s="461"/>
      <c r="C45" s="461"/>
      <c r="D45" s="461"/>
      <c r="E45" s="461"/>
      <c r="F45" s="46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6" t="s">
        <v>94</v>
      </c>
      <c r="C47" s="457"/>
      <c r="D47" s="458"/>
      <c r="E47" s="458"/>
      <c r="F47" s="459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12091</v>
      </c>
      <c r="C2" s="1">
        <f>'NOTA DE VENTA'!$G$10</f>
        <v>46122</v>
      </c>
      <c r="D2" s="1">
        <f>'NOTA DE VENTA'!$G$11</f>
        <v>46129</v>
      </c>
      <c r="E2" t="str">
        <f>'NOTA DE VENTA'!$C$10</f>
        <v>GINA PINEDO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2026-04-10T20:03:29Z</cp:lastPrinted>
  <dcterms:created xsi:type="dcterms:W3CDTF">2013-03-18T13:35:42Z</dcterms:created>
  <dcterms:modified xsi:type="dcterms:W3CDTF">2026-05-11T21:18:24Z</dcterms:modified>
</cp:coreProperties>
</file>