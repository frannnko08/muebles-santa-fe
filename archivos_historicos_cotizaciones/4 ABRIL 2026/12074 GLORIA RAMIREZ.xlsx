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4A06713D-8F34-480A-8CB2-6C4045BD9FC4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O36" i="1"/>
  <c r="L21" i="1" l="1"/>
  <c r="M21" i="1"/>
  <c r="N21" i="1"/>
  <c r="T21" i="1" l="1"/>
  <c r="S21" i="1"/>
  <c r="O21" i="1"/>
  <c r="P21" i="1" s="1"/>
  <c r="P25" i="1" s="1"/>
  <c r="N5" i="6"/>
  <c r="A2" i="7"/>
  <c r="S26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/>
  <c r="L25" i="1" s="1"/>
  <c r="T24" i="1" l="1"/>
  <c r="S27" i="1" s="1"/>
  <c r="K39" i="1"/>
  <c r="S28" i="1" l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H21" i="1"/>
  <c r="F15" i="3"/>
  <c r="H24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<sst xmlns="http://schemas.openxmlformats.org/spreadsheetml/2006/main" count="486" uniqueCount="295">
  <si>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</si>
  <si>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</si>
  <si>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</si>
  <si>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</si>
  <si>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</si>
  <si>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</si>
  <si>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</si>
  <si>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</si>
  <si>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</si>
  <si>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</si>
  <si>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</si>
  <si>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</si>
  <si>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</si>
  <si>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</si>
  <si>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</si>
  <si>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</si>
  <si>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</si>
  <si>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</si>
  <si>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</si>
  <si>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</si>
  <si>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</si>
  <si>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</si>
  <si>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</si>
  <si>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</si>
  <si>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</si>
  <si>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</si>
  <si>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</si>
  <si>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</si>
  <si>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</si>
  <si>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</si>
  <si>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</si>
  <si>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</si>
  <si>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</si>
  <si>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</si>
  <si>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</si>
  <si>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</si>
  <si>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</si>
  <si>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</si>
  <si>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</si>
  <si>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</si>
  <si>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</si>
  <si>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</si>
  <si>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</si>
  <si>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</si>
  <si>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</si>
  <si>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</si>
  <si>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</si>
  <si>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</si>
  <si>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</si>
  <si>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</si>
  <si>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</si>
  <si>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</si>
  <si>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</si>
  <si>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</si>
  <si>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</si>
  <si>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</si>
  <si>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</si>
  <si>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</si>
  <si>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</si>
  <si>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</si>
  <si>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</si>
  <si>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</si>
  <si>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</si>
  <si>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</si>
  <si>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</si>
  <si>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</si>
  <si>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</si>
  <si>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</si>
  <si>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</si>
  <si>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</si>
  <si>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</si>
  <si>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</si>
  <si>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</si>
  <si>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</si>
  <si>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</si>
  <si>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</si>
  <si>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</si>
  <si>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</si>
  <si>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</si>
  <si>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</si>
  <si>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</si>
  <si>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</si>
  <si>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</si>
  <si>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</si>
  <si>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</si>
  <si>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</si>
  <si>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</si>
  <si>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</si>
  <si>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</si>
  <si>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</si>
  <si>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</si>
  <si>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</si>
  <si>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</si>
  <si>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</si>
  <si>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</si>
  <si>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</si>
  <si>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</si>
  <si>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</si>
  <si>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</si>
  <si>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</si>
  <si>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</si>
  <si>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</si>
  <si>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</si>
  <si>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</si>
  <si>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</si>
  <si>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</si>
  <si>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</si>
  <si>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</si>
  <si>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</si>
  <si>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</si>
  <si>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</si>
  <si>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</si>
  <si>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</si>
  <si>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</si>
  <si>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</si>
  <si>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</si>
  <si>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</si>
  <si>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</si>
  <si>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</si>
  <si>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</si>
  <si>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</si>
  <si>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</si>
  <si>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</si>
  <si>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</si>
  <si>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</si>
  <si>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</si>
  <si>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</si>
  <si>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</si>
  <si>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</si>
  <si>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</si>
  <si>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</si>
  <si>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</si>
  <si>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</si>
  <si>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</si>
  <si>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</si>
  <si>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</si>
  <si>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</si>
  <si>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</si>
  <si>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</si>
  <si>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</si>
  <si>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</si>
  <si>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</si>
  <si>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</si>
  <si>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</si>
  <si>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</si>
  <si>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</si>
  <si>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</si>
  <si>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</si>
  <si>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</si>
  <si>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</si>
  <si>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</si>
  <si>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</si>
  <si>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</si>
  <si>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</si>
  <si>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</si>
  <si>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</si>
  <si>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</si>
  <si>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</si>
  <si>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</si>
  <si>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</si>
  <si>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</si>
  <si>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</si>
  <si>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</si>
  <si>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</si>
  <si>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</si>
  <si>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</si>
  <si>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</si>
  <si>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</si>
  <si>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</si>
  <si>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</si>
  <si>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</si>
  <si>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</si>
  <si>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</si>
  <si>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</si>
  <si>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</si>
  <si>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</si>
  <si>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</si>
  <si>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</si>
  <si>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</si>
  <si>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</si>
  <si>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</si>
  <si>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</si>
  <si>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</si>
  <si>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</si>
  <si>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</si>
  <si>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</si>
  <si>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</si>
  <si>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</si>
  <si>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</si>
  <si>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</si>
  <si>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</si>
  <si>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</si>
  <si>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</si>
  <si>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</si>
  <si>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</si>
  <si>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</si>
  <si>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</si>
  <si>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</si>
  <si>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</si>
  <si>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</si>
  <si>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</si>
  <si>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</si>
  <si>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</si>
  <si>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</si>
  <si>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</si>
  <si>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</si>
  <si>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</si>
  <si>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</si>
  <si>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</si>
  <si>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</si>
  <si>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</si>
  <si>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</si>
  <si>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</si>
  <si>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</si>
  <si>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</si>
  <si>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</si>
  <si>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</si>
  <si>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</si>
  <si>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</si>
  <si>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</si>
  <si>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</si>
  <si>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</si>
  <si>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</si>
  <si>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</si>
  <si>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</si>
  <si>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</si>
  <si>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</si>
  <si>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</si>
  <si>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</si>
  <si>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</si>
  <si>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</si>
  <si>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</si>
  <si>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</si>
  <si>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</si>
  <si>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</si>
  <si>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</si>
  <si>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</si>
  <si>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</si>
  <si>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</si>
  <si>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</si>
  <si>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</si>
  <si>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</si>
  <si>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</si>
  <si>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</si>
  <si>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</si>
  <si>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</si>
  <si>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</si>
  <si>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</si>
  <si>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</si>
  <si>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</si>
  <si>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</si>
  <si>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</si>
  <si>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</si>
  <si>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</si>
  <si>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</si>
  <si>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</si>
  <si>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</si>
  <si>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</si>
  <si>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</si>
  <si>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</si>
  <si>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</si>
  <si>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</si>
  <si>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</si>
  <si>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</si>
  <si>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</si>
  <si>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</si>
  <si>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</si>
  <si>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</si>
  <si>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</si>
  <si>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</si>
  <si>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</si>
  <si>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</si>
  <si>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</si>
  <si>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</si>
  <si>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</si>
  <si>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</si>
  <si>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</si>
  <si>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</si>
  <si>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</si>
  <si>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</si>
  <si>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</si>
  <si>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</si>
  <si>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</si>
  <si>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</si>
  <si>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</si>
  <si>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</si>
  <si>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</si>
  <si>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</si>
  <si>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5 DIAS HABILES</t>
  </si>
  <si>
    <t>LAMINA DE 153X366</t>
  </si>
  <si>
    <t>GLORIA RAMIREZ</t>
  </si>
  <si>
    <t>+569 2703 9712</t>
  </si>
  <si>
    <t>CUBIERTA CON RESPALDO Y FRENTE 180°</t>
  </si>
  <si>
    <t>WHITE MARBLE BR</t>
  </si>
  <si>
    <t>N° 12074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</si>
</sst>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215079</xdr:rowOff>
    </xdr:from>
    <xdr:to>
      <xdr:col>5</xdr:col>
      <xdr:colOff>1732649</xdr:colOff>
      <xdr:row>25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SOBRE 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290</v>
      </c>
      <c r="D10" s="243"/>
      <c r="E10" s="243"/>
      <c r="F10" s="418" t="s">
        <v>276</v>
      </c>
      <c r="G10" s="275">
        <v>46113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291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1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O38</f>
        <v>71932.299465240649</v>
      </c>
      <c r="R20" s="257">
        <v>5000</v>
      </c>
      <c r="S20" s="38"/>
      <c r="T20" s="14" t="s">
        <v>126</v>
      </c>
      <c r="U20" s="9"/>
      <c r="X20" s="4"/>
    </row>
    <row r="21" spans="1:25" ht="18" thickBot="1" x14ac:dyDescent="0.35">
      <c r="B21" s="432">
        <v>1</v>
      </c>
      <c r="C21" s="433" t="s">
        <v>292</v>
      </c>
      <c r="D21" s="434">
        <v>1.79</v>
      </c>
      <c r="E21" s="434">
        <v>0.6</v>
      </c>
      <c r="F21" s="435" t="s">
        <v>293</v>
      </c>
      <c r="G21" s="436">
        <f>Q21</f>
        <v>80708.040000000023</v>
      </c>
      <c r="H21" s="437">
        <f>G21*B21</f>
        <v>80708.040000000023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1.87</v>
      </c>
      <c r="N21" s="39">
        <f t="shared" ref="N21" si="2">E21+$N$19</f>
        <v>0.6</v>
      </c>
      <c r="O21" s="260">
        <f t="shared" ref="O21" si="3">M21*N21</f>
        <v>1.1220000000000001</v>
      </c>
      <c r="P21" s="258">
        <f t="shared" ref="P21" si="4">O21*L21</f>
        <v>1.1220000000000001</v>
      </c>
      <c r="Q21" s="251">
        <f t="shared" ref="Q21" si="5">Q$20*O21</f>
        <v>80708.040000000023</v>
      </c>
      <c r="R21" s="305">
        <f t="shared" ref="R21" si="6">Q21+R$20</f>
        <v>85708.040000000023</v>
      </c>
      <c r="S21" s="290">
        <f>M21*L21*2</f>
        <v>3.74</v>
      </c>
      <c r="T21" s="46">
        <f>N21*L21*2</f>
        <v>1.2</v>
      </c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80708.040000000023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SUM(T21:T22)</f>
        <v>1.2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50</v>
      </c>
      <c r="H25" s="287">
        <f>H24*19%</f>
        <v>15334.527600000005</v>
      </c>
      <c r="I25" s="308"/>
      <c r="J25" s="264"/>
      <c r="K25" s="47"/>
      <c r="L25" s="431">
        <f>M25*10</f>
        <v>18.700000000000003</v>
      </c>
      <c r="M25" s="39">
        <f>SUM(M21:M24)</f>
        <v>1.87</v>
      </c>
      <c r="N25" s="12"/>
      <c r="O25" s="12"/>
      <c r="P25" s="252">
        <f>SUM(P21:P22)</f>
        <v>1.1220000000000001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96042.567600000024</v>
      </c>
      <c r="I26" s="308"/>
      <c r="J26" s="264"/>
      <c r="K26" s="47"/>
      <c r="L26" s="47"/>
      <c r="M26" s="39"/>
      <c r="N26" s="12"/>
      <c r="O26" s="12"/>
      <c r="P26" s="252">
        <f>P25</f>
        <v>1.1220000000000001</v>
      </c>
      <c r="Q26" s="14"/>
      <c r="R26" s="12"/>
      <c r="S26" s="239">
        <f>SUM(S21:S25)</f>
        <v>3.74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0.22440000000000004</v>
      </c>
      <c r="Q27" s="39" t="s">
        <v>128</v>
      </c>
      <c r="R27" s="42"/>
      <c r="S27" s="240">
        <f>S26+T24</f>
        <v>4.9400000000000004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1.3464</v>
      </c>
      <c r="Q28" s="14"/>
      <c r="R28" s="14"/>
      <c r="S28" s="238">
        <f>S27*20%</f>
        <v>0.9880000000000001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5.9280000000000008</v>
      </c>
      <c r="T29" s="14"/>
      <c r="U29" s="294" t="s">
        <v>21</v>
      </c>
      <c r="V29" s="291" t="s">
        <v>148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1.3464</v>
      </c>
      <c r="N30" s="12">
        <v>3500</v>
      </c>
      <c r="O30" s="12">
        <f t="shared" ref="O30:O35" si="7">M30*N30</f>
        <v>4712.4000000000005</v>
      </c>
      <c r="P30" s="14" t="s">
        <v>21</v>
      </c>
      <c r="Q30" s="14"/>
      <c r="R30" s="14"/>
      <c r="S30" s="241"/>
      <c r="T30" s="14"/>
      <c r="U30" s="294" t="s">
        <v>149</v>
      </c>
      <c r="V30" s="291">
        <v>3625</v>
      </c>
      <c r="W30" s="59" t="s">
        <v>150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0.4</v>
      </c>
      <c r="N31" s="12">
        <v>23500</v>
      </c>
      <c r="O31" s="12">
        <f t="shared" si="7"/>
        <v>9400</v>
      </c>
      <c r="P31" s="39" t="s">
        <v>287</v>
      </c>
      <c r="Q31" s="42"/>
      <c r="R31" s="14"/>
      <c r="S31" s="240"/>
      <c r="T31" s="14"/>
      <c r="U31" s="294"/>
      <c r="V31" s="59">
        <v>906.25</v>
      </c>
      <c r="W31" s="59" t="s">
        <v>151</v>
      </c>
      <c r="X31" s="296"/>
    </row>
    <row r="32" spans="1:25" s="230" customFormat="1" ht="17.399999999999999" x14ac:dyDescent="0.35">
      <c r="B32" s="24" t="s">
        <v>147</v>
      </c>
      <c r="J32" s="261"/>
      <c r="K32" s="232"/>
      <c r="L32" s="249"/>
      <c r="M32" s="14"/>
      <c r="N32" s="249">
        <v>33975</v>
      </c>
      <c r="O32" s="12">
        <f t="shared" si="7"/>
        <v>0</v>
      </c>
      <c r="P32" s="39" t="s">
        <v>289</v>
      </c>
      <c r="Q32" s="42"/>
      <c r="S32" s="240"/>
      <c r="T32" s="255"/>
      <c r="U32" s="59"/>
      <c r="V32" s="59">
        <f>V31*20%</f>
        <v>181.25</v>
      </c>
      <c r="W32" s="296" t="s">
        <v>152</v>
      </c>
      <c r="X32" s="59"/>
    </row>
    <row r="33" spans="1:24" s="230" customFormat="1" ht="17.399999999999999" x14ac:dyDescent="0.35">
      <c r="B33" s="24" t="s">
        <v>161</v>
      </c>
      <c r="C33"/>
      <c r="D33"/>
      <c r="E33"/>
      <c r="F33"/>
      <c r="J33" s="261"/>
      <c r="K33" s="232"/>
      <c r="L33" s="249"/>
      <c r="M33" s="14">
        <v>1</v>
      </c>
      <c r="N33" s="249">
        <v>20000</v>
      </c>
      <c r="O33" s="12">
        <f t="shared" si="7"/>
        <v>20000</v>
      </c>
      <c r="P33" s="14" t="s">
        <v>138</v>
      </c>
      <c r="Q33" s="17"/>
      <c r="S33" s="238"/>
      <c r="T33" s="255"/>
      <c r="U33" s="59"/>
      <c r="V33" s="59">
        <f>V31+V32</f>
        <v>1087.5</v>
      </c>
      <c r="W33" s="296" t="s">
        <v>153</v>
      </c>
      <c r="X33" s="59"/>
    </row>
    <row r="34" spans="1:24" s="230" customFormat="1" ht="17.399999999999999" x14ac:dyDescent="0.35">
      <c r="A34" s="230" t="s">
        <v>282</v>
      </c>
      <c r="B34" s="29" t="s">
        <v>123</v>
      </c>
      <c r="C34"/>
      <c r="D34"/>
      <c r="E34"/>
      <c r="F34" s="229" t="s">
        <v>15</v>
      </c>
      <c r="J34" s="261"/>
      <c r="K34" s="259"/>
      <c r="L34" s="249"/>
      <c r="M34" s="248">
        <v>1.8</v>
      </c>
      <c r="N34" s="249">
        <v>900</v>
      </c>
      <c r="O34" s="12">
        <f t="shared" si="7"/>
        <v>1620</v>
      </c>
      <c r="P34" s="14" t="s">
        <v>31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1.8</v>
      </c>
      <c r="N35" s="12">
        <v>1500</v>
      </c>
      <c r="O35" s="12">
        <f t="shared" si="7"/>
        <v>2700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38432.400000000001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32</v>
      </c>
      <c r="N37" s="12"/>
      <c r="O37" s="254">
        <f>O36*2.1</f>
        <v>80708.040000000008</v>
      </c>
      <c r="P37" s="14" t="s">
        <v>137</v>
      </c>
      <c r="Q37" s="14"/>
      <c r="R37" s="40">
        <f>P28/R36</f>
        <v>0.36302847282139777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51290</v>
      </c>
      <c r="L38" s="249"/>
      <c r="M38" s="14"/>
      <c r="N38" s="12"/>
      <c r="O38" s="12">
        <f>O37/P26</f>
        <v>71932.299465240649</v>
      </c>
      <c r="P38" s="45" t="s">
        <v>24</v>
      </c>
      <c r="Q38" s="14"/>
      <c r="R38" s="14"/>
      <c r="S38"/>
      <c r="T38" s="238"/>
      <c r="U38" s="59" t="s">
        <v>154</v>
      </c>
      <c r="V38" s="291">
        <v>43650</v>
      </c>
    </row>
    <row r="39" spans="1:24" s="230" customFormat="1" ht="17.399999999999999" x14ac:dyDescent="0.35">
      <c r="G39"/>
      <c r="K39" s="230">
        <f>K38/1.19</f>
        <v>43100.840336134454</v>
      </c>
      <c r="L39" s="249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156</v>
      </c>
      <c r="V39" s="292" t="s">
        <v>155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157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152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144</v>
      </c>
    </row>
    <row r="74" spans="3:15" x14ac:dyDescent="0.3">
      <c r="C74" t="s">
        <v>143</v>
      </c>
    </row>
    <row r="77" spans="3:15" x14ac:dyDescent="0.3">
      <c r="C77" t="s">
        <v>143</v>
      </c>
    </row>
    <row r="154" spans="3:3" x14ac:dyDescent="0.3">
      <c r="C154" t="s">
        <v>143</v>
      </c>
    </row>
    <row r="155" spans="3:3" x14ac:dyDescent="0.3">
      <c r="C155" t="s">
        <v>145</v>
      </c>
    </row>
    <row r="156" spans="3:3" x14ac:dyDescent="0.3">
      <c r="C156" t="s">
        <v>146</v>
      </c>
    </row>
    <row r="581" spans="3:3" x14ac:dyDescent="0.3">
      <c r="C581" t="s">
        <v>143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46113</v>
      </c>
    </row>
    <row r="6" spans="2:31" ht="16.2" thickBot="1" x14ac:dyDescent="0.35">
      <c r="B6" s="140" t="s">
        <v>2</v>
      </c>
      <c r="C6" s="139" t="str">
        <f>'2229'!C10</f>
        <v>GLORIA RAMIREZ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12074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-1366.0550334541113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'2229'!H24</f>
        <v>80708.040000000023</v>
      </c>
      <c r="E11" s="132">
        <f>D11*0.19</f>
        <v>15334.527600000005</v>
      </c>
      <c r="F11" s="131">
        <f>E11+D11</f>
        <v>96042.567600000024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104623.94496654588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43946.490787439616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86623.944966545881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36761.549212560407</v>
      </c>
      <c r="E13" s="221">
        <f>(D11/D12)-1</f>
        <v>0.83650704649817587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77623.944966545881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38623.944966545889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72511.709799275355</v>
      </c>
      <c r="F15" s="216">
        <f>E15-D12</f>
        <v>28565.219011835739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38623.944966545889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78623.944966545881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'2229'!O31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4712.4000000000005</v>
      </c>
      <c r="E20" s="121">
        <f>D20*0.19</f>
        <v>895.35600000000011</v>
      </c>
      <c r="F20" s="120">
        <f>SUM(D20:E20)</f>
        <v>5607.7560000000003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14112.400000000001</v>
      </c>
      <c r="E21" s="116">
        <f>SUM(E18:E20)</f>
        <v>2681.3560000000002</v>
      </c>
      <c r="F21" s="115">
        <f>SUM(F18:F20)</f>
        <v>16793.756000000001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12653.171600000005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80708.040000000023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14112.400000000001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36761.549212560407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36761.549212560407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12074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GLORIA RAMIREZ</v>
      </c>
      <c r="D10" s="350"/>
      <c r="E10" s="350"/>
      <c r="F10" s="351" t="s">
        <v>166</v>
      </c>
      <c r="G10" s="352">
        <f>'2229'!G10</f>
        <v>46113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46120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+569 2703 9712</v>
      </c>
      <c r="D15" s="347"/>
      <c r="E15" s="345"/>
      <c r="F15" s="345" t="s">
        <v>172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174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175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181</v>
      </c>
      <c r="C2" s="453"/>
      <c r="D2" s="453"/>
      <c r="E2" s="361"/>
      <c r="G2" s="453" t="s">
        <v>182</v>
      </c>
      <c r="H2" s="453"/>
      <c r="I2" s="453"/>
      <c r="P2" s="454" t="s">
        <v>183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54" t="s">
        <v>183</v>
      </c>
      <c r="M8" s="454"/>
      <c r="N8" s="454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264</v>
      </c>
      <c r="L3" s="459"/>
      <c r="M3" s="459" t="s">
        <v>265</v>
      </c>
      <c r="N3" s="459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GLORIA RAMIREZ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46113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46120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264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265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271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12074</v>
      </c>
      <c r="C2" s="1">
        <f>'NOTA DE VENTA'!$G$10</f>
        <v>46113</v>
      </c>
      <c r="D2" s="1">
        <f>'NOTA DE VENTA'!$G$11</f>
        <v>46120</v>
      </c>
      <c r="E2" t="str">
        <f>'NOTA DE VENTA'!$C$10</f>
        <v>GLORIA RAMIREZ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2026-04-01T15:32:23Z</cp:lastPrinted>
  <dcterms:created xsi:type="dcterms:W3CDTF">2013-03-18T13:35:42Z</dcterms:created>
  <dcterms:modified xsi:type="dcterms:W3CDTF">2026-04-01T15:37:49Z</dcterms:modified>
</cp:coreProperties>
</file>