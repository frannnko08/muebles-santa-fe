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4 ABRIL 2026\"/>
    </mc:Choice>
  </mc:AlternateContent>
  <xr:revisionPtr revIDLastSave="0" documentId="13_ncr:1_{D4637E27-DF82-4B2D-9A36-BD4F1A544094}" xr6:coauthVersionLast="47" xr6:coauthVersionMax="47" xr10:uidLastSave="{00000000-0000-0000-0000-000000000000}"/>
  <bookViews>
    <workbookView xWindow="-20610" yWindow="1635" windowWidth="20730" windowHeight="11040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1" l="1"/>
  <c r="M22" i="1"/>
  <c r="N22" i="1"/>
  <c r="O22" i="1"/>
  <c r="S22" i="1"/>
  <c r="L21" i="1"/>
  <c r="P22" i="1" l="1"/>
  <c r="N5" i="6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8" i="1" l="1"/>
  <c r="S21" i="1"/>
  <c r="S29" i="1" s="1"/>
  <c r="T21" i="1"/>
  <c r="T27" i="1" s="1"/>
  <c r="O21" i="1"/>
  <c r="P21" i="1" s="1"/>
  <c r="P28" i="1" s="1"/>
  <c r="K42" i="1"/>
  <c r="S30" i="1" l="1"/>
  <c r="S31" i="1" s="1"/>
  <c r="S32" i="1" s="1"/>
  <c r="V35" i="1"/>
  <c r="V36" i="1" s="1"/>
  <c r="P29" i="1" l="1"/>
  <c r="N20" i="1"/>
  <c r="L20" i="1"/>
  <c r="P30" i="1" l="1"/>
  <c r="P31" i="1" s="1"/>
  <c r="M33" i="1" s="1"/>
  <c r="O35" i="1"/>
  <c r="R39" i="1"/>
  <c r="R40" i="1" l="1"/>
  <c r="O34" i="1" s="1"/>
  <c r="O36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8" i="1"/>
  <c r="O37" i="1"/>
  <c r="F18" i="3" l="1"/>
  <c r="O33" i="1" l="1"/>
  <c r="O39" i="1" s="1"/>
  <c r="O40" i="1" s="1"/>
  <c r="D20" i="3" l="1"/>
  <c r="E20" i="3" s="1"/>
  <c r="E21" i="3" s="1"/>
  <c r="O41" i="1" l="1"/>
  <c r="Q20" i="1" s="1"/>
  <c r="Q22" i="1" s="1"/>
  <c r="R22" i="1" s="1"/>
  <c r="D21" i="3"/>
  <c r="M43" i="3" s="1"/>
  <c r="D12" i="3" s="1"/>
  <c r="F20" i="3"/>
  <c r="F21" i="3" s="1"/>
  <c r="O42" i="1" l="1"/>
  <c r="E15" i="3"/>
  <c r="Q21" i="1" l="1"/>
  <c r="G21" i="1" s="1"/>
  <c r="F15" i="3"/>
  <c r="R21" i="1" l="1"/>
  <c r="H21" i="1" l="1"/>
  <c r="H27" i="1" s="1"/>
  <c r="H28" i="1" l="1"/>
  <c r="H29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<sst xmlns="http://schemas.openxmlformats.org/spreadsheetml/2006/main" count="487" uniqueCount="293">
  <si>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</si>
  <si>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</si>
  <si>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</si>
  <si>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</si>
  <si>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</si>
  <si>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</si>
  <si>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</si>
  <si>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</si>
  <si>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</si>
  <si>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</si>
  <si>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</si>
  <si>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</si>
  <si>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</si>
  <si>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</si>
  <si>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</si>
  <si>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</si>
  <si>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</si>
  <si>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</si>
  <si>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</si>
  <si>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</si>
  <si>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</si>
  <si>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</si>
  <si>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</si>
  <si>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</si>
  <si>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</si>
  <si>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</si>
  <si>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</si>
  <si>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</si>
  <si>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</si>
  <si>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</si>
  <si>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</si>
  <si>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</si>
  <si>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</si>
  <si>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</si>
  <si>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</si>
  <si>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</si>
  <si>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</si>
  <si>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</si>
  <si>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</si>
  <si>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</si>
  <si>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</si>
  <si>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</si>
  <si>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</si>
  <si>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</si>
  <si>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</si>
  <si>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</si>
  <si>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</si>
  <si>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</si>
  <si>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</si>
  <si>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</si>
  <si>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</si>
  <si>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</si>
  <si>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</si>
  <si>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</si>
  <si>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</si>
  <si>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</si>
  <si>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</si>
  <si>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</si>
  <si>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</si>
  <si>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</si>
  <si>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</si>
  <si>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</si>
  <si>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</si>
  <si>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</si>
  <si>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</si>
  <si>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</si>
  <si>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</si>
  <si>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</si>
  <si>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</si>
  <si>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</si>
  <si>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</si>
  <si>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</si>
  <si>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</si>
  <si>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</si>
  <si>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</si>
  <si>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</si>
  <si>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</si>
  <si>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</si>
  <si>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</si>
  <si>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</si>
  <si>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</si>
  <si>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</si>
  <si>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</si>
  <si>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</si>
  <si>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</si>
  <si>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</si>
  <si>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</si>
  <si>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</si>
  <si>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</si>
  <si>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</si>
  <si>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</si>
  <si>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</si>
  <si>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</si>
  <si>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</si>
  <si>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</si>
  <si>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</si>
  <si>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</si>
  <si>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</si>
  <si>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</si>
  <si>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</si>
  <si>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</si>
  <si>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</si>
  <si>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</si>
  <si>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</si>
  <si>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</si>
  <si>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</si>
  <si>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</si>
  <si>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</si>
  <si>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</si>
  <si>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</si>
  <si>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</si>
  <si>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</si>
  <si>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</si>
  <si>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</si>
  <si>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</si>
  <si>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</si>
  <si>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</si>
  <si>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</si>
  <si>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</si>
  <si>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</si>
  <si>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</si>
  <si>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</si>
  <si>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</si>
  <si>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</si>
  <si>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</si>
  <si>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</si>
  <si>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</si>
  <si>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</si>
  <si>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</si>
  <si>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</si>
  <si>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</si>
  <si>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</si>
  <si>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</si>
  <si>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</si>
  <si>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</si>
  <si>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</si>
  <si>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</si>
  <si>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</si>
  <si>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</si>
  <si>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</si>
  <si>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</si>
  <si>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</si>
  <si>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</si>
  <si>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</si>
  <si>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</si>
  <si>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</si>
  <si>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</si>
  <si>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</si>
  <si>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</si>
  <si>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</si>
  <si>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</si>
  <si>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</si>
  <si>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</si>
  <si>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</si>
  <si>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</si>
  <si>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</si>
  <si>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</si>
  <si>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</si>
  <si>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</si>
  <si>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</si>
  <si>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</si>
  <si>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</si>
  <si>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</si>
  <si>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</si>
  <si>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</si>
  <si>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</si>
  <si>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</si>
  <si>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</si>
  <si>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</si>
  <si>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</si>
  <si>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</si>
  <si>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</si>
  <si>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</si>
  <si>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</si>
  <si>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</si>
  <si>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</si>
  <si>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</si>
  <si>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</si>
  <si>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</si>
  <si>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</si>
  <si>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</si>
  <si>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</si>
  <si>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</si>
  <si>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</si>
  <si>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</si>
  <si>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</si>
  <si>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</si>
  <si>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</si>
  <si>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</si>
  <si>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</si>
  <si>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</si>
  <si>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</si>
  <si>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</si>
  <si>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</si>
  <si>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</si>
  <si>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</si>
  <si>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</si>
  <si>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</si>
  <si>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</si>
  <si>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</si>
  <si>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</si>
  <si>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</si>
  <si>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</si>
  <si>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</si>
  <si>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</si>
  <si>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</si>
  <si>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</si>
  <si>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</si>
  <si>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</si>
  <si>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</si>
  <si>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</si>
  <si>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</si>
  <si>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</si>
  <si>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</si>
  <si>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</si>
  <si>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</si>
  <si>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</si>
  <si>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</si>
  <si>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</si>
  <si>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</si>
  <si>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</si>
  <si>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</si>
  <si>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</si>
  <si>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</si>
  <si>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</si>
  <si>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</si>
  <si>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</si>
  <si>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</si>
  <si>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</si>
  <si>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</si>
  <si>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</si>
  <si>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</si>
  <si>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</si>
  <si>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</si>
  <si>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</si>
  <si>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</si>
  <si>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</si>
  <si>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</si>
  <si>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</si>
  <si>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</si>
  <si>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</si>
  <si>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</si>
  <si>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</si>
  <si>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</si>
  <si>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</si>
  <si>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</si>
  <si>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</si>
  <si>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</si>
  <si>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</si>
  <si>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</si>
  <si>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</si>
  <si>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</si>
  <si>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</si>
  <si>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</si>
  <si>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</si>
  <si>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</si>
  <si>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</si>
  <si>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</si>
  <si>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</si>
  <si>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</si>
  <si>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</si>
  <si>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</si>
  <si>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</si>
  <si>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</si>
  <si>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</si>
  <si>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</si>
  <si>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</si>
  <si>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</si>
  <si>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</si>
  <si>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</si>
  <si>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</si>
  <si>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</si>
  <si>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</si>
  <si>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</si>
  <si>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</si>
  <si>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</si>
  <si>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</si>
  <si>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</si>
  <si>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</si>
  <si>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</si>
  <si>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</si>
  <si>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</si>
  <si>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</si>
  <si>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</si>
  <si>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</si>
  <si>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</si>
  <si>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</si>
  <si>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</si>
  <si>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5 DIAS HABILES</t>
  </si>
  <si>
    <t>N° 12101</t>
  </si>
  <si>
    <t>OMAR SANCHEZ</t>
  </si>
  <si>
    <t>CUB CON RESPALDO FTE 90°</t>
  </si>
  <si>
    <t>BLANCO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</si>
</sst>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1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30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46" fillId="8" borderId="46" xfId="0" applyFont="1" applyFill="1" applyBorder="1"/>
    <xf numFmtId="0" fontId="39" fillId="0" borderId="1" xfId="0" applyFont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  <xf numFmtId="0" fontId="30" fillId="0" borderId="0" xfId="0" applyFont="1" applyBorder="1" applyAlignment="1">
      <alignment horizontal="center" vertical="center"/>
    </xf>
    <xf numFmtId="0" fontId="39" fillId="0" borderId="0" xfId="0" applyFont="1" applyBorder="1" applyAlignment="1">
      <alignment horizontal="center" vertical="center"/>
    </xf>
    <xf numFmtId="166" fontId="30" fillId="0" borderId="0" xfId="0" applyNumberFormat="1" applyFont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30</xdr:row>
      <xdr:rowOff>8194</xdr:rowOff>
    </xdr:from>
    <xdr:to>
      <xdr:col>8</xdr:col>
      <xdr:colOff>8193</xdr:colOff>
      <xdr:row>33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1745226</xdr:colOff>
      <xdr:row>33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214364</xdr:rowOff>
    </xdr:from>
    <xdr:to>
      <xdr:col>5</xdr:col>
      <xdr:colOff>1728839</xdr:colOff>
      <xdr:row>28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</a:t>
          </a:r>
          <a:r>
            <a:rPr lang="es-CL" sz="1200" b="1" baseline="0"/>
            <a:t> CUBIERTA SE ENTREGA CORTADA EN LAS PUNTAS Y ENCHAPADAS CON EL MISMO LAMINADO.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15999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2112890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4"/>
  <sheetViews>
    <sheetView tabSelected="1" topLeftCell="D22" zoomScale="93" zoomScaleNormal="93" workbookViewId="0">
      <selection activeCell="N36" sqref="N36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125</v>
      </c>
      <c r="C8" s="408"/>
      <c r="D8" s="409" t="s">
        <v>289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33" t="s">
        <v>290</v>
      </c>
      <c r="D10" s="243"/>
      <c r="E10" s="243"/>
      <c r="F10" s="418" t="s">
        <v>277</v>
      </c>
      <c r="G10" s="275">
        <v>46133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/>
      <c r="F11" s="29" t="s">
        <v>286</v>
      </c>
      <c r="G11" s="421" t="s">
        <v>288</v>
      </c>
      <c r="H11" s="422"/>
      <c r="Q11" s="19"/>
      <c r="R11" s="25" t="s">
        <v>18</v>
      </c>
      <c r="S11" s="19"/>
    </row>
    <row r="12" spans="2:24" x14ac:dyDescent="0.3">
      <c r="B12" s="245" t="s">
        <v>142</v>
      </c>
      <c r="C12" s="417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9" t="s">
        <v>143</v>
      </c>
      <c r="F13" s="29" t="s">
        <v>134</v>
      </c>
      <c r="G13" s="423" t="s">
        <v>133</v>
      </c>
      <c r="H13" s="422"/>
      <c r="Q13" s="19"/>
      <c r="R13" s="25"/>
      <c r="S13" s="19"/>
    </row>
    <row r="14" spans="2:24" x14ac:dyDescent="0.3">
      <c r="B14" s="245" t="s">
        <v>137</v>
      </c>
      <c r="C14" s="429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24"/>
      <c r="D15" s="425"/>
      <c r="F15" s="29" t="s">
        <v>284</v>
      </c>
      <c r="G15" s="75" t="s">
        <v>133</v>
      </c>
      <c r="H15" s="422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2:25" ht="15" thickBot="1" x14ac:dyDescent="0.35">
      <c r="B17" s="426" t="s">
        <v>13</v>
      </c>
      <c r="C17" s="299" t="s">
        <v>287</v>
      </c>
      <c r="D17" s="300"/>
      <c r="E17" s="119"/>
      <c r="F17" s="427" t="s">
        <v>179</v>
      </c>
      <c r="G17" s="427" t="s">
        <v>180</v>
      </c>
      <c r="H17" s="428"/>
      <c r="I17" s="262"/>
      <c r="J17" s="262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435" t="s">
        <v>95</v>
      </c>
      <c r="C19" s="436"/>
      <c r="D19" s="436"/>
      <c r="E19" s="436"/>
      <c r="F19" s="436"/>
      <c r="G19" s="436"/>
      <c r="H19" s="437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2:25" ht="17.399999999999999" x14ac:dyDescent="0.3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O41</f>
        <v>154057.22421346075</v>
      </c>
      <c r="R20" s="257">
        <v>3000</v>
      </c>
      <c r="S20" s="38"/>
      <c r="T20" s="14" t="s">
        <v>127</v>
      </c>
      <c r="U20" s="9"/>
      <c r="X20" s="4"/>
    </row>
    <row r="21" spans="2:25" ht="17.399999999999999" x14ac:dyDescent="0.3">
      <c r="B21" s="430">
        <v>1</v>
      </c>
      <c r="C21" s="434" t="s">
        <v>291</v>
      </c>
      <c r="D21" s="431">
        <v>2.4</v>
      </c>
      <c r="E21" s="431">
        <v>0.40500000000000003</v>
      </c>
      <c r="F21" s="430" t="s">
        <v>292</v>
      </c>
      <c r="G21" s="432">
        <f>Q21</f>
        <v>154735.07599999997</v>
      </c>
      <c r="H21" s="432">
        <f>G21*B21</f>
        <v>154735.07599999997</v>
      </c>
      <c r="I21" s="306"/>
      <c r="J21" s="264"/>
      <c r="K21" s="47"/>
      <c r="L21" s="47">
        <f>B21</f>
        <v>1</v>
      </c>
      <c r="M21" s="39">
        <f>D21+M$19</f>
        <v>2.48</v>
      </c>
      <c r="N21" s="39">
        <f>E21+$N$19</f>
        <v>0.40500000000000003</v>
      </c>
      <c r="O21" s="260">
        <f t="shared" ref="O21" si="0">M21*N21</f>
        <v>1.0044</v>
      </c>
      <c r="P21" s="258">
        <f t="shared" ref="P21" si="1">O21*L21</f>
        <v>1.0044</v>
      </c>
      <c r="Q21" s="251">
        <f t="shared" ref="Q21" si="2">Q$20*O21</f>
        <v>154735.07599999997</v>
      </c>
      <c r="R21" s="305">
        <f t="shared" ref="R21" si="3">Q21+R$20</f>
        <v>157735.07599999997</v>
      </c>
      <c r="S21" s="290">
        <f>M21*L21</f>
        <v>2.48</v>
      </c>
      <c r="T21" s="46">
        <f>N21*2*L21*2</f>
        <v>1.62</v>
      </c>
      <c r="U21" s="9"/>
      <c r="X21" s="4"/>
    </row>
    <row r="22" spans="2:25" ht="17.399999999999999" x14ac:dyDescent="0.3">
      <c r="B22" s="458">
        <v>1</v>
      </c>
      <c r="C22" s="459" t="s">
        <v>291</v>
      </c>
      <c r="D22" s="460">
        <v>2.4</v>
      </c>
      <c r="E22" s="460">
        <v>0.505</v>
      </c>
      <c r="F22" s="458" t="s">
        <v>292</v>
      </c>
      <c r="G22" s="306"/>
      <c r="H22" s="306"/>
      <c r="I22" s="306"/>
      <c r="J22" s="264"/>
      <c r="K22" s="47"/>
      <c r="L22" s="47">
        <f>B22</f>
        <v>1</v>
      </c>
      <c r="M22" s="39">
        <f>D22+M$19</f>
        <v>2.48</v>
      </c>
      <c r="N22" s="39">
        <f>E22+$N$19</f>
        <v>0.505</v>
      </c>
      <c r="O22" s="260">
        <f t="shared" ref="O22" si="4">M22*N22</f>
        <v>1.2524</v>
      </c>
      <c r="P22" s="258">
        <f t="shared" ref="P22" si="5">O22*L22</f>
        <v>1.2524</v>
      </c>
      <c r="Q22" s="251">
        <f t="shared" ref="Q22" si="6">Q$20*O22</f>
        <v>192941.26760493824</v>
      </c>
      <c r="R22" s="305">
        <f t="shared" ref="R22" si="7">Q22+R$20</f>
        <v>195941.26760493824</v>
      </c>
      <c r="S22" s="290">
        <f>M22*L22</f>
        <v>2.48</v>
      </c>
      <c r="T22" s="46"/>
      <c r="U22" s="9"/>
      <c r="X22" s="4"/>
    </row>
    <row r="23" spans="2:25" ht="17.399999999999999" x14ac:dyDescent="0.3">
      <c r="B23" s="283"/>
      <c r="C23" s="325"/>
      <c r="D23" s="284"/>
      <c r="E23" s="284"/>
      <c r="F23" s="283"/>
      <c r="G23" s="306"/>
      <c r="H23" s="306"/>
      <c r="I23" s="306"/>
      <c r="J23" s="264"/>
      <c r="K23" s="47"/>
      <c r="L23" s="47"/>
      <c r="M23" s="39"/>
      <c r="N23" s="39"/>
      <c r="O23" s="260"/>
      <c r="P23" s="258"/>
      <c r="Q23" s="251"/>
      <c r="R23" s="305"/>
      <c r="S23" s="290"/>
      <c r="T23" s="46"/>
      <c r="U23" s="9"/>
      <c r="X23" s="4"/>
    </row>
    <row r="24" spans="2:25" ht="17.399999999999999" x14ac:dyDescent="0.3">
      <c r="B24" s="283"/>
      <c r="C24" s="325"/>
      <c r="D24" s="284"/>
      <c r="E24" s="284"/>
      <c r="F24" s="283"/>
      <c r="G24" s="264"/>
      <c r="H24" s="307"/>
      <c r="I24" s="309"/>
      <c r="J24" s="233"/>
      <c r="K24" s="47"/>
      <c r="L24" s="47"/>
      <c r="M24" s="39"/>
      <c r="N24" s="39"/>
      <c r="O24" s="260"/>
      <c r="P24" s="258"/>
      <c r="Q24" s="251"/>
      <c r="R24" s="257"/>
      <c r="S24" s="290"/>
      <c r="T24" s="14"/>
      <c r="U24" s="9"/>
      <c r="X24" s="4"/>
    </row>
    <row r="25" spans="2:25" ht="17.399999999999999" x14ac:dyDescent="0.3">
      <c r="B25" s="283"/>
      <c r="C25" s="325"/>
      <c r="D25" s="284"/>
      <c r="E25" s="284"/>
      <c r="F25" s="283"/>
      <c r="G25" s="264"/>
      <c r="H25" s="307"/>
      <c r="I25" s="309"/>
      <c r="J25" s="233"/>
      <c r="K25" s="47"/>
      <c r="L25" s="47"/>
      <c r="M25" s="39"/>
      <c r="N25" s="39"/>
      <c r="O25" s="260"/>
      <c r="P25" s="258"/>
      <c r="Q25" s="251"/>
      <c r="R25" s="257"/>
      <c r="S25" s="290"/>
      <c r="T25" s="14"/>
      <c r="U25" s="9"/>
      <c r="X25" s="4"/>
    </row>
    <row r="26" spans="2:25" ht="18" thickBot="1" x14ac:dyDescent="0.35">
      <c r="B26" s="283"/>
      <c r="C26" s="325"/>
      <c r="D26" s="284"/>
      <c r="E26" s="284"/>
      <c r="F26" s="283"/>
      <c r="G26" s="264"/>
      <c r="H26" s="307"/>
      <c r="I26" s="309"/>
      <c r="J26" s="233"/>
      <c r="K26" s="47"/>
      <c r="L26" s="47"/>
      <c r="M26" s="39"/>
      <c r="N26" s="39"/>
      <c r="O26" s="260"/>
      <c r="P26" s="258"/>
      <c r="Q26" s="251"/>
      <c r="R26" s="257"/>
      <c r="S26" s="290"/>
      <c r="T26" s="14"/>
      <c r="U26" s="9"/>
      <c r="X26" s="4"/>
    </row>
    <row r="27" spans="2:25" ht="17.399999999999999" x14ac:dyDescent="0.3">
      <c r="B27" s="283"/>
      <c r="C27" s="283"/>
      <c r="D27" s="284"/>
      <c r="E27" s="284"/>
      <c r="F27" s="283"/>
      <c r="G27" s="310" t="s">
        <v>28</v>
      </c>
      <c r="H27" s="311">
        <f>SUM(H21:H24)</f>
        <v>154735.07599999997</v>
      </c>
      <c r="I27" s="308"/>
      <c r="J27" s="264"/>
      <c r="K27" s="47"/>
      <c r="L27" s="47"/>
      <c r="M27" s="39"/>
      <c r="N27" s="39"/>
      <c r="O27" s="260"/>
      <c r="P27" s="258"/>
      <c r="Q27" s="251"/>
      <c r="R27" s="257"/>
      <c r="S27" s="290"/>
      <c r="T27" s="46">
        <f>SUM(T21:T24)</f>
        <v>1.62</v>
      </c>
      <c r="U27" s="9"/>
      <c r="X27" s="4"/>
    </row>
    <row r="28" spans="2:25" ht="17.399999999999999" x14ac:dyDescent="0.3">
      <c r="B28" s="277"/>
      <c r="C28" s="280"/>
      <c r="D28" s="281"/>
      <c r="E28" s="281"/>
      <c r="F28" s="282"/>
      <c r="G28" s="289" t="s">
        <v>51</v>
      </c>
      <c r="H28" s="287">
        <f>H27*19%</f>
        <v>29399.664439999993</v>
      </c>
      <c r="I28" s="308"/>
      <c r="J28" s="264"/>
      <c r="K28" s="47"/>
      <c r="L28" s="47"/>
      <c r="M28" s="39">
        <f>SUM(M21:M27)</f>
        <v>4.96</v>
      </c>
      <c r="N28" s="12"/>
      <c r="O28" s="12"/>
      <c r="P28" s="252">
        <f>SUM(P21:P21)</f>
        <v>1.0044</v>
      </c>
      <c r="Q28" s="14"/>
      <c r="R28" s="12"/>
      <c r="S28" s="239"/>
      <c r="T28" s="46"/>
      <c r="U28" s="9"/>
      <c r="X28" s="4"/>
    </row>
    <row r="29" spans="2:25" ht="18" thickBot="1" x14ac:dyDescent="0.35">
      <c r="B29" s="274"/>
      <c r="C29" s="279"/>
      <c r="D29" s="271"/>
      <c r="E29" s="271"/>
      <c r="F29" s="272"/>
      <c r="G29" s="278" t="s">
        <v>6</v>
      </c>
      <c r="H29" s="288">
        <f>H27+H28</f>
        <v>184134.74043999997</v>
      </c>
      <c r="I29" s="308"/>
      <c r="J29" s="264"/>
      <c r="K29" s="47"/>
      <c r="L29" s="47"/>
      <c r="M29" s="39"/>
      <c r="N29" s="12"/>
      <c r="O29" s="12"/>
      <c r="P29" s="252">
        <f>P28</f>
        <v>1.0044</v>
      </c>
      <c r="Q29" s="14"/>
      <c r="R29" s="12"/>
      <c r="S29" s="239">
        <f>SUM(S21:S28)</f>
        <v>4.96</v>
      </c>
      <c r="T29" s="46"/>
      <c r="U29" s="9"/>
      <c r="X29" s="4"/>
    </row>
    <row r="30" spans="2:25" ht="17.399999999999999" x14ac:dyDescent="0.3">
      <c r="B30" s="274"/>
      <c r="C30" s="270"/>
      <c r="D30" s="271"/>
      <c r="E30" s="271"/>
      <c r="F30" s="272"/>
      <c r="J30" s="264"/>
      <c r="K30" s="47"/>
      <c r="L30" s="47"/>
      <c r="M30" s="14"/>
      <c r="N30" s="12"/>
      <c r="O30" s="12"/>
      <c r="P30" s="39">
        <f>P29*20%</f>
        <v>0.20088</v>
      </c>
      <c r="Q30" s="39" t="s">
        <v>129</v>
      </c>
      <c r="R30" s="42"/>
      <c r="S30" s="240">
        <f>S29+T27</f>
        <v>6.58</v>
      </c>
      <c r="T30" s="14"/>
      <c r="U30" s="9"/>
      <c r="X30" s="4"/>
    </row>
    <row r="31" spans="2:25" ht="17.399999999999999" x14ac:dyDescent="0.35">
      <c r="B31" s="268"/>
      <c r="C31" s="230"/>
      <c r="D31" s="230"/>
      <c r="E31" s="233"/>
      <c r="F31" s="234"/>
      <c r="G31" s="230"/>
      <c r="H31" s="273"/>
      <c r="I31" s="273"/>
      <c r="J31" s="264"/>
      <c r="K31" s="47"/>
      <c r="L31" s="47"/>
      <c r="M31" s="14"/>
      <c r="N31" s="12"/>
      <c r="O31" s="12"/>
      <c r="P31" s="46">
        <f>P29+P30</f>
        <v>1.2052799999999999</v>
      </c>
      <c r="Q31" s="14"/>
      <c r="R31" s="14"/>
      <c r="S31" s="238">
        <f>S30*20%</f>
        <v>1.3160000000000001</v>
      </c>
      <c r="T31" s="14"/>
      <c r="U31" s="9"/>
      <c r="X31" s="4"/>
    </row>
    <row r="32" spans="2:25" ht="17.399999999999999" x14ac:dyDescent="0.35">
      <c r="B32" s="235"/>
      <c r="C32" s="236"/>
      <c r="D32" s="237"/>
      <c r="E32" s="235"/>
      <c r="F32" s="230"/>
      <c r="G32" s="230"/>
      <c r="I32" s="273"/>
      <c r="J32" s="264"/>
      <c r="K32" s="47"/>
      <c r="L32" s="47"/>
      <c r="M32" s="14"/>
      <c r="N32" s="14"/>
      <c r="O32" s="14"/>
      <c r="P32" s="14"/>
      <c r="Q32" s="14"/>
      <c r="R32" s="14"/>
      <c r="S32" s="240">
        <f>S30+S31</f>
        <v>7.8959999999999999</v>
      </c>
      <c r="T32" s="14"/>
      <c r="U32" s="294" t="s">
        <v>21</v>
      </c>
      <c r="V32" s="291" t="s">
        <v>149</v>
      </c>
      <c r="W32" s="295">
        <v>44971</v>
      </c>
      <c r="X32" s="296"/>
    </row>
    <row r="33" spans="1:24" ht="17.399999999999999" x14ac:dyDescent="0.35">
      <c r="B33" s="230"/>
      <c r="C33" s="230"/>
      <c r="D33" s="230"/>
      <c r="E33" s="230"/>
      <c r="F33" s="230"/>
      <c r="G33" s="230"/>
      <c r="J33" s="264"/>
      <c r="K33" s="47"/>
      <c r="L33" s="47"/>
      <c r="M33" s="39">
        <f>P31</f>
        <v>1.2052799999999999</v>
      </c>
      <c r="N33" s="12">
        <v>4000</v>
      </c>
      <c r="O33" s="12">
        <f t="shared" ref="O33:O38" si="8">M33*N33</f>
        <v>4821.12</v>
      </c>
      <c r="P33" s="14" t="s">
        <v>21</v>
      </c>
      <c r="Q33" s="14"/>
      <c r="R33" s="14"/>
      <c r="S33" s="241"/>
      <c r="T33" s="14"/>
      <c r="U33" s="294" t="s">
        <v>150</v>
      </c>
      <c r="V33" s="291">
        <v>3625</v>
      </c>
      <c r="W33" s="59" t="s">
        <v>151</v>
      </c>
      <c r="X33" s="296"/>
    </row>
    <row r="34" spans="1:24" ht="17.399999999999999" x14ac:dyDescent="0.35">
      <c r="A34" s="230"/>
      <c r="B34" s="230"/>
      <c r="C34" s="230"/>
      <c r="D34" s="230"/>
      <c r="E34" s="230"/>
      <c r="F34" s="230"/>
      <c r="G34" s="230"/>
      <c r="H34" s="230"/>
      <c r="J34" s="264"/>
      <c r="K34" s="47"/>
      <c r="L34" s="47"/>
      <c r="M34" s="248">
        <v>0.5</v>
      </c>
      <c r="N34" s="12">
        <v>24910</v>
      </c>
      <c r="O34" s="12">
        <f t="shared" si="8"/>
        <v>12455</v>
      </c>
      <c r="P34" s="39" t="s">
        <v>31</v>
      </c>
      <c r="Q34" s="42"/>
      <c r="R34" s="14"/>
      <c r="S34" s="240"/>
      <c r="T34" s="14"/>
      <c r="U34" s="294"/>
      <c r="V34" s="59">
        <v>906.25</v>
      </c>
      <c r="W34" s="59" t="s">
        <v>152</v>
      </c>
      <c r="X34" s="296"/>
    </row>
    <row r="35" spans="1:24" s="230" customFormat="1" ht="17.399999999999999" x14ac:dyDescent="0.35">
      <c r="B35" s="24" t="s">
        <v>148</v>
      </c>
      <c r="J35" s="261"/>
      <c r="K35" s="232"/>
      <c r="L35" s="249"/>
      <c r="M35" s="14"/>
      <c r="N35" s="249">
        <v>58860</v>
      </c>
      <c r="O35" s="12">
        <f t="shared" si="8"/>
        <v>0</v>
      </c>
      <c r="P35" s="39" t="s">
        <v>30</v>
      </c>
      <c r="Q35" s="42"/>
      <c r="S35" s="240"/>
      <c r="T35" s="255"/>
      <c r="U35" s="59"/>
      <c r="V35" s="59">
        <f>V34*20%</f>
        <v>181.25</v>
      </c>
      <c r="W35" s="296" t="s">
        <v>153</v>
      </c>
      <c r="X35" s="59"/>
    </row>
    <row r="36" spans="1:24" s="230" customFormat="1" ht="17.399999999999999" x14ac:dyDescent="0.35">
      <c r="B36" s="24" t="s">
        <v>162</v>
      </c>
      <c r="C36"/>
      <c r="D36"/>
      <c r="E36"/>
      <c r="F36"/>
      <c r="J36" s="261"/>
      <c r="K36" s="232"/>
      <c r="L36" s="249"/>
      <c r="M36" s="14">
        <v>2</v>
      </c>
      <c r="N36" s="249">
        <v>25000</v>
      </c>
      <c r="O36" s="12">
        <f t="shared" si="8"/>
        <v>50000</v>
      </c>
      <c r="P36" s="14" t="s">
        <v>139</v>
      </c>
      <c r="Q36" s="17"/>
      <c r="S36" s="238"/>
      <c r="T36" s="255"/>
      <c r="U36" s="59"/>
      <c r="V36" s="59">
        <f>V34+V35</f>
        <v>1087.5</v>
      </c>
      <c r="W36" s="296" t="s">
        <v>154</v>
      </c>
      <c r="X36" s="59"/>
    </row>
    <row r="37" spans="1:24" s="230" customFormat="1" ht="17.399999999999999" x14ac:dyDescent="0.35">
      <c r="A37" s="230" t="s">
        <v>283</v>
      </c>
      <c r="B37" s="29" t="s">
        <v>124</v>
      </c>
      <c r="C37"/>
      <c r="D37"/>
      <c r="E37"/>
      <c r="F37" s="229" t="s">
        <v>15</v>
      </c>
      <c r="J37" s="261"/>
      <c r="K37" s="259"/>
      <c r="L37" s="249"/>
      <c r="M37" s="248"/>
      <c r="N37" s="249">
        <v>900</v>
      </c>
      <c r="O37" s="12">
        <f t="shared" si="8"/>
        <v>0</v>
      </c>
      <c r="P37" s="14" t="s">
        <v>32</v>
      </c>
      <c r="Q37" s="14"/>
      <c r="R37" s="230">
        <v>1.52</v>
      </c>
      <c r="S37" s="238"/>
      <c r="T37" s="238"/>
    </row>
    <row r="38" spans="1:24" s="230" customFormat="1" ht="17.399999999999999" x14ac:dyDescent="0.35">
      <c r="J38" s="286"/>
      <c r="K38" s="259"/>
      <c r="L38" s="249"/>
      <c r="M38" s="265"/>
      <c r="N38" s="12">
        <v>1500</v>
      </c>
      <c r="O38" s="12">
        <f t="shared" si="8"/>
        <v>0</v>
      </c>
      <c r="P38" s="14" t="s">
        <v>22</v>
      </c>
      <c r="Q38" s="14"/>
      <c r="R38">
        <v>2.44</v>
      </c>
      <c r="S38"/>
      <c r="T38" s="238"/>
      <c r="X38" s="231"/>
    </row>
    <row r="39" spans="1:24" s="230" customFormat="1" ht="17.399999999999999" x14ac:dyDescent="0.35">
      <c r="K39" s="259"/>
      <c r="L39" s="249"/>
      <c r="M39" s="14"/>
      <c r="N39" s="12"/>
      <c r="O39" s="12">
        <f>SUM(O33:O38)</f>
        <v>67276.12</v>
      </c>
      <c r="P39" s="39" t="s">
        <v>23</v>
      </c>
      <c r="Q39" s="14"/>
      <c r="R39">
        <f>R37*R38</f>
        <v>3.7088000000000001</v>
      </c>
      <c r="S39"/>
      <c r="T39" s="238"/>
      <c r="X39" s="231"/>
    </row>
    <row r="40" spans="1:24" s="230" customFormat="1" ht="17.399999999999999" x14ac:dyDescent="0.35">
      <c r="L40" s="249"/>
      <c r="M40" s="253" t="s">
        <v>33</v>
      </c>
      <c r="N40" s="12"/>
      <c r="O40" s="254">
        <f>O39*2.3</f>
        <v>154735.07599999997</v>
      </c>
      <c r="P40" s="14" t="s">
        <v>138</v>
      </c>
      <c r="Q40" s="14"/>
      <c r="R40" s="40">
        <f>P31/R39</f>
        <v>0.32497842968075924</v>
      </c>
      <c r="S40"/>
      <c r="T40" s="256"/>
    </row>
    <row r="41" spans="1:24" s="230" customFormat="1" ht="17.399999999999999" x14ac:dyDescent="0.35">
      <c r="G41"/>
      <c r="H41" s="259"/>
      <c r="I41" s="259"/>
      <c r="J41" s="259"/>
      <c r="K41" s="230">
        <v>42800</v>
      </c>
      <c r="L41" s="249"/>
      <c r="M41" s="14"/>
      <c r="N41" s="12"/>
      <c r="O41" s="12">
        <f>O40/P29</f>
        <v>154057.22421346075</v>
      </c>
      <c r="P41" s="45" t="s">
        <v>24</v>
      </c>
      <c r="Q41" s="14"/>
      <c r="R41" s="14"/>
      <c r="S41"/>
      <c r="T41" s="238"/>
      <c r="U41" s="59" t="s">
        <v>155</v>
      </c>
      <c r="V41" s="291">
        <v>43650</v>
      </c>
    </row>
    <row r="42" spans="1:24" s="230" customFormat="1" ht="17.399999999999999" x14ac:dyDescent="0.35">
      <c r="G42"/>
      <c r="K42" s="230">
        <f>K41/1.19</f>
        <v>35966.386554621851</v>
      </c>
      <c r="L42" s="249"/>
      <c r="M42" s="13"/>
      <c r="N42" s="14"/>
      <c r="O42" s="17">
        <f>O40/O39</f>
        <v>2.2999999999999998</v>
      </c>
      <c r="P42" s="15"/>
      <c r="Q42"/>
      <c r="R42"/>
      <c r="S42"/>
      <c r="T42" s="238"/>
      <c r="U42" s="59" t="s">
        <v>157</v>
      </c>
      <c r="V42" s="292" t="s">
        <v>156</v>
      </c>
      <c r="W42" s="59">
        <v>2.4</v>
      </c>
    </row>
    <row r="43" spans="1:24" s="230" customFormat="1" ht="17.399999999999999" x14ac:dyDescent="0.35">
      <c r="G43" s="23"/>
      <c r="L43" s="12"/>
      <c r="T43" s="238"/>
      <c r="U43" s="59" t="s">
        <v>158</v>
      </c>
      <c r="V43" s="293">
        <v>395.37</v>
      </c>
    </row>
    <row r="44" spans="1:24" s="230" customFormat="1" ht="17.399999999999999" x14ac:dyDescent="0.35">
      <c r="B44"/>
      <c r="C44" s="228"/>
      <c r="D44" s="22"/>
      <c r="E44" s="22"/>
      <c r="F44" s="21"/>
      <c r="G44" s="23"/>
      <c r="L44" s="12"/>
      <c r="T44" s="238"/>
      <c r="U44" s="59" t="s">
        <v>153</v>
      </c>
      <c r="V44" s="59">
        <v>474.45</v>
      </c>
    </row>
    <row r="45" spans="1:24" ht="14.4" customHeight="1" x14ac:dyDescent="0.3">
      <c r="L45" s="12"/>
      <c r="U45" s="59"/>
      <c r="V45" s="59"/>
    </row>
    <row r="46" spans="1:24" x14ac:dyDescent="0.3">
      <c r="L46" s="249"/>
    </row>
    <row r="47" spans="1:24" x14ac:dyDescent="0.3">
      <c r="L47" s="249"/>
      <c r="T47" s="269"/>
    </row>
    <row r="48" spans="1:24" x14ac:dyDescent="0.3">
      <c r="L48" s="249"/>
    </row>
    <row r="49" spans="15:20" ht="15" customHeight="1" x14ac:dyDescent="0.3"/>
    <row r="51" spans="15:20" x14ac:dyDescent="0.3">
      <c r="O51">
        <v>40935</v>
      </c>
      <c r="P51" t="s">
        <v>16</v>
      </c>
      <c r="Q51" t="s">
        <v>26</v>
      </c>
    </row>
    <row r="53" spans="15:20" x14ac:dyDescent="0.3">
      <c r="O53" s="54"/>
      <c r="P53" s="54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2" spans="15:20" x14ac:dyDescent="0.3">
      <c r="S62" s="18"/>
      <c r="T62" s="18"/>
    </row>
    <row r="65" spans="3:15" x14ac:dyDescent="0.3">
      <c r="O65" s="43"/>
    </row>
    <row r="66" spans="3:15" x14ac:dyDescent="0.3">
      <c r="O66" s="43"/>
    </row>
    <row r="67" spans="3:15" x14ac:dyDescent="0.3">
      <c r="O67" s="6"/>
    </row>
    <row r="68" spans="3:15" x14ac:dyDescent="0.3">
      <c r="O68" s="6"/>
    </row>
    <row r="76" spans="3:15" x14ac:dyDescent="0.3">
      <c r="C76" t="s">
        <v>145</v>
      </c>
    </row>
    <row r="77" spans="3:15" x14ac:dyDescent="0.3">
      <c r="C77" t="s">
        <v>144</v>
      </c>
    </row>
    <row r="80" spans="3:15" x14ac:dyDescent="0.3">
      <c r="C80" t="s">
        <v>144</v>
      </c>
    </row>
    <row r="157" spans="3:3" x14ac:dyDescent="0.3">
      <c r="C157" t="s">
        <v>144</v>
      </c>
    </row>
    <row r="158" spans="3:3" x14ac:dyDescent="0.3">
      <c r="C158" t="s">
        <v>146</v>
      </c>
    </row>
    <row r="159" spans="3:3" x14ac:dyDescent="0.3">
      <c r="C159" t="s">
        <v>147</v>
      </c>
    </row>
    <row r="584" spans="3:3" x14ac:dyDescent="0.3">
      <c r="C584" t="s">
        <v>144</v>
      </c>
    </row>
  </sheetData>
  <mergeCells count="1">
    <mergeCell ref="B19:H19"/>
  </mergeCells>
  <phoneticPr fontId="32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46133</v>
      </c>
    </row>
    <row r="6" spans="2:31" ht="16.2" thickBot="1" x14ac:dyDescent="0.35">
      <c r="B6" s="140" t="s">
        <v>2</v>
      </c>
      <c r="C6" s="139" t="str">
        <f>'2229'!C10</f>
        <v>OMAR SANCHEZ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9" t="s">
        <v>98</v>
      </c>
      <c r="I7" s="440"/>
      <c r="J7" s="440"/>
      <c r="K7" s="441"/>
      <c r="N7" s="75"/>
      <c r="O7" s="4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12101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-12833.871366787434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'2229'!H27</f>
        <v>154735.07599999997</v>
      </c>
      <c r="E11" s="132">
        <f>D11*0.19</f>
        <v>29399.664439999993</v>
      </c>
      <c r="F11" s="131">
        <f>E11+D11</f>
        <v>184134.74043999997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93156.12863321256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47110.210787439617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75156.12863321256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107624.86521256035</v>
      </c>
      <c r="E13" s="221">
        <f>(D11/D12)-1</f>
        <v>2.2845337223847655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66156.12863321256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27156.128633212567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77731.847799275361</v>
      </c>
      <c r="F15" s="216">
        <f>E15-D12</f>
        <v>30621.637011835744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27156.128633212567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67156.12863321256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'2229'!O35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'2229'!O34</f>
        <v>12455</v>
      </c>
      <c r="E19" s="123">
        <f>D19*0.19</f>
        <v>2366.4499999999998</v>
      </c>
      <c r="F19" s="120">
        <f>SUM(D19:E19)</f>
        <v>14821.45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'2229'!O33</f>
        <v>4821.12</v>
      </c>
      <c r="E20" s="121">
        <f>D20*0.19</f>
        <v>916.01279999999997</v>
      </c>
      <c r="F20" s="120">
        <f>SUM(D20:E20)</f>
        <v>5737.1327999999994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17276.12</v>
      </c>
      <c r="E21" s="116">
        <f>SUM(E18:E20)</f>
        <v>3282.4627999999998</v>
      </c>
      <c r="F21" s="115">
        <f>SUM(F18:F20)</f>
        <v>20558.5828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26117.201639999992</v>
      </c>
    </row>
    <row r="41" spans="2:16" ht="15" thickBot="1" x14ac:dyDescent="0.35">
      <c r="H41" s="442" t="s">
        <v>60</v>
      </c>
      <c r="I41" s="443"/>
      <c r="J41" s="443"/>
      <c r="K41" s="443"/>
      <c r="L41" s="443"/>
      <c r="M41" s="4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154735.07599999997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17276.12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107624.86521256035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107624.86521256035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12101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OMAR SANCHEZ</v>
      </c>
      <c r="D10" s="350"/>
      <c r="E10" s="350"/>
      <c r="F10" s="351" t="s">
        <v>167</v>
      </c>
      <c r="G10" s="352">
        <f>'2229'!G10</f>
        <v>46133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46140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/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5" t="s">
        <v>175</v>
      </c>
      <c r="G17" s="445"/>
      <c r="H17" s="446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7" t="s">
        <v>176</v>
      </c>
      <c r="C20" s="448"/>
      <c r="D20" s="448"/>
      <c r="E20" s="448"/>
      <c r="F20" s="448"/>
      <c r="G20" s="448"/>
      <c r="H20" s="449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1</v>
      </c>
      <c r="C22" s="313" t="str">
        <f>'2229'!C21</f>
        <v>CUB CON RESPALDO FTE 90°</v>
      </c>
      <c r="D22" s="321">
        <f>'2229'!D21*1000</f>
        <v>2400</v>
      </c>
      <c r="E22" s="321">
        <f>'2229'!E21*1000</f>
        <v>405</v>
      </c>
      <c r="F22" s="322" t="str">
        <f>'2229'!F21</f>
        <v>BLANCO MT</v>
      </c>
      <c r="G22" s="314">
        <f>'2229'!G21</f>
        <v>154735.07599999997</v>
      </c>
      <c r="H22" s="323">
        <f>G22*B22</f>
        <v>154735.07599999997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154735.07599999997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29399.664439999993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184134.74043999997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0" t="s">
        <v>182</v>
      </c>
      <c r="C2" s="450"/>
      <c r="D2" s="450"/>
      <c r="E2" s="361"/>
      <c r="G2" s="450" t="s">
        <v>183</v>
      </c>
      <c r="H2" s="450"/>
      <c r="I2" s="450"/>
      <c r="P2" s="451" t="s">
        <v>184</v>
      </c>
      <c r="Q2" s="451"/>
      <c r="R2" s="451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51" t="s">
        <v>184</v>
      </c>
      <c r="M8" s="451"/>
      <c r="N8" s="451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6" t="s">
        <v>265</v>
      </c>
      <c r="L3" s="456"/>
      <c r="M3" s="456" t="s">
        <v>266</v>
      </c>
      <c r="N3" s="456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OMAR SANCHEZ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46133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5">
        <f>'NOTA DE VENTA'!$G$11</f>
        <v>46140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7" t="s">
        <v>265</v>
      </c>
      <c r="B10" s="457"/>
      <c r="C10" s="457"/>
      <c r="D10" s="457"/>
      <c r="E10" s="457"/>
      <c r="F10" s="457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7" t="s">
        <v>266</v>
      </c>
      <c r="B17" s="457"/>
      <c r="C17" s="457"/>
      <c r="D17" s="457"/>
      <c r="E17" s="457"/>
      <c r="F17" s="457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7" t="s">
        <v>272</v>
      </c>
      <c r="B45" s="457"/>
      <c r="C45" s="457"/>
      <c r="D45" s="457"/>
      <c r="E45" s="457"/>
      <c r="F45" s="457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2" t="s">
        <v>95</v>
      </c>
      <c r="C47" s="453"/>
      <c r="D47" s="454"/>
      <c r="E47" s="454"/>
      <c r="F47" s="455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275</v>
      </c>
      <c r="B1" s="414" t="s">
        <v>276</v>
      </c>
      <c r="C1" s="413" t="s">
        <v>277</v>
      </c>
      <c r="D1" s="413" t="s">
        <v>278</v>
      </c>
      <c r="E1" s="413" t="s">
        <v>279</v>
      </c>
      <c r="F1" s="413" t="s">
        <v>95</v>
      </c>
      <c r="G1" s="413" t="s">
        <v>8</v>
      </c>
      <c r="H1" s="415" t="s">
        <v>28</v>
      </c>
      <c r="I1" s="415" t="s">
        <v>51</v>
      </c>
      <c r="J1" s="415" t="s">
        <v>6</v>
      </c>
      <c r="K1" s="415" t="s">
        <v>280</v>
      </c>
      <c r="L1" s="415" t="s">
        <v>281</v>
      </c>
      <c r="M1" s="413" t="s">
        <v>282</v>
      </c>
    </row>
    <row r="2" spans="1:13" x14ac:dyDescent="0.3">
      <c r="A2">
        <f>'NOTA DE VENTA'!$G$8</f>
        <v>0</v>
      </c>
      <c r="B2" t="str">
        <f>'NOTA DE VENTA'!$D$8</f>
        <v>N° 12101</v>
      </c>
      <c r="C2" s="1">
        <f>'NOTA DE VENTA'!$G$10</f>
        <v>46133</v>
      </c>
      <c r="D2" s="1">
        <f>'NOTA DE VENTA'!$G$11</f>
        <v>46140</v>
      </c>
      <c r="E2" t="str">
        <f>'NOTA DE VENTA'!$C$10</f>
        <v>OMAR SANCHEZ</v>
      </c>
      <c r="F2" t="str">
        <f>'NOTA DE VENTA'!$C$22</f>
        <v>CUB CON RESPALDO FTE 90°</v>
      </c>
      <c r="G2" t="str">
        <f>'NOTA DE VENTA'!$F$22</f>
        <v>BLANCO MT</v>
      </c>
      <c r="H2" s="416">
        <f>'NOTA DE VENTA'!$H$25</f>
        <v>154735.07599999997</v>
      </c>
      <c r="I2" s="416">
        <f>H2*0.19</f>
        <v>29399.664439999993</v>
      </c>
      <c r="J2" s="416">
        <f>I2+H2</f>
        <v>184134.74043999997</v>
      </c>
      <c r="L2" s="61">
        <f>J2-K2</f>
        <v>184134.74043999997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2025-12-15T17:39:33Z</cp:lastPrinted>
  <dcterms:created xsi:type="dcterms:W3CDTF">2013-03-18T13:35:42Z</dcterms:created>
  <dcterms:modified xsi:type="dcterms:W3CDTF">2026-04-22T19:36:31Z</dcterms:modified>
</cp:coreProperties>
</file>