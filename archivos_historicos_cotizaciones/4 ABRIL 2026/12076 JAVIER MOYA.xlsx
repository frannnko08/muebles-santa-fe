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135A994E-A450-4EB2-9FFF-04D77F2F5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NTERIA OF 1" sheetId="10" r:id="rId1"/>
    <sheet name="M. BAJO VENTANA" sheetId="9" r:id="rId2"/>
    <sheet name="CAJONERAS" sheetId="8" r:id="rId3"/>
    <sheet name="2229" sheetId="1" r:id="rId4"/>
    <sheet name="COSTOS" sheetId="3" r:id="rId5"/>
    <sheet name="NOTA DE VENTA" sheetId="4" r:id="rId6"/>
    <sheet name="REGLAS" sheetId="5" r:id="rId7"/>
    <sheet name="PRODUCCION" sheetId="6" r:id="rId8"/>
    <sheet name="SEGUIMIENTO" sheetId="7" r:id="rId9"/>
  </sheets>
  <externalReferences>
    <externalReference r:id="rId10"/>
  </externalReferences>
  <definedNames>
    <definedName name="_xlnm.Print_Area" localSheetId="3">'2229'!$B$1:$H$39</definedName>
    <definedName name="_xlnm.Print_Area" localSheetId="2">CAJONERAS!$B$1:$H$38</definedName>
    <definedName name="_xlnm.Print_Area" localSheetId="0">'ESTANTERIA OF 1'!$B$1:$H$38</definedName>
    <definedName name="_xlnm.Print_Area" localSheetId="1">'M. BAJO VENTANA'!$B$1:$H$38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0" l="1"/>
  <c r="L22" i="10"/>
  <c r="L21" i="10"/>
  <c r="K42" i="10"/>
  <c r="R39" i="10"/>
  <c r="O38" i="10"/>
  <c r="O37" i="10"/>
  <c r="O36" i="10"/>
  <c r="V35" i="10"/>
  <c r="V36" i="10" s="1"/>
  <c r="O35" i="10"/>
  <c r="S25" i="10"/>
  <c r="N25" i="10"/>
  <c r="O25" i="10" s="1"/>
  <c r="P25" i="10" s="1"/>
  <c r="M25" i="10"/>
  <c r="H25" i="10"/>
  <c r="N24" i="10"/>
  <c r="M24" i="10"/>
  <c r="T24" i="10"/>
  <c r="H24" i="10"/>
  <c r="N23" i="10"/>
  <c r="M23" i="10"/>
  <c r="S23" i="10" s="1"/>
  <c r="H23" i="10"/>
  <c r="N22" i="10"/>
  <c r="M22" i="10"/>
  <c r="H22" i="10"/>
  <c r="N21" i="10"/>
  <c r="M21" i="10"/>
  <c r="M28" i="10" s="1"/>
  <c r="L28" i="10" s="1"/>
  <c r="H21" i="10"/>
  <c r="N20" i="10"/>
  <c r="L20" i="10"/>
  <c r="L24" i="9"/>
  <c r="K42" i="9"/>
  <c r="R39" i="9"/>
  <c r="O38" i="9"/>
  <c r="O37" i="9"/>
  <c r="V36" i="9"/>
  <c r="O36" i="9"/>
  <c r="V35" i="9"/>
  <c r="O35" i="9"/>
  <c r="N25" i="9"/>
  <c r="M25" i="9"/>
  <c r="L25" i="9"/>
  <c r="H25" i="9"/>
  <c r="N24" i="9"/>
  <c r="T24" i="9" s="1"/>
  <c r="M24" i="9"/>
  <c r="H24" i="9"/>
  <c r="N23" i="9"/>
  <c r="O23" i="9" s="1"/>
  <c r="P23" i="9" s="1"/>
  <c r="M23" i="9"/>
  <c r="S23" i="9" s="1"/>
  <c r="H23" i="9"/>
  <c r="N22" i="9"/>
  <c r="M22" i="9"/>
  <c r="O22" i="9" s="1"/>
  <c r="P22" i="9" s="1"/>
  <c r="H22" i="9"/>
  <c r="N21" i="9"/>
  <c r="M21" i="9"/>
  <c r="S21" i="9" s="1"/>
  <c r="H21" i="9"/>
  <c r="N20" i="9"/>
  <c r="L20" i="9"/>
  <c r="H25" i="8"/>
  <c r="T25" i="8"/>
  <c r="M25" i="8"/>
  <c r="O25" i="8" s="1"/>
  <c r="P25" i="8" s="1"/>
  <c r="N25" i="8"/>
  <c r="L25" i="8"/>
  <c r="O22" i="10" l="1"/>
  <c r="P22" i="10" s="1"/>
  <c r="S24" i="10"/>
  <c r="H27" i="10"/>
  <c r="H28" i="10" s="1"/>
  <c r="H29" i="10" s="1"/>
  <c r="O23" i="10"/>
  <c r="P23" i="10" s="1"/>
  <c r="T25" i="10"/>
  <c r="T27" i="10" s="1"/>
  <c r="O21" i="10"/>
  <c r="P21" i="10" s="1"/>
  <c r="S21" i="10"/>
  <c r="O24" i="10"/>
  <c r="P24" i="10" s="1"/>
  <c r="S24" i="9"/>
  <c r="H27" i="9"/>
  <c r="H28" i="9" s="1"/>
  <c r="H29" i="9" s="1"/>
  <c r="T25" i="9"/>
  <c r="T27" i="9"/>
  <c r="O24" i="9"/>
  <c r="P24" i="9" s="1"/>
  <c r="S25" i="9"/>
  <c r="S29" i="9"/>
  <c r="M28" i="9"/>
  <c r="L28" i="9" s="1"/>
  <c r="O21" i="9"/>
  <c r="P21" i="9" s="1"/>
  <c r="O25" i="9"/>
  <c r="P25" i="9" s="1"/>
  <c r="S25" i="8"/>
  <c r="S29" i="10" l="1"/>
  <c r="P28" i="10"/>
  <c r="P29" i="10" s="1"/>
  <c r="S30" i="10"/>
  <c r="S30" i="9"/>
  <c r="S31" i="9" s="1"/>
  <c r="S32" i="9" s="1"/>
  <c r="P28" i="9"/>
  <c r="P29" i="9" s="1"/>
  <c r="P30" i="10" l="1"/>
  <c r="P31" i="10" s="1"/>
  <c r="M33" i="10" s="1"/>
  <c r="S31" i="10"/>
  <c r="S32" i="10" s="1"/>
  <c r="P30" i="9"/>
  <c r="P31" i="9" s="1"/>
  <c r="O33" i="10" l="1"/>
  <c r="O39" i="10" s="1"/>
  <c r="O40" i="10" s="1"/>
  <c r="R40" i="10"/>
  <c r="M33" i="9"/>
  <c r="O33" i="9" s="1"/>
  <c r="O39" i="9" s="1"/>
  <c r="O40" i="9" s="1"/>
  <c r="R40" i="9"/>
  <c r="O42" i="10" l="1"/>
  <c r="O41" i="10"/>
  <c r="Q20" i="10" s="1"/>
  <c r="O41" i="9"/>
  <c r="Q20" i="9" s="1"/>
  <c r="O42" i="9"/>
  <c r="Q25" i="10" l="1"/>
  <c r="R25" i="10" s="1"/>
  <c r="Q24" i="10"/>
  <c r="R24" i="10" s="1"/>
  <c r="Q21" i="10"/>
  <c r="R21" i="10" s="1"/>
  <c r="Q23" i="10"/>
  <c r="R23" i="10" s="1"/>
  <c r="Q22" i="10"/>
  <c r="R22" i="10" s="1"/>
  <c r="Q22" i="9"/>
  <c r="R22" i="9" s="1"/>
  <c r="Q21" i="9"/>
  <c r="R21" i="9" s="1"/>
  <c r="Q24" i="9"/>
  <c r="R24" i="9" s="1"/>
  <c r="Q23" i="9"/>
  <c r="R23" i="9" s="1"/>
  <c r="Q25" i="9"/>
  <c r="R25" i="9" s="1"/>
  <c r="S21" i="8" l="1"/>
  <c r="K42" i="8"/>
  <c r="R39" i="8"/>
  <c r="O38" i="8"/>
  <c r="O37" i="8"/>
  <c r="O36" i="8"/>
  <c r="V35" i="8"/>
  <c r="V36" i="8" s="1"/>
  <c r="O35" i="8"/>
  <c r="S24" i="8"/>
  <c r="N24" i="8"/>
  <c r="M24" i="8"/>
  <c r="H24" i="8"/>
  <c r="N23" i="8"/>
  <c r="M23" i="8"/>
  <c r="N22" i="8"/>
  <c r="M22" i="8"/>
  <c r="N21" i="8"/>
  <c r="M21" i="8"/>
  <c r="N20" i="8"/>
  <c r="L20" i="8"/>
  <c r="T22" i="1"/>
  <c r="T23" i="1"/>
  <c r="T24" i="1"/>
  <c r="T25" i="1"/>
  <c r="S22" i="1"/>
  <c r="S23" i="1"/>
  <c r="S24" i="1"/>
  <c r="S25" i="1"/>
  <c r="K25" i="1"/>
  <c r="P29" i="1"/>
  <c r="L24" i="1"/>
  <c r="M24" i="1"/>
  <c r="N24" i="1"/>
  <c r="O24" i="1"/>
  <c r="P24" i="1" s="1"/>
  <c r="L25" i="1"/>
  <c r="M25" i="1"/>
  <c r="N25" i="1"/>
  <c r="O25" i="1" s="1"/>
  <c r="P25" i="1" s="1"/>
  <c r="H25" i="1"/>
  <c r="H24" i="1"/>
  <c r="O24" i="8" l="1"/>
  <c r="P24" i="8"/>
  <c r="S23" i="8"/>
  <c r="O22" i="8"/>
  <c r="P22" i="8" s="1"/>
  <c r="M28" i="8"/>
  <c r="L28" i="8" s="1"/>
  <c r="O21" i="8"/>
  <c r="P21" i="8"/>
  <c r="T24" i="8"/>
  <c r="O23" i="8"/>
  <c r="P23" i="8" s="1"/>
  <c r="L22" i="1"/>
  <c r="M22" i="1"/>
  <c r="N22" i="1"/>
  <c r="L23" i="1"/>
  <c r="M23" i="1"/>
  <c r="N23" i="1"/>
  <c r="L21" i="1"/>
  <c r="M21" i="1"/>
  <c r="S21" i="1" s="1"/>
  <c r="N21" i="1"/>
  <c r="S29" i="8" l="1"/>
  <c r="P28" i="8"/>
  <c r="P29" i="8" s="1"/>
  <c r="P30" i="8" s="1"/>
  <c r="P31" i="8" s="1"/>
  <c r="M33" i="8" s="1"/>
  <c r="T27" i="8"/>
  <c r="T21" i="1"/>
  <c r="S30" i="1"/>
  <c r="O22" i="1"/>
  <c r="P22" i="1" s="1"/>
  <c r="O23" i="1"/>
  <c r="P23" i="1" s="1"/>
  <c r="O21" i="1"/>
  <c r="P21" i="1" s="1"/>
  <c r="N5" i="6"/>
  <c r="A2" i="7"/>
  <c r="S30" i="8" l="1"/>
  <c r="S31" i="8"/>
  <c r="S32" i="8" s="1"/>
  <c r="R40" i="8"/>
  <c r="O33" i="8"/>
  <c r="O39" i="8" s="1"/>
  <c r="O40" i="8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O42" i="8" l="1"/>
  <c r="O41" i="8"/>
  <c r="Q20" i="8" s="1"/>
  <c r="Q25" i="8" s="1"/>
  <c r="R25" i="8" s="1"/>
  <c r="K21" i="6"/>
  <c r="K14" i="6"/>
  <c r="J21" i="6"/>
  <c r="J14" i="6"/>
  <c r="F14" i="6"/>
  <c r="D5" i="6"/>
  <c r="G11" i="4"/>
  <c r="D7" i="6"/>
  <c r="I14" i="6"/>
  <c r="B14" i="6" s="1"/>
  <c r="B21" i="6"/>
  <c r="Q24" i="8" l="1"/>
  <c r="R24" i="8" s="1"/>
  <c r="Q21" i="8"/>
  <c r="Q23" i="8"/>
  <c r="Q22" i="8"/>
  <c r="K5" i="6"/>
  <c r="D14" i="6"/>
  <c r="E14" i="6"/>
  <c r="E21" i="6"/>
  <c r="D21" i="6"/>
  <c r="L5" i="6"/>
  <c r="M5" i="6"/>
  <c r="D2" i="7"/>
  <c r="D8" i="6"/>
  <c r="M29" i="1"/>
  <c r="L29" i="1" s="1"/>
  <c r="R23" i="8" l="1"/>
  <c r="H23" i="8"/>
  <c r="R21" i="8"/>
  <c r="H21" i="8"/>
  <c r="R22" i="8"/>
  <c r="H22" i="8"/>
  <c r="T28" i="1"/>
  <c r="S31" i="1" s="1"/>
  <c r="K43" i="1"/>
  <c r="H27" i="8" l="1"/>
  <c r="H28" i="8"/>
  <c r="H29" i="8" s="1"/>
  <c r="S32" i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4" i="1" l="1"/>
  <c r="R24" i="1" s="1"/>
  <c r="Q25" i="1"/>
  <c r="R25" i="1" s="1"/>
  <c r="Q22" i="1"/>
  <c r="Q23" i="1"/>
  <c r="Q21" i="1"/>
  <c r="O43" i="1"/>
  <c r="E15" i="3"/>
  <c r="R23" i="1" l="1"/>
  <c r="G23" i="1"/>
  <c r="H23" i="1" s="1"/>
  <c r="G22" i="1"/>
  <c r="H22" i="1" s="1"/>
  <c r="R22" i="1"/>
  <c r="R21" i="1"/>
  <c r="G21" i="1"/>
  <c r="H21" i="1" s="1"/>
  <c r="F15" i="3"/>
  <c r="H28" i="1" l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<sst xmlns="http://schemas.openxmlformats.org/spreadsheetml/2006/main" count="805" uniqueCount="302">
  <si>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</si>
  <si>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</si>
  <si>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</si>
  <si>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</si>
  <si>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</si>
  <si>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</si>
  <si>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</si>
  <si>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</si>
  <si>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</si>
  <si>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</si>
  <si>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</si>
  <si>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</si>
  <si>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</si>
  <si>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</si>
  <si>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</si>
  <si>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</si>
  <si>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</si>
  <si>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</si>
  <si>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</si>
  <si>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</si>
  <si>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</si>
  <si>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</si>
  <si>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</si>
  <si>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</si>
  <si>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</si>
  <si>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</si>
  <si>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</si>
  <si>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</si>
  <si>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</si>
  <si>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</si>
  <si>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</si>
  <si>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</si>
  <si>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</si>
  <si>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</si>
  <si>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</si>
  <si>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</si>
  <si>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</si>
  <si>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</si>
  <si>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</si>
  <si>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</si>
  <si>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</si>
  <si>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</si>
  <si>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</si>
  <si>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</si>
  <si>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</si>
  <si>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</si>
  <si>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</si>
  <si>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</si>
  <si>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</si>
  <si>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</si>
  <si>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</si>
  <si>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</si>
  <si>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</si>
  <si>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</si>
  <si>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</si>
  <si>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</si>
  <si>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</si>
  <si>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</si>
  <si>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</si>
  <si>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</si>
  <si>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</si>
  <si>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</si>
  <si>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</si>
  <si>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</si>
  <si>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</si>
  <si>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</si>
  <si>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</si>
  <si>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</si>
  <si>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</si>
  <si>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</si>
  <si>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</si>
  <si>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</si>
  <si>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</si>
  <si>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</si>
  <si>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</si>
  <si>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</si>
  <si>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</si>
  <si>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</si>
  <si>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</si>
  <si>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</si>
  <si>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</si>
  <si>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</si>
  <si>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</si>
  <si>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</si>
  <si>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</si>
  <si>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</si>
  <si>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</si>
  <si>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</si>
  <si>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</si>
  <si>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</si>
  <si>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</si>
  <si>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</si>
  <si>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</si>
  <si>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</si>
  <si>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</si>
  <si>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</si>
  <si>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</si>
  <si>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</si>
  <si>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</si>
  <si>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</si>
  <si>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</si>
  <si>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</si>
  <si>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</si>
  <si>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</si>
  <si>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</si>
  <si>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</si>
  <si>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</si>
  <si>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</si>
  <si>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</si>
  <si>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</si>
  <si>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</si>
  <si>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</si>
  <si>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</si>
  <si>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</si>
  <si>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</si>
  <si>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</si>
  <si>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</si>
  <si>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</si>
  <si>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</si>
  <si>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</si>
  <si>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</si>
  <si>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</si>
  <si>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</si>
  <si>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</si>
  <si>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</si>
  <si>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</si>
  <si>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</si>
  <si>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</si>
  <si>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</si>
  <si>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</si>
  <si>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</si>
  <si>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</si>
  <si>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</si>
  <si>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</si>
  <si>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</si>
  <si>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</si>
  <si>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</si>
  <si>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</si>
  <si>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</si>
  <si>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</si>
  <si>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</si>
  <si>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</si>
  <si>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</si>
  <si>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</si>
  <si>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</si>
  <si>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</si>
  <si>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</si>
  <si>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</si>
  <si>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</si>
  <si>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</si>
  <si>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</si>
  <si>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</si>
  <si>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</si>
  <si>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</si>
  <si>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</si>
  <si>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</si>
  <si>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</si>
  <si>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</si>
  <si>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</si>
  <si>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</si>
  <si>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</si>
  <si>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</si>
  <si>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</si>
  <si>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</si>
  <si>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</si>
  <si>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</si>
  <si>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</si>
  <si>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</si>
  <si>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</si>
  <si>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</si>
  <si>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</si>
  <si>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</si>
  <si>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</si>
  <si>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</si>
  <si>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</si>
  <si>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</si>
  <si>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</si>
  <si>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</si>
  <si>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</si>
  <si>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</si>
  <si>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</si>
  <si>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</si>
  <si>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</si>
  <si>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</si>
  <si>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</si>
  <si>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</si>
  <si>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</si>
  <si>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</si>
  <si>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</si>
  <si>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</si>
  <si>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</si>
  <si>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</si>
  <si>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</si>
  <si>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</si>
  <si>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</si>
  <si>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</si>
  <si>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</si>
  <si>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</si>
  <si>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</si>
  <si>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</si>
  <si>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</si>
  <si>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</si>
  <si>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</si>
  <si>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</si>
  <si>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</si>
  <si>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</si>
  <si>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</si>
  <si>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</si>
  <si>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</si>
  <si>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</si>
  <si>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</si>
  <si>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</si>
  <si>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</si>
  <si>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</si>
  <si>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</si>
  <si>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</si>
  <si>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</si>
  <si>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</si>
  <si>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</si>
  <si>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</si>
  <si>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</si>
  <si>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</si>
  <si>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</si>
  <si>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</si>
  <si>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</si>
  <si>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</si>
  <si>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</si>
  <si>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</si>
  <si>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</si>
  <si>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</si>
  <si>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</si>
  <si>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</si>
  <si>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</si>
  <si>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</si>
  <si>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</si>
  <si>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</si>
  <si>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</si>
  <si>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</si>
  <si>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</si>
  <si>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</si>
  <si>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</si>
  <si>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</si>
  <si>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</si>
  <si>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</si>
  <si>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</si>
  <si>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</si>
  <si>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</si>
  <si>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</si>
  <si>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</si>
  <si>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</si>
  <si>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</si>
  <si>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</si>
  <si>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</si>
  <si>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</si>
  <si>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</si>
  <si>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</si>
  <si>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</si>
  <si>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</si>
  <si>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</si>
  <si>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</si>
  <si>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</si>
  <si>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</si>
  <si>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</si>
  <si>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</si>
  <si>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</si>
  <si>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</si>
  <si>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</si>
  <si>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</si>
  <si>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</si>
  <si>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</si>
  <si>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</si>
  <si>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</si>
  <si>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</si>
  <si>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</si>
  <si>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</si>
  <si>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</si>
  <si>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</si>
  <si>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</si>
  <si>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</si>
  <si>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</si>
  <si>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</si>
  <si>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</si>
  <si>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</si>
  <si>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</si>
  <si>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</si>
  <si>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</si>
  <si>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</si>
  <si>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ENCHAPE RECTO 2 CARAS MDF 25MM</t>
  </si>
  <si>
    <t>BLANCO OPACO 2114 MT</t>
  </si>
  <si>
    <t>MDF 25MM</t>
  </si>
  <si>
    <t>TAPACANTO PVC 50MTS 29X2</t>
  </si>
  <si>
    <t>N° 12076</t>
  </si>
  <si>
    <t>JAVIER MOYA</t>
  </si>
  <si>
    <t>+56 9 6609 2180</t>
  </si>
  <si>
    <t>15 DIAS HABILES</t>
  </si>
  <si>
    <t>ENCHAPE RECTO 1 CARA MELAMIL 18MM</t>
  </si>
  <si>
    <t>ENCHAPE RECTO 2 CARAS MDF 25MM DER</t>
  </si>
  <si>
    <t>ENCHAPE RECTO 2 CARAS MDF 25MM IZQ</t>
  </si>
  <si>
    <t>ENCHAPE RECTO 1 CARAS MDF 18MM</t>
  </si>
  <si>
    <t>MDF MELAMIL 18MM 1C</t>
  </si>
  <si>
    <t>ENCHAPE RECTO 1 CARAS MDF 25MM</t>
  </si>
  <si>
    <t xml:space="preserve">M. BAJO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</si>
</sst>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7" borderId="1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CAD9D6F-8929-4C5D-9E35-0249F3EA0287}"/>
            </a:ext>
          </a:extLst>
        </xdr:cNvPr>
        <xdr:cNvSpPr/>
      </xdr:nvSpPr>
      <xdr:spPr>
        <a:xfrm>
          <a:off x="7117080" y="614991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CC62E8A-948E-4497-9BF6-C8CD4640A81E}"/>
            </a:ext>
          </a:extLst>
        </xdr:cNvPr>
        <xdr:cNvCxnSpPr/>
      </xdr:nvCxnSpPr>
      <xdr:spPr>
        <a:xfrm>
          <a:off x="7339965" y="673798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3F2EABF-A28A-4A82-9AF5-5E57D5E7E2DA}"/>
            </a:ext>
          </a:extLst>
        </xdr:cNvPr>
        <xdr:cNvSpPr/>
      </xdr:nvSpPr>
      <xdr:spPr>
        <a:xfrm>
          <a:off x="390525" y="6151245"/>
          <a:ext cx="63610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215079</xdr:rowOff>
    </xdr:from>
    <xdr:to>
      <xdr:col>5</xdr:col>
      <xdr:colOff>1732649</xdr:colOff>
      <xdr:row>28</xdr:row>
      <xdr:rowOff>219320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5D60041-35B3-4DFD-A2B5-5DE55107A2C3}"/>
            </a:ext>
          </a:extLst>
        </xdr:cNvPr>
        <xdr:cNvSpPr/>
      </xdr:nvSpPr>
      <xdr:spPr>
        <a:xfrm>
          <a:off x="411480" y="5236659"/>
          <a:ext cx="6327509" cy="67480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TERMINADAS CON TAPACANTO PVC DE 2MM  COLOR BLANCO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71D9EBA-34E4-4B4F-AFCA-4CFEABA94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8440C12-6E09-4D73-BCA7-A26D79B49F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A79380B-E553-408F-908D-11AD91905B75}"/>
            </a:ext>
          </a:extLst>
        </xdr:cNvPr>
        <xdr:cNvSpPr/>
      </xdr:nvSpPr>
      <xdr:spPr>
        <a:xfrm>
          <a:off x="7117080" y="614991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7F1B074-724B-4BD6-92A9-11653FE71766}"/>
            </a:ext>
          </a:extLst>
        </xdr:cNvPr>
        <xdr:cNvCxnSpPr/>
      </xdr:nvCxnSpPr>
      <xdr:spPr>
        <a:xfrm>
          <a:off x="7339965" y="673798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086C6B5-5D60-4C9C-ADB4-E4CCFBB0F3F6}"/>
            </a:ext>
          </a:extLst>
        </xdr:cNvPr>
        <xdr:cNvSpPr/>
      </xdr:nvSpPr>
      <xdr:spPr>
        <a:xfrm>
          <a:off x="390525" y="6151245"/>
          <a:ext cx="63610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215079</xdr:rowOff>
    </xdr:from>
    <xdr:to>
      <xdr:col>5</xdr:col>
      <xdr:colOff>1732649</xdr:colOff>
      <xdr:row>28</xdr:row>
      <xdr:rowOff>219320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43E746A-6584-4E93-B5E9-423436A44A43}"/>
            </a:ext>
          </a:extLst>
        </xdr:cNvPr>
        <xdr:cNvSpPr/>
      </xdr:nvSpPr>
      <xdr:spPr>
        <a:xfrm>
          <a:off x="411480" y="5236659"/>
          <a:ext cx="6327509" cy="67480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TERMINADAS CON TAPACANTO PVC DE 2MM  COLOR BLANCO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BE4D51F-C588-43ED-BB86-9BFEDC3232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EBA4D5F-40B2-4993-801D-035455DD24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A894F31-959E-42FE-BCB2-A311DC89BAF7}"/>
            </a:ext>
          </a:extLst>
        </xdr:cNvPr>
        <xdr:cNvSpPr/>
      </xdr:nvSpPr>
      <xdr:spPr>
        <a:xfrm>
          <a:off x="7117080" y="63708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A3D6850-7D2E-4116-9DEF-F1FFB332C4B0}"/>
            </a:ext>
          </a:extLst>
        </xdr:cNvPr>
        <xdr:cNvCxnSpPr/>
      </xdr:nvCxnSpPr>
      <xdr:spPr>
        <a:xfrm>
          <a:off x="7339965" y="69589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F99AFA7-29EF-4D73-91DC-EED868394BF7}"/>
            </a:ext>
          </a:extLst>
        </xdr:cNvPr>
        <xdr:cNvSpPr/>
      </xdr:nvSpPr>
      <xdr:spPr>
        <a:xfrm>
          <a:off x="390525" y="6372225"/>
          <a:ext cx="63610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215079</xdr:rowOff>
    </xdr:from>
    <xdr:to>
      <xdr:col>5</xdr:col>
      <xdr:colOff>1732649</xdr:colOff>
      <xdr:row>28</xdr:row>
      <xdr:rowOff>219320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A0B32DF5-C94A-448B-B670-B7EEB30DAA3D}"/>
            </a:ext>
          </a:extLst>
        </xdr:cNvPr>
        <xdr:cNvSpPr/>
      </xdr:nvSpPr>
      <xdr:spPr>
        <a:xfrm>
          <a:off x="411480" y="5457639"/>
          <a:ext cx="6327509" cy="67480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TERMINADAS CON TAPACANTO PVC DE 2MM  COLOR BLANCO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3919DF-8112-4567-8698-9DDA3E98F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6AB6D73-EE92-4F4C-8192-4DABD615FA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215079</xdr:rowOff>
    </xdr:from>
    <xdr:to>
      <xdr:col>5</xdr:col>
      <xdr:colOff>1732649</xdr:colOff>
      <xdr:row>29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TERMINADAS CON TAPACANTO PVC DE 2MM  COLOR BLANCO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topmobilichile.c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5F65-FDC9-4B17-B7A2-2C222ED4F31C}">
  <sheetPr>
    <pageSetUpPr fitToPage="1"/>
  </sheetPr>
  <dimension ref="A1:Y584"/>
  <sheetViews>
    <sheetView tabSelected="1" topLeftCell="F12" zoomScale="93" zoomScaleNormal="93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1" spans="2:24" x14ac:dyDescent="0.3">
      <c r="M1" t="s">
        <v>301</v>
      </c>
    </row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292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294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2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6" t="s">
        <v>94</v>
      </c>
      <c r="C19" s="437"/>
      <c r="D19" s="437"/>
      <c r="E19" s="437"/>
      <c r="F19" s="437"/>
      <c r="G19" s="437"/>
      <c r="H19" s="438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O41</f>
        <v>48412.842181292879</v>
      </c>
      <c r="R20" s="257">
        <v>15000</v>
      </c>
      <c r="S20" s="38"/>
      <c r="T20" s="14" t="s">
        <v>126</v>
      </c>
      <c r="U20" s="9"/>
      <c r="X20" s="4"/>
    </row>
    <row r="21" spans="2:25" ht="17.399999999999999" x14ac:dyDescent="0.3">
      <c r="B21" s="459">
        <v>2</v>
      </c>
      <c r="C21" s="433" t="s">
        <v>298</v>
      </c>
      <c r="D21" s="434">
        <v>2.4500000000000002</v>
      </c>
      <c r="E21" s="434">
        <v>0.45</v>
      </c>
      <c r="F21" s="432" t="s">
        <v>288</v>
      </c>
      <c r="G21" s="435">
        <v>54464</v>
      </c>
      <c r="H21" s="435">
        <f>G21*B21</f>
        <v>108928</v>
      </c>
      <c r="I21" s="306"/>
      <c r="J21" s="264"/>
      <c r="K21" s="47"/>
      <c r="L21" s="47">
        <f t="shared" ref="L21:L24" si="0">B21</f>
        <v>2</v>
      </c>
      <c r="M21" s="39">
        <f t="shared" ref="M21:M25" si="1">D21+M$19</f>
        <v>2.5</v>
      </c>
      <c r="N21" s="39">
        <f t="shared" ref="N21:N25" si="2">E21+$N$19</f>
        <v>0.45</v>
      </c>
      <c r="O21" s="260">
        <f t="shared" ref="O21:O25" si="3">M21*N21</f>
        <v>1.125</v>
      </c>
      <c r="P21" s="258">
        <f t="shared" ref="P21:P25" si="4">O21*L21</f>
        <v>2.25</v>
      </c>
      <c r="Q21" s="251">
        <f t="shared" ref="Q21:Q25" si="5">Q$20*O21</f>
        <v>54464.44745395449</v>
      </c>
      <c r="R21" s="305">
        <f t="shared" ref="R21:R25" si="6">Q21+R$20</f>
        <v>69464.44745395449</v>
      </c>
      <c r="S21" s="290">
        <f>M21*L21*2</f>
        <v>10</v>
      </c>
      <c r="T21" s="46"/>
      <c r="U21" s="9"/>
      <c r="X21" s="4"/>
    </row>
    <row r="22" spans="2:25" ht="17.399999999999999" x14ac:dyDescent="0.3">
      <c r="B22" s="459">
        <v>3</v>
      </c>
      <c r="C22" s="433" t="s">
        <v>298</v>
      </c>
      <c r="D22" s="434">
        <v>0.92</v>
      </c>
      <c r="E22" s="434">
        <v>0.46600000000000003</v>
      </c>
      <c r="F22" s="432" t="s">
        <v>288</v>
      </c>
      <c r="G22" s="435">
        <v>21884</v>
      </c>
      <c r="H22" s="435">
        <f t="shared" ref="H22:H25" si="7">G22*B22</f>
        <v>65652</v>
      </c>
      <c r="I22" s="306"/>
      <c r="J22" s="264"/>
      <c r="K22" s="47"/>
      <c r="L22" s="47">
        <f t="shared" si="0"/>
        <v>3</v>
      </c>
      <c r="M22" s="39">
        <f t="shared" si="1"/>
        <v>0.97000000000000008</v>
      </c>
      <c r="N22" s="39">
        <f t="shared" si="2"/>
        <v>0.46600000000000003</v>
      </c>
      <c r="O22" s="260">
        <f t="shared" si="3"/>
        <v>0.45202000000000009</v>
      </c>
      <c r="P22" s="258">
        <f t="shared" si="4"/>
        <v>1.3560600000000003</v>
      </c>
      <c r="Q22" s="251">
        <f t="shared" si="5"/>
        <v>21883.572922788011</v>
      </c>
      <c r="R22" s="305">
        <f t="shared" si="6"/>
        <v>36883.572922788007</v>
      </c>
      <c r="S22" s="290"/>
      <c r="T22" s="46"/>
      <c r="U22" s="9"/>
      <c r="X22" s="4"/>
    </row>
    <row r="23" spans="2:25" ht="17.399999999999999" x14ac:dyDescent="0.3">
      <c r="B23" s="459">
        <v>3</v>
      </c>
      <c r="C23" s="433" t="s">
        <v>300</v>
      </c>
      <c r="D23" s="434">
        <v>1.53</v>
      </c>
      <c r="E23" s="434">
        <v>0.46600000000000003</v>
      </c>
      <c r="F23" s="432" t="s">
        <v>288</v>
      </c>
      <c r="G23" s="435">
        <v>35645</v>
      </c>
      <c r="H23" s="435">
        <f t="shared" si="7"/>
        <v>106935</v>
      </c>
      <c r="I23" s="306"/>
      <c r="J23" s="264"/>
      <c r="K23" s="47"/>
      <c r="L23" s="47">
        <f t="shared" si="0"/>
        <v>3</v>
      </c>
      <c r="M23" s="39">
        <f t="shared" si="1"/>
        <v>1.58</v>
      </c>
      <c r="N23" s="39">
        <f t="shared" si="2"/>
        <v>0.46600000000000003</v>
      </c>
      <c r="O23" s="260">
        <f t="shared" si="3"/>
        <v>0.73628000000000005</v>
      </c>
      <c r="P23" s="258">
        <f t="shared" si="4"/>
        <v>2.2088400000000004</v>
      </c>
      <c r="Q23" s="251">
        <f t="shared" si="5"/>
        <v>35645.407441242322</v>
      </c>
      <c r="R23" s="305">
        <f t="shared" si="6"/>
        <v>50645.407441242322</v>
      </c>
      <c r="S23" s="290">
        <f t="shared" ref="S23:S25" si="8">M23*L23*2</f>
        <v>9.48</v>
      </c>
      <c r="T23" s="46"/>
      <c r="U23" s="9"/>
      <c r="X23" s="4"/>
    </row>
    <row r="24" spans="2:25" ht="17.399999999999999" x14ac:dyDescent="0.3">
      <c r="B24" s="432">
        <v>1</v>
      </c>
      <c r="C24" s="433" t="s">
        <v>287</v>
      </c>
      <c r="D24" s="434">
        <v>1.4</v>
      </c>
      <c r="E24" s="434">
        <v>0.45</v>
      </c>
      <c r="F24" s="432" t="s">
        <v>288</v>
      </c>
      <c r="G24" s="435">
        <v>73930</v>
      </c>
      <c r="H24" s="435">
        <f t="shared" si="7"/>
        <v>73930</v>
      </c>
      <c r="I24" s="306"/>
      <c r="J24" s="264"/>
      <c r="K24" s="47"/>
      <c r="L24" s="47"/>
      <c r="M24" s="39">
        <f t="shared" si="1"/>
        <v>1.45</v>
      </c>
      <c r="N24" s="39">
        <f t="shared" si="2"/>
        <v>0.45</v>
      </c>
      <c r="O24" s="260">
        <f t="shared" si="3"/>
        <v>0.65249999999999997</v>
      </c>
      <c r="P24" s="258">
        <f t="shared" si="4"/>
        <v>0</v>
      </c>
      <c r="Q24" s="251">
        <f t="shared" si="5"/>
        <v>31589.379523293603</v>
      </c>
      <c r="R24" s="305">
        <f t="shared" si="6"/>
        <v>46589.379523293603</v>
      </c>
      <c r="S24" s="290">
        <f t="shared" si="8"/>
        <v>0</v>
      </c>
      <c r="T24" s="46">
        <f t="shared" ref="T24:T27" si="9">N24*L24*2</f>
        <v>0</v>
      </c>
      <c r="U24" s="9"/>
      <c r="X24" s="4"/>
    </row>
    <row r="25" spans="2:25" ht="17.399999999999999" x14ac:dyDescent="0.3">
      <c r="B25" s="432">
        <v>1</v>
      </c>
      <c r="C25" s="433" t="s">
        <v>300</v>
      </c>
      <c r="D25" s="434">
        <v>1.4</v>
      </c>
      <c r="E25" s="434">
        <v>0.45</v>
      </c>
      <c r="F25" s="432" t="s">
        <v>288</v>
      </c>
      <c r="G25" s="435">
        <v>73930</v>
      </c>
      <c r="H25" s="435">
        <f t="shared" si="7"/>
        <v>73930</v>
      </c>
      <c r="I25" s="306"/>
      <c r="J25" s="264"/>
      <c r="K25" s="47"/>
      <c r="L25" s="47"/>
      <c r="M25" s="39">
        <f t="shared" si="1"/>
        <v>1.45</v>
      </c>
      <c r="N25" s="39">
        <f t="shared" si="2"/>
        <v>0.45</v>
      </c>
      <c r="O25" s="260">
        <f t="shared" si="3"/>
        <v>0.65249999999999997</v>
      </c>
      <c r="P25" s="258">
        <f t="shared" si="4"/>
        <v>0</v>
      </c>
      <c r="Q25" s="251">
        <f t="shared" si="5"/>
        <v>31589.379523293603</v>
      </c>
      <c r="R25" s="305">
        <f t="shared" si="6"/>
        <v>46589.379523293603</v>
      </c>
      <c r="S25" s="290">
        <f t="shared" si="8"/>
        <v>0</v>
      </c>
      <c r="T25" s="46">
        <f t="shared" si="9"/>
        <v>0</v>
      </c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SUM(H21:H25)</f>
        <v>429375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SUM(T21:T25)</f>
        <v>0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50</v>
      </c>
      <c r="H28" s="287">
        <f>H27*19%</f>
        <v>81581.25</v>
      </c>
      <c r="I28" s="308"/>
      <c r="J28" s="264"/>
      <c r="K28" s="47"/>
      <c r="L28" s="431">
        <f>M28*10</f>
        <v>79.500000000000014</v>
      </c>
      <c r="M28" s="39">
        <f>SUM(M21:M27)</f>
        <v>7.9500000000000011</v>
      </c>
      <c r="N28" s="12"/>
      <c r="O28" s="12"/>
      <c r="P28" s="252">
        <f>SUM(P21:P25)</f>
        <v>5.8149000000000006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510956.25</v>
      </c>
      <c r="I29" s="308"/>
      <c r="J29" s="264"/>
      <c r="K29" s="47"/>
      <c r="L29" s="47"/>
      <c r="M29" s="39"/>
      <c r="N29" s="12"/>
      <c r="O29" s="12"/>
      <c r="P29" s="252">
        <f>P28</f>
        <v>5.8149000000000006</v>
      </c>
      <c r="Q29" s="14"/>
      <c r="R29" s="12"/>
      <c r="S29" s="239">
        <f>SUM(S21:S28)</f>
        <v>19.48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1.1629800000000001</v>
      </c>
      <c r="Q30" s="39" t="s">
        <v>128</v>
      </c>
      <c r="R30" s="42"/>
      <c r="S30" s="240">
        <f>S29+T27</f>
        <v>19.48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6.9778800000000007</v>
      </c>
      <c r="Q31" s="14"/>
      <c r="R31" s="14"/>
      <c r="S31" s="238">
        <f>S30*20%</f>
        <v>3.8960000000000004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23.376000000000001</v>
      </c>
      <c r="T32" s="14"/>
      <c r="U32" s="294" t="s">
        <v>21</v>
      </c>
      <c r="V32" s="291" t="s">
        <v>148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P31*2</f>
        <v>13.955760000000001</v>
      </c>
      <c r="N33" s="12">
        <v>3500</v>
      </c>
      <c r="O33" s="12">
        <f t="shared" ref="O33:O38" si="10">M33*N33</f>
        <v>48845.16</v>
      </c>
      <c r="P33" s="14" t="s">
        <v>21</v>
      </c>
      <c r="Q33" s="14"/>
      <c r="R33" s="14"/>
      <c r="S33" s="241"/>
      <c r="T33" s="14"/>
      <c r="U33" s="294" t="s">
        <v>149</v>
      </c>
      <c r="V33" s="291">
        <v>3625</v>
      </c>
      <c r="W33" s="59" t="s">
        <v>150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2</v>
      </c>
      <c r="N34" s="12">
        <v>42950</v>
      </c>
      <c r="O34" s="12">
        <v>24910</v>
      </c>
      <c r="P34" s="39" t="s">
        <v>299</v>
      </c>
      <c r="Q34" s="42"/>
      <c r="R34" s="14"/>
      <c r="S34" s="240"/>
      <c r="T34" s="14"/>
      <c r="U34" s="294"/>
      <c r="V34" s="59">
        <v>906.25</v>
      </c>
      <c r="W34" s="59" t="s">
        <v>151</v>
      </c>
      <c r="X34" s="296"/>
    </row>
    <row r="35" spans="1:24" s="230" customFormat="1" ht="17.399999999999999" x14ac:dyDescent="0.35">
      <c r="B35" s="24" t="s">
        <v>147</v>
      </c>
      <c r="J35" s="261"/>
      <c r="K35" s="232"/>
      <c r="L35" s="249"/>
      <c r="M35" s="14">
        <v>1</v>
      </c>
      <c r="N35" s="249">
        <v>33975</v>
      </c>
      <c r="O35" s="12">
        <f t="shared" si="10"/>
        <v>33975</v>
      </c>
      <c r="P35" s="39" t="s">
        <v>290</v>
      </c>
      <c r="Q35" s="42"/>
      <c r="S35" s="240"/>
      <c r="T35" s="255"/>
      <c r="U35" s="59"/>
      <c r="V35" s="59">
        <f>V34*20%</f>
        <v>181.25</v>
      </c>
      <c r="W35" s="296" t="s">
        <v>152</v>
      </c>
      <c r="X35" s="59"/>
    </row>
    <row r="36" spans="1:24" s="230" customFormat="1" ht="17.399999999999999" x14ac:dyDescent="0.35">
      <c r="B36" s="24" t="s">
        <v>161</v>
      </c>
      <c r="C36"/>
      <c r="D36"/>
      <c r="E36"/>
      <c r="F36"/>
      <c r="J36" s="261"/>
      <c r="K36" s="232"/>
      <c r="L36" s="249"/>
      <c r="M36" s="14">
        <v>1.5</v>
      </c>
      <c r="N36" s="249">
        <v>17550</v>
      </c>
      <c r="O36" s="12">
        <f t="shared" si="10"/>
        <v>26325</v>
      </c>
      <c r="P36" s="14" t="s">
        <v>138</v>
      </c>
      <c r="Q36" s="17"/>
      <c r="S36" s="238"/>
      <c r="T36" s="255"/>
      <c r="U36" s="59"/>
      <c r="V36" s="59">
        <f>V34+V35</f>
        <v>1087.5</v>
      </c>
      <c r="W36" s="296" t="s">
        <v>153</v>
      </c>
      <c r="X36" s="59"/>
    </row>
    <row r="37" spans="1:24" s="230" customFormat="1" ht="17.399999999999999" x14ac:dyDescent="0.35">
      <c r="A37" s="230" t="s">
        <v>282</v>
      </c>
      <c r="B37" s="29" t="s">
        <v>123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0"/>
        <v>0</v>
      </c>
      <c r="P37" s="14" t="s">
        <v>31</v>
      </c>
      <c r="Q37" s="14"/>
      <c r="R37" s="230">
        <v>3.05</v>
      </c>
      <c r="S37" s="238">
        <v>0.5</v>
      </c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10"/>
        <v>0</v>
      </c>
      <c r="P38" s="14" t="s">
        <v>22</v>
      </c>
      <c r="Q38" s="14"/>
      <c r="R38">
        <v>1.22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134055.16</v>
      </c>
      <c r="P39" s="39" t="s">
        <v>23</v>
      </c>
      <c r="Q39" s="14"/>
      <c r="R39">
        <f>R37*R38</f>
        <v>3.7209999999999996</v>
      </c>
      <c r="S39"/>
      <c r="T39" s="238"/>
      <c r="X39" s="231"/>
    </row>
    <row r="40" spans="1:24" s="230" customFormat="1" ht="17.399999999999999" x14ac:dyDescent="0.35">
      <c r="L40" s="249"/>
      <c r="M40" s="253" t="s">
        <v>32</v>
      </c>
      <c r="N40" s="12"/>
      <c r="O40" s="254">
        <f>O39*2.1</f>
        <v>281515.83600000001</v>
      </c>
      <c r="P40" s="14" t="s">
        <v>137</v>
      </c>
      <c r="Q40" s="14"/>
      <c r="R40" s="40">
        <f>P31/R39</f>
        <v>1.8752700886858376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51290</v>
      </c>
      <c r="L41" s="249"/>
      <c r="M41" s="14"/>
      <c r="N41" s="12"/>
      <c r="O41" s="12">
        <f>O40/P29</f>
        <v>48412.842181292879</v>
      </c>
      <c r="P41" s="45" t="s">
        <v>24</v>
      </c>
      <c r="Q41" s="14"/>
      <c r="R41" s="14"/>
      <c r="S41"/>
      <c r="T41" s="238"/>
      <c r="U41" s="59" t="s">
        <v>154</v>
      </c>
      <c r="V41" s="291">
        <v>43650</v>
      </c>
    </row>
    <row r="42" spans="1:24" s="230" customFormat="1" ht="17.399999999999999" x14ac:dyDescent="0.35">
      <c r="G42"/>
      <c r="K42" s="230">
        <f>K41/1.19</f>
        <v>43100.840336134454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156</v>
      </c>
      <c r="V42" s="292" t="s">
        <v>155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157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152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144</v>
      </c>
    </row>
    <row r="77" spans="3:15" x14ac:dyDescent="0.3">
      <c r="C77" t="s">
        <v>143</v>
      </c>
    </row>
    <row r="80" spans="3:15" x14ac:dyDescent="0.3">
      <c r="C80" t="s">
        <v>143</v>
      </c>
    </row>
    <row r="157" spans="3:3" x14ac:dyDescent="0.3">
      <c r="C157" t="s">
        <v>143</v>
      </c>
    </row>
    <row r="158" spans="3:3" x14ac:dyDescent="0.3">
      <c r="C158" t="s">
        <v>145</v>
      </c>
    </row>
    <row r="159" spans="3:3" x14ac:dyDescent="0.3">
      <c r="C159" t="s">
        <v>146</v>
      </c>
    </row>
    <row r="584" spans="3:3" x14ac:dyDescent="0.3">
      <c r="C584" t="s">
        <v>143</v>
      </c>
    </row>
  </sheetData>
  <mergeCells count="1">
    <mergeCell ref="B19:H19"/>
  </mergeCells>
  <hyperlinks>
    <hyperlink ref="F37" r:id="rId1" xr:uid="{22901D14-5612-4D7D-93CE-B0BC4EADC8DA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5909-8B42-4462-ADEF-B64DE2985115}">
  <sheetPr>
    <pageSetUpPr fitToPage="1"/>
  </sheetPr>
  <dimension ref="A1:Y584"/>
  <sheetViews>
    <sheetView topLeftCell="D3" zoomScale="93" zoomScaleNormal="93" workbookViewId="0">
      <selection activeCell="G26" sqref="G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1" spans="2:24" x14ac:dyDescent="0.3">
      <c r="M1" t="s">
        <v>301</v>
      </c>
    </row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292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294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2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6" t="s">
        <v>94</v>
      </c>
      <c r="C19" s="437"/>
      <c r="D19" s="437"/>
      <c r="E19" s="437"/>
      <c r="F19" s="437"/>
      <c r="G19" s="437"/>
      <c r="H19" s="438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O41</f>
        <v>102861.24293785311</v>
      </c>
      <c r="R20" s="257">
        <v>15000</v>
      </c>
      <c r="S20" s="38"/>
      <c r="T20" s="14" t="s">
        <v>126</v>
      </c>
      <c r="U20" s="9"/>
      <c r="X20" s="4"/>
    </row>
    <row r="21" spans="2:25" ht="17.399999999999999" x14ac:dyDescent="0.3">
      <c r="B21" s="459">
        <v>3</v>
      </c>
      <c r="C21" s="433" t="s">
        <v>298</v>
      </c>
      <c r="D21" s="434">
        <v>0.7</v>
      </c>
      <c r="E21" s="434">
        <v>0.46600000000000003</v>
      </c>
      <c r="F21" s="432" t="s">
        <v>288</v>
      </c>
      <c r="G21" s="435">
        <v>32608</v>
      </c>
      <c r="H21" s="435">
        <f>G21*B21</f>
        <v>97824</v>
      </c>
      <c r="I21" s="306"/>
      <c r="J21" s="264"/>
      <c r="K21" s="47"/>
      <c r="L21" s="47"/>
      <c r="M21" s="39">
        <f t="shared" ref="M21:M25" si="0">D21+M$19</f>
        <v>0.75</v>
      </c>
      <c r="N21" s="39">
        <f t="shared" ref="N21:N25" si="1">E21+$N$19</f>
        <v>0.46600000000000003</v>
      </c>
      <c r="O21" s="260">
        <f t="shared" ref="O21:O25" si="2">M21*N21</f>
        <v>0.34950000000000003</v>
      </c>
      <c r="P21" s="258">
        <f t="shared" ref="P21:P25" si="3">O21*L21</f>
        <v>0</v>
      </c>
      <c r="Q21" s="251">
        <f t="shared" ref="Q21:Q25" si="4">Q$20*O21</f>
        <v>35950.004406779663</v>
      </c>
      <c r="R21" s="305">
        <f t="shared" ref="R21:R25" si="5">Q21+R$20</f>
        <v>50950.004406779663</v>
      </c>
      <c r="S21" s="290">
        <f>M21*L21*2</f>
        <v>0</v>
      </c>
      <c r="T21" s="46"/>
      <c r="U21" s="9"/>
      <c r="X21" s="4"/>
    </row>
    <row r="22" spans="2:25" ht="17.399999999999999" x14ac:dyDescent="0.3">
      <c r="B22" s="459"/>
      <c r="C22" s="433" t="s">
        <v>298</v>
      </c>
      <c r="D22" s="434">
        <v>0.56000000000000005</v>
      </c>
      <c r="E22" s="434">
        <v>0.5</v>
      </c>
      <c r="F22" s="432" t="s">
        <v>288</v>
      </c>
      <c r="G22" s="435">
        <v>9290</v>
      </c>
      <c r="H22" s="435">
        <f t="shared" ref="H22:H25" si="6">G22*B22</f>
        <v>0</v>
      </c>
      <c r="I22" s="306"/>
      <c r="J22" s="264"/>
      <c r="K22" s="47"/>
      <c r="L22" s="47"/>
      <c r="M22" s="39">
        <f t="shared" si="0"/>
        <v>0.6100000000000001</v>
      </c>
      <c r="N22" s="39">
        <f t="shared" si="1"/>
        <v>0.5</v>
      </c>
      <c r="O22" s="260">
        <f t="shared" si="2"/>
        <v>0.30500000000000005</v>
      </c>
      <c r="P22" s="258">
        <f t="shared" si="3"/>
        <v>0</v>
      </c>
      <c r="Q22" s="251">
        <f t="shared" si="4"/>
        <v>31372.679096045202</v>
      </c>
      <c r="R22" s="305">
        <f t="shared" si="5"/>
        <v>46372.679096045205</v>
      </c>
      <c r="S22" s="290"/>
      <c r="T22" s="46"/>
      <c r="U22" s="9"/>
      <c r="X22" s="4"/>
    </row>
    <row r="23" spans="2:25" ht="17.399999999999999" x14ac:dyDescent="0.3">
      <c r="B23" s="459"/>
      <c r="C23" s="433" t="s">
        <v>300</v>
      </c>
      <c r="D23" s="434">
        <v>0.4</v>
      </c>
      <c r="E23" s="434">
        <v>0.5</v>
      </c>
      <c r="F23" s="432" t="s">
        <v>288</v>
      </c>
      <c r="G23" s="435">
        <v>6727</v>
      </c>
      <c r="H23" s="435">
        <f t="shared" si="6"/>
        <v>0</v>
      </c>
      <c r="I23" s="306"/>
      <c r="J23" s="264"/>
      <c r="K23" s="47"/>
      <c r="L23" s="47"/>
      <c r="M23" s="39">
        <f t="shared" si="0"/>
        <v>0.45</v>
      </c>
      <c r="N23" s="39">
        <f t="shared" si="1"/>
        <v>0.5</v>
      </c>
      <c r="O23" s="260">
        <f t="shared" si="2"/>
        <v>0.22500000000000001</v>
      </c>
      <c r="P23" s="258">
        <f t="shared" si="3"/>
        <v>0</v>
      </c>
      <c r="Q23" s="251">
        <f t="shared" si="4"/>
        <v>23143.77966101695</v>
      </c>
      <c r="R23" s="305">
        <f t="shared" si="5"/>
        <v>38143.779661016946</v>
      </c>
      <c r="S23" s="290">
        <f t="shared" ref="S23:S25" si="7">M23*L23*2</f>
        <v>0</v>
      </c>
      <c r="T23" s="46"/>
      <c r="U23" s="9"/>
      <c r="X23" s="4"/>
    </row>
    <row r="24" spans="2:25" ht="17.399999999999999" x14ac:dyDescent="0.3">
      <c r="B24" s="432">
        <v>2</v>
      </c>
      <c r="C24" s="433" t="s">
        <v>298</v>
      </c>
      <c r="D24" s="434">
        <v>0.7</v>
      </c>
      <c r="E24" s="434">
        <v>0.45</v>
      </c>
      <c r="F24" s="432" t="s">
        <v>288</v>
      </c>
      <c r="G24" s="435">
        <v>34716</v>
      </c>
      <c r="H24" s="435">
        <f t="shared" si="6"/>
        <v>69432</v>
      </c>
      <c r="I24" s="306"/>
      <c r="J24" s="264"/>
      <c r="K24" s="47"/>
      <c r="L24" s="47">
        <f t="shared" ref="L24:L29" si="8">B24</f>
        <v>2</v>
      </c>
      <c r="M24" s="39">
        <f t="shared" si="0"/>
        <v>0.75</v>
      </c>
      <c r="N24" s="39">
        <f t="shared" si="1"/>
        <v>0.45</v>
      </c>
      <c r="O24" s="260">
        <f t="shared" si="2"/>
        <v>0.33750000000000002</v>
      </c>
      <c r="P24" s="258">
        <f t="shared" si="3"/>
        <v>0.67500000000000004</v>
      </c>
      <c r="Q24" s="251">
        <f t="shared" si="4"/>
        <v>34715.669491525427</v>
      </c>
      <c r="R24" s="305">
        <f t="shared" si="5"/>
        <v>49715.669491525427</v>
      </c>
      <c r="S24" s="290">
        <f t="shared" si="7"/>
        <v>3</v>
      </c>
      <c r="T24" s="46">
        <f t="shared" ref="T24:T27" si="9">N24*L24*2</f>
        <v>1.8</v>
      </c>
      <c r="U24" s="9"/>
      <c r="X24" s="4"/>
    </row>
    <row r="25" spans="2:25" ht="17.399999999999999" x14ac:dyDescent="0.3">
      <c r="B25" s="432">
        <v>1</v>
      </c>
      <c r="C25" s="433" t="s">
        <v>300</v>
      </c>
      <c r="D25" s="434">
        <v>1.4</v>
      </c>
      <c r="E25" s="434">
        <v>0.45</v>
      </c>
      <c r="F25" s="432" t="s">
        <v>288</v>
      </c>
      <c r="G25" s="435">
        <v>62117</v>
      </c>
      <c r="H25" s="435">
        <f t="shared" si="6"/>
        <v>62117</v>
      </c>
      <c r="I25" s="306"/>
      <c r="J25" s="264"/>
      <c r="K25" s="47"/>
      <c r="L25" s="47">
        <f t="shared" si="8"/>
        <v>1</v>
      </c>
      <c r="M25" s="39">
        <f t="shared" si="0"/>
        <v>1.45</v>
      </c>
      <c r="N25" s="39">
        <f t="shared" si="1"/>
        <v>0.45</v>
      </c>
      <c r="O25" s="260">
        <f t="shared" si="2"/>
        <v>0.65249999999999997</v>
      </c>
      <c r="P25" s="258">
        <f t="shared" si="3"/>
        <v>0.65249999999999997</v>
      </c>
      <c r="Q25" s="251">
        <f t="shared" si="4"/>
        <v>67116.96101694915</v>
      </c>
      <c r="R25" s="305">
        <f t="shared" si="5"/>
        <v>82116.96101694915</v>
      </c>
      <c r="S25" s="290">
        <f t="shared" si="7"/>
        <v>2.9</v>
      </c>
      <c r="T25" s="46">
        <f t="shared" si="9"/>
        <v>0.9</v>
      </c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SUM(H21:H25)</f>
        <v>229373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SUM(T21:T25)</f>
        <v>2.7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50</v>
      </c>
      <c r="H28" s="287">
        <f>H27*19%</f>
        <v>43580.87</v>
      </c>
      <c r="I28" s="308"/>
      <c r="J28" s="264"/>
      <c r="K28" s="47"/>
      <c r="L28" s="431">
        <f>M28*10</f>
        <v>40.099999999999994</v>
      </c>
      <c r="M28" s="39">
        <f>SUM(M21:M27)</f>
        <v>4.01</v>
      </c>
      <c r="N28" s="12"/>
      <c r="O28" s="12"/>
      <c r="P28" s="252">
        <f>SUM(P21:P25)</f>
        <v>1.3275000000000001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272953.87</v>
      </c>
      <c r="I29" s="308"/>
      <c r="J29" s="264"/>
      <c r="K29" s="47"/>
      <c r="L29" s="47"/>
      <c r="M29" s="39"/>
      <c r="N29" s="12"/>
      <c r="O29" s="12"/>
      <c r="P29" s="252">
        <f>P28</f>
        <v>1.3275000000000001</v>
      </c>
      <c r="Q29" s="14"/>
      <c r="R29" s="12"/>
      <c r="S29" s="239">
        <f>SUM(S21:S28)</f>
        <v>5.9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0.26550000000000001</v>
      </c>
      <c r="Q30" s="39" t="s">
        <v>128</v>
      </c>
      <c r="R30" s="42"/>
      <c r="S30" s="240">
        <f>S29+T27</f>
        <v>8.6000000000000014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1.5930000000000002</v>
      </c>
      <c r="Q31" s="14"/>
      <c r="R31" s="14"/>
      <c r="S31" s="238">
        <f>S30*20%</f>
        <v>1.7200000000000004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10.320000000000002</v>
      </c>
      <c r="T32" s="14"/>
      <c r="U32" s="294" t="s">
        <v>21</v>
      </c>
      <c r="V32" s="291" t="s">
        <v>148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1.5930000000000002</v>
      </c>
      <c r="N33" s="12">
        <v>3500</v>
      </c>
      <c r="O33" s="12">
        <f t="shared" ref="O33:O38" si="10">M33*N33</f>
        <v>5575.5000000000009</v>
      </c>
      <c r="P33" s="14" t="s">
        <v>21</v>
      </c>
      <c r="Q33" s="14"/>
      <c r="R33" s="14"/>
      <c r="S33" s="241"/>
      <c r="T33" s="14"/>
      <c r="U33" s="294" t="s">
        <v>149</v>
      </c>
      <c r="V33" s="291">
        <v>3625</v>
      </c>
      <c r="W33" s="59" t="s">
        <v>150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0.5</v>
      </c>
      <c r="N34" s="12">
        <v>38500</v>
      </c>
      <c r="O34" s="12">
        <v>24910</v>
      </c>
      <c r="P34" s="39" t="s">
        <v>299</v>
      </c>
      <c r="Q34" s="42"/>
      <c r="R34" s="14"/>
      <c r="S34" s="240"/>
      <c r="T34" s="14"/>
      <c r="U34" s="294"/>
      <c r="V34" s="59">
        <v>906.25</v>
      </c>
      <c r="W34" s="59" t="s">
        <v>151</v>
      </c>
      <c r="X34" s="296"/>
    </row>
    <row r="35" spans="1:24" s="230" customFormat="1" ht="17.399999999999999" x14ac:dyDescent="0.35">
      <c r="B35" s="24" t="s">
        <v>147</v>
      </c>
      <c r="J35" s="261"/>
      <c r="K35" s="232"/>
      <c r="L35" s="249"/>
      <c r="M35" s="14">
        <v>0.5</v>
      </c>
      <c r="N35" s="249">
        <v>33975</v>
      </c>
      <c r="O35" s="12">
        <f t="shared" si="10"/>
        <v>16987.5</v>
      </c>
      <c r="P35" s="39" t="s">
        <v>290</v>
      </c>
      <c r="Q35" s="42"/>
      <c r="S35" s="240"/>
      <c r="T35" s="255"/>
      <c r="U35" s="59"/>
      <c r="V35" s="59">
        <f>V34*20%</f>
        <v>181.25</v>
      </c>
      <c r="W35" s="296" t="s">
        <v>152</v>
      </c>
      <c r="X35" s="59"/>
    </row>
    <row r="36" spans="1:24" s="230" customFormat="1" ht="17.399999999999999" x14ac:dyDescent="0.35">
      <c r="B36" s="24" t="s">
        <v>161</v>
      </c>
      <c r="C36"/>
      <c r="D36"/>
      <c r="E36"/>
      <c r="F36"/>
      <c r="J36" s="261"/>
      <c r="K36" s="232"/>
      <c r="L36" s="249"/>
      <c r="M36" s="14">
        <v>1</v>
      </c>
      <c r="N36" s="249">
        <v>17550</v>
      </c>
      <c r="O36" s="12">
        <f t="shared" si="10"/>
        <v>17550</v>
      </c>
      <c r="P36" s="14" t="s">
        <v>138</v>
      </c>
      <c r="Q36" s="17"/>
      <c r="S36" s="238"/>
      <c r="T36" s="255"/>
      <c r="U36" s="59"/>
      <c r="V36" s="59">
        <f>V34+V35</f>
        <v>1087.5</v>
      </c>
      <c r="W36" s="296" t="s">
        <v>153</v>
      </c>
      <c r="X36" s="59"/>
    </row>
    <row r="37" spans="1:24" s="230" customFormat="1" ht="17.399999999999999" x14ac:dyDescent="0.35">
      <c r="A37" s="230" t="s">
        <v>282</v>
      </c>
      <c r="B37" s="29" t="s">
        <v>123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0"/>
        <v>0</v>
      </c>
      <c r="P37" s="14" t="s">
        <v>31</v>
      </c>
      <c r="Q37" s="14"/>
      <c r="R37" s="230">
        <v>3.05</v>
      </c>
      <c r="S37" s="238">
        <v>0.5</v>
      </c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10"/>
        <v>0</v>
      </c>
      <c r="P38" s="14" t="s">
        <v>22</v>
      </c>
      <c r="Q38" s="14"/>
      <c r="R38">
        <v>1.22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65023</v>
      </c>
      <c r="P39" s="39" t="s">
        <v>23</v>
      </c>
      <c r="Q39" s="14"/>
      <c r="R39">
        <f>R37*R38</f>
        <v>3.7209999999999996</v>
      </c>
      <c r="S39"/>
      <c r="T39" s="238"/>
      <c r="X39" s="231"/>
    </row>
    <row r="40" spans="1:24" s="230" customFormat="1" ht="17.399999999999999" x14ac:dyDescent="0.35">
      <c r="L40" s="249"/>
      <c r="M40" s="253" t="s">
        <v>32</v>
      </c>
      <c r="N40" s="12"/>
      <c r="O40" s="254">
        <f>O39*2.1</f>
        <v>136548.30000000002</v>
      </c>
      <c r="P40" s="14" t="s">
        <v>137</v>
      </c>
      <c r="Q40" s="14"/>
      <c r="R40" s="40">
        <f>P31/R39</f>
        <v>0.42811072292394525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51290</v>
      </c>
      <c r="L41" s="249"/>
      <c r="M41" s="14"/>
      <c r="N41" s="12"/>
      <c r="O41" s="12">
        <f>O40/P29</f>
        <v>102861.24293785311</v>
      </c>
      <c r="P41" s="45" t="s">
        <v>24</v>
      </c>
      <c r="Q41" s="14"/>
      <c r="R41" s="14"/>
      <c r="S41"/>
      <c r="T41" s="238"/>
      <c r="U41" s="59" t="s">
        <v>154</v>
      </c>
      <c r="V41" s="291">
        <v>43650</v>
      </c>
    </row>
    <row r="42" spans="1:24" s="230" customFormat="1" ht="17.399999999999999" x14ac:dyDescent="0.35">
      <c r="G42"/>
      <c r="K42" s="230">
        <f>K41/1.19</f>
        <v>43100.840336134454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156</v>
      </c>
      <c r="V42" s="292" t="s">
        <v>155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157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152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144</v>
      </c>
    </row>
    <row r="77" spans="3:15" x14ac:dyDescent="0.3">
      <c r="C77" t="s">
        <v>143</v>
      </c>
    </row>
    <row r="80" spans="3:15" x14ac:dyDescent="0.3">
      <c r="C80" t="s">
        <v>143</v>
      </c>
    </row>
    <row r="157" spans="3:3" x14ac:dyDescent="0.3">
      <c r="C157" t="s">
        <v>143</v>
      </c>
    </row>
    <row r="158" spans="3:3" x14ac:dyDescent="0.3">
      <c r="C158" t="s">
        <v>145</v>
      </c>
    </row>
    <row r="159" spans="3:3" x14ac:dyDescent="0.3">
      <c r="C159" t="s">
        <v>146</v>
      </c>
    </row>
    <row r="584" spans="3:3" x14ac:dyDescent="0.3">
      <c r="C584" t="s">
        <v>143</v>
      </c>
    </row>
  </sheetData>
  <mergeCells count="1">
    <mergeCell ref="B19:H19"/>
  </mergeCells>
  <hyperlinks>
    <hyperlink ref="F37" r:id="rId1" xr:uid="{5CF090BF-67D9-4C19-9CC3-C1DF2FFF922C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49DC-DC98-4B0F-955A-A5D4AA730D12}">
  <sheetPr>
    <pageSetUpPr fitToPage="1"/>
  </sheetPr>
  <dimension ref="A2:Y584"/>
  <sheetViews>
    <sheetView topLeftCell="A20" zoomScale="93" zoomScaleNormal="93" workbookViewId="0">
      <selection activeCell="M1" sqref="M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292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294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2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6" t="s">
        <v>94</v>
      </c>
      <c r="C19" s="437"/>
      <c r="D19" s="437"/>
      <c r="E19" s="437"/>
      <c r="F19" s="437"/>
      <c r="G19" s="437"/>
      <c r="H19" s="438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O41</f>
        <v>52790.044378698221</v>
      </c>
      <c r="R20" s="257">
        <v>15000</v>
      </c>
      <c r="S20" s="38"/>
      <c r="T20" s="14" t="s">
        <v>126</v>
      </c>
      <c r="U20" s="9"/>
      <c r="X20" s="4"/>
    </row>
    <row r="21" spans="2:25" ht="17.399999999999999" x14ac:dyDescent="0.3">
      <c r="B21" s="459">
        <v>26</v>
      </c>
      <c r="C21" s="433" t="s">
        <v>298</v>
      </c>
      <c r="D21" s="434">
        <v>0.56000000000000005</v>
      </c>
      <c r="E21" s="434">
        <v>0.5</v>
      </c>
      <c r="F21" s="432" t="s">
        <v>288</v>
      </c>
      <c r="G21" s="435">
        <v>9290</v>
      </c>
      <c r="H21" s="435">
        <f>G21*B21</f>
        <v>241540</v>
      </c>
      <c r="I21" s="306"/>
      <c r="J21" s="264"/>
      <c r="K21" s="47">
        <v>11</v>
      </c>
      <c r="L21" s="47"/>
      <c r="M21" s="39">
        <f t="shared" ref="M21:M25" si="0">D21+M$19</f>
        <v>0.58000000000000007</v>
      </c>
      <c r="N21" s="39">
        <f t="shared" ref="N21:N25" si="1">E21+$N$19</f>
        <v>0.52</v>
      </c>
      <c r="O21" s="260">
        <f t="shared" ref="O21:O25" si="2">M21*N21</f>
        <v>0.30160000000000003</v>
      </c>
      <c r="P21" s="258">
        <f t="shared" ref="P21:P25" si="3">O21*L21</f>
        <v>0</v>
      </c>
      <c r="Q21" s="251">
        <f t="shared" ref="Q21:Q25" si="4">Q$20*O21</f>
        <v>15921.477384615386</v>
      </c>
      <c r="R21" s="305">
        <f t="shared" ref="R21:R25" si="5">Q21+R$20</f>
        <v>30921.477384615384</v>
      </c>
      <c r="S21" s="290">
        <f>M21*L21*2</f>
        <v>0</v>
      </c>
      <c r="T21" s="46"/>
      <c r="U21" s="9"/>
      <c r="X21" s="4"/>
    </row>
    <row r="22" spans="2:25" ht="17.399999999999999" x14ac:dyDescent="0.3">
      <c r="B22" s="459">
        <v>13</v>
      </c>
      <c r="C22" s="433" t="s">
        <v>298</v>
      </c>
      <c r="D22" s="434">
        <v>0.56000000000000005</v>
      </c>
      <c r="E22" s="434">
        <v>0.5</v>
      </c>
      <c r="F22" s="432" t="s">
        <v>288</v>
      </c>
      <c r="G22" s="435">
        <v>9290</v>
      </c>
      <c r="H22" s="435">
        <f t="shared" ref="H22:H25" si="6">G22*B22</f>
        <v>120770</v>
      </c>
      <c r="I22" s="306"/>
      <c r="J22" s="264"/>
      <c r="K22" s="47">
        <v>3</v>
      </c>
      <c r="L22" s="47"/>
      <c r="M22" s="39">
        <f t="shared" si="0"/>
        <v>0.58000000000000007</v>
      </c>
      <c r="N22" s="39">
        <f t="shared" si="1"/>
        <v>0.52</v>
      </c>
      <c r="O22" s="260">
        <f t="shared" si="2"/>
        <v>0.30160000000000003</v>
      </c>
      <c r="P22" s="258">
        <f t="shared" si="3"/>
        <v>0</v>
      </c>
      <c r="Q22" s="251">
        <f t="shared" si="4"/>
        <v>15921.477384615386</v>
      </c>
      <c r="R22" s="305">
        <f t="shared" si="5"/>
        <v>30921.477384615384</v>
      </c>
      <c r="S22" s="290"/>
      <c r="T22" s="46"/>
      <c r="U22" s="9"/>
      <c r="X22" s="4"/>
    </row>
    <row r="23" spans="2:25" ht="17.399999999999999" x14ac:dyDescent="0.3">
      <c r="B23" s="459">
        <v>26</v>
      </c>
      <c r="C23" s="433" t="s">
        <v>298</v>
      </c>
      <c r="D23" s="434">
        <v>0.4</v>
      </c>
      <c r="E23" s="434">
        <v>0.5</v>
      </c>
      <c r="F23" s="432" t="s">
        <v>288</v>
      </c>
      <c r="G23" s="435">
        <v>6727</v>
      </c>
      <c r="H23" s="435">
        <f t="shared" si="6"/>
        <v>174902</v>
      </c>
      <c r="I23" s="306"/>
      <c r="J23" s="264"/>
      <c r="K23" s="47">
        <v>2</v>
      </c>
      <c r="L23" s="47"/>
      <c r="M23" s="39">
        <f t="shared" si="0"/>
        <v>0.42000000000000004</v>
      </c>
      <c r="N23" s="39">
        <f t="shared" si="1"/>
        <v>0.52</v>
      </c>
      <c r="O23" s="260">
        <f t="shared" si="2"/>
        <v>0.21840000000000004</v>
      </c>
      <c r="P23" s="258">
        <f t="shared" si="3"/>
        <v>0</v>
      </c>
      <c r="Q23" s="251">
        <f t="shared" si="4"/>
        <v>11529.345692307694</v>
      </c>
      <c r="R23" s="305">
        <f t="shared" si="5"/>
        <v>26529.345692307696</v>
      </c>
      <c r="S23" s="290">
        <f t="shared" ref="S22:S24" si="7">M23*L23*2</f>
        <v>0</v>
      </c>
      <c r="T23" s="46"/>
      <c r="U23" s="9"/>
      <c r="X23" s="4"/>
    </row>
    <row r="24" spans="2:25" ht="17.399999999999999" x14ac:dyDescent="0.3">
      <c r="B24" s="432">
        <v>13</v>
      </c>
      <c r="C24" s="433" t="s">
        <v>298</v>
      </c>
      <c r="D24" s="434">
        <v>0.56000000000000005</v>
      </c>
      <c r="E24" s="434">
        <v>0.4</v>
      </c>
      <c r="F24" s="432" t="s">
        <v>288</v>
      </c>
      <c r="G24" s="435">
        <v>7503</v>
      </c>
      <c r="H24" s="435">
        <f t="shared" si="6"/>
        <v>97539</v>
      </c>
      <c r="I24" s="306"/>
      <c r="J24" s="264"/>
      <c r="K24" s="47">
        <v>2</v>
      </c>
      <c r="L24" s="47"/>
      <c r="M24" s="39">
        <f t="shared" si="0"/>
        <v>0.58000000000000007</v>
      </c>
      <c r="N24" s="39">
        <f t="shared" si="1"/>
        <v>0.42000000000000004</v>
      </c>
      <c r="O24" s="260">
        <f t="shared" si="2"/>
        <v>0.24360000000000007</v>
      </c>
      <c r="P24" s="258">
        <f t="shared" si="3"/>
        <v>0</v>
      </c>
      <c r="Q24" s="251">
        <f t="shared" si="4"/>
        <v>12859.654810650891</v>
      </c>
      <c r="R24" s="305">
        <f t="shared" si="5"/>
        <v>27859.654810650893</v>
      </c>
      <c r="S24" s="290">
        <f t="shared" si="7"/>
        <v>0</v>
      </c>
      <c r="T24" s="46">
        <f t="shared" ref="T22:T25" si="8">N24*L24*2</f>
        <v>0</v>
      </c>
      <c r="U24" s="9"/>
      <c r="X24" s="4"/>
    </row>
    <row r="25" spans="2:25" ht="17.399999999999999" x14ac:dyDescent="0.3">
      <c r="B25" s="432">
        <v>13</v>
      </c>
      <c r="C25" s="433" t="s">
        <v>300</v>
      </c>
      <c r="D25" s="434">
        <v>0.5</v>
      </c>
      <c r="E25" s="434">
        <v>0.4</v>
      </c>
      <c r="F25" s="432" t="s">
        <v>288</v>
      </c>
      <c r="G25" s="435">
        <v>11530</v>
      </c>
      <c r="H25" s="435">
        <f t="shared" si="6"/>
        <v>149890</v>
      </c>
      <c r="I25" s="306"/>
      <c r="J25" s="264"/>
      <c r="K25" s="47"/>
      <c r="L25" s="47">
        <f t="shared" ref="L21:L25" si="9">B25</f>
        <v>13</v>
      </c>
      <c r="M25" s="39">
        <f t="shared" ref="M25" si="10">D25+M$19</f>
        <v>0.52</v>
      </c>
      <c r="N25" s="39">
        <f t="shared" ref="N25" si="11">E25+$N$19</f>
        <v>0.42000000000000004</v>
      </c>
      <c r="O25" s="260">
        <f t="shared" ref="O25" si="12">M25*N25</f>
        <v>0.21840000000000004</v>
      </c>
      <c r="P25" s="258">
        <f t="shared" ref="P25" si="13">O25*L25</f>
        <v>2.8392000000000004</v>
      </c>
      <c r="Q25" s="251">
        <f t="shared" ref="Q25" si="14">Q$20*O25</f>
        <v>11529.345692307694</v>
      </c>
      <c r="R25" s="305">
        <f t="shared" ref="R25" si="15">Q25+R$20</f>
        <v>26529.345692307696</v>
      </c>
      <c r="S25" s="290">
        <f t="shared" ref="S25" si="16">M25*L25*2</f>
        <v>13.52</v>
      </c>
      <c r="T25" s="46">
        <f t="shared" si="8"/>
        <v>10.920000000000002</v>
      </c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SUM(H21:H25)</f>
        <v>784641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SUM(T21:T25)</f>
        <v>10.920000000000002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50</v>
      </c>
      <c r="H28" s="287">
        <f>H27*19%</f>
        <v>149081.79</v>
      </c>
      <c r="I28" s="308"/>
      <c r="J28" s="264"/>
      <c r="K28" s="47"/>
      <c r="L28" s="431">
        <f>M28*10</f>
        <v>26.8</v>
      </c>
      <c r="M28" s="39">
        <f>SUM(M21:M27)</f>
        <v>2.68</v>
      </c>
      <c r="N28" s="12"/>
      <c r="O28" s="12"/>
      <c r="P28" s="252">
        <f>SUM(P21:P25)</f>
        <v>2.8392000000000004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933722.79</v>
      </c>
      <c r="I29" s="308"/>
      <c r="J29" s="264"/>
      <c r="K29" s="47"/>
      <c r="L29" s="47"/>
      <c r="M29" s="39"/>
      <c r="N29" s="12"/>
      <c r="O29" s="12"/>
      <c r="P29" s="252">
        <f>P28</f>
        <v>2.8392000000000004</v>
      </c>
      <c r="Q29" s="14"/>
      <c r="R29" s="12"/>
      <c r="S29" s="239">
        <f>SUM(S21:S28)</f>
        <v>13.52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0.56784000000000012</v>
      </c>
      <c r="Q30" s="39" t="s">
        <v>128</v>
      </c>
      <c r="R30" s="42"/>
      <c r="S30" s="240">
        <f>S29+T27</f>
        <v>24.44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3.4070400000000003</v>
      </c>
      <c r="Q31" s="14"/>
      <c r="R31" s="14"/>
      <c r="S31" s="238">
        <f>S30*20%</f>
        <v>4.8880000000000008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29.328000000000003</v>
      </c>
      <c r="T32" s="14"/>
      <c r="U32" s="294" t="s">
        <v>21</v>
      </c>
      <c r="V32" s="291" t="s">
        <v>148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3.4070400000000003</v>
      </c>
      <c r="N33" s="12">
        <v>3500</v>
      </c>
      <c r="O33" s="12">
        <f t="shared" ref="O33:O38" si="17">M33*N33</f>
        <v>11924.640000000001</v>
      </c>
      <c r="P33" s="14" t="s">
        <v>21</v>
      </c>
      <c r="Q33" s="14"/>
      <c r="R33" s="14"/>
      <c r="S33" s="241"/>
      <c r="T33" s="14"/>
      <c r="U33" s="294" t="s">
        <v>149</v>
      </c>
      <c r="V33" s="291">
        <v>3625</v>
      </c>
      <c r="W33" s="59" t="s">
        <v>150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1</v>
      </c>
      <c r="N34" s="12">
        <v>38100</v>
      </c>
      <c r="O34" s="12">
        <v>24910</v>
      </c>
      <c r="P34" s="39" t="s">
        <v>299</v>
      </c>
      <c r="Q34" s="42"/>
      <c r="R34" s="14"/>
      <c r="S34" s="240"/>
      <c r="T34" s="14"/>
      <c r="U34" s="294"/>
      <c r="V34" s="59">
        <v>906.25</v>
      </c>
      <c r="W34" s="59" t="s">
        <v>151</v>
      </c>
      <c r="X34" s="296"/>
    </row>
    <row r="35" spans="1:24" s="230" customFormat="1" ht="17.399999999999999" x14ac:dyDescent="0.35">
      <c r="B35" s="24" t="s">
        <v>147</v>
      </c>
      <c r="J35" s="261"/>
      <c r="K35" s="232"/>
      <c r="L35" s="249"/>
      <c r="M35" s="14">
        <v>0.5</v>
      </c>
      <c r="N35" s="249">
        <v>33975</v>
      </c>
      <c r="O35" s="12">
        <f t="shared" si="17"/>
        <v>16987.5</v>
      </c>
      <c r="P35" s="39" t="s">
        <v>290</v>
      </c>
      <c r="Q35" s="42"/>
      <c r="S35" s="240"/>
      <c r="T35" s="255"/>
      <c r="U35" s="59"/>
      <c r="V35" s="59">
        <f>V34*20%</f>
        <v>181.25</v>
      </c>
      <c r="W35" s="296" t="s">
        <v>152</v>
      </c>
      <c r="X35" s="59"/>
    </row>
    <row r="36" spans="1:24" s="230" customFormat="1" ht="17.399999999999999" x14ac:dyDescent="0.35">
      <c r="B36" s="24" t="s">
        <v>161</v>
      </c>
      <c r="C36"/>
      <c r="D36"/>
      <c r="E36"/>
      <c r="F36"/>
      <c r="J36" s="261"/>
      <c r="K36" s="232"/>
      <c r="L36" s="249"/>
      <c r="M36" s="14">
        <v>1</v>
      </c>
      <c r="N36" s="249">
        <v>17550</v>
      </c>
      <c r="O36" s="12">
        <f t="shared" si="17"/>
        <v>17550</v>
      </c>
      <c r="P36" s="14" t="s">
        <v>138</v>
      </c>
      <c r="Q36" s="17"/>
      <c r="S36" s="238"/>
      <c r="T36" s="255"/>
      <c r="U36" s="59"/>
      <c r="V36" s="59">
        <f>V34+V35</f>
        <v>1087.5</v>
      </c>
      <c r="W36" s="296" t="s">
        <v>153</v>
      </c>
      <c r="X36" s="59"/>
    </row>
    <row r="37" spans="1:24" s="230" customFormat="1" ht="17.399999999999999" x14ac:dyDescent="0.35">
      <c r="A37" s="230" t="s">
        <v>282</v>
      </c>
      <c r="B37" s="29" t="s">
        <v>123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7"/>
        <v>0</v>
      </c>
      <c r="P37" s="14" t="s">
        <v>31</v>
      </c>
      <c r="Q37" s="14"/>
      <c r="R37" s="230">
        <v>3.05</v>
      </c>
      <c r="S37" s="238">
        <v>0.5</v>
      </c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17"/>
        <v>0</v>
      </c>
      <c r="P38" s="14" t="s">
        <v>22</v>
      </c>
      <c r="Q38" s="14"/>
      <c r="R38">
        <v>1.22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71372.14</v>
      </c>
      <c r="P39" s="39" t="s">
        <v>23</v>
      </c>
      <c r="Q39" s="14"/>
      <c r="R39">
        <f>R37*R38</f>
        <v>3.7209999999999996</v>
      </c>
      <c r="S39"/>
      <c r="T39" s="238"/>
      <c r="X39" s="231"/>
    </row>
    <row r="40" spans="1:24" s="230" customFormat="1" ht="17.399999999999999" x14ac:dyDescent="0.35">
      <c r="L40" s="249"/>
      <c r="M40" s="253" t="s">
        <v>32</v>
      </c>
      <c r="N40" s="12"/>
      <c r="O40" s="254">
        <f>O39*2.1</f>
        <v>149881.49400000001</v>
      </c>
      <c r="P40" s="14" t="s">
        <v>137</v>
      </c>
      <c r="Q40" s="14"/>
      <c r="R40" s="40">
        <f>P31/R39</f>
        <v>0.91562483203439948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51290</v>
      </c>
      <c r="L41" s="249"/>
      <c r="M41" s="14"/>
      <c r="N41" s="12"/>
      <c r="O41" s="12">
        <f>O40/P29</f>
        <v>52790.044378698221</v>
      </c>
      <c r="P41" s="45" t="s">
        <v>24</v>
      </c>
      <c r="Q41" s="14"/>
      <c r="R41" s="14"/>
      <c r="S41"/>
      <c r="T41" s="238"/>
      <c r="U41" s="59" t="s">
        <v>154</v>
      </c>
      <c r="V41" s="291">
        <v>43650</v>
      </c>
    </row>
    <row r="42" spans="1:24" s="230" customFormat="1" ht="17.399999999999999" x14ac:dyDescent="0.35">
      <c r="G42"/>
      <c r="K42" s="230">
        <f>K41/1.19</f>
        <v>43100.840336134454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156</v>
      </c>
      <c r="V42" s="292" t="s">
        <v>155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157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152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144</v>
      </c>
    </row>
    <row r="77" spans="3:15" x14ac:dyDescent="0.3">
      <c r="C77" t="s">
        <v>143</v>
      </c>
    </row>
    <row r="80" spans="3:15" x14ac:dyDescent="0.3">
      <c r="C80" t="s">
        <v>143</v>
      </c>
    </row>
    <row r="157" spans="3:3" x14ac:dyDescent="0.3">
      <c r="C157" t="s">
        <v>143</v>
      </c>
    </row>
    <row r="158" spans="3:3" x14ac:dyDescent="0.3">
      <c r="C158" t="s">
        <v>145</v>
      </c>
    </row>
    <row r="159" spans="3:3" x14ac:dyDescent="0.3">
      <c r="C159" t="s">
        <v>146</v>
      </c>
    </row>
    <row r="584" spans="3:3" x14ac:dyDescent="0.3">
      <c r="C584" t="s">
        <v>143</v>
      </c>
    </row>
  </sheetData>
  <mergeCells count="1">
    <mergeCell ref="B19:H19"/>
  </mergeCells>
  <hyperlinks>
    <hyperlink ref="F37" r:id="rId1" xr:uid="{BE2DD043-EFC6-4840-841C-BC2CEC77AA54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opLeftCell="A16" zoomScale="93" zoomScaleNormal="93" workbookViewId="0">
      <selection activeCell="I29" sqref="I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292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294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2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6" t="s">
        <v>94</v>
      </c>
      <c r="C19" s="437"/>
      <c r="D19" s="437"/>
      <c r="E19" s="437"/>
      <c r="F19" s="437"/>
      <c r="G19" s="437"/>
      <c r="H19" s="438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O42</f>
        <v>86740.027937763269</v>
      </c>
      <c r="R20" s="257">
        <v>15000</v>
      </c>
      <c r="S20" s="38"/>
      <c r="T20" s="14" t="s">
        <v>126</v>
      </c>
      <c r="U20" s="9"/>
      <c r="X20" s="4"/>
    </row>
    <row r="21" spans="2:25" ht="17.399999999999999" x14ac:dyDescent="0.3">
      <c r="B21" s="432">
        <v>11</v>
      </c>
      <c r="C21" s="433" t="s">
        <v>287</v>
      </c>
      <c r="D21" s="434">
        <v>1.2</v>
      </c>
      <c r="E21" s="434">
        <v>0.7</v>
      </c>
      <c r="F21" s="432" t="s">
        <v>288</v>
      </c>
      <c r="G21" s="435">
        <f>Q21</f>
        <v>76192.440540531257</v>
      </c>
      <c r="H21" s="435">
        <f>G21*B21</f>
        <v>838116.84594584384</v>
      </c>
      <c r="I21" s="306"/>
      <c r="J21" s="264"/>
      <c r="K21" s="47">
        <v>11</v>
      </c>
      <c r="L21" s="47">
        <f t="shared" ref="L21" si="0">B21</f>
        <v>11</v>
      </c>
      <c r="M21" s="39">
        <f t="shared" ref="M21" si="1">D21+M$19</f>
        <v>1.22</v>
      </c>
      <c r="N21" s="39">
        <f t="shared" ref="N21" si="2">E21+$N$19</f>
        <v>0.72</v>
      </c>
      <c r="O21" s="260">
        <f t="shared" ref="O21" si="3">M21*N21</f>
        <v>0.87839999999999996</v>
      </c>
      <c r="P21" s="258">
        <f t="shared" ref="P21" si="4">O21*L21</f>
        <v>9.6623999999999999</v>
      </c>
      <c r="Q21" s="251">
        <f t="shared" ref="Q21" si="5">Q$20*O21</f>
        <v>76192.440540531257</v>
      </c>
      <c r="R21" s="305">
        <f t="shared" ref="R21" si="6">Q21+R$20</f>
        <v>91192.440540531257</v>
      </c>
      <c r="S21" s="290">
        <f>M21*L21*2</f>
        <v>26.84</v>
      </c>
      <c r="T21" s="46">
        <f>N21*L21*2</f>
        <v>15.84</v>
      </c>
      <c r="U21" s="9"/>
      <c r="X21" s="4"/>
    </row>
    <row r="22" spans="2:25" ht="17.399999999999999" x14ac:dyDescent="0.3">
      <c r="B22" s="432">
        <v>3</v>
      </c>
      <c r="C22" s="433" t="s">
        <v>287</v>
      </c>
      <c r="D22" s="434">
        <v>1.5</v>
      </c>
      <c r="E22" s="434">
        <v>0.7</v>
      </c>
      <c r="F22" s="432" t="s">
        <v>288</v>
      </c>
      <c r="G22" s="435">
        <f t="shared" ref="G22:G23" si="7">Q22</f>
        <v>94928.286575088132</v>
      </c>
      <c r="H22" s="435">
        <f t="shared" ref="H22:H25" si="8">G22*B22</f>
        <v>284784.85972526437</v>
      </c>
      <c r="I22" s="306"/>
      <c r="J22" s="264"/>
      <c r="K22" s="47">
        <v>3</v>
      </c>
      <c r="L22" s="47">
        <f t="shared" ref="L22:L25" si="9">B22</f>
        <v>3</v>
      </c>
      <c r="M22" s="39">
        <f t="shared" ref="M22:M23" si="10">D22+M$19</f>
        <v>1.52</v>
      </c>
      <c r="N22" s="39">
        <f t="shared" ref="N22:N23" si="11">E22+$N$19</f>
        <v>0.72</v>
      </c>
      <c r="O22" s="260">
        <f t="shared" ref="O22:O23" si="12">M22*N22</f>
        <v>1.0944</v>
      </c>
      <c r="P22" s="258">
        <f t="shared" ref="P22:P23" si="13">O22*L22</f>
        <v>3.2831999999999999</v>
      </c>
      <c r="Q22" s="251">
        <f t="shared" ref="Q22:Q23" si="14">Q$20*O22</f>
        <v>94928.286575088132</v>
      </c>
      <c r="R22" s="305">
        <f t="shared" ref="R22:R23" si="15">Q22+R$20</f>
        <v>109928.28657508813</v>
      </c>
      <c r="S22" s="290">
        <f t="shared" ref="S22:S25" si="16">M22*L22*2</f>
        <v>9.120000000000001</v>
      </c>
      <c r="T22" s="46">
        <f t="shared" ref="T22:T25" si="17">N22*L22*2</f>
        <v>4.32</v>
      </c>
      <c r="U22" s="9"/>
      <c r="X22" s="4"/>
    </row>
    <row r="23" spans="2:25" ht="17.399999999999999" x14ac:dyDescent="0.3">
      <c r="B23" s="432">
        <v>1</v>
      </c>
      <c r="C23" s="433" t="s">
        <v>297</v>
      </c>
      <c r="D23" s="434">
        <v>1.97</v>
      </c>
      <c r="E23" s="434">
        <v>0.98</v>
      </c>
      <c r="F23" s="432" t="s">
        <v>288</v>
      </c>
      <c r="G23" s="435">
        <f t="shared" si="7"/>
        <v>172612.65559614889</v>
      </c>
      <c r="H23" s="435">
        <f t="shared" si="8"/>
        <v>172612.65559614889</v>
      </c>
      <c r="I23" s="306"/>
      <c r="J23" s="264"/>
      <c r="K23" s="47">
        <v>2</v>
      </c>
      <c r="L23" s="47">
        <f t="shared" si="9"/>
        <v>1</v>
      </c>
      <c r="M23" s="39">
        <f t="shared" si="10"/>
        <v>1.99</v>
      </c>
      <c r="N23" s="39">
        <f t="shared" si="11"/>
        <v>1</v>
      </c>
      <c r="O23" s="260">
        <f t="shared" si="12"/>
        <v>1.99</v>
      </c>
      <c r="P23" s="258">
        <f t="shared" si="13"/>
        <v>1.99</v>
      </c>
      <c r="Q23" s="251">
        <f t="shared" si="14"/>
        <v>172612.65559614889</v>
      </c>
      <c r="R23" s="305">
        <f t="shared" si="15"/>
        <v>187612.65559614889</v>
      </c>
      <c r="S23" s="290">
        <f t="shared" si="16"/>
        <v>3.98</v>
      </c>
      <c r="T23" s="46">
        <f t="shared" si="17"/>
        <v>2</v>
      </c>
      <c r="U23" s="9"/>
      <c r="X23" s="4"/>
    </row>
    <row r="24" spans="2:25" ht="17.399999999999999" x14ac:dyDescent="0.3">
      <c r="B24" s="432">
        <v>1</v>
      </c>
      <c r="C24" s="433" t="s">
        <v>296</v>
      </c>
      <c r="D24" s="434">
        <v>1.97</v>
      </c>
      <c r="E24" s="434">
        <v>0.98</v>
      </c>
      <c r="F24" s="432" t="s">
        <v>288</v>
      </c>
      <c r="G24" s="435">
        <v>1000</v>
      </c>
      <c r="H24" s="435">
        <f t="shared" si="8"/>
        <v>1000</v>
      </c>
      <c r="I24" s="306"/>
      <c r="J24" s="264"/>
      <c r="K24" s="47">
        <v>2</v>
      </c>
      <c r="L24" s="47">
        <f t="shared" ref="L24:L25" si="18">B24</f>
        <v>1</v>
      </c>
      <c r="M24" s="39">
        <f t="shared" ref="M24:M25" si="19">D24+M$19</f>
        <v>1.99</v>
      </c>
      <c r="N24" s="39">
        <f t="shared" ref="N24:N25" si="20">E24+$N$19</f>
        <v>1</v>
      </c>
      <c r="O24" s="260">
        <f t="shared" ref="O24:O25" si="21">M24*N24</f>
        <v>1.99</v>
      </c>
      <c r="P24" s="258">
        <f t="shared" ref="P24:P25" si="22">O24*L24</f>
        <v>1.99</v>
      </c>
      <c r="Q24" s="251">
        <f t="shared" ref="Q24:Q25" si="23">Q$20*O24</f>
        <v>172612.65559614889</v>
      </c>
      <c r="R24" s="305">
        <f t="shared" ref="R24:R25" si="24">Q24+R$20</f>
        <v>187612.65559614889</v>
      </c>
      <c r="S24" s="290">
        <f t="shared" si="16"/>
        <v>3.98</v>
      </c>
      <c r="T24" s="46">
        <f t="shared" si="17"/>
        <v>2</v>
      </c>
      <c r="U24" s="9"/>
      <c r="X24" s="4"/>
    </row>
    <row r="25" spans="2:25" ht="17.399999999999999" x14ac:dyDescent="0.3">
      <c r="B25" s="432">
        <v>3</v>
      </c>
      <c r="C25" s="433" t="s">
        <v>295</v>
      </c>
      <c r="D25" s="434">
        <v>1.5</v>
      </c>
      <c r="E25" s="434">
        <v>0.35</v>
      </c>
      <c r="F25" s="432" t="s">
        <v>288</v>
      </c>
      <c r="G25" s="435">
        <v>15000</v>
      </c>
      <c r="H25" s="435">
        <f t="shared" si="8"/>
        <v>45000</v>
      </c>
      <c r="I25" s="306"/>
      <c r="J25" s="264"/>
      <c r="K25" s="47">
        <f>SUM(K21:K24)</f>
        <v>18</v>
      </c>
      <c r="L25" s="47">
        <f t="shared" si="18"/>
        <v>3</v>
      </c>
      <c r="M25" s="39">
        <f t="shared" si="19"/>
        <v>1.52</v>
      </c>
      <c r="N25" s="39">
        <f t="shared" si="20"/>
        <v>0.37</v>
      </c>
      <c r="O25" s="260">
        <f t="shared" si="21"/>
        <v>0.56240000000000001</v>
      </c>
      <c r="P25" s="258">
        <f t="shared" si="22"/>
        <v>1.6872</v>
      </c>
      <c r="Q25" s="251">
        <f t="shared" si="23"/>
        <v>48782.59171219806</v>
      </c>
      <c r="R25" s="305">
        <f t="shared" si="24"/>
        <v>63782.59171219806</v>
      </c>
      <c r="S25" s="290">
        <f t="shared" si="16"/>
        <v>9.120000000000001</v>
      </c>
      <c r="T25" s="46">
        <f t="shared" si="17"/>
        <v>2.2199999999999998</v>
      </c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306"/>
      <c r="H26" s="306"/>
      <c r="I26" s="306"/>
      <c r="J26" s="264"/>
      <c r="K26" s="47"/>
      <c r="L26" s="47"/>
      <c r="M26" s="39"/>
      <c r="N26" s="39"/>
      <c r="O26" s="260"/>
      <c r="P26" s="258"/>
      <c r="Q26" s="251"/>
      <c r="R26" s="305"/>
      <c r="S26" s="290"/>
      <c r="T26" s="46"/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SUM(H21:H26)</f>
        <v>1341514.3612672572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SUM(T21:T26)</f>
        <v>26.38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50</v>
      </c>
      <c r="H29" s="287">
        <f>H28*19%</f>
        <v>254887.72864077889</v>
      </c>
      <c r="I29" s="308"/>
      <c r="J29" s="264"/>
      <c r="K29" s="47"/>
      <c r="L29" s="431">
        <f>M29*10</f>
        <v>82.4</v>
      </c>
      <c r="M29" s="39">
        <f>SUM(M21:M28)</f>
        <v>8.24</v>
      </c>
      <c r="N29" s="12"/>
      <c r="O29" s="12"/>
      <c r="P29" s="252">
        <f>SUM(P21:P26)</f>
        <v>18.6128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1596402.0899080362</v>
      </c>
      <c r="I30" s="308"/>
      <c r="J30" s="264"/>
      <c r="K30" s="47"/>
      <c r="L30" s="47"/>
      <c r="M30" s="39"/>
      <c r="N30" s="12"/>
      <c r="O30" s="12"/>
      <c r="P30" s="252">
        <f>P29</f>
        <v>18.6128</v>
      </c>
      <c r="Q30" s="14"/>
      <c r="R30" s="12"/>
      <c r="S30" s="239">
        <f>SUM(S21:S29)</f>
        <v>53.039999999999992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3.7225600000000001</v>
      </c>
      <c r="Q31" s="39" t="s">
        <v>128</v>
      </c>
      <c r="R31" s="42"/>
      <c r="S31" s="240">
        <f>S30+T28</f>
        <v>79.419999999999987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22.335360000000001</v>
      </c>
      <c r="Q32" s="14"/>
      <c r="R32" s="14"/>
      <c r="S32" s="238">
        <f>S31*20%</f>
        <v>15.883999999999999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95.303999999999988</v>
      </c>
      <c r="T33" s="14"/>
      <c r="U33" s="294" t="s">
        <v>21</v>
      </c>
      <c r="V33" s="291" t="s">
        <v>148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P32*2</f>
        <v>44.670720000000003</v>
      </c>
      <c r="N34" s="12">
        <v>3500</v>
      </c>
      <c r="O34" s="12">
        <f t="shared" ref="O34:O39" si="25">M34*N34</f>
        <v>156347.52000000002</v>
      </c>
      <c r="P34" s="14" t="s">
        <v>21</v>
      </c>
      <c r="Q34" s="14"/>
      <c r="R34" s="14"/>
      <c r="S34" s="241"/>
      <c r="T34" s="14"/>
      <c r="U34" s="294" t="s">
        <v>149</v>
      </c>
      <c r="V34" s="291">
        <v>3625</v>
      </c>
      <c r="W34" s="59" t="s">
        <v>150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6</v>
      </c>
      <c r="N35" s="12">
        <v>38100</v>
      </c>
      <c r="O35" s="12">
        <f t="shared" si="25"/>
        <v>228600</v>
      </c>
      <c r="P35" s="39" t="s">
        <v>289</v>
      </c>
      <c r="Q35" s="42"/>
      <c r="R35" s="14"/>
      <c r="S35" s="240"/>
      <c r="T35" s="14"/>
      <c r="U35" s="294"/>
      <c r="V35" s="59">
        <v>906.25</v>
      </c>
      <c r="W35" s="59" t="s">
        <v>151</v>
      </c>
      <c r="X35" s="296"/>
    </row>
    <row r="36" spans="1:24" s="230" customFormat="1" ht="17.399999999999999" x14ac:dyDescent="0.35">
      <c r="B36" s="24" t="s">
        <v>147</v>
      </c>
      <c r="J36" s="261"/>
      <c r="K36" s="232"/>
      <c r="L36" s="249"/>
      <c r="M36" s="14">
        <v>2</v>
      </c>
      <c r="N36" s="249">
        <v>33975</v>
      </c>
      <c r="O36" s="12">
        <f t="shared" si="25"/>
        <v>67950</v>
      </c>
      <c r="P36" s="39" t="s">
        <v>290</v>
      </c>
      <c r="Q36" s="42"/>
      <c r="S36" s="240"/>
      <c r="T36" s="255"/>
      <c r="U36" s="59"/>
      <c r="V36" s="59">
        <f>V35*20%</f>
        <v>181.25</v>
      </c>
      <c r="W36" s="296" t="s">
        <v>152</v>
      </c>
      <c r="X36" s="59"/>
    </row>
    <row r="37" spans="1:24" s="230" customFormat="1" ht="17.399999999999999" x14ac:dyDescent="0.35">
      <c r="B37" s="24" t="s">
        <v>161</v>
      </c>
      <c r="C37"/>
      <c r="D37"/>
      <c r="E37"/>
      <c r="F37"/>
      <c r="J37" s="261"/>
      <c r="K37" s="232"/>
      <c r="L37" s="249"/>
      <c r="M37" s="14">
        <v>18</v>
      </c>
      <c r="N37" s="249">
        <v>17550</v>
      </c>
      <c r="O37" s="12">
        <f t="shared" si="25"/>
        <v>315900</v>
      </c>
      <c r="P37" s="14" t="s">
        <v>138</v>
      </c>
      <c r="Q37" s="17"/>
      <c r="S37" s="238"/>
      <c r="T37" s="255"/>
      <c r="U37" s="59"/>
      <c r="V37" s="59">
        <f>V35+V36</f>
        <v>1087.5</v>
      </c>
      <c r="W37" s="296" t="s">
        <v>153</v>
      </c>
      <c r="X37" s="59"/>
    </row>
    <row r="38" spans="1:24" s="230" customFormat="1" ht="17.399999999999999" x14ac:dyDescent="0.35">
      <c r="A38" s="230" t="s">
        <v>282</v>
      </c>
      <c r="B38" s="29" t="s">
        <v>123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25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1500</v>
      </c>
      <c r="O39" s="12">
        <f t="shared" si="25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768797.52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32</v>
      </c>
      <c r="N41" s="12"/>
      <c r="O41" s="254">
        <f>O40*2.1</f>
        <v>1614474.7920000001</v>
      </c>
      <c r="P41" s="14" t="s">
        <v>137</v>
      </c>
      <c r="Q41" s="14"/>
      <c r="R41" s="40">
        <f>P32/R40</f>
        <v>6.022260569456428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51290</v>
      </c>
      <c r="L42" s="249"/>
      <c r="M42" s="14"/>
      <c r="N42" s="12"/>
      <c r="O42" s="12">
        <f>O41/P30</f>
        <v>86740.027937763269</v>
      </c>
      <c r="P42" s="45" t="s">
        <v>24</v>
      </c>
      <c r="Q42" s="14"/>
      <c r="R42" s="14"/>
      <c r="S42"/>
      <c r="T42" s="238"/>
      <c r="U42" s="59" t="s">
        <v>154</v>
      </c>
      <c r="V42" s="291">
        <v>43650</v>
      </c>
    </row>
    <row r="43" spans="1:24" s="230" customFormat="1" ht="17.399999999999999" x14ac:dyDescent="0.35">
      <c r="G43"/>
      <c r="K43" s="230">
        <f>K42/1.19</f>
        <v>43100.840336134454</v>
      </c>
      <c r="L43" s="249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156</v>
      </c>
      <c r="V43" s="292" t="s">
        <v>155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157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152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144</v>
      </c>
    </row>
    <row r="78" spans="3:15" x14ac:dyDescent="0.3">
      <c r="C78" t="s">
        <v>143</v>
      </c>
    </row>
    <row r="81" spans="3:3" x14ac:dyDescent="0.3">
      <c r="C81" t="s">
        <v>143</v>
      </c>
    </row>
    <row r="158" spans="3:3" x14ac:dyDescent="0.3">
      <c r="C158" t="s">
        <v>143</v>
      </c>
    </row>
    <row r="159" spans="3:3" x14ac:dyDescent="0.3">
      <c r="C159" t="s">
        <v>145</v>
      </c>
    </row>
    <row r="160" spans="3:3" x14ac:dyDescent="0.3">
      <c r="C160" t="s">
        <v>146</v>
      </c>
    </row>
    <row r="585" spans="3:3" x14ac:dyDescent="0.3">
      <c r="C585" t="s">
        <v>143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46113</v>
      </c>
    </row>
    <row r="6" spans="2:31" ht="16.2" thickBot="1" x14ac:dyDescent="0.35">
      <c r="B6" s="140" t="s">
        <v>2</v>
      </c>
      <c r="C6" s="139" t="str">
        <f>'2229'!C10</f>
        <v>JAVIER MOYA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0" t="s">
        <v>97</v>
      </c>
      <c r="I7" s="441"/>
      <c r="J7" s="441"/>
      <c r="K7" s="442"/>
      <c r="N7" s="75"/>
      <c r="O7" s="439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9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-90834.53391133032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'2229'!H28</f>
        <v>1341514.3612672572</v>
      </c>
      <c r="E11" s="132">
        <f>D11*0.19</f>
        <v>254887.72864077889</v>
      </c>
      <c r="F11" s="131">
        <f>E11+D11</f>
        <v>1596402.0899080362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15155.46608866968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482731.61078743963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-2844.5339113303198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858782.75047981762</v>
      </c>
      <c r="E13" s="221">
        <f>(D11/D12)-1</f>
        <v>1.7790066597854599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-11844.53391133032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-50844.53391133032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796507.15779927536</v>
      </c>
      <c r="F15" s="216">
        <f>E15-D12</f>
        <v>313775.54701183573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-50844.53391133032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-10844.53391133032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'2229'!O36</f>
        <v>67950</v>
      </c>
      <c r="E18" s="123">
        <f>D18*0.19</f>
        <v>12910.5</v>
      </c>
      <c r="F18" s="120">
        <f>SUM(D18:E18)</f>
        <v>80860.5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'2229'!O35</f>
        <v>228600</v>
      </c>
      <c r="E19" s="123">
        <f>D19*0.19</f>
        <v>43434</v>
      </c>
      <c r="F19" s="120">
        <f>SUM(D19:E19)</f>
        <v>272034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156347.52000000002</v>
      </c>
      <c r="E20" s="121">
        <f>D20*0.19</f>
        <v>29706.028800000004</v>
      </c>
      <c r="F20" s="120">
        <f>SUM(D20:E20)</f>
        <v>186053.54880000002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452897.52</v>
      </c>
      <c r="E21" s="116">
        <f>SUM(E18:E20)</f>
        <v>86050.5288</v>
      </c>
      <c r="F21" s="115">
        <f>SUM(F18:F20)</f>
        <v>538948.04879999999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168837.19984077889</v>
      </c>
    </row>
    <row r="41" spans="2:16" ht="15" thickBot="1" x14ac:dyDescent="0.35">
      <c r="H41" s="443" t="s">
        <v>59</v>
      </c>
      <c r="I41" s="444"/>
      <c r="J41" s="444"/>
      <c r="K41" s="444"/>
      <c r="L41" s="444"/>
      <c r="M41" s="445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1341514.3612672572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452897.52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858782.75047981762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858782.75047981762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12076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JAVIER MOYA</v>
      </c>
      <c r="D10" s="350"/>
      <c r="E10" s="350"/>
      <c r="F10" s="351" t="s">
        <v>166</v>
      </c>
      <c r="G10" s="352">
        <f>'2229'!G10</f>
        <v>46113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46120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+56 9 6609 2180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6" t="s">
        <v>174</v>
      </c>
      <c r="G17" s="446"/>
      <c r="H17" s="44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8" t="s">
        <v>175</v>
      </c>
      <c r="C20" s="449"/>
      <c r="D20" s="449"/>
      <c r="E20" s="449"/>
      <c r="F20" s="449"/>
      <c r="G20" s="449"/>
      <c r="H20" s="45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1" t="s">
        <v>181</v>
      </c>
      <c r="C2" s="451"/>
      <c r="D2" s="451"/>
      <c r="E2" s="361"/>
      <c r="G2" s="451" t="s">
        <v>182</v>
      </c>
      <c r="H2" s="451"/>
      <c r="I2" s="451"/>
      <c r="P2" s="452" t="s">
        <v>183</v>
      </c>
      <c r="Q2" s="452"/>
      <c r="R2" s="452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2" t="s">
        <v>183</v>
      </c>
      <c r="M8" s="452"/>
      <c r="N8" s="452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7" t="s">
        <v>264</v>
      </c>
      <c r="L3" s="457"/>
      <c r="M3" s="457" t="s">
        <v>265</v>
      </c>
      <c r="N3" s="457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JAVIER MOYA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46113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8" t="s">
        <v>264</v>
      </c>
      <c r="B10" s="458"/>
      <c r="C10" s="458"/>
      <c r="D10" s="458"/>
      <c r="E10" s="458"/>
      <c r="F10" s="458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8" t="s">
        <v>265</v>
      </c>
      <c r="B17" s="458"/>
      <c r="C17" s="458"/>
      <c r="D17" s="458"/>
      <c r="E17" s="458"/>
      <c r="F17" s="458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8" t="s">
        <v>271</v>
      </c>
      <c r="B45" s="458"/>
      <c r="C45" s="458"/>
      <c r="D45" s="458"/>
      <c r="E45" s="458"/>
      <c r="F45" s="45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3" t="s">
        <v>94</v>
      </c>
      <c r="C47" s="454"/>
      <c r="D47" s="455"/>
      <c r="E47" s="455"/>
      <c r="F47" s="456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12076</v>
      </c>
      <c r="C2" s="1">
        <f>'NOTA DE VENTA'!$G$10</f>
        <v>46113</v>
      </c>
      <c r="D2" s="1">
        <f>'NOTA DE VENTA'!$G$11</f>
        <v>46120</v>
      </c>
      <c r="E2" t="str">
        <f>'NOTA DE VENTA'!$C$10</f>
        <v>JAVIER MOYA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ESTANTERIA OF 1</vt:lpstr>
      <vt:lpstr>M. BAJO VENTANA</vt:lpstr>
      <vt:lpstr>CAJONERAS</vt:lpstr>
      <vt:lpstr>2229</vt:lpstr>
      <vt:lpstr>COSTOS</vt:lpstr>
      <vt:lpstr>NOTA DE VENTA</vt:lpstr>
      <vt:lpstr>REGLAS</vt:lpstr>
      <vt:lpstr>PRODUCCION</vt:lpstr>
      <vt:lpstr>SEGUIMIENTO</vt:lpstr>
      <vt:lpstr>'2229'!Área_de_impresión</vt:lpstr>
      <vt:lpstr>CAJONERAS!Área_de_impresión</vt:lpstr>
      <vt:lpstr>'ESTANTERIA OF 1'!Área_de_impresión</vt:lpstr>
      <vt:lpstr>'M. BAJO VENTANA'!Área_de_impresión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2026-03-30T19:26:19Z</cp:lastPrinted>
  <dcterms:created xsi:type="dcterms:W3CDTF">2013-03-18T13:35:42Z</dcterms:created>
  <dcterms:modified xsi:type="dcterms:W3CDTF">2026-04-01T23:32:22Z</dcterms:modified>
</cp:coreProperties>
</file>