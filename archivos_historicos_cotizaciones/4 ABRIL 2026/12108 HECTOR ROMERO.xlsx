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53ACBCC4-4AA3-4088-BC31-A90F3FBE4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L23" i="1"/>
  <c r="M23" i="1"/>
  <c r="N23" i="1"/>
  <c r="L21" i="1"/>
  <c r="S23" i="1" l="1"/>
  <c r="O23" i="1"/>
  <c r="P23" i="1" s="1"/>
  <c r="O22" i="1"/>
  <c r="P22" i="1" s="1"/>
  <c r="S22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14" i="6" s="1"/>
  <c r="C27" i="6"/>
  <c r="F21" i="6" s="1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Q23" i="1"/>
  <c r="O41" i="1"/>
  <c r="E15" i="3"/>
  <c r="R23" i="1" l="1"/>
  <c r="H23" i="1"/>
  <c r="R22" i="1"/>
  <c r="G22" i="1" s="1"/>
  <c r="H22" i="1"/>
  <c r="Q21" i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<sst xmlns="http://schemas.openxmlformats.org/spreadsheetml/2006/main" count="490" uniqueCount="294">
  <si>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</si>
  <si>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</si>
  <si>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</si>
  <si>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</si>
  <si>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</si>
  <si>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</si>
  <si>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</si>
  <si>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</si>
  <si>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</si>
  <si>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</si>
  <si>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</si>
  <si>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</si>
  <si>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</si>
  <si>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</si>
  <si>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</si>
  <si>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</si>
  <si>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</si>
  <si>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</si>
  <si>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</si>
  <si>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</si>
  <si>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</si>
  <si>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</si>
  <si>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</si>
  <si>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</si>
  <si>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</si>
  <si>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</si>
  <si>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</si>
  <si>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</si>
  <si>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</si>
  <si>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</si>
  <si>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</si>
  <si>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</si>
  <si>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</si>
  <si>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</si>
  <si>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</si>
  <si>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</si>
  <si>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</si>
  <si>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</si>
  <si>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</si>
  <si>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</si>
  <si>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</si>
  <si>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</si>
  <si>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</si>
  <si>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</si>
  <si>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</si>
  <si>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</si>
  <si>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</si>
  <si>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</si>
  <si>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</si>
  <si>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</si>
  <si>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</si>
  <si>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</si>
  <si>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</si>
  <si>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</si>
  <si>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</si>
  <si>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</si>
  <si>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</si>
  <si>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</si>
  <si>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</si>
  <si>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</si>
  <si>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</si>
  <si>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</si>
  <si>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</si>
  <si>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</si>
  <si>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</si>
  <si>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</si>
  <si>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</si>
  <si>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</si>
  <si>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</si>
  <si>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</si>
  <si>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</si>
  <si>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</si>
  <si>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</si>
  <si>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</si>
  <si>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</si>
  <si>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</si>
  <si>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</si>
  <si>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</si>
  <si>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</si>
  <si>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</si>
  <si>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</si>
  <si>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</si>
  <si>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</si>
  <si>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</si>
  <si>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</si>
  <si>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</si>
  <si>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</si>
  <si>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</si>
  <si>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</si>
  <si>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</si>
  <si>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</si>
  <si>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</si>
  <si>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</si>
  <si>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</si>
  <si>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</si>
  <si>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</si>
  <si>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</si>
  <si>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</si>
  <si>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</si>
  <si>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</si>
  <si>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</si>
  <si>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</si>
  <si>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</si>
  <si>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</si>
  <si>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</si>
  <si>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</si>
  <si>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</si>
  <si>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</si>
  <si>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</si>
  <si>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</si>
  <si>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</si>
  <si>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</si>
  <si>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</si>
  <si>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</si>
  <si>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</si>
  <si>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</si>
  <si>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</si>
  <si>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</si>
  <si>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</si>
  <si>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</si>
  <si>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</si>
  <si>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</si>
  <si>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</si>
  <si>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</si>
  <si>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</si>
  <si>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</si>
  <si>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</si>
  <si>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</si>
  <si>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</si>
  <si>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</si>
  <si>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</si>
  <si>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</si>
  <si>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</si>
  <si>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</si>
  <si>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</si>
  <si>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</si>
  <si>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</si>
  <si>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</si>
  <si>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</si>
  <si>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</si>
  <si>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</si>
  <si>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</si>
  <si>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</si>
  <si>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</si>
  <si>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</si>
  <si>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</si>
  <si>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</si>
  <si>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</si>
  <si>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</si>
  <si>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</si>
  <si>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</si>
  <si>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</si>
  <si>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</si>
  <si>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</si>
  <si>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</si>
  <si>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</si>
  <si>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</si>
  <si>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</si>
  <si>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</si>
  <si>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</si>
  <si>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</si>
  <si>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</si>
  <si>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</si>
  <si>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</si>
  <si>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</si>
  <si>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</si>
  <si>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</si>
  <si>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</si>
  <si>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</si>
  <si>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</si>
  <si>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</si>
  <si>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</si>
  <si>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</si>
  <si>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</si>
  <si>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</si>
  <si>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</si>
  <si>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</si>
  <si>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</si>
  <si>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</si>
  <si>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</si>
  <si>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</si>
  <si>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</si>
  <si>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</si>
  <si>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</si>
  <si>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</si>
  <si>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</si>
  <si>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</si>
  <si>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</si>
  <si>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</si>
  <si>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</si>
  <si>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</si>
  <si>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</si>
  <si>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</si>
  <si>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</si>
  <si>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</si>
  <si>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</si>
  <si>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</si>
  <si>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</si>
  <si>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</si>
  <si>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</si>
  <si>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</si>
  <si>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</si>
  <si>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</si>
  <si>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</si>
  <si>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</si>
  <si>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</si>
  <si>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</si>
  <si>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</si>
  <si>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</si>
  <si>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</si>
  <si>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</si>
  <si>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</si>
  <si>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</si>
  <si>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</si>
  <si>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</si>
  <si>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</si>
  <si>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</si>
  <si>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</si>
  <si>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</si>
  <si>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</si>
  <si>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</si>
  <si>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</si>
  <si>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</si>
  <si>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</si>
  <si>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</si>
  <si>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</si>
  <si>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</si>
  <si>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</si>
  <si>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</si>
  <si>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</si>
  <si>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</si>
  <si>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</si>
  <si>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</si>
  <si>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</si>
  <si>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</si>
  <si>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</si>
  <si>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</si>
  <si>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</si>
  <si>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</si>
  <si>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</si>
  <si>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</si>
  <si>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</si>
  <si>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</si>
  <si>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</si>
  <si>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</si>
  <si>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</si>
  <si>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</si>
  <si>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</si>
  <si>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</si>
  <si>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</si>
  <si>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</si>
  <si>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</si>
  <si>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</si>
  <si>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</si>
  <si>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</si>
  <si>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</si>
  <si>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</si>
  <si>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</si>
  <si>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</si>
  <si>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</si>
  <si>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</si>
  <si>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</si>
  <si>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</si>
  <si>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</si>
  <si>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</si>
  <si>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</si>
  <si>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</si>
  <si>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</si>
  <si>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</si>
  <si>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</si>
  <si>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</si>
  <si>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</si>
  <si>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</si>
  <si>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</si>
  <si>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</si>
  <si>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</si>
  <si>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</si>
  <si>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</si>
  <si>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</si>
  <si>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</si>
  <si>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</si>
  <si>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</si>
  <si>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</si>
  <si>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</si>
  <si>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</si>
  <si>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</si>
  <si>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</si>
  <si>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</si>
  <si>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CUB CON RESPALDO FTE 90°</t>
  </si>
  <si>
    <t>SANTIAGO</t>
  </si>
  <si>
    <t>N° 12108</t>
  </si>
  <si>
    <t>HECTOR ROMERO</t>
  </si>
  <si>
    <t>+569 3381 2605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</si>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</sst>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8194</xdr:rowOff>
    </xdr:from>
    <xdr:to>
      <xdr:col>5</xdr:col>
      <xdr:colOff>1736459</xdr:colOff>
      <xdr:row>28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744065"/>
          <a:ext cx="6439556" cy="9258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</a:t>
          </a:r>
          <a:r>
            <a:rPr lang="es-CL" sz="1200" b="1" baseline="0"/>
            <a:t> DE 2,900 SIN TERMINACIONES, CUB DE 0,970 CORTADA A LA MEDIDA Y ENCHAPADA EN EL COSTADO IZQUIERDO, CUB DE 0,990 CORTADA A LA MEDIDA Y ENCHAPADA EN AMBOS COSTADOS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8" zoomScale="93" zoomScaleNormal="93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7" t="s">
        <v>277</v>
      </c>
      <c r="G10" s="275">
        <v>46141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292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289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75077.647058823524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1">
        <v>1</v>
      </c>
      <c r="C21" s="430" t="s">
        <v>288</v>
      </c>
      <c r="D21" s="431">
        <v>2.9</v>
      </c>
      <c r="E21" s="431">
        <v>0.55000000000000004</v>
      </c>
      <c r="F21" s="312" t="s">
        <v>293</v>
      </c>
      <c r="G21" s="313">
        <f>Q21</f>
        <v>123052.26352941176</v>
      </c>
      <c r="H21" s="432">
        <f>G21*B21</f>
        <v>123052.26352941176</v>
      </c>
      <c r="I21" s="305"/>
      <c r="J21" s="264"/>
      <c r="K21" s="47"/>
      <c r="L21" s="47">
        <f>B21</f>
        <v>1</v>
      </c>
      <c r="M21" s="39">
        <f>D21+M$19</f>
        <v>2.98</v>
      </c>
      <c r="N21" s="39">
        <f>E21+$N$19</f>
        <v>0.55000000000000004</v>
      </c>
      <c r="O21" s="260">
        <f t="shared" ref="O21" si="0">M21*N21</f>
        <v>1.639</v>
      </c>
      <c r="P21" s="258">
        <f t="shared" ref="P21" si="1">O21*L21</f>
        <v>1.639</v>
      </c>
      <c r="Q21" s="251">
        <f t="shared" ref="Q21" si="2">Q$20*O21</f>
        <v>123052.26352941176</v>
      </c>
      <c r="R21" s="304">
        <f t="shared" ref="R21" si="3">Q21+R$20</f>
        <v>126052.26352941176</v>
      </c>
      <c r="S21" s="290">
        <f>M21*L21</f>
        <v>2.98</v>
      </c>
      <c r="T21" s="46">
        <f>N21*2*L21*2</f>
        <v>2.2000000000000002</v>
      </c>
      <c r="U21" s="9"/>
      <c r="X21" s="4"/>
    </row>
    <row r="22" spans="2:25" ht="17.399999999999999" x14ac:dyDescent="0.3">
      <c r="B22" s="438">
        <v>1</v>
      </c>
      <c r="C22" s="435" t="s">
        <v>288</v>
      </c>
      <c r="D22" s="436">
        <v>0.97</v>
      </c>
      <c r="E22" s="436">
        <v>0.55000000000000004</v>
      </c>
      <c r="F22" s="434" t="s">
        <v>293</v>
      </c>
      <c r="G22" s="437">
        <f>R22</f>
        <v>46357.341176470596</v>
      </c>
      <c r="H22" s="439">
        <f t="shared" ref="H22:H23" si="4">G22*B22</f>
        <v>46357.341176470596</v>
      </c>
      <c r="I22" s="305"/>
      <c r="J22" s="264"/>
      <c r="K22" s="47"/>
      <c r="L22" s="47">
        <f t="shared" ref="L22:L23" si="5">B22</f>
        <v>1</v>
      </c>
      <c r="M22" s="39">
        <f t="shared" ref="M22:M23" si="6">D22+M$19</f>
        <v>1.05</v>
      </c>
      <c r="N22" s="39">
        <f t="shared" ref="N22:N23" si="7">E22+$N$19</f>
        <v>0.55000000000000004</v>
      </c>
      <c r="O22" s="260">
        <f t="shared" ref="O22:O23" si="8">M22*N22</f>
        <v>0.57750000000000012</v>
      </c>
      <c r="P22" s="258">
        <f t="shared" ref="P22:P23" si="9">O22*L22</f>
        <v>0.57750000000000012</v>
      </c>
      <c r="Q22" s="251">
        <f t="shared" ref="Q22:Q23" si="10">Q$20*O22</f>
        <v>43357.341176470596</v>
      </c>
      <c r="R22" s="304">
        <f t="shared" ref="R22:R23" si="11">Q22+R$20</f>
        <v>46357.341176470596</v>
      </c>
      <c r="S22" s="290">
        <f t="shared" ref="S22:S23" si="12">M22*L22</f>
        <v>1.05</v>
      </c>
      <c r="T22" s="46"/>
      <c r="U22" s="9"/>
      <c r="X22" s="4"/>
    </row>
    <row r="23" spans="2:25" ht="17.399999999999999" x14ac:dyDescent="0.3">
      <c r="B23" s="438">
        <v>1</v>
      </c>
      <c r="C23" s="435" t="s">
        <v>288</v>
      </c>
      <c r="D23" s="436">
        <v>0.99</v>
      </c>
      <c r="E23" s="436">
        <v>0.55000000000000004</v>
      </c>
      <c r="F23" s="434" t="s">
        <v>293</v>
      </c>
      <c r="G23" s="437">
        <v>49183</v>
      </c>
      <c r="H23" s="439">
        <f t="shared" si="4"/>
        <v>49183</v>
      </c>
      <c r="I23" s="305"/>
      <c r="J23" s="264"/>
      <c r="K23" s="47"/>
      <c r="L23" s="47">
        <f t="shared" si="5"/>
        <v>1</v>
      </c>
      <c r="M23" s="39">
        <f t="shared" si="6"/>
        <v>1.07</v>
      </c>
      <c r="N23" s="39">
        <f t="shared" si="7"/>
        <v>0.55000000000000004</v>
      </c>
      <c r="O23" s="260">
        <f t="shared" si="8"/>
        <v>0.58850000000000013</v>
      </c>
      <c r="P23" s="258">
        <f t="shared" si="9"/>
        <v>0.58850000000000013</v>
      </c>
      <c r="Q23" s="251">
        <f t="shared" si="10"/>
        <v>44183.195294117657</v>
      </c>
      <c r="R23" s="304">
        <f t="shared" si="11"/>
        <v>47183.195294117657</v>
      </c>
      <c r="S23" s="290">
        <f t="shared" si="12"/>
        <v>1.07</v>
      </c>
      <c r="T23" s="46"/>
      <c r="U23" s="9"/>
      <c r="X23" s="4"/>
    </row>
    <row r="24" spans="2:25" ht="17.399999999999999" x14ac:dyDescent="0.3">
      <c r="B24" s="283"/>
      <c r="C24" s="324"/>
      <c r="D24" s="284"/>
      <c r="E24" s="284"/>
      <c r="F24" s="283"/>
      <c r="G24" s="305"/>
      <c r="H24" s="305"/>
      <c r="I24" s="305"/>
      <c r="J24" s="264"/>
      <c r="K24" s="47"/>
      <c r="L24" s="47"/>
      <c r="M24" s="39"/>
      <c r="N24" s="39"/>
      <c r="O24" s="260"/>
      <c r="P24" s="258"/>
      <c r="Q24" s="251"/>
      <c r="R24" s="304"/>
      <c r="S24" s="290"/>
      <c r="T24" s="46"/>
      <c r="U24" s="9"/>
      <c r="X24" s="4"/>
    </row>
    <row r="25" spans="2:25" ht="18" thickBot="1" x14ac:dyDescent="0.35">
      <c r="B25" s="283"/>
      <c r="C25" s="324"/>
      <c r="D25" s="284"/>
      <c r="E25" s="284"/>
      <c r="F25" s="283"/>
      <c r="G25" s="264"/>
      <c r="H25" s="306"/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SUM(H21:H23)</f>
        <v>218592.60470588238</v>
      </c>
      <c r="I26" s="307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2.2000000000000002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41532.594894117654</v>
      </c>
      <c r="I27" s="307"/>
      <c r="J27" s="264"/>
      <c r="K27" s="47"/>
      <c r="L27" s="47"/>
      <c r="M27" s="39">
        <f>SUM(M21:M26)</f>
        <v>5.1000000000000005</v>
      </c>
      <c r="N27" s="12"/>
      <c r="O27" s="12"/>
      <c r="P27" s="252">
        <f>SUM(P21:P25)</f>
        <v>2.8050000000000002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260125.19960000002</v>
      </c>
      <c r="I28" s="307"/>
      <c r="J28" s="264"/>
      <c r="K28" s="47"/>
      <c r="L28" s="47"/>
      <c r="M28" s="39"/>
      <c r="N28" s="12"/>
      <c r="O28" s="12"/>
      <c r="P28" s="252">
        <f>P27</f>
        <v>2.8050000000000002</v>
      </c>
      <c r="Q28" s="14"/>
      <c r="R28" s="12"/>
      <c r="S28" s="239">
        <f>SUM(S21:S27)</f>
        <v>5.1000000000000005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0.56100000000000005</v>
      </c>
      <c r="Q29" s="39" t="s">
        <v>129</v>
      </c>
      <c r="R29" s="42"/>
      <c r="S29" s="240">
        <f>S28+T26</f>
        <v>7.3000000000000007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3.3660000000000001</v>
      </c>
      <c r="Q30" s="14"/>
      <c r="R30" s="14"/>
      <c r="S30" s="238">
        <f>S29*20%</f>
        <v>1.4600000000000002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8.7600000000000016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3.3660000000000001</v>
      </c>
      <c r="N32" s="12">
        <v>4000</v>
      </c>
      <c r="O32" s="12">
        <f t="shared" ref="O32:O37" si="13">M32*N32</f>
        <v>13464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</v>
      </c>
      <c r="N33" s="12">
        <v>24910</v>
      </c>
      <c r="O33" s="12">
        <f t="shared" si="13"/>
        <v>24910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13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50000</v>
      </c>
      <c r="O35" s="12">
        <f t="shared" si="13"/>
        <v>50000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3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4.9000000000000004</v>
      </c>
      <c r="N37" s="12">
        <v>1500</v>
      </c>
      <c r="O37" s="12">
        <f t="shared" si="13"/>
        <v>7350.0000000000009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95724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210592.80000000002</v>
      </c>
      <c r="P39" s="14" t="s">
        <v>138</v>
      </c>
      <c r="Q39" s="14"/>
      <c r="R39" s="40">
        <f>P30/R38</f>
        <v>0.90757118205349441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75077.647058823524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46141</v>
      </c>
    </row>
    <row r="6" spans="2:31" ht="16.2" thickBot="1" x14ac:dyDescent="0.35">
      <c r="B6" s="140" t="s">
        <v>2</v>
      </c>
      <c r="C6" s="139" t="str">
        <f>'2229'!C10</f>
        <v>HECTOR ROMERO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-17674.875817767839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218592.60470588238</v>
      </c>
      <c r="E11" s="132">
        <f>D11*0.19</f>
        <v>41532.594894117654</v>
      </c>
      <c r="F11" s="131">
        <f>E11+D11</f>
        <v>260125.19960000002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88315.124182232161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68208.090787439607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70315.124182232161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150384.51391844277</v>
      </c>
      <c r="E13" s="221">
        <f>(D11/D12)-1</f>
        <v>2.2047899623388343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61315.124182232161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22315.124182232161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112543.34979927534</v>
      </c>
      <c r="F15" s="216">
        <f>E15-D12</f>
        <v>44335.259011835733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22315.124182232161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62315.124182232161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24910</v>
      </c>
      <c r="E19" s="123">
        <f>D19*0.19</f>
        <v>4732.8999999999996</v>
      </c>
      <c r="F19" s="120">
        <f>SUM(D19:E19)</f>
        <v>29642.9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13464</v>
      </c>
      <c r="E20" s="121">
        <f>D20*0.19</f>
        <v>2558.16</v>
      </c>
      <c r="F20" s="120">
        <f>SUM(D20:E20)</f>
        <v>16022.16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38374</v>
      </c>
      <c r="E21" s="116">
        <f>SUM(E18:E20)</f>
        <v>7291.0599999999995</v>
      </c>
      <c r="F21" s="115">
        <f>SUM(F18:F20)</f>
        <v>45665.06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34241.534894117656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218592.60470588238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38374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150384.51391844277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150384.51391844277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12108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HECTOR ROMERO</v>
      </c>
      <c r="D10" s="349"/>
      <c r="E10" s="349"/>
      <c r="F10" s="350" t="s">
        <v>167</v>
      </c>
      <c r="G10" s="351">
        <f>'2229'!G10</f>
        <v>46141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46148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+569 3381 2605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2900</v>
      </c>
      <c r="E22" s="320">
        <f>'2229'!E21*1000</f>
        <v>550</v>
      </c>
      <c r="F22" s="321" t="str">
        <f>'2229'!F21</f>
        <v>HUMO 2108 MT</v>
      </c>
      <c r="G22" s="313">
        <f>'2229'!G21</f>
        <v>123052.26352941176</v>
      </c>
      <c r="H22" s="322">
        <f>G22*B22</f>
        <v>123052.26352941176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123052.26352941176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23379.930070588234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146432.1936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HECTOR ROMERO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46141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46148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12108</v>
      </c>
      <c r="C2" s="1">
        <f>'NOTA DE VENTA'!$G$10</f>
        <v>46141</v>
      </c>
      <c r="D2" s="1">
        <f>'NOTA DE VENTA'!$G$11</f>
        <v>46148</v>
      </c>
      <c r="E2" t="str">
        <f>'NOTA DE VENTA'!$C$10</f>
        <v>HECTOR ROMERO</v>
      </c>
      <c r="F2" t="str">
        <f>'NOTA DE VENTA'!$C$22</f>
        <v>CUB CON RESPALDO FTE 90°</v>
      </c>
      <c r="G2" t="str">
        <f>'NOTA DE VENTA'!$F$22</f>
        <v>HUMO 2108 MT</v>
      </c>
      <c r="H2" s="415">
        <f>'NOTA DE VENTA'!$H$25</f>
        <v>123052.26352941176</v>
      </c>
      <c r="I2" s="415">
        <f>H2*0.19</f>
        <v>23379.930070588234</v>
      </c>
      <c r="J2" s="415">
        <f>I2+H2</f>
        <v>146432.1936</v>
      </c>
      <c r="L2" s="61">
        <f>J2-K2</f>
        <v>146432.1936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2026-04-29T18:30:43Z</cp:lastPrinted>
  <dcterms:created xsi:type="dcterms:W3CDTF">2013-03-18T13:35:42Z</dcterms:created>
  <dcterms:modified xsi:type="dcterms:W3CDTF">2026-04-30T20:48:05Z</dcterms:modified>
</cp:coreProperties>
</file>