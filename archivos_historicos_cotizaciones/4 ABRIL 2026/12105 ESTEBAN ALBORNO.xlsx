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6\"/>
    </mc:Choice>
  </mc:AlternateContent>
  <xr:revisionPtr revIDLastSave="0" documentId="13_ncr:1_{186B73A9-7105-41F6-8BA8-F6B2ACC71C1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UROLAC Y MELAMIL" sheetId="9" r:id="rId1"/>
    <sheet name="PUERTAS" sheetId="8" r:id="rId2"/>
    <sheet name="CUBIERTAS" sheetId="1" r:id="rId3"/>
    <sheet name="COSTOS" sheetId="3" r:id="rId4"/>
    <sheet name="NOTA DE VENTA" sheetId="4" r:id="rId5"/>
    <sheet name="REGLAS" sheetId="5" r:id="rId6"/>
    <sheet name="PRODUCCION" sheetId="6" r:id="rId7"/>
    <sheet name="SEGUIMIENTO" sheetId="7" r:id="rId8"/>
  </sheets>
  <externalReferences>
    <externalReference r:id="rId9"/>
  </externalReferences>
  <definedNames>
    <definedName name="_xlnm.Print_Area" localSheetId="2">CUBIERTAS!$B$1:$H$38</definedName>
    <definedName name="_xlnm.Print_Area" localSheetId="0">'DUROLAC Y MELAMIL'!$B$1:$H$37</definedName>
    <definedName name="_xlnm.Print_Area" localSheetId="1">PUERTAS!$B$1:$H$52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1" i="9" l="1"/>
  <c r="R38" i="9"/>
  <c r="O37" i="9"/>
  <c r="O36" i="9"/>
  <c r="O35" i="9"/>
  <c r="V34" i="9"/>
  <c r="V35" i="9" s="1"/>
  <c r="O34" i="9"/>
  <c r="O33" i="9"/>
  <c r="N23" i="9"/>
  <c r="M23" i="9"/>
  <c r="O23" i="9" s="1"/>
  <c r="L23" i="9"/>
  <c r="N22" i="9"/>
  <c r="M22" i="9"/>
  <c r="L22" i="9"/>
  <c r="S22" i="9" s="1"/>
  <c r="N21" i="9"/>
  <c r="M21" i="9"/>
  <c r="L21" i="9"/>
  <c r="N20" i="9"/>
  <c r="L20" i="9"/>
  <c r="T41" i="8"/>
  <c r="S43" i="8"/>
  <c r="S38" i="8"/>
  <c r="T38" i="8"/>
  <c r="S24" i="8"/>
  <c r="T24" i="8"/>
  <c r="S25" i="8"/>
  <c r="T25" i="8"/>
  <c r="S26" i="8"/>
  <c r="T26" i="8"/>
  <c r="S27" i="8"/>
  <c r="T27" i="8"/>
  <c r="S28" i="8"/>
  <c r="T28" i="8"/>
  <c r="S29" i="8"/>
  <c r="T29" i="8"/>
  <c r="S30" i="8"/>
  <c r="T30" i="8"/>
  <c r="S31" i="8"/>
  <c r="T31" i="8"/>
  <c r="S32" i="8"/>
  <c r="T32" i="8"/>
  <c r="S33" i="8"/>
  <c r="T33" i="8"/>
  <c r="S34" i="8"/>
  <c r="T34" i="8"/>
  <c r="S35" i="8"/>
  <c r="T35" i="8"/>
  <c r="S36" i="8"/>
  <c r="T36" i="8"/>
  <c r="S37" i="8"/>
  <c r="T37" i="8"/>
  <c r="N38" i="8"/>
  <c r="N37" i="8"/>
  <c r="N36" i="8"/>
  <c r="N35" i="8"/>
  <c r="O35" i="8" s="1"/>
  <c r="P35" i="8" s="1"/>
  <c r="N34" i="8"/>
  <c r="N33" i="8"/>
  <c r="N32" i="8"/>
  <c r="N31" i="8"/>
  <c r="O31" i="8" s="1"/>
  <c r="P31" i="8" s="1"/>
  <c r="N30" i="8"/>
  <c r="N29" i="8"/>
  <c r="N28" i="8"/>
  <c r="N27" i="8"/>
  <c r="O27" i="8" s="1"/>
  <c r="P27" i="8" s="1"/>
  <c r="N26" i="8"/>
  <c r="N25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K56" i="8"/>
  <c r="R53" i="8"/>
  <c r="O52" i="8"/>
  <c r="O51" i="8"/>
  <c r="O50" i="8"/>
  <c r="V49" i="8"/>
  <c r="V50" i="8" s="1"/>
  <c r="O49" i="8"/>
  <c r="O48" i="8"/>
  <c r="N24" i="8"/>
  <c r="M24" i="8"/>
  <c r="L24" i="8"/>
  <c r="N23" i="8"/>
  <c r="M23" i="8"/>
  <c r="L23" i="8"/>
  <c r="N22" i="8"/>
  <c r="M22" i="8"/>
  <c r="L22" i="8"/>
  <c r="N21" i="8"/>
  <c r="M21" i="8"/>
  <c r="L21" i="8"/>
  <c r="N20" i="8"/>
  <c r="L20" i="8"/>
  <c r="G24" i="1"/>
  <c r="T23" i="9" l="1"/>
  <c r="T22" i="9"/>
  <c r="P23" i="9"/>
  <c r="S23" i="9"/>
  <c r="M27" i="9"/>
  <c r="T21" i="9"/>
  <c r="T26" i="9" s="1"/>
  <c r="O22" i="9"/>
  <c r="P22" i="9" s="1"/>
  <c r="O21" i="9"/>
  <c r="P21" i="9" s="1"/>
  <c r="S21" i="9"/>
  <c r="O28" i="8"/>
  <c r="P28" i="8" s="1"/>
  <c r="O32" i="8"/>
  <c r="P32" i="8" s="1"/>
  <c r="O36" i="8"/>
  <c r="P36" i="8" s="1"/>
  <c r="O25" i="8"/>
  <c r="P25" i="8" s="1"/>
  <c r="O29" i="8"/>
  <c r="P29" i="8" s="1"/>
  <c r="O33" i="8"/>
  <c r="P33" i="8" s="1"/>
  <c r="O37" i="8"/>
  <c r="P37" i="8" s="1"/>
  <c r="O26" i="8"/>
  <c r="P26" i="8" s="1"/>
  <c r="O30" i="8"/>
  <c r="P30" i="8" s="1"/>
  <c r="O34" i="8"/>
  <c r="P34" i="8" s="1"/>
  <c r="O38" i="8"/>
  <c r="P38" i="8" s="1"/>
  <c r="T23" i="8"/>
  <c r="T21" i="8"/>
  <c r="S22" i="8"/>
  <c r="M42" i="8"/>
  <c r="S21" i="8"/>
  <c r="S23" i="8"/>
  <c r="O22" i="8"/>
  <c r="P22" i="8" s="1"/>
  <c r="T22" i="8"/>
  <c r="O21" i="8"/>
  <c r="P21" i="8" s="1"/>
  <c r="O24" i="8"/>
  <c r="P24" i="8" s="1"/>
  <c r="O23" i="8"/>
  <c r="P23" i="8" s="1"/>
  <c r="S28" i="9" l="1"/>
  <c r="S29" i="9" s="1"/>
  <c r="S30" i="9" s="1"/>
  <c r="S31" i="9" s="1"/>
  <c r="P27" i="9"/>
  <c r="P28" i="9" s="1"/>
  <c r="P42" i="8"/>
  <c r="P43" i="8" s="1"/>
  <c r="O24" i="1"/>
  <c r="P24" i="1" s="1"/>
  <c r="N24" i="1"/>
  <c r="M24" i="1"/>
  <c r="S24" i="1" s="1"/>
  <c r="H24" i="1"/>
  <c r="L24" i="1"/>
  <c r="L22" i="1"/>
  <c r="M22" i="1"/>
  <c r="O22" i="1" s="1"/>
  <c r="P22" i="1" s="1"/>
  <c r="N22" i="1"/>
  <c r="T22" i="1"/>
  <c r="L23" i="1"/>
  <c r="M23" i="1"/>
  <c r="N23" i="1"/>
  <c r="T23" i="1" s="1"/>
  <c r="L21" i="1"/>
  <c r="P29" i="9" l="1"/>
  <c r="P30" i="9"/>
  <c r="S44" i="8"/>
  <c r="S45" i="8" s="1"/>
  <c r="S46" i="8" s="1"/>
  <c r="P44" i="8"/>
  <c r="P45" i="8" s="1"/>
  <c r="O23" i="1"/>
  <c r="P23" i="1" s="1"/>
  <c r="S22" i="1"/>
  <c r="S23" i="1"/>
  <c r="N5" i="6"/>
  <c r="A2" i="7"/>
  <c r="R39" i="9" l="1"/>
  <c r="M32" i="9"/>
  <c r="O32" i="9" s="1"/>
  <c r="O38" i="9" s="1"/>
  <c r="O39" i="9" s="1"/>
  <c r="R54" i="8"/>
  <c r="M47" i="8"/>
  <c r="O47" i="8" s="1"/>
  <c r="O53" i="8" s="1"/>
  <c r="O54" i="8" s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O41" i="9" l="1"/>
  <c r="O40" i="9"/>
  <c r="Q20" i="9" s="1"/>
  <c r="O56" i="8"/>
  <c r="O55" i="8"/>
  <c r="Q20" i="8" s="1"/>
  <c r="F14" i="6"/>
  <c r="D5" i="6"/>
  <c r="G11" i="4"/>
  <c r="D7" i="6"/>
  <c r="I14" i="6"/>
  <c r="B14" i="6" s="1"/>
  <c r="B21" i="6"/>
  <c r="N21" i="1"/>
  <c r="Q22" i="9" l="1"/>
  <c r="Q21" i="9"/>
  <c r="Q23" i="9"/>
  <c r="Q37" i="8"/>
  <c r="G37" i="8" s="1"/>
  <c r="H37" i="8" s="1"/>
  <c r="Q38" i="8"/>
  <c r="Q35" i="8"/>
  <c r="G35" i="8" s="1"/>
  <c r="H35" i="8" s="1"/>
  <c r="Q36" i="8"/>
  <c r="Q33" i="8"/>
  <c r="G33" i="8" s="1"/>
  <c r="H33" i="8" s="1"/>
  <c r="Q34" i="8"/>
  <c r="Q31" i="8"/>
  <c r="G31" i="8" s="1"/>
  <c r="H31" i="8" s="1"/>
  <c r="Q32" i="8"/>
  <c r="Q29" i="8"/>
  <c r="G29" i="8" s="1"/>
  <c r="H29" i="8" s="1"/>
  <c r="Q30" i="8"/>
  <c r="Q27" i="8"/>
  <c r="G27" i="8" s="1"/>
  <c r="H27" i="8" s="1"/>
  <c r="Q28" i="8"/>
  <c r="Q25" i="8"/>
  <c r="G25" i="8" s="1"/>
  <c r="H25" i="8" s="1"/>
  <c r="Q26" i="8"/>
  <c r="Q21" i="8"/>
  <c r="Q22" i="8"/>
  <c r="Q23" i="8"/>
  <c r="Q24" i="8"/>
  <c r="K5" i="6"/>
  <c r="D14" i="6"/>
  <c r="E14" i="6"/>
  <c r="E21" i="6"/>
  <c r="D21" i="6"/>
  <c r="L5" i="6"/>
  <c r="M5" i="6"/>
  <c r="D2" i="7"/>
  <c r="D8" i="6"/>
  <c r="M21" i="1"/>
  <c r="R23" i="9" l="1"/>
  <c r="H23" i="9"/>
  <c r="R21" i="9"/>
  <c r="H21" i="9"/>
  <c r="R22" i="9"/>
  <c r="H22" i="9"/>
  <c r="R37" i="8"/>
  <c r="G38" i="8"/>
  <c r="H38" i="8" s="1"/>
  <c r="R38" i="8"/>
  <c r="R35" i="8"/>
  <c r="G36" i="8"/>
  <c r="H36" i="8" s="1"/>
  <c r="R36" i="8"/>
  <c r="R33" i="8"/>
  <c r="G34" i="8"/>
  <c r="H34" i="8" s="1"/>
  <c r="R34" i="8"/>
  <c r="R31" i="8"/>
  <c r="G32" i="8"/>
  <c r="H32" i="8" s="1"/>
  <c r="R32" i="8"/>
  <c r="R29" i="8"/>
  <c r="G30" i="8"/>
  <c r="H30" i="8" s="1"/>
  <c r="R30" i="8"/>
  <c r="R27" i="8"/>
  <c r="G28" i="8"/>
  <c r="H28" i="8" s="1"/>
  <c r="R28" i="8"/>
  <c r="R25" i="8"/>
  <c r="G26" i="8"/>
  <c r="H26" i="8" s="1"/>
  <c r="R26" i="8"/>
  <c r="R23" i="8"/>
  <c r="G23" i="8"/>
  <c r="H23" i="8" s="1"/>
  <c r="R22" i="8"/>
  <c r="G22" i="8"/>
  <c r="H22" i="8" s="1"/>
  <c r="R24" i="8"/>
  <c r="G24" i="8"/>
  <c r="H24" i="8" s="1"/>
  <c r="R21" i="8"/>
  <c r="G21" i="8"/>
  <c r="H21" i="8" s="1"/>
  <c r="M28" i="1"/>
  <c r="S21" i="1"/>
  <c r="S29" i="1" s="1"/>
  <c r="T21" i="1"/>
  <c r="T27" i="1" s="1"/>
  <c r="O21" i="1"/>
  <c r="P21" i="1" s="1"/>
  <c r="P28" i="1" s="1"/>
  <c r="K42" i="1"/>
  <c r="H26" i="9" l="1"/>
  <c r="H27" i="9"/>
  <c r="H41" i="8"/>
  <c r="H42" i="8"/>
  <c r="H43" i="8" s="1"/>
  <c r="S30" i="1"/>
  <c r="S31" i="1" s="1"/>
  <c r="S32" i="1" s="1"/>
  <c r="V35" i="1"/>
  <c r="V36" i="1" s="1"/>
  <c r="H28" i="9" l="1"/>
  <c r="P29" i="1"/>
  <c r="N20" i="1"/>
  <c r="L20" i="1"/>
  <c r="P30" i="1" l="1"/>
  <c r="P31" i="1" s="1"/>
  <c r="M33" i="1" s="1"/>
  <c r="O35" i="1"/>
  <c r="R39" i="1"/>
  <c r="R40" i="1" l="1"/>
  <c r="O34" i="1" s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Q24" i="1" s="1"/>
  <c r="R24" i="1" s="1"/>
  <c r="D21" i="3"/>
  <c r="M43" i="3" s="1"/>
  <c r="D12" i="3" s="1"/>
  <c r="F20" i="3"/>
  <c r="F21" i="3" s="1"/>
  <c r="Q22" i="1" l="1"/>
  <c r="Q23" i="1"/>
  <c r="O42" i="1"/>
  <c r="E15" i="3"/>
  <c r="R23" i="1" l="1"/>
  <c r="G23" i="1"/>
  <c r="H23" i="1" s="1"/>
  <c r="R22" i="1"/>
  <c r="G22" i="1"/>
  <c r="H22" i="1" s="1"/>
  <c r="Q21" i="1"/>
  <c r="G21" i="1" s="1"/>
  <c r="F15" i="3"/>
  <c r="R21" i="1" l="1"/>
  <c r="H21" i="1" l="1"/>
  <c r="H27" i="1" s="1"/>
  <c r="H28" i="1" l="1"/>
  <c r="H29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<sst xmlns="http://schemas.openxmlformats.org/spreadsheetml/2006/main" count="717" uniqueCount="303">
  <si>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</si>
  <si>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</si>
  <si>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</si>
  <si>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</si>
  <si>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</si>
  <si>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</si>
  <si>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</si>
  <si>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</si>
  <si>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</si>
  <si>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</si>
  <si>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</si>
  <si>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</si>
  <si>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</si>
  <si>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</si>
  <si>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</si>
  <si>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</si>
  <si>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</si>
  <si>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</si>
  <si>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</si>
  <si>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</si>
  <si>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</si>
  <si>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</si>
  <si>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</si>
  <si>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</si>
  <si>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</si>
  <si>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</si>
  <si>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</si>
  <si>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</si>
  <si>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</si>
  <si>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</si>
  <si>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</si>
  <si>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</si>
  <si>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</si>
  <si>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</si>
  <si>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</si>
  <si>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</si>
  <si>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</si>
  <si>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</si>
  <si>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</si>
  <si>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</si>
  <si>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</si>
  <si>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</si>
  <si>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</si>
  <si>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</si>
  <si>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</si>
  <si>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</si>
  <si>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</si>
  <si>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</si>
  <si>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</si>
  <si>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</si>
  <si>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</si>
  <si>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</si>
  <si>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</si>
  <si>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</si>
  <si>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</si>
  <si>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</si>
  <si>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</si>
  <si>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</si>
  <si>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</si>
  <si>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</si>
  <si>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</si>
  <si>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</si>
  <si>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</si>
  <si>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</si>
  <si>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</si>
  <si>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</si>
  <si>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</si>
  <si>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</si>
  <si>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</si>
  <si>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</si>
  <si>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</si>
  <si>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</si>
  <si>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</si>
  <si>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</si>
  <si>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</si>
  <si>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</si>
  <si>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</si>
  <si>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</si>
  <si>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</si>
  <si>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</si>
  <si>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</si>
  <si>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</si>
  <si>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</si>
  <si>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</si>
  <si>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</si>
  <si>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</si>
  <si>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</si>
  <si>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</si>
  <si>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</si>
  <si>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</si>
  <si>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</si>
  <si>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</si>
  <si>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</si>
  <si>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</si>
  <si>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</si>
  <si>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</si>
  <si>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</si>
  <si>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</si>
  <si>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</si>
  <si>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</si>
  <si>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</si>
  <si>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</si>
  <si>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</si>
  <si>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</si>
  <si>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</si>
  <si>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</si>
  <si>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</si>
  <si>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</si>
  <si>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</si>
  <si>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</si>
  <si>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</si>
  <si>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</si>
  <si>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</si>
  <si>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</si>
  <si>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</si>
  <si>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</si>
  <si>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</si>
  <si>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</si>
  <si>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</si>
  <si>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</si>
  <si>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</si>
  <si>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</si>
  <si>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</si>
  <si>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</si>
  <si>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</si>
  <si>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</si>
  <si>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</si>
  <si>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</si>
  <si>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</si>
  <si>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</si>
  <si>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</si>
  <si>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</si>
  <si>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</si>
  <si>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</si>
  <si>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</si>
  <si>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</si>
  <si>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</si>
  <si>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</si>
  <si>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</si>
  <si>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</si>
  <si>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</si>
  <si>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</si>
  <si>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</si>
  <si>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</si>
  <si>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</si>
  <si>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</si>
  <si>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</si>
  <si>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</si>
  <si>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</si>
  <si>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</si>
  <si>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</si>
  <si>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</si>
  <si>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</si>
  <si>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</si>
  <si>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</si>
  <si>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</si>
  <si>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</si>
  <si>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</si>
  <si>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</si>
  <si>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</si>
  <si>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</si>
  <si>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</si>
  <si>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</si>
  <si>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</si>
  <si>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</si>
  <si>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</si>
  <si>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</si>
  <si>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</si>
  <si>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</si>
  <si>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</si>
  <si>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</si>
  <si>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</si>
  <si>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</si>
  <si>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</si>
  <si>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</si>
  <si>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</si>
  <si>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</si>
  <si>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</si>
  <si>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</si>
  <si>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</si>
  <si>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</si>
  <si>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</si>
  <si>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</si>
  <si>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</si>
  <si>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</si>
  <si>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</si>
  <si>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</si>
  <si>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</si>
  <si>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</si>
  <si>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</si>
  <si>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</si>
  <si>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</si>
  <si>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</si>
  <si>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</si>
  <si>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</si>
  <si>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</si>
  <si>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</si>
  <si>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</si>
  <si>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</si>
  <si>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</si>
  <si>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</si>
  <si>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</si>
  <si>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</si>
  <si>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</si>
  <si>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</si>
  <si>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</si>
  <si>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</si>
  <si>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</si>
  <si>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</si>
  <si>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</si>
  <si>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</si>
  <si>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</si>
  <si>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</si>
  <si>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</si>
  <si>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</si>
  <si>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</si>
  <si>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</si>
  <si>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</si>
  <si>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</si>
  <si>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</si>
  <si>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</si>
  <si>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</si>
  <si>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</si>
  <si>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</si>
  <si>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</si>
  <si>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</si>
  <si>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</si>
  <si>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</si>
  <si>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</si>
  <si>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</si>
  <si>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</si>
  <si>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</si>
  <si>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</si>
  <si>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</si>
  <si>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</si>
  <si>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</si>
  <si>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</si>
  <si>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</si>
  <si>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</si>
  <si>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</si>
  <si>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</si>
  <si>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</si>
  <si>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</si>
  <si>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</si>
  <si>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</si>
  <si>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</si>
  <si>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</si>
  <si>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</si>
  <si>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</si>
  <si>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</si>
  <si>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</si>
  <si>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</si>
  <si>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</si>
  <si>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</si>
  <si>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</si>
  <si>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</si>
  <si>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</si>
  <si>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</si>
  <si>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</si>
  <si>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</si>
  <si>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</si>
  <si>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</si>
  <si>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</si>
  <si>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</si>
  <si>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</si>
  <si>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</si>
  <si>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</si>
  <si>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</si>
  <si>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</si>
  <si>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</si>
  <si>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</si>
  <si>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</si>
  <si>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</si>
  <si>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</si>
  <si>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</si>
  <si>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</si>
  <si>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</si>
  <si>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</si>
  <si>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</si>
  <si>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</si>
  <si>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</si>
  <si>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</si>
  <si>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</si>
  <si>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</si>
  <si>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</si>
  <si>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</si>
  <si>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</si>
  <si>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</si>
  <si>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ESTEBAN ALBORNOZ CABRERA</t>
  </si>
  <si>
    <t>12.654.086-6</t>
  </si>
  <si>
    <t>10 DIAS HABILES</t>
  </si>
  <si>
    <t>SI</t>
  </si>
  <si>
    <t>GRAFITO 2174 MT</t>
  </si>
  <si>
    <t>CUBIERTA CON RESPALDO Y FEENTE 90°</t>
  </si>
  <si>
    <t>E/R 1 CARA</t>
  </si>
  <si>
    <t>SUNSET 2239 MT</t>
  </si>
  <si>
    <t>TAPACANTYO PVC 0,45MM 100 MTS</t>
  </si>
  <si>
    <t>N° 12105A</t>
  </si>
  <si>
    <t>N° 12105</t>
  </si>
  <si>
    <t>N° 12105B</t>
  </si>
  <si>
    <t>DUROLAC PINTADO BLANCO 3MM</t>
  </si>
  <si>
    <t>MELAMINA BLANCA 15MM VESTO</t>
  </si>
  <si>
    <t>SERVICIO CORTE Y ENCHAPE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</si>
</sst>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7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0" fillId="0" borderId="65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166" fontId="30" fillId="0" borderId="4" xfId="0" applyNumberFormat="1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167" fontId="11" fillId="0" borderId="4" xfId="2" applyNumberFormat="1" applyFont="1" applyFill="1" applyBorder="1" applyAlignment="1">
      <alignment horizontal="center" vertical="center"/>
    </xf>
    <xf numFmtId="167" fontId="11" fillId="0" borderId="32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BC032D1-77B3-4474-8120-7CA1819F3951}"/>
            </a:ext>
          </a:extLst>
        </xdr:cNvPr>
        <xdr:cNvSpPr/>
      </xdr:nvSpPr>
      <xdr:spPr>
        <a:xfrm>
          <a:off x="6416040" y="924363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11CA8515-643F-440F-98B2-92C76A937247}"/>
            </a:ext>
          </a:extLst>
        </xdr:cNvPr>
        <xdr:cNvCxnSpPr/>
      </xdr:nvCxnSpPr>
      <xdr:spPr>
        <a:xfrm>
          <a:off x="6638925" y="983170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EBCF00BC-5BB7-4D7C-9CF0-C55D5AC01DA0}"/>
            </a:ext>
          </a:extLst>
        </xdr:cNvPr>
        <xdr:cNvSpPr/>
      </xdr:nvSpPr>
      <xdr:spPr>
        <a:xfrm>
          <a:off x="390525" y="9244965"/>
          <a:ext cx="597242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16387</xdr:rowOff>
    </xdr:from>
    <xdr:to>
      <xdr:col>5</xdr:col>
      <xdr:colOff>1728839</xdr:colOff>
      <xdr:row>27</xdr:row>
      <xdr:rowOff>221226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116B89C9-1CC3-4B28-AB8F-6934EE54AC43}"/>
            </a:ext>
          </a:extLst>
        </xdr:cNvPr>
        <xdr:cNvSpPr/>
      </xdr:nvSpPr>
      <xdr:spPr>
        <a:xfrm>
          <a:off x="411480" y="8131687"/>
          <a:ext cx="5935079" cy="87539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INLCUYE ENCHAPE</a:t>
          </a:r>
          <a:r>
            <a:rPr lang="es-CL" sz="1200" b="1" baseline="0"/>
            <a:t> TAPACANTO PVC 0,45MM COLOR BLANCO</a:t>
          </a:r>
          <a:endParaRPr lang="es-CL" sz="1200" b="1" i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86F403A-BEDE-451A-A2BB-8758ABB62E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25297" cy="960879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3</xdr:col>
      <xdr:colOff>228374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8FCDCBA-93B3-4EA7-8E22-3F5B3A7E6F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2638" y="367235"/>
          <a:ext cx="1803256" cy="76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44</xdr:row>
      <xdr:rowOff>8194</xdr:rowOff>
    </xdr:from>
    <xdr:to>
      <xdr:col>8</xdr:col>
      <xdr:colOff>8193</xdr:colOff>
      <xdr:row>47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9E15BCA-D2AD-44CC-9931-3B07F5F0B2CE}"/>
            </a:ext>
          </a:extLst>
        </xdr:cNvPr>
        <xdr:cNvSpPr/>
      </xdr:nvSpPr>
      <xdr:spPr>
        <a:xfrm>
          <a:off x="7231380" y="618801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46</xdr:row>
      <xdr:rowOff>154305</xdr:rowOff>
    </xdr:from>
    <xdr:to>
      <xdr:col>7</xdr:col>
      <xdr:colOff>853440</xdr:colOff>
      <xdr:row>46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5E2CDFD2-DDEA-416A-8820-45CFCBA92CB2}"/>
            </a:ext>
          </a:extLst>
        </xdr:cNvPr>
        <xdr:cNvCxnSpPr/>
      </xdr:nvCxnSpPr>
      <xdr:spPr>
        <a:xfrm>
          <a:off x="7454265" y="677608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44</xdr:row>
      <xdr:rowOff>9525</xdr:rowOff>
    </xdr:from>
    <xdr:to>
      <xdr:col>5</xdr:col>
      <xdr:colOff>1745226</xdr:colOff>
      <xdr:row>47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DE6A1B25-AB21-405C-8282-80C20392C011}"/>
            </a:ext>
          </a:extLst>
        </xdr:cNvPr>
        <xdr:cNvSpPr/>
      </xdr:nvSpPr>
      <xdr:spPr>
        <a:xfrm>
          <a:off x="390525" y="6189345"/>
          <a:ext cx="647534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39</xdr:row>
      <xdr:rowOff>16387</xdr:rowOff>
    </xdr:from>
    <xdr:to>
      <xdr:col>5</xdr:col>
      <xdr:colOff>1728839</xdr:colOff>
      <xdr:row>42</xdr:row>
      <xdr:rowOff>221226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82DD7DBC-30CE-473C-9C3F-3F4CB3A78AAB}"/>
            </a:ext>
          </a:extLst>
        </xdr:cNvPr>
        <xdr:cNvSpPr/>
      </xdr:nvSpPr>
      <xdr:spPr>
        <a:xfrm>
          <a:off x="411480" y="5076067"/>
          <a:ext cx="6437999" cy="87539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S PUERTAS UBIERTAS SE ENTREGAN ENCHAPADAS EN SUS 4 CANTOS CON TAPACANTO PVC 0,45MM COLOR NARANAJO SIMILAR AL COLOR DE LA LAMINA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MELAMIL 15MM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7F2A194-B85C-436F-A9EE-53D00C0D4E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25297" cy="960879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3</xdr:col>
      <xdr:colOff>228374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E9CAD06-168C-4CE7-8E76-7E313C919F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2638" y="367235"/>
          <a:ext cx="1805632" cy="76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16387</xdr:rowOff>
    </xdr:from>
    <xdr:to>
      <xdr:col>5</xdr:col>
      <xdr:colOff>1728839</xdr:colOff>
      <xdr:row>28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014452"/>
          <a:ext cx="6431936" cy="87670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S CUBIERTAS SE ENTREGAN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topmobilichile.cl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topmobilichile.cl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://www.topmobilichile.cl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FB731-E43E-43F4-AED2-355EAE41F4D2}">
  <sheetPr>
    <pageSetUpPr fitToPage="1"/>
  </sheetPr>
  <dimension ref="A2:Y583"/>
  <sheetViews>
    <sheetView topLeftCell="A3" zoomScale="93" zoomScaleNormal="93" workbookViewId="0">
      <selection activeCell="J19" sqref="J19"/>
    </sheetView>
  </sheetViews>
  <sheetFormatPr baseColWidth="10" defaultRowHeight="14.4" x14ac:dyDescent="0.3"/>
  <cols>
    <col min="1" max="1" width="6" customWidth="1"/>
    <col min="2" max="2" width="10.5546875" customWidth="1"/>
    <col min="3" max="3" width="27.44140625" customWidth="1"/>
    <col min="4" max="4" width="12.77734375" customWidth="1"/>
    <col min="5" max="5" width="10.5546875" customWidth="1"/>
    <col min="6" max="6" width="26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288</v>
      </c>
      <c r="D10" s="243"/>
      <c r="E10" s="243"/>
      <c r="F10" s="418" t="s">
        <v>277</v>
      </c>
      <c r="G10" s="275">
        <v>46137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 t="s">
        <v>289</v>
      </c>
      <c r="F11" s="29" t="s">
        <v>286</v>
      </c>
      <c r="G11" s="421" t="s">
        <v>290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291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/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9" t="s">
        <v>95</v>
      </c>
      <c r="C19" s="450"/>
      <c r="D19" s="450"/>
      <c r="E19" s="450"/>
      <c r="F19" s="450"/>
      <c r="G19" s="450"/>
      <c r="H19" s="451"/>
      <c r="I19" s="263"/>
      <c r="J19" s="263"/>
      <c r="K19" s="5"/>
      <c r="L19" s="249"/>
      <c r="M19" s="14">
        <v>0.02</v>
      </c>
      <c r="N19" s="14">
        <v>0.02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O40</f>
        <v>25657.358144226971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30">
        <v>9</v>
      </c>
      <c r="C21" s="434" t="s">
        <v>300</v>
      </c>
      <c r="D21" s="431">
        <v>2.5</v>
      </c>
      <c r="E21" s="431">
        <v>1.83</v>
      </c>
      <c r="F21" s="430"/>
      <c r="G21" s="432">
        <v>12990</v>
      </c>
      <c r="H21" s="432">
        <f>G21*B21</f>
        <v>116910</v>
      </c>
      <c r="I21" s="306"/>
      <c r="J21" s="264"/>
      <c r="K21" s="47"/>
      <c r="L21" s="47">
        <f>B21</f>
        <v>9</v>
      </c>
      <c r="M21" s="39">
        <f>D21+M$19</f>
        <v>2.52</v>
      </c>
      <c r="N21" s="39">
        <f>E21+$N$19</f>
        <v>1.85</v>
      </c>
      <c r="O21" s="260">
        <f t="shared" ref="O21:O23" si="0">M21*N21</f>
        <v>4.6619999999999999</v>
      </c>
      <c r="P21" s="258">
        <f t="shared" ref="P21:P23" si="1">O21*L21</f>
        <v>41.957999999999998</v>
      </c>
      <c r="Q21" s="251">
        <f t="shared" ref="Q21:Q23" si="2">Q$20*O21</f>
        <v>119614.60366838615</v>
      </c>
      <c r="R21" s="305">
        <f t="shared" ref="R21:R23" si="3">Q21+R$20</f>
        <v>122614.60366838615</v>
      </c>
      <c r="S21" s="290">
        <f>M21*L21*2</f>
        <v>45.36</v>
      </c>
      <c r="T21" s="46">
        <f>N21*L21*2</f>
        <v>33.300000000000004</v>
      </c>
      <c r="U21" s="9"/>
      <c r="X21" s="4"/>
    </row>
    <row r="22" spans="2:25" ht="17.399999999999999" x14ac:dyDescent="0.3">
      <c r="B22" s="430">
        <v>24</v>
      </c>
      <c r="C22" s="434" t="s">
        <v>301</v>
      </c>
      <c r="D22" s="431">
        <v>2.5</v>
      </c>
      <c r="E22" s="431">
        <v>1.83</v>
      </c>
      <c r="F22" s="430"/>
      <c r="G22" s="432">
        <v>39990</v>
      </c>
      <c r="H22" s="432">
        <f t="shared" ref="H22:H23" si="4">G22*B22</f>
        <v>959760</v>
      </c>
      <c r="I22" s="306"/>
      <c r="J22" s="264"/>
      <c r="K22" s="47"/>
      <c r="L22" s="47">
        <f t="shared" ref="L22:L23" si="5">B22</f>
        <v>24</v>
      </c>
      <c r="M22" s="39">
        <f t="shared" ref="M22:M23" si="6">D22+M$19</f>
        <v>2.52</v>
      </c>
      <c r="N22" s="39">
        <f t="shared" ref="N22:N23" si="7">E22+$N$19</f>
        <v>1.85</v>
      </c>
      <c r="O22" s="260">
        <f t="shared" si="0"/>
        <v>4.6619999999999999</v>
      </c>
      <c r="P22" s="258">
        <f t="shared" si="1"/>
        <v>111.88800000000001</v>
      </c>
      <c r="Q22" s="251">
        <f t="shared" si="2"/>
        <v>119614.60366838615</v>
      </c>
      <c r="R22" s="305">
        <f t="shared" si="3"/>
        <v>122614.60366838615</v>
      </c>
      <c r="S22" s="290">
        <f t="shared" ref="S22:S23" si="8">M22*L22</f>
        <v>60.480000000000004</v>
      </c>
      <c r="T22" s="46">
        <f t="shared" ref="T22:T23" si="9">N22*2*L22*2</f>
        <v>177.60000000000002</v>
      </c>
      <c r="U22" s="9"/>
      <c r="X22" s="4"/>
    </row>
    <row r="23" spans="2:25" ht="17.399999999999999" x14ac:dyDescent="0.3">
      <c r="B23" s="430">
        <v>1</v>
      </c>
      <c r="C23" s="434" t="s">
        <v>302</v>
      </c>
      <c r="D23" s="431"/>
      <c r="E23" s="431"/>
      <c r="F23" s="430"/>
      <c r="G23" s="432">
        <v>321450</v>
      </c>
      <c r="H23" s="432">
        <f t="shared" si="4"/>
        <v>321450</v>
      </c>
      <c r="I23" s="306"/>
      <c r="J23" s="264"/>
      <c r="K23" s="47"/>
      <c r="L23" s="47">
        <f t="shared" si="5"/>
        <v>1</v>
      </c>
      <c r="M23" s="39">
        <f t="shared" si="6"/>
        <v>0.02</v>
      </c>
      <c r="N23" s="39">
        <f t="shared" si="7"/>
        <v>0.02</v>
      </c>
      <c r="O23" s="260">
        <f t="shared" si="0"/>
        <v>4.0000000000000002E-4</v>
      </c>
      <c r="P23" s="258">
        <f t="shared" si="1"/>
        <v>4.0000000000000002E-4</v>
      </c>
      <c r="Q23" s="251">
        <f t="shared" si="2"/>
        <v>10.26294325769079</v>
      </c>
      <c r="R23" s="305">
        <f t="shared" si="3"/>
        <v>3010.2629432576909</v>
      </c>
      <c r="S23" s="290">
        <f t="shared" si="8"/>
        <v>0.02</v>
      </c>
      <c r="T23" s="46">
        <f t="shared" si="9"/>
        <v>0.08</v>
      </c>
      <c r="U23" s="9"/>
      <c r="X23" s="4"/>
    </row>
    <row r="24" spans="2:25" ht="17.399999999999999" x14ac:dyDescent="0.3">
      <c r="B24" s="283"/>
      <c r="C24" s="325"/>
      <c r="D24" s="284"/>
      <c r="E24" s="284"/>
      <c r="F24" s="283"/>
      <c r="G24" s="306"/>
      <c r="H24" s="306"/>
      <c r="I24" s="306"/>
      <c r="J24" s="264"/>
      <c r="K24" s="47"/>
      <c r="L24" s="47"/>
      <c r="M24" s="39"/>
      <c r="N24" s="39"/>
      <c r="O24" s="260"/>
      <c r="P24" s="258"/>
      <c r="Q24" s="251"/>
      <c r="R24" s="305"/>
      <c r="S24" s="290"/>
      <c r="T24" s="46"/>
      <c r="U24" s="9"/>
      <c r="X24" s="4"/>
    </row>
    <row r="25" spans="2:25" ht="18" thickBot="1" x14ac:dyDescent="0.35">
      <c r="B25" s="283"/>
      <c r="C25" s="325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10" t="s">
        <v>28</v>
      </c>
      <c r="H26" s="311">
        <f>SUM(H21:H23)</f>
        <v>1398120</v>
      </c>
      <c r="I26" s="308"/>
      <c r="J26" s="264"/>
      <c r="K26" s="47"/>
      <c r="L26" s="47"/>
      <c r="M26" s="39"/>
      <c r="N26" s="39"/>
      <c r="O26" s="260"/>
      <c r="P26" s="258"/>
      <c r="Q26" s="251"/>
      <c r="R26" s="257"/>
      <c r="S26" s="290"/>
      <c r="T26" s="46">
        <f>SUM(T21:T23)</f>
        <v>210.98000000000005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51</v>
      </c>
      <c r="H27" s="287">
        <f>H26*19%</f>
        <v>265642.8</v>
      </c>
      <c r="I27" s="308"/>
      <c r="J27" s="264"/>
      <c r="K27" s="47"/>
      <c r="L27" s="47"/>
      <c r="M27" s="39">
        <f>SUM(M21:M26)</f>
        <v>5.0599999999999996</v>
      </c>
      <c r="N27" s="12"/>
      <c r="O27" s="12"/>
      <c r="P27" s="252">
        <f>SUM(P21:P25)</f>
        <v>153.84640000000002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1663762.8</v>
      </c>
      <c r="I28" s="308"/>
      <c r="J28" s="264"/>
      <c r="K28" s="47"/>
      <c r="L28" s="47"/>
      <c r="M28" s="39"/>
      <c r="N28" s="12"/>
      <c r="O28" s="12"/>
      <c r="P28" s="252">
        <f>P27</f>
        <v>153.84640000000002</v>
      </c>
      <c r="Q28" s="14"/>
      <c r="R28" s="12"/>
      <c r="S28" s="239">
        <f>SUM(S21:S27)</f>
        <v>105.86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/>
      <c r="L29" s="47"/>
      <c r="M29" s="14"/>
      <c r="N29" s="12"/>
      <c r="O29" s="12"/>
      <c r="P29" s="39">
        <f>P28*20%</f>
        <v>30.769280000000006</v>
      </c>
      <c r="Q29" s="39" t="s">
        <v>129</v>
      </c>
      <c r="R29" s="42"/>
      <c r="S29" s="240">
        <f>S28+T26</f>
        <v>316.84000000000003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184.61568000000003</v>
      </c>
      <c r="Q30" s="14"/>
      <c r="R30" s="14"/>
      <c r="S30" s="238">
        <f>S29*20%</f>
        <v>63.368000000000009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/>
      <c r="L31" s="47"/>
      <c r="M31" s="14"/>
      <c r="N31" s="14"/>
      <c r="O31" s="14"/>
      <c r="P31" s="14"/>
      <c r="Q31" s="14"/>
      <c r="R31" s="14"/>
      <c r="S31" s="240">
        <f>S29+S30</f>
        <v>380.20800000000003</v>
      </c>
      <c r="T31" s="14"/>
      <c r="U31" s="294" t="s">
        <v>21</v>
      </c>
      <c r="V31" s="291" t="s">
        <v>149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/>
      <c r="L32" s="47"/>
      <c r="M32" s="39">
        <f>P30</f>
        <v>184.61568000000003</v>
      </c>
      <c r="N32" s="12">
        <v>4000</v>
      </c>
      <c r="O32" s="12">
        <f t="shared" ref="O32:O37" si="10">M32*N32</f>
        <v>738462.72000000009</v>
      </c>
      <c r="P32" s="14" t="s">
        <v>21</v>
      </c>
      <c r="Q32" s="14"/>
      <c r="R32" s="14"/>
      <c r="S32" s="241"/>
      <c r="T32" s="14"/>
      <c r="U32" s="294" t="s">
        <v>150</v>
      </c>
      <c r="V32" s="291">
        <v>3625</v>
      </c>
      <c r="W32" s="59" t="s">
        <v>151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/>
      <c r="L33" s="47"/>
      <c r="M33" s="248">
        <v>13</v>
      </c>
      <c r="N33" s="12">
        <v>41000</v>
      </c>
      <c r="O33" s="12">
        <f t="shared" si="10"/>
        <v>533000</v>
      </c>
      <c r="P33" s="39" t="s">
        <v>31</v>
      </c>
      <c r="Q33" s="42"/>
      <c r="R33" s="14"/>
      <c r="S33" s="240"/>
      <c r="T33" s="14"/>
      <c r="U33" s="294"/>
      <c r="V33" s="59">
        <v>906.25</v>
      </c>
      <c r="W33" s="59" t="s">
        <v>152</v>
      </c>
      <c r="X33" s="296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>
        <v>3</v>
      </c>
      <c r="N34" s="249">
        <v>32090</v>
      </c>
      <c r="O34" s="12">
        <f t="shared" si="10"/>
        <v>96270</v>
      </c>
      <c r="P34" s="39" t="s">
        <v>296</v>
      </c>
      <c r="Q34" s="42"/>
      <c r="S34" s="240"/>
      <c r="T34" s="255"/>
      <c r="U34" s="59"/>
      <c r="V34" s="59">
        <f>V33*20%</f>
        <v>181.25</v>
      </c>
      <c r="W34" s="296" t="s">
        <v>153</v>
      </c>
      <c r="X34" s="59"/>
    </row>
    <row r="35" spans="1:24" s="230" customFormat="1" ht="17.399999999999999" x14ac:dyDescent="0.35">
      <c r="B35" s="24" t="s">
        <v>162</v>
      </c>
      <c r="C35"/>
      <c r="D35"/>
      <c r="E35"/>
      <c r="F35"/>
      <c r="J35" s="261"/>
      <c r="K35" s="232"/>
      <c r="L35" s="249"/>
      <c r="M35" s="14">
        <v>13</v>
      </c>
      <c r="N35" s="249">
        <v>32807</v>
      </c>
      <c r="O35" s="12">
        <f t="shared" si="10"/>
        <v>426491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6" t="s">
        <v>154</v>
      </c>
      <c r="X35" s="59"/>
    </row>
    <row r="36" spans="1:24" s="230" customFormat="1" ht="17.399999999999999" x14ac:dyDescent="0.35">
      <c r="A36" s="230" t="s">
        <v>283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/>
      <c r="N36" s="249">
        <v>900</v>
      </c>
      <c r="O36" s="12">
        <f t="shared" si="10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/>
      <c r="N37" s="12">
        <v>2000</v>
      </c>
      <c r="O37" s="12">
        <f t="shared" si="10"/>
        <v>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1794223.7200000002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O38*2.2</f>
        <v>3947292.1840000008</v>
      </c>
      <c r="P39" s="14" t="s">
        <v>138</v>
      </c>
      <c r="Q39" s="14"/>
      <c r="R39" s="40">
        <f>P30/R38</f>
        <v>49.777739430543576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42800</v>
      </c>
      <c r="L40" s="249"/>
      <c r="M40" s="14"/>
      <c r="N40" s="12"/>
      <c r="O40" s="12">
        <f>O39/P28</f>
        <v>25657.358144226971</v>
      </c>
      <c r="P40" s="45" t="s">
        <v>24</v>
      </c>
      <c r="Q40" s="14"/>
      <c r="R40" s="14"/>
      <c r="S40"/>
      <c r="T40" s="238"/>
      <c r="U40" s="59" t="s">
        <v>155</v>
      </c>
      <c r="V40" s="291">
        <v>43650</v>
      </c>
    </row>
    <row r="41" spans="1:24" s="230" customFormat="1" ht="17.399999999999999" x14ac:dyDescent="0.35">
      <c r="G41"/>
      <c r="K41" s="230">
        <f>K40/1.19</f>
        <v>35966.386554621851</v>
      </c>
      <c r="L41" s="249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157</v>
      </c>
      <c r="V41" s="292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hyperlinks>
    <hyperlink ref="F36" r:id="rId1" xr:uid="{19AFD36A-5CBA-4C40-8306-AA4680A09363}"/>
  </hyperlinks>
  <pageMargins left="0.23622047244094491" right="0.23622047244094491" top="0.74803149606299213" bottom="0.74803149606299213" header="0.31496062992125984" footer="0.31496062992125984"/>
  <pageSetup scale="8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EA28A-C7C5-4870-A055-C000421E15C1}">
  <sheetPr>
    <pageSetUpPr fitToPage="1"/>
  </sheetPr>
  <dimension ref="A2:Y598"/>
  <sheetViews>
    <sheetView tabSelected="1" topLeftCell="A6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27.44140625" customWidth="1"/>
    <col min="4" max="4" width="12.77734375" customWidth="1"/>
    <col min="5" max="5" width="10.5546875" customWidth="1"/>
    <col min="6" max="6" width="26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288</v>
      </c>
      <c r="D10" s="243"/>
      <c r="E10" s="243"/>
      <c r="F10" s="418" t="s">
        <v>277</v>
      </c>
      <c r="G10" s="275">
        <v>46147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 t="s">
        <v>289</v>
      </c>
      <c r="F11" s="29" t="s">
        <v>286</v>
      </c>
      <c r="G11" s="421" t="s">
        <v>290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291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/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9" t="s">
        <v>95</v>
      </c>
      <c r="C19" s="450"/>
      <c r="D19" s="450"/>
      <c r="E19" s="450"/>
      <c r="F19" s="450"/>
      <c r="G19" s="450"/>
      <c r="H19" s="451"/>
      <c r="I19" s="263"/>
      <c r="J19" s="263"/>
      <c r="K19" s="5"/>
      <c r="L19" s="249"/>
      <c r="M19" s="14">
        <v>0.02</v>
      </c>
      <c r="N19" s="14">
        <v>0.02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O55</f>
        <v>66047.95699011191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30">
        <v>6</v>
      </c>
      <c r="C21" s="434" t="s">
        <v>294</v>
      </c>
      <c r="D21" s="431">
        <v>2.2999999999999998</v>
      </c>
      <c r="E21" s="431">
        <v>0.433</v>
      </c>
      <c r="F21" s="430" t="s">
        <v>295</v>
      </c>
      <c r="G21" s="432">
        <f t="shared" ref="G21:G38" si="0">Q21</f>
        <v>69413.760878328001</v>
      </c>
      <c r="H21" s="432">
        <f>G21*B21</f>
        <v>416482.56526996801</v>
      </c>
      <c r="I21" s="306"/>
      <c r="J21" s="264"/>
      <c r="K21" s="47"/>
      <c r="L21" s="47">
        <f>B21</f>
        <v>6</v>
      </c>
      <c r="M21" s="39">
        <f>D21+M$19</f>
        <v>2.3199999999999998</v>
      </c>
      <c r="N21" s="39">
        <f>E21+$N$19</f>
        <v>0.45300000000000001</v>
      </c>
      <c r="O21" s="260">
        <f t="shared" ref="O21:O38" si="1">M21*N21</f>
        <v>1.0509599999999999</v>
      </c>
      <c r="P21" s="258">
        <f t="shared" ref="P21:P38" si="2">O21*L21</f>
        <v>6.3057599999999994</v>
      </c>
      <c r="Q21" s="251">
        <f t="shared" ref="Q21:Q38" si="3">Q$20*O21</f>
        <v>69413.760878328001</v>
      </c>
      <c r="R21" s="305">
        <f t="shared" ref="R21:R38" si="4">Q21+R$20</f>
        <v>72413.760878328001</v>
      </c>
      <c r="S21" s="290">
        <f>M21*L21*2</f>
        <v>27.839999999999996</v>
      </c>
      <c r="T21" s="46">
        <f>N21*L21*2</f>
        <v>5.4359999999999999</v>
      </c>
      <c r="U21" s="9"/>
      <c r="X21" s="4"/>
    </row>
    <row r="22" spans="2:25" ht="17.399999999999999" x14ac:dyDescent="0.3">
      <c r="B22" s="430">
        <v>2</v>
      </c>
      <c r="C22" s="434" t="s">
        <v>294</v>
      </c>
      <c r="D22" s="431">
        <v>0.78</v>
      </c>
      <c r="E22" s="431">
        <v>0.44800000000000001</v>
      </c>
      <c r="F22" s="430" t="s">
        <v>295</v>
      </c>
      <c r="G22" s="432">
        <f t="shared" si="0"/>
        <v>24728.355097097905</v>
      </c>
      <c r="H22" s="432">
        <f t="shared" ref="H22:H23" si="5">G22*B22</f>
        <v>49456.71019419581</v>
      </c>
      <c r="I22" s="306"/>
      <c r="J22" s="264"/>
      <c r="K22" s="47"/>
      <c r="L22" s="47">
        <f t="shared" ref="L22:L38" si="6">B22</f>
        <v>2</v>
      </c>
      <c r="M22" s="39">
        <f t="shared" ref="M22:M38" si="7">D22+M$19</f>
        <v>0.8</v>
      </c>
      <c r="N22" s="39">
        <f t="shared" ref="N22:N38" si="8">E22+$N$19</f>
        <v>0.46800000000000003</v>
      </c>
      <c r="O22" s="260">
        <f t="shared" si="1"/>
        <v>0.37440000000000007</v>
      </c>
      <c r="P22" s="258">
        <f t="shared" si="2"/>
        <v>0.74880000000000013</v>
      </c>
      <c r="Q22" s="251">
        <f t="shared" si="3"/>
        <v>24728.355097097905</v>
      </c>
      <c r="R22" s="305">
        <f t="shared" si="4"/>
        <v>27728.355097097905</v>
      </c>
      <c r="S22" s="290">
        <f t="shared" ref="S22:S23" si="9">M22*L22</f>
        <v>1.6</v>
      </c>
      <c r="T22" s="46">
        <f t="shared" ref="T22:T23" si="10">N22*2*L22*2</f>
        <v>3.7440000000000002</v>
      </c>
      <c r="U22" s="9"/>
      <c r="X22" s="4"/>
    </row>
    <row r="23" spans="2:25" ht="17.399999999999999" x14ac:dyDescent="0.3">
      <c r="B23" s="430">
        <v>4</v>
      </c>
      <c r="C23" s="434" t="s">
        <v>294</v>
      </c>
      <c r="D23" s="431">
        <v>0.78</v>
      </c>
      <c r="E23" s="431">
        <v>0.38</v>
      </c>
      <c r="F23" s="430" t="s">
        <v>295</v>
      </c>
      <c r="G23" s="432">
        <f t="shared" si="0"/>
        <v>21135.346236835816</v>
      </c>
      <c r="H23" s="432">
        <f t="shared" si="5"/>
        <v>84541.384947343264</v>
      </c>
      <c r="I23" s="306"/>
      <c r="J23" s="264"/>
      <c r="K23" s="47"/>
      <c r="L23" s="47">
        <f t="shared" si="6"/>
        <v>4</v>
      </c>
      <c r="M23" s="39">
        <f t="shared" si="7"/>
        <v>0.8</v>
      </c>
      <c r="N23" s="39">
        <f t="shared" si="8"/>
        <v>0.4</v>
      </c>
      <c r="O23" s="260">
        <f t="shared" si="1"/>
        <v>0.32000000000000006</v>
      </c>
      <c r="P23" s="258">
        <f t="shared" si="2"/>
        <v>1.2800000000000002</v>
      </c>
      <c r="Q23" s="251">
        <f t="shared" si="3"/>
        <v>21135.346236835816</v>
      </c>
      <c r="R23" s="305">
        <f t="shared" si="4"/>
        <v>24135.346236835816</v>
      </c>
      <c r="S23" s="290">
        <f t="shared" si="9"/>
        <v>3.2</v>
      </c>
      <c r="T23" s="46">
        <f t="shared" si="10"/>
        <v>6.4</v>
      </c>
      <c r="U23" s="9"/>
      <c r="X23" s="4"/>
    </row>
    <row r="24" spans="2:25" ht="17.399999999999999" x14ac:dyDescent="0.3">
      <c r="B24" s="443">
        <v>4</v>
      </c>
      <c r="C24" s="444" t="s">
        <v>294</v>
      </c>
      <c r="D24" s="445">
        <v>0.9</v>
      </c>
      <c r="E24" s="445">
        <v>0.45800000000000002</v>
      </c>
      <c r="F24" s="446" t="s">
        <v>295</v>
      </c>
      <c r="G24" s="447">
        <f t="shared" si="0"/>
        <v>29045.249565971615</v>
      </c>
      <c r="H24" s="448">
        <f t="shared" ref="H24:H38" si="11">G24*B24</f>
        <v>116180.99826388646</v>
      </c>
      <c r="I24" s="306"/>
      <c r="J24" s="264"/>
      <c r="K24" s="47"/>
      <c r="L24" s="47">
        <f t="shared" si="6"/>
        <v>4</v>
      </c>
      <c r="M24" s="39">
        <f t="shared" si="7"/>
        <v>0.92</v>
      </c>
      <c r="N24" s="39">
        <f t="shared" si="8"/>
        <v>0.47800000000000004</v>
      </c>
      <c r="O24" s="260">
        <f t="shared" si="1"/>
        <v>0.43976000000000004</v>
      </c>
      <c r="P24" s="258">
        <f t="shared" si="2"/>
        <v>1.7590400000000002</v>
      </c>
      <c r="Q24" s="251">
        <f t="shared" si="3"/>
        <v>29045.249565971615</v>
      </c>
      <c r="R24" s="305">
        <f t="shared" si="4"/>
        <v>32045.249565971615</v>
      </c>
      <c r="S24" s="290">
        <f t="shared" ref="S24:S37" si="12">M24*L24</f>
        <v>3.68</v>
      </c>
      <c r="T24" s="46">
        <f t="shared" ref="T24:T37" si="13">N24*2*L24*2</f>
        <v>7.6480000000000006</v>
      </c>
      <c r="U24" s="9"/>
      <c r="X24" s="4"/>
    </row>
    <row r="25" spans="2:25" ht="17.399999999999999" x14ac:dyDescent="0.3">
      <c r="B25" s="430">
        <v>4</v>
      </c>
      <c r="C25" s="434" t="s">
        <v>294</v>
      </c>
      <c r="D25" s="431">
        <v>1.3979999999999999</v>
      </c>
      <c r="E25" s="431">
        <v>0.45800000000000002</v>
      </c>
      <c r="F25" s="430" t="s">
        <v>295</v>
      </c>
      <c r="G25" s="432">
        <f t="shared" si="0"/>
        <v>44767.569439725812</v>
      </c>
      <c r="H25" s="432">
        <f t="shared" si="11"/>
        <v>179070.27775890325</v>
      </c>
      <c r="I25" s="306"/>
      <c r="J25" s="264"/>
      <c r="K25" s="47"/>
      <c r="L25" s="47">
        <f t="shared" si="6"/>
        <v>4</v>
      </c>
      <c r="M25" s="39">
        <f t="shared" si="7"/>
        <v>1.4179999999999999</v>
      </c>
      <c r="N25" s="39">
        <f t="shared" si="8"/>
        <v>0.47800000000000004</v>
      </c>
      <c r="O25" s="260">
        <f t="shared" si="1"/>
        <v>0.67780399999999996</v>
      </c>
      <c r="P25" s="258">
        <f t="shared" si="2"/>
        <v>2.7112159999999998</v>
      </c>
      <c r="Q25" s="251">
        <f t="shared" si="3"/>
        <v>44767.569439725812</v>
      </c>
      <c r="R25" s="305">
        <f t="shared" si="4"/>
        <v>47767.569439725812</v>
      </c>
      <c r="S25" s="290">
        <f t="shared" si="12"/>
        <v>5.6719999999999997</v>
      </c>
      <c r="T25" s="46">
        <f t="shared" si="13"/>
        <v>7.6480000000000006</v>
      </c>
      <c r="U25" s="9"/>
      <c r="X25" s="4"/>
    </row>
    <row r="26" spans="2:25" ht="17.399999999999999" x14ac:dyDescent="0.3">
      <c r="B26" s="430">
        <v>6</v>
      </c>
      <c r="C26" s="434" t="s">
        <v>294</v>
      </c>
      <c r="D26" s="431">
        <v>0.9</v>
      </c>
      <c r="E26" s="431">
        <v>0.31</v>
      </c>
      <c r="F26" s="430" t="s">
        <v>295</v>
      </c>
      <c r="G26" s="432">
        <f t="shared" si="0"/>
        <v>20052.159742197979</v>
      </c>
      <c r="H26" s="432">
        <f t="shared" si="11"/>
        <v>120312.95845318786</v>
      </c>
      <c r="I26" s="306"/>
      <c r="J26" s="264"/>
      <c r="K26" s="47"/>
      <c r="L26" s="47">
        <f t="shared" si="6"/>
        <v>6</v>
      </c>
      <c r="M26" s="39">
        <f t="shared" si="7"/>
        <v>0.92</v>
      </c>
      <c r="N26" s="39">
        <f t="shared" si="8"/>
        <v>0.33</v>
      </c>
      <c r="O26" s="260">
        <f t="shared" si="1"/>
        <v>0.30360000000000004</v>
      </c>
      <c r="P26" s="258">
        <f t="shared" si="2"/>
        <v>1.8216000000000001</v>
      </c>
      <c r="Q26" s="251">
        <f t="shared" si="3"/>
        <v>20052.159742197979</v>
      </c>
      <c r="R26" s="305">
        <f t="shared" si="4"/>
        <v>23052.159742197979</v>
      </c>
      <c r="S26" s="290">
        <f t="shared" si="12"/>
        <v>5.5200000000000005</v>
      </c>
      <c r="T26" s="46">
        <f t="shared" si="13"/>
        <v>7.92</v>
      </c>
      <c r="U26" s="9"/>
      <c r="X26" s="4"/>
    </row>
    <row r="27" spans="2:25" ht="17.399999999999999" x14ac:dyDescent="0.3">
      <c r="B27" s="430">
        <v>6</v>
      </c>
      <c r="C27" s="434" t="s">
        <v>294</v>
      </c>
      <c r="D27" s="431">
        <v>0.78</v>
      </c>
      <c r="E27" s="431">
        <v>0.31</v>
      </c>
      <c r="F27" s="430" t="s">
        <v>295</v>
      </c>
      <c r="G27" s="432">
        <f t="shared" si="0"/>
        <v>17436.660645389544</v>
      </c>
      <c r="H27" s="432">
        <f t="shared" si="11"/>
        <v>104619.96387233726</v>
      </c>
      <c r="I27" s="306"/>
      <c r="J27" s="264"/>
      <c r="K27" s="47"/>
      <c r="L27" s="47">
        <f t="shared" si="6"/>
        <v>6</v>
      </c>
      <c r="M27" s="39">
        <f t="shared" si="7"/>
        <v>0.8</v>
      </c>
      <c r="N27" s="39">
        <f t="shared" si="8"/>
        <v>0.33</v>
      </c>
      <c r="O27" s="260">
        <f t="shared" si="1"/>
        <v>0.26400000000000001</v>
      </c>
      <c r="P27" s="258">
        <f t="shared" si="2"/>
        <v>1.5840000000000001</v>
      </c>
      <c r="Q27" s="251">
        <f t="shared" si="3"/>
        <v>17436.660645389544</v>
      </c>
      <c r="R27" s="305">
        <f t="shared" si="4"/>
        <v>20436.660645389544</v>
      </c>
      <c r="S27" s="290">
        <f t="shared" si="12"/>
        <v>4.8000000000000007</v>
      </c>
      <c r="T27" s="46">
        <f t="shared" si="13"/>
        <v>7.92</v>
      </c>
      <c r="U27" s="9"/>
      <c r="X27" s="4"/>
    </row>
    <row r="28" spans="2:25" ht="17.399999999999999" x14ac:dyDescent="0.3">
      <c r="B28" s="430">
        <v>4</v>
      </c>
      <c r="C28" s="434" t="s">
        <v>294</v>
      </c>
      <c r="D28" s="431">
        <v>0.9</v>
      </c>
      <c r="E28" s="431">
        <v>0.51300000000000001</v>
      </c>
      <c r="F28" s="430" t="s">
        <v>295</v>
      </c>
      <c r="G28" s="432">
        <f t="shared" si="0"/>
        <v>32387.27618967128</v>
      </c>
      <c r="H28" s="432">
        <f t="shared" si="11"/>
        <v>129549.10475868512</v>
      </c>
      <c r="I28" s="306"/>
      <c r="J28" s="264"/>
      <c r="K28" s="47"/>
      <c r="L28" s="47">
        <f t="shared" si="6"/>
        <v>4</v>
      </c>
      <c r="M28" s="39">
        <f t="shared" si="7"/>
        <v>0.92</v>
      </c>
      <c r="N28" s="39">
        <f t="shared" si="8"/>
        <v>0.53300000000000003</v>
      </c>
      <c r="O28" s="260">
        <f t="shared" si="1"/>
        <v>0.49036000000000007</v>
      </c>
      <c r="P28" s="258">
        <f t="shared" si="2"/>
        <v>1.9614400000000003</v>
      </c>
      <c r="Q28" s="251">
        <f t="shared" si="3"/>
        <v>32387.27618967128</v>
      </c>
      <c r="R28" s="305">
        <f t="shared" si="4"/>
        <v>35387.276189671276</v>
      </c>
      <c r="S28" s="290">
        <f t="shared" si="12"/>
        <v>3.68</v>
      </c>
      <c r="T28" s="46">
        <f t="shared" si="13"/>
        <v>8.5280000000000005</v>
      </c>
      <c r="U28" s="9"/>
      <c r="X28" s="4"/>
    </row>
    <row r="29" spans="2:25" ht="17.399999999999999" x14ac:dyDescent="0.3">
      <c r="B29" s="430">
        <v>4</v>
      </c>
      <c r="C29" s="434" t="s">
        <v>294</v>
      </c>
      <c r="D29" s="431">
        <v>0.48</v>
      </c>
      <c r="E29" s="431">
        <v>0.51300000000000001</v>
      </c>
      <c r="F29" s="430" t="s">
        <v>295</v>
      </c>
      <c r="G29" s="432">
        <f t="shared" si="0"/>
        <v>17601.780537864826</v>
      </c>
      <c r="H29" s="432">
        <f t="shared" si="11"/>
        <v>70407.122151459305</v>
      </c>
      <c r="I29" s="306"/>
      <c r="J29" s="264"/>
      <c r="K29" s="47"/>
      <c r="L29" s="47">
        <f t="shared" si="6"/>
        <v>4</v>
      </c>
      <c r="M29" s="39">
        <f t="shared" si="7"/>
        <v>0.5</v>
      </c>
      <c r="N29" s="39">
        <f t="shared" si="8"/>
        <v>0.53300000000000003</v>
      </c>
      <c r="O29" s="260">
        <f t="shared" si="1"/>
        <v>0.26650000000000001</v>
      </c>
      <c r="P29" s="258">
        <f t="shared" si="2"/>
        <v>1.0660000000000001</v>
      </c>
      <c r="Q29" s="251">
        <f t="shared" si="3"/>
        <v>17601.780537864826</v>
      </c>
      <c r="R29" s="305">
        <f t="shared" si="4"/>
        <v>20601.780537864826</v>
      </c>
      <c r="S29" s="290">
        <f t="shared" si="12"/>
        <v>2</v>
      </c>
      <c r="T29" s="46">
        <f t="shared" si="13"/>
        <v>8.5280000000000005</v>
      </c>
      <c r="U29" s="9"/>
      <c r="X29" s="4"/>
    </row>
    <row r="30" spans="2:25" ht="17.399999999999999" x14ac:dyDescent="0.3">
      <c r="B30" s="430">
        <v>4</v>
      </c>
      <c r="C30" s="434" t="s">
        <v>294</v>
      </c>
      <c r="D30" s="431">
        <v>0.9</v>
      </c>
      <c r="E30" s="431">
        <v>0.59799999999999998</v>
      </c>
      <c r="F30" s="430" t="s">
        <v>295</v>
      </c>
      <c r="G30" s="432">
        <f t="shared" si="0"/>
        <v>37552.226426298032</v>
      </c>
      <c r="H30" s="432">
        <f t="shared" si="11"/>
        <v>150208.90570519213</v>
      </c>
      <c r="I30" s="306"/>
      <c r="J30" s="264"/>
      <c r="K30" s="47"/>
      <c r="L30" s="47">
        <f t="shared" si="6"/>
        <v>4</v>
      </c>
      <c r="M30" s="39">
        <f t="shared" si="7"/>
        <v>0.92</v>
      </c>
      <c r="N30" s="39">
        <f t="shared" si="8"/>
        <v>0.61799999999999999</v>
      </c>
      <c r="O30" s="260">
        <f t="shared" si="1"/>
        <v>0.56856000000000007</v>
      </c>
      <c r="P30" s="258">
        <f t="shared" si="2"/>
        <v>2.2742400000000003</v>
      </c>
      <c r="Q30" s="251">
        <f t="shared" si="3"/>
        <v>37552.226426298032</v>
      </c>
      <c r="R30" s="305">
        <f t="shared" si="4"/>
        <v>40552.226426298032</v>
      </c>
      <c r="S30" s="290">
        <f t="shared" si="12"/>
        <v>3.68</v>
      </c>
      <c r="T30" s="46">
        <f t="shared" si="13"/>
        <v>9.8879999999999999</v>
      </c>
      <c r="U30" s="9"/>
      <c r="X30" s="4"/>
    </row>
    <row r="31" spans="2:25" ht="17.399999999999999" x14ac:dyDescent="0.3">
      <c r="B31" s="430">
        <v>4</v>
      </c>
      <c r="C31" s="434" t="s">
        <v>294</v>
      </c>
      <c r="D31" s="431">
        <v>1.3979999999999999</v>
      </c>
      <c r="E31" s="431">
        <v>0.59799999999999998</v>
      </c>
      <c r="F31" s="430" t="s">
        <v>295</v>
      </c>
      <c r="G31" s="432">
        <f t="shared" si="0"/>
        <v>57879.409861402826</v>
      </c>
      <c r="H31" s="432">
        <f t="shared" si="11"/>
        <v>231517.6394456113</v>
      </c>
      <c r="I31" s="306"/>
      <c r="J31" s="264"/>
      <c r="K31" s="47"/>
      <c r="L31" s="47">
        <f t="shared" si="6"/>
        <v>4</v>
      </c>
      <c r="M31" s="39">
        <f t="shared" si="7"/>
        <v>1.4179999999999999</v>
      </c>
      <c r="N31" s="39">
        <f t="shared" si="8"/>
        <v>0.61799999999999999</v>
      </c>
      <c r="O31" s="260">
        <f t="shared" si="1"/>
        <v>0.87632399999999999</v>
      </c>
      <c r="P31" s="258">
        <f t="shared" si="2"/>
        <v>3.505296</v>
      </c>
      <c r="Q31" s="251">
        <f t="shared" si="3"/>
        <v>57879.409861402826</v>
      </c>
      <c r="R31" s="305">
        <f t="shared" si="4"/>
        <v>60879.409861402826</v>
      </c>
      <c r="S31" s="290">
        <f t="shared" si="12"/>
        <v>5.6719999999999997</v>
      </c>
      <c r="T31" s="46">
        <f t="shared" si="13"/>
        <v>9.8879999999999999</v>
      </c>
      <c r="U31" s="9"/>
      <c r="X31" s="4"/>
    </row>
    <row r="32" spans="2:25" ht="17.399999999999999" x14ac:dyDescent="0.3">
      <c r="B32" s="430">
        <v>4</v>
      </c>
      <c r="C32" s="434" t="s">
        <v>294</v>
      </c>
      <c r="D32" s="431">
        <v>0.9</v>
      </c>
      <c r="E32" s="431">
        <v>0.64500000000000002</v>
      </c>
      <c r="F32" s="430" t="s">
        <v>295</v>
      </c>
      <c r="G32" s="432">
        <f t="shared" si="0"/>
        <v>40408.140086550469</v>
      </c>
      <c r="H32" s="432">
        <f t="shared" si="11"/>
        <v>161632.56034620188</v>
      </c>
      <c r="I32" s="306"/>
      <c r="J32" s="264"/>
      <c r="K32" s="47"/>
      <c r="L32" s="47">
        <f t="shared" si="6"/>
        <v>4</v>
      </c>
      <c r="M32" s="39">
        <f t="shared" si="7"/>
        <v>0.92</v>
      </c>
      <c r="N32" s="39">
        <f t="shared" si="8"/>
        <v>0.66500000000000004</v>
      </c>
      <c r="O32" s="260">
        <f t="shared" si="1"/>
        <v>0.61180000000000001</v>
      </c>
      <c r="P32" s="258">
        <f t="shared" si="2"/>
        <v>2.4472</v>
      </c>
      <c r="Q32" s="251">
        <f t="shared" si="3"/>
        <v>40408.140086550469</v>
      </c>
      <c r="R32" s="305">
        <f t="shared" si="4"/>
        <v>43408.140086550469</v>
      </c>
      <c r="S32" s="290">
        <f t="shared" si="12"/>
        <v>3.68</v>
      </c>
      <c r="T32" s="46">
        <f t="shared" si="13"/>
        <v>10.64</v>
      </c>
      <c r="U32" s="9"/>
      <c r="X32" s="4"/>
    </row>
    <row r="33" spans="1:24" ht="17.399999999999999" x14ac:dyDescent="0.3">
      <c r="B33" s="430">
        <v>4</v>
      </c>
      <c r="C33" s="434" t="s">
        <v>294</v>
      </c>
      <c r="D33" s="431">
        <v>1.3979999999999999</v>
      </c>
      <c r="E33" s="431">
        <v>0.64500000000000002</v>
      </c>
      <c r="F33" s="430" t="s">
        <v>295</v>
      </c>
      <c r="G33" s="432">
        <f t="shared" si="0"/>
        <v>62281.242002965824</v>
      </c>
      <c r="H33" s="432">
        <f t="shared" si="11"/>
        <v>249124.9680118633</v>
      </c>
      <c r="I33" s="306"/>
      <c r="J33" s="264"/>
      <c r="K33" s="47"/>
      <c r="L33" s="47">
        <f t="shared" si="6"/>
        <v>4</v>
      </c>
      <c r="M33" s="39">
        <f t="shared" si="7"/>
        <v>1.4179999999999999</v>
      </c>
      <c r="N33" s="39">
        <f t="shared" si="8"/>
        <v>0.66500000000000004</v>
      </c>
      <c r="O33" s="260">
        <f t="shared" si="1"/>
        <v>0.94296999999999997</v>
      </c>
      <c r="P33" s="258">
        <f t="shared" si="2"/>
        <v>3.7718799999999999</v>
      </c>
      <c r="Q33" s="251">
        <f t="shared" si="3"/>
        <v>62281.242002965824</v>
      </c>
      <c r="R33" s="305">
        <f t="shared" si="4"/>
        <v>65281.242002965824</v>
      </c>
      <c r="S33" s="290">
        <f t="shared" si="12"/>
        <v>5.6719999999999997</v>
      </c>
      <c r="T33" s="46">
        <f t="shared" si="13"/>
        <v>10.64</v>
      </c>
      <c r="U33" s="9"/>
      <c r="X33" s="4"/>
    </row>
    <row r="34" spans="1:24" ht="17.399999999999999" x14ac:dyDescent="0.3">
      <c r="B34" s="430">
        <v>4</v>
      </c>
      <c r="C34" s="434" t="s">
        <v>294</v>
      </c>
      <c r="D34" s="431">
        <v>0.9</v>
      </c>
      <c r="E34" s="431">
        <v>0.498</v>
      </c>
      <c r="F34" s="430" t="s">
        <v>295</v>
      </c>
      <c r="G34" s="432">
        <f t="shared" si="0"/>
        <v>31475.814383207733</v>
      </c>
      <c r="H34" s="432">
        <f t="shared" si="11"/>
        <v>125903.25753283093</v>
      </c>
      <c r="I34" s="306"/>
      <c r="J34" s="264"/>
      <c r="K34" s="47"/>
      <c r="L34" s="47">
        <f t="shared" si="6"/>
        <v>4</v>
      </c>
      <c r="M34" s="39">
        <f t="shared" si="7"/>
        <v>0.92</v>
      </c>
      <c r="N34" s="39">
        <f t="shared" si="8"/>
        <v>0.51800000000000002</v>
      </c>
      <c r="O34" s="260">
        <f t="shared" si="1"/>
        <v>0.47656000000000004</v>
      </c>
      <c r="P34" s="258">
        <f t="shared" si="2"/>
        <v>1.9062400000000002</v>
      </c>
      <c r="Q34" s="251">
        <f t="shared" si="3"/>
        <v>31475.814383207733</v>
      </c>
      <c r="R34" s="305">
        <f t="shared" si="4"/>
        <v>34475.814383207733</v>
      </c>
      <c r="S34" s="290">
        <f t="shared" si="12"/>
        <v>3.68</v>
      </c>
      <c r="T34" s="46">
        <f t="shared" si="13"/>
        <v>8.2880000000000003</v>
      </c>
      <c r="U34" s="9"/>
      <c r="X34" s="4"/>
    </row>
    <row r="35" spans="1:24" ht="17.399999999999999" x14ac:dyDescent="0.3">
      <c r="B35" s="430">
        <v>4</v>
      </c>
      <c r="C35" s="434" t="s">
        <v>294</v>
      </c>
      <c r="D35" s="431">
        <v>0.48</v>
      </c>
      <c r="E35" s="431">
        <v>0.498</v>
      </c>
      <c r="F35" s="430" t="s">
        <v>295</v>
      </c>
      <c r="G35" s="432">
        <f t="shared" si="0"/>
        <v>17106.420860438986</v>
      </c>
      <c r="H35" s="432">
        <f t="shared" si="11"/>
        <v>68425.683441755944</v>
      </c>
      <c r="I35" s="306"/>
      <c r="J35" s="264"/>
      <c r="K35" s="47"/>
      <c r="L35" s="47">
        <f t="shared" si="6"/>
        <v>4</v>
      </c>
      <c r="M35" s="39">
        <f t="shared" si="7"/>
        <v>0.5</v>
      </c>
      <c r="N35" s="39">
        <f t="shared" si="8"/>
        <v>0.51800000000000002</v>
      </c>
      <c r="O35" s="260">
        <f t="shared" si="1"/>
        <v>0.25900000000000001</v>
      </c>
      <c r="P35" s="258">
        <f t="shared" si="2"/>
        <v>1.036</v>
      </c>
      <c r="Q35" s="251">
        <f t="shared" si="3"/>
        <v>17106.420860438986</v>
      </c>
      <c r="R35" s="305">
        <f t="shared" si="4"/>
        <v>20106.420860438986</v>
      </c>
      <c r="S35" s="290">
        <f t="shared" si="12"/>
        <v>2</v>
      </c>
      <c r="T35" s="46">
        <f t="shared" si="13"/>
        <v>8.2880000000000003</v>
      </c>
      <c r="U35" s="9"/>
      <c r="X35" s="4"/>
    </row>
    <row r="36" spans="1:24" ht="17.399999999999999" x14ac:dyDescent="0.3">
      <c r="B36" s="430">
        <v>2</v>
      </c>
      <c r="C36" s="434" t="s">
        <v>294</v>
      </c>
      <c r="D36" s="431">
        <v>0.9</v>
      </c>
      <c r="E36" s="431">
        <v>0.57799999999999996</v>
      </c>
      <c r="F36" s="430" t="s">
        <v>295</v>
      </c>
      <c r="G36" s="432">
        <f t="shared" si="0"/>
        <v>36336.944017679969</v>
      </c>
      <c r="H36" s="432">
        <f t="shared" si="11"/>
        <v>72673.888035359938</v>
      </c>
      <c r="I36" s="306"/>
      <c r="J36" s="264"/>
      <c r="K36" s="47"/>
      <c r="L36" s="47">
        <f t="shared" si="6"/>
        <v>2</v>
      </c>
      <c r="M36" s="39">
        <f t="shared" si="7"/>
        <v>0.92</v>
      </c>
      <c r="N36" s="39">
        <f t="shared" si="8"/>
        <v>0.59799999999999998</v>
      </c>
      <c r="O36" s="260">
        <f t="shared" si="1"/>
        <v>0.55015999999999998</v>
      </c>
      <c r="P36" s="258">
        <f t="shared" si="2"/>
        <v>1.10032</v>
      </c>
      <c r="Q36" s="251">
        <f t="shared" si="3"/>
        <v>36336.944017679969</v>
      </c>
      <c r="R36" s="305">
        <f t="shared" si="4"/>
        <v>39336.944017679969</v>
      </c>
      <c r="S36" s="290">
        <f t="shared" si="12"/>
        <v>1.84</v>
      </c>
      <c r="T36" s="46">
        <f t="shared" si="13"/>
        <v>4.7839999999999998</v>
      </c>
      <c r="U36" s="9"/>
      <c r="X36" s="4"/>
    </row>
    <row r="37" spans="1:24" ht="17.399999999999999" x14ac:dyDescent="0.3">
      <c r="B37" s="430">
        <v>2</v>
      </c>
      <c r="C37" s="434" t="s">
        <v>294</v>
      </c>
      <c r="D37" s="431">
        <v>1.3979999999999999</v>
      </c>
      <c r="E37" s="431">
        <v>0.57799999999999996</v>
      </c>
      <c r="F37" s="430" t="s">
        <v>295</v>
      </c>
      <c r="G37" s="432">
        <f t="shared" si="0"/>
        <v>56006.28980116325</v>
      </c>
      <c r="H37" s="432">
        <f t="shared" si="11"/>
        <v>112012.5796023265</v>
      </c>
      <c r="I37" s="306"/>
      <c r="J37" s="264"/>
      <c r="K37" s="47"/>
      <c r="L37" s="47">
        <f t="shared" si="6"/>
        <v>2</v>
      </c>
      <c r="M37" s="39">
        <f t="shared" si="7"/>
        <v>1.4179999999999999</v>
      </c>
      <c r="N37" s="39">
        <f t="shared" si="8"/>
        <v>0.59799999999999998</v>
      </c>
      <c r="O37" s="260">
        <f t="shared" si="1"/>
        <v>0.84796399999999994</v>
      </c>
      <c r="P37" s="258">
        <f t="shared" si="2"/>
        <v>1.6959279999999999</v>
      </c>
      <c r="Q37" s="251">
        <f t="shared" si="3"/>
        <v>56006.28980116325</v>
      </c>
      <c r="R37" s="305">
        <f t="shared" si="4"/>
        <v>59006.28980116325</v>
      </c>
      <c r="S37" s="290">
        <f t="shared" si="12"/>
        <v>2.8359999999999999</v>
      </c>
      <c r="T37" s="46">
        <f t="shared" si="13"/>
        <v>4.7839999999999998</v>
      </c>
      <c r="U37" s="9"/>
      <c r="X37" s="4"/>
    </row>
    <row r="38" spans="1:24" ht="17.399999999999999" x14ac:dyDescent="0.3">
      <c r="B38" s="430">
        <v>12</v>
      </c>
      <c r="C38" s="434" t="s">
        <v>294</v>
      </c>
      <c r="D38" s="431">
        <v>0.38</v>
      </c>
      <c r="E38" s="431">
        <v>0.56799999999999995</v>
      </c>
      <c r="F38" s="430" t="s">
        <v>295</v>
      </c>
      <c r="G38" s="432">
        <f t="shared" si="0"/>
        <v>15534.479484074322</v>
      </c>
      <c r="H38" s="432">
        <f t="shared" si="11"/>
        <v>186413.75380889187</v>
      </c>
      <c r="I38" s="306"/>
      <c r="J38" s="264"/>
      <c r="K38" s="47"/>
      <c r="L38" s="47">
        <f t="shared" si="6"/>
        <v>12</v>
      </c>
      <c r="M38" s="39">
        <f t="shared" si="7"/>
        <v>0.4</v>
      </c>
      <c r="N38" s="39">
        <f t="shared" si="8"/>
        <v>0.58799999999999997</v>
      </c>
      <c r="O38" s="260">
        <f t="shared" si="1"/>
        <v>0.23519999999999999</v>
      </c>
      <c r="P38" s="258">
        <f t="shared" si="2"/>
        <v>2.8224</v>
      </c>
      <c r="Q38" s="251">
        <f t="shared" si="3"/>
        <v>15534.479484074322</v>
      </c>
      <c r="R38" s="305">
        <f t="shared" si="4"/>
        <v>18534.47948407432</v>
      </c>
      <c r="S38" s="290">
        <f t="shared" ref="S38" si="14">M38*L38</f>
        <v>4.8000000000000007</v>
      </c>
      <c r="T38" s="46">
        <f t="shared" ref="T38" si="15">N38*2*L38*2</f>
        <v>28.223999999999997</v>
      </c>
      <c r="U38" s="9"/>
      <c r="X38" s="4"/>
    </row>
    <row r="39" spans="1:24" ht="17.399999999999999" x14ac:dyDescent="0.3">
      <c r="B39" s="283"/>
      <c r="C39" s="325"/>
      <c r="D39" s="284"/>
      <c r="E39" s="284"/>
      <c r="F39" s="283"/>
      <c r="G39" s="306"/>
      <c r="H39" s="306"/>
      <c r="I39" s="306"/>
      <c r="J39" s="264"/>
      <c r="K39" s="47"/>
      <c r="L39" s="47"/>
      <c r="M39" s="39"/>
      <c r="N39" s="39"/>
      <c r="O39" s="260"/>
      <c r="P39" s="258"/>
      <c r="Q39" s="251"/>
      <c r="R39" s="305"/>
      <c r="S39" s="290"/>
      <c r="T39" s="46"/>
      <c r="U39" s="9"/>
      <c r="X39" s="4"/>
    </row>
    <row r="40" spans="1:24" ht="18" thickBot="1" x14ac:dyDescent="0.35">
      <c r="B40" s="283"/>
      <c r="C40" s="325"/>
      <c r="D40" s="284"/>
      <c r="E40" s="284"/>
      <c r="F40" s="283"/>
      <c r="G40" s="264"/>
      <c r="H40" s="307"/>
      <c r="I40" s="309"/>
      <c r="J40" s="233"/>
      <c r="K40" s="47"/>
      <c r="L40" s="47"/>
      <c r="M40" s="39"/>
      <c r="N40" s="39"/>
      <c r="O40" s="260"/>
      <c r="P40" s="258"/>
      <c r="Q40" s="251"/>
      <c r="R40" s="257"/>
      <c r="S40" s="290"/>
      <c r="T40" s="14"/>
      <c r="U40" s="9"/>
      <c r="X40" s="4"/>
    </row>
    <row r="41" spans="1:24" ht="17.399999999999999" x14ac:dyDescent="0.3">
      <c r="B41" s="283"/>
      <c r="C41" s="283"/>
      <c r="D41" s="284"/>
      <c r="E41" s="284"/>
      <c r="F41" s="283"/>
      <c r="G41" s="310" t="s">
        <v>28</v>
      </c>
      <c r="H41" s="311">
        <f>SUM(H21:H38)</f>
        <v>2628534.3215999999</v>
      </c>
      <c r="I41" s="308"/>
      <c r="J41" s="264"/>
      <c r="K41" s="47"/>
      <c r="L41" s="47"/>
      <c r="M41" s="39"/>
      <c r="N41" s="39"/>
      <c r="O41" s="260"/>
      <c r="P41" s="258"/>
      <c r="Q41" s="251"/>
      <c r="R41" s="257"/>
      <c r="S41" s="290"/>
      <c r="T41" s="46">
        <f>SUM(T21:T38)</f>
        <v>159.196</v>
      </c>
      <c r="U41" s="9"/>
      <c r="X41" s="4"/>
    </row>
    <row r="42" spans="1:24" ht="17.399999999999999" x14ac:dyDescent="0.3">
      <c r="B42" s="277"/>
      <c r="C42" s="280"/>
      <c r="D42" s="281"/>
      <c r="E42" s="281"/>
      <c r="F42" s="282"/>
      <c r="G42" s="289" t="s">
        <v>51</v>
      </c>
      <c r="H42" s="287">
        <f>H41*19%</f>
        <v>499421.52110399998</v>
      </c>
      <c r="I42" s="308"/>
      <c r="J42" s="264"/>
      <c r="K42" s="47"/>
      <c r="L42" s="47"/>
      <c r="M42" s="39">
        <f>SUM(M21:M41)</f>
        <v>18.231999999999996</v>
      </c>
      <c r="N42" s="12"/>
      <c r="O42" s="12"/>
      <c r="P42" s="252">
        <f>SUM(P21:P40)</f>
        <v>39.797360000000005</v>
      </c>
      <c r="Q42" s="14"/>
      <c r="R42" s="12"/>
      <c r="S42" s="239"/>
      <c r="T42" s="46"/>
      <c r="U42" s="9"/>
      <c r="X42" s="4"/>
    </row>
    <row r="43" spans="1:24" ht="18" thickBot="1" x14ac:dyDescent="0.35">
      <c r="B43" s="274"/>
      <c r="C43" s="279"/>
      <c r="D43" s="271"/>
      <c r="E43" s="271"/>
      <c r="F43" s="272"/>
      <c r="G43" s="278" t="s">
        <v>6</v>
      </c>
      <c r="H43" s="288">
        <f>H41+H42</f>
        <v>3127955.842704</v>
      </c>
      <c r="I43" s="308"/>
      <c r="J43" s="264"/>
      <c r="K43" s="47"/>
      <c r="L43" s="47"/>
      <c r="M43" s="39"/>
      <c r="N43" s="12"/>
      <c r="O43" s="12"/>
      <c r="P43" s="252">
        <f>P42</f>
        <v>39.797360000000005</v>
      </c>
      <c r="Q43" s="14"/>
      <c r="R43" s="12"/>
      <c r="S43" s="239">
        <f>SUM(S21:S42)</f>
        <v>91.852000000000004</v>
      </c>
      <c r="T43" s="46"/>
      <c r="U43" s="9"/>
      <c r="X43" s="4"/>
    </row>
    <row r="44" spans="1:24" ht="17.399999999999999" x14ac:dyDescent="0.3">
      <c r="B44" s="274"/>
      <c r="C44" s="270"/>
      <c r="D44" s="271"/>
      <c r="E44" s="271"/>
      <c r="F44" s="272"/>
      <c r="J44" s="264"/>
      <c r="K44" s="47"/>
      <c r="L44" s="47"/>
      <c r="M44" s="14"/>
      <c r="N44" s="12"/>
      <c r="O44" s="12"/>
      <c r="P44" s="39">
        <f>P43*20%</f>
        <v>7.9594720000000017</v>
      </c>
      <c r="Q44" s="39" t="s">
        <v>129</v>
      </c>
      <c r="R44" s="42"/>
      <c r="S44" s="240">
        <f>S43+T41</f>
        <v>251.048</v>
      </c>
      <c r="T44" s="14"/>
      <c r="U44" s="9"/>
      <c r="X44" s="4"/>
    </row>
    <row r="45" spans="1:24" ht="17.399999999999999" x14ac:dyDescent="0.35">
      <c r="B45" s="268"/>
      <c r="C45" s="230"/>
      <c r="D45" s="230"/>
      <c r="E45" s="233"/>
      <c r="F45" s="234"/>
      <c r="G45" s="230"/>
      <c r="H45" s="273"/>
      <c r="I45" s="273"/>
      <c r="J45" s="264"/>
      <c r="K45" s="47"/>
      <c r="L45" s="47"/>
      <c r="M45" s="14"/>
      <c r="N45" s="12"/>
      <c r="O45" s="12"/>
      <c r="P45" s="46">
        <f>P43+P44</f>
        <v>47.756832000000003</v>
      </c>
      <c r="Q45" s="14"/>
      <c r="R45" s="14"/>
      <c r="S45" s="238">
        <f>S44*20%</f>
        <v>50.209600000000002</v>
      </c>
      <c r="T45" s="14"/>
      <c r="U45" s="9"/>
      <c r="X45" s="4"/>
    </row>
    <row r="46" spans="1:24" ht="17.399999999999999" x14ac:dyDescent="0.35">
      <c r="B46" s="235"/>
      <c r="C46" s="236"/>
      <c r="D46" s="237"/>
      <c r="E46" s="235"/>
      <c r="F46" s="230"/>
      <c r="G46" s="230"/>
      <c r="I46" s="273"/>
      <c r="J46" s="264"/>
      <c r="K46" s="47"/>
      <c r="L46" s="47"/>
      <c r="M46" s="14"/>
      <c r="N46" s="14"/>
      <c r="O46" s="14"/>
      <c r="P46" s="14"/>
      <c r="Q46" s="14"/>
      <c r="R46" s="14"/>
      <c r="S46" s="240">
        <f>S44+S45</f>
        <v>301.25760000000002</v>
      </c>
      <c r="T46" s="14"/>
      <c r="U46" s="294" t="s">
        <v>21</v>
      </c>
      <c r="V46" s="291" t="s">
        <v>149</v>
      </c>
      <c r="W46" s="295">
        <v>44971</v>
      </c>
      <c r="X46" s="296"/>
    </row>
    <row r="47" spans="1:24" ht="17.399999999999999" x14ac:dyDescent="0.35">
      <c r="B47" s="230"/>
      <c r="C47" s="230"/>
      <c r="D47" s="230"/>
      <c r="E47" s="230"/>
      <c r="F47" s="230"/>
      <c r="G47" s="230"/>
      <c r="J47" s="264"/>
      <c r="K47" s="47"/>
      <c r="L47" s="47"/>
      <c r="M47" s="39">
        <f>P45</f>
        <v>47.756832000000003</v>
      </c>
      <c r="N47" s="12">
        <v>4000</v>
      </c>
      <c r="O47" s="12">
        <f t="shared" ref="O47:O52" si="16">M47*N47</f>
        <v>191027.32800000001</v>
      </c>
      <c r="P47" s="14" t="s">
        <v>21</v>
      </c>
      <c r="Q47" s="14"/>
      <c r="R47" s="14"/>
      <c r="S47" s="241"/>
      <c r="T47" s="14"/>
      <c r="U47" s="294" t="s">
        <v>150</v>
      </c>
      <c r="V47" s="291">
        <v>3625</v>
      </c>
      <c r="W47" s="59" t="s">
        <v>151</v>
      </c>
      <c r="X47" s="296"/>
    </row>
    <row r="48" spans="1:24" ht="17.399999999999999" x14ac:dyDescent="0.35">
      <c r="A48" s="230"/>
      <c r="B48" s="230"/>
      <c r="C48" s="230"/>
      <c r="D48" s="230"/>
      <c r="E48" s="230"/>
      <c r="F48" s="230"/>
      <c r="G48" s="230"/>
      <c r="H48" s="230"/>
      <c r="J48" s="264"/>
      <c r="K48" s="47"/>
      <c r="L48" s="47"/>
      <c r="M48" s="248">
        <v>13</v>
      </c>
      <c r="N48" s="12">
        <v>37000</v>
      </c>
      <c r="O48" s="12">
        <f t="shared" si="16"/>
        <v>481000</v>
      </c>
      <c r="P48" s="39" t="s">
        <v>31</v>
      </c>
      <c r="Q48" s="42"/>
      <c r="R48" s="14"/>
      <c r="S48" s="240"/>
      <c r="T48" s="14"/>
      <c r="U48" s="294"/>
      <c r="V48" s="59">
        <v>906.25</v>
      </c>
      <c r="W48" s="59" t="s">
        <v>152</v>
      </c>
      <c r="X48" s="296"/>
    </row>
    <row r="49" spans="1:24" s="230" customFormat="1" ht="17.399999999999999" x14ac:dyDescent="0.35">
      <c r="B49" s="24" t="s">
        <v>148</v>
      </c>
      <c r="J49" s="261"/>
      <c r="K49" s="232"/>
      <c r="L49" s="249"/>
      <c r="M49" s="14">
        <v>3</v>
      </c>
      <c r="N49" s="249">
        <v>32090</v>
      </c>
      <c r="O49" s="12">
        <f t="shared" si="16"/>
        <v>96270</v>
      </c>
      <c r="P49" s="39" t="s">
        <v>296</v>
      </c>
      <c r="Q49" s="42"/>
      <c r="S49" s="240"/>
      <c r="T49" s="255"/>
      <c r="U49" s="59"/>
      <c r="V49" s="59">
        <f>V48*20%</f>
        <v>181.25</v>
      </c>
      <c r="W49" s="296" t="s">
        <v>153</v>
      </c>
      <c r="X49" s="59"/>
    </row>
    <row r="50" spans="1:24" s="230" customFormat="1" ht="17.399999999999999" x14ac:dyDescent="0.35">
      <c r="B50" s="24" t="s">
        <v>162</v>
      </c>
      <c r="C50"/>
      <c r="D50"/>
      <c r="E50"/>
      <c r="F50"/>
      <c r="J50" s="261"/>
      <c r="K50" s="232"/>
      <c r="L50" s="249"/>
      <c r="M50" s="14">
        <v>13</v>
      </c>
      <c r="N50" s="249">
        <v>32807</v>
      </c>
      <c r="O50" s="12">
        <f t="shared" si="16"/>
        <v>426491</v>
      </c>
      <c r="P50" s="14" t="s">
        <v>139</v>
      </c>
      <c r="Q50" s="17"/>
      <c r="S50" s="238"/>
      <c r="T50" s="255"/>
      <c r="U50" s="59"/>
      <c r="V50" s="59">
        <f>V48+V49</f>
        <v>1087.5</v>
      </c>
      <c r="W50" s="296" t="s">
        <v>154</v>
      </c>
      <c r="X50" s="59"/>
    </row>
    <row r="51" spans="1:24" s="230" customFormat="1" ht="17.399999999999999" x14ac:dyDescent="0.35">
      <c r="A51" s="230" t="s">
        <v>283</v>
      </c>
      <c r="B51" s="29" t="s">
        <v>124</v>
      </c>
      <c r="C51"/>
      <c r="D51"/>
      <c r="E51"/>
      <c r="F51" s="229" t="s">
        <v>15</v>
      </c>
      <c r="J51" s="261"/>
      <c r="K51" s="259"/>
      <c r="L51" s="249"/>
      <c r="M51" s="248"/>
      <c r="N51" s="249">
        <v>900</v>
      </c>
      <c r="O51" s="12">
        <f t="shared" si="16"/>
        <v>0</v>
      </c>
      <c r="P51" s="14" t="s">
        <v>32</v>
      </c>
      <c r="Q51" s="14"/>
      <c r="R51" s="230">
        <v>1.52</v>
      </c>
      <c r="S51" s="238"/>
      <c r="T51" s="238"/>
    </row>
    <row r="52" spans="1:24" s="230" customFormat="1" ht="17.399999999999999" x14ac:dyDescent="0.35">
      <c r="J52" s="286"/>
      <c r="K52" s="259"/>
      <c r="L52" s="249"/>
      <c r="M52" s="265"/>
      <c r="N52" s="12">
        <v>2000</v>
      </c>
      <c r="O52" s="12">
        <f t="shared" si="16"/>
        <v>0</v>
      </c>
      <c r="P52" s="14" t="s">
        <v>22</v>
      </c>
      <c r="Q52" s="14"/>
      <c r="R52">
        <v>2.44</v>
      </c>
      <c r="S52"/>
      <c r="T52" s="238"/>
      <c r="X52" s="231"/>
    </row>
    <row r="53" spans="1:24" s="230" customFormat="1" ht="17.399999999999999" x14ac:dyDescent="0.35">
      <c r="K53" s="259"/>
      <c r="L53" s="249"/>
      <c r="M53" s="14"/>
      <c r="N53" s="12"/>
      <c r="O53" s="12">
        <f>SUM(O47:O52)</f>
        <v>1194788.328</v>
      </c>
      <c r="P53" s="39" t="s">
        <v>23</v>
      </c>
      <c r="Q53" s="14"/>
      <c r="R53">
        <f>R51*R52</f>
        <v>3.7088000000000001</v>
      </c>
      <c r="S53"/>
      <c r="T53" s="238"/>
      <c r="X53" s="231"/>
    </row>
    <row r="54" spans="1:24" s="230" customFormat="1" ht="17.399999999999999" x14ac:dyDescent="0.35">
      <c r="L54" s="249"/>
      <c r="M54" s="253" t="s">
        <v>33</v>
      </c>
      <c r="N54" s="12"/>
      <c r="O54" s="254">
        <f>O53*2.2</f>
        <v>2628534.3216000004</v>
      </c>
      <c r="P54" s="14" t="s">
        <v>138</v>
      </c>
      <c r="Q54" s="14"/>
      <c r="R54" s="40">
        <f>P45/R53</f>
        <v>12.876626402070752</v>
      </c>
      <c r="S54"/>
      <c r="T54" s="256"/>
    </row>
    <row r="55" spans="1:24" s="230" customFormat="1" ht="17.399999999999999" x14ac:dyDescent="0.35">
      <c r="G55"/>
      <c r="H55" s="259"/>
      <c r="I55" s="259"/>
      <c r="J55" s="259"/>
      <c r="K55" s="230">
        <v>42800</v>
      </c>
      <c r="L55" s="249"/>
      <c r="M55" s="14"/>
      <c r="N55" s="12"/>
      <c r="O55" s="12">
        <f>O54/P43</f>
        <v>66047.95699011191</v>
      </c>
      <c r="P55" s="45" t="s">
        <v>24</v>
      </c>
      <c r="Q55" s="14"/>
      <c r="R55" s="14"/>
      <c r="S55"/>
      <c r="T55" s="238"/>
      <c r="U55" s="59" t="s">
        <v>155</v>
      </c>
      <c r="V55" s="291">
        <v>43650</v>
      </c>
    </row>
    <row r="56" spans="1:24" s="230" customFormat="1" ht="17.399999999999999" x14ac:dyDescent="0.35">
      <c r="G56"/>
      <c r="K56" s="230">
        <f>K55/1.19</f>
        <v>35966.386554621851</v>
      </c>
      <c r="L56" s="249"/>
      <c r="M56" s="13"/>
      <c r="N56" s="14"/>
      <c r="O56" s="17">
        <f>O54/O53</f>
        <v>2.2000000000000002</v>
      </c>
      <c r="P56" s="15"/>
      <c r="Q56"/>
      <c r="R56"/>
      <c r="S56"/>
      <c r="T56" s="238"/>
      <c r="U56" s="59" t="s">
        <v>157</v>
      </c>
      <c r="V56" s="292" t="s">
        <v>156</v>
      </c>
      <c r="W56" s="59">
        <v>2.4</v>
      </c>
    </row>
    <row r="57" spans="1:24" s="230" customFormat="1" ht="17.399999999999999" x14ac:dyDescent="0.35">
      <c r="G57" s="23"/>
      <c r="L57" s="12"/>
      <c r="T57" s="238"/>
      <c r="U57" s="59" t="s">
        <v>158</v>
      </c>
      <c r="V57" s="293">
        <v>395.37</v>
      </c>
    </row>
    <row r="58" spans="1:24" s="230" customFormat="1" ht="17.399999999999999" x14ac:dyDescent="0.35">
      <c r="B58"/>
      <c r="C58" s="228"/>
      <c r="D58" s="22"/>
      <c r="E58" s="22"/>
      <c r="F58" s="21"/>
      <c r="G58" s="23"/>
      <c r="L58" s="12"/>
      <c r="T58" s="238"/>
      <c r="U58" s="59" t="s">
        <v>153</v>
      </c>
      <c r="V58" s="59">
        <v>474.45</v>
      </c>
    </row>
    <row r="59" spans="1:24" ht="14.4" customHeight="1" x14ac:dyDescent="0.3">
      <c r="L59" s="12"/>
      <c r="U59" s="59"/>
      <c r="V59" s="59"/>
    </row>
    <row r="60" spans="1:24" x14ac:dyDescent="0.3">
      <c r="L60" s="249"/>
    </row>
    <row r="61" spans="1:24" x14ac:dyDescent="0.3">
      <c r="L61" s="249"/>
      <c r="T61" s="269"/>
    </row>
    <row r="62" spans="1:24" x14ac:dyDescent="0.3">
      <c r="L62" s="249"/>
    </row>
    <row r="63" spans="1:24" ht="15" customHeight="1" x14ac:dyDescent="0.3"/>
    <row r="65" spans="15:20" x14ac:dyDescent="0.3">
      <c r="O65">
        <v>40935</v>
      </c>
      <c r="P65" t="s">
        <v>16</v>
      </c>
      <c r="Q65" t="s">
        <v>26</v>
      </c>
    </row>
    <row r="67" spans="15:20" x14ac:dyDescent="0.3">
      <c r="O67" s="54"/>
      <c r="P67" s="54"/>
    </row>
    <row r="68" spans="15:20" x14ac:dyDescent="0.3">
      <c r="S68" s="18"/>
      <c r="T68" s="18"/>
    </row>
    <row r="69" spans="15:20" x14ac:dyDescent="0.3">
      <c r="S69" s="18"/>
      <c r="T69" s="18"/>
    </row>
    <row r="70" spans="15:20" x14ac:dyDescent="0.3">
      <c r="S70" s="18"/>
      <c r="T70" s="18"/>
    </row>
    <row r="71" spans="15:20" x14ac:dyDescent="0.3">
      <c r="S71" s="18"/>
      <c r="T71" s="18"/>
    </row>
    <row r="72" spans="15:20" x14ac:dyDescent="0.3">
      <c r="S72" s="18"/>
      <c r="T72" s="18"/>
    </row>
    <row r="73" spans="15:20" x14ac:dyDescent="0.3">
      <c r="S73" s="18"/>
      <c r="T73" s="18"/>
    </row>
    <row r="74" spans="15:20" x14ac:dyDescent="0.3">
      <c r="S74" s="18"/>
      <c r="T74" s="18"/>
    </row>
    <row r="75" spans="15:20" x14ac:dyDescent="0.3">
      <c r="S75" s="18"/>
      <c r="T75" s="18"/>
    </row>
    <row r="76" spans="15:20" x14ac:dyDescent="0.3">
      <c r="S76" s="18"/>
      <c r="T76" s="18"/>
    </row>
    <row r="79" spans="15:20" x14ac:dyDescent="0.3">
      <c r="O79" s="43"/>
    </row>
    <row r="80" spans="15:20" x14ac:dyDescent="0.3">
      <c r="O80" s="43"/>
    </row>
    <row r="81" spans="3:15" x14ac:dyDescent="0.3">
      <c r="O81" s="6"/>
    </row>
    <row r="82" spans="3:15" x14ac:dyDescent="0.3">
      <c r="O82" s="6"/>
    </row>
    <row r="90" spans="3:15" x14ac:dyDescent="0.3">
      <c r="C90" t="s">
        <v>145</v>
      </c>
    </row>
    <row r="91" spans="3:15" x14ac:dyDescent="0.3">
      <c r="C91" t="s">
        <v>144</v>
      </c>
    </row>
    <row r="94" spans="3:15" x14ac:dyDescent="0.3">
      <c r="C94" t="s">
        <v>144</v>
      </c>
    </row>
    <row r="171" spans="3:3" x14ac:dyDescent="0.3">
      <c r="C171" t="s">
        <v>144</v>
      </c>
    </row>
    <row r="172" spans="3:3" x14ac:dyDescent="0.3">
      <c r="C172" t="s">
        <v>146</v>
      </c>
    </row>
    <row r="173" spans="3:3" x14ac:dyDescent="0.3">
      <c r="C173" t="s">
        <v>147</v>
      </c>
    </row>
    <row r="598" spans="3:3" x14ac:dyDescent="0.3">
      <c r="C598" t="s">
        <v>144</v>
      </c>
    </row>
  </sheetData>
  <mergeCells count="1">
    <mergeCell ref="B19:H19"/>
  </mergeCells>
  <hyperlinks>
    <hyperlink ref="F51" r:id="rId1" xr:uid="{21A078A6-4869-4ED2-9DF5-D19D94BA91B5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opLeftCell="D1" zoomScale="93" zoomScaleNormal="93" workbookViewId="0">
      <selection activeCell="H9" sqref="H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288</v>
      </c>
      <c r="D10" s="243"/>
      <c r="E10" s="243"/>
      <c r="F10" s="418" t="s">
        <v>277</v>
      </c>
      <c r="G10" s="275">
        <v>46137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 t="s">
        <v>289</v>
      </c>
      <c r="F11" s="29" t="s">
        <v>286</v>
      </c>
      <c r="G11" s="421" t="s">
        <v>290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291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/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9" t="s">
        <v>95</v>
      </c>
      <c r="C19" s="450"/>
      <c r="D19" s="450"/>
      <c r="E19" s="450"/>
      <c r="F19" s="450"/>
      <c r="G19" s="450"/>
      <c r="H19" s="451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O41</f>
        <v>99211.223226068425</v>
      </c>
      <c r="R20" s="257">
        <v>3000</v>
      </c>
      <c r="S20" s="38"/>
      <c r="T20" s="14" t="s">
        <v>127</v>
      </c>
      <c r="U20" s="9"/>
      <c r="X20" s="4"/>
    </row>
    <row r="21" spans="2:25" ht="18" thickBot="1" x14ac:dyDescent="0.35">
      <c r="B21" s="312">
        <v>1</v>
      </c>
      <c r="C21" s="435" t="s">
        <v>293</v>
      </c>
      <c r="D21" s="436">
        <v>2.0099999999999998</v>
      </c>
      <c r="E21" s="436">
        <v>0.6</v>
      </c>
      <c r="F21" s="313" t="s">
        <v>292</v>
      </c>
      <c r="G21" s="314">
        <f>Q21</f>
        <v>124410.87392548978</v>
      </c>
      <c r="H21" s="437">
        <f>G21*B21</f>
        <v>124410.87392548978</v>
      </c>
      <c r="I21" s="306"/>
      <c r="J21" s="264"/>
      <c r="K21" s="47"/>
      <c r="L21" s="47">
        <f>B21</f>
        <v>1</v>
      </c>
      <c r="M21" s="39">
        <f>D21+M$19</f>
        <v>2.09</v>
      </c>
      <c r="N21" s="39">
        <f>E21+$N$19</f>
        <v>0.6</v>
      </c>
      <c r="O21" s="260">
        <f t="shared" ref="O21" si="0">M21*N21</f>
        <v>1.2539999999999998</v>
      </c>
      <c r="P21" s="258">
        <f t="shared" ref="P21" si="1">O21*L21</f>
        <v>1.2539999999999998</v>
      </c>
      <c r="Q21" s="251">
        <f t="shared" ref="Q21" si="2">Q$20*O21</f>
        <v>124410.87392548978</v>
      </c>
      <c r="R21" s="305">
        <f t="shared" ref="R21" si="3">Q21+R$20</f>
        <v>127410.87392548978</v>
      </c>
      <c r="S21" s="290">
        <f>M21*L21</f>
        <v>2.09</v>
      </c>
      <c r="T21" s="46">
        <f>N21*2*L21*2</f>
        <v>2.4</v>
      </c>
      <c r="U21" s="9"/>
      <c r="X21" s="4"/>
    </row>
    <row r="22" spans="2:25" ht="18" thickBot="1" x14ac:dyDescent="0.35">
      <c r="B22" s="438">
        <v>1</v>
      </c>
      <c r="C22" s="435" t="s">
        <v>293</v>
      </c>
      <c r="D22" s="431">
        <v>2.0699999999999998</v>
      </c>
      <c r="E22" s="431">
        <v>0.55000000000000004</v>
      </c>
      <c r="F22" s="313" t="s">
        <v>292</v>
      </c>
      <c r="G22" s="432">
        <f>Q22</f>
        <v>117317.27146482593</v>
      </c>
      <c r="H22" s="439">
        <f t="shared" ref="H22:H23" si="4">G22*B22</f>
        <v>117317.27146482593</v>
      </c>
      <c r="I22" s="306"/>
      <c r="J22" s="264"/>
      <c r="K22" s="47"/>
      <c r="L22" s="47">
        <f t="shared" ref="L22:L24" si="5">B22</f>
        <v>1</v>
      </c>
      <c r="M22" s="39">
        <f t="shared" ref="M22:M23" si="6">D22+M$19</f>
        <v>2.15</v>
      </c>
      <c r="N22" s="39">
        <f t="shared" ref="N22:N23" si="7">E22+$N$19</f>
        <v>0.55000000000000004</v>
      </c>
      <c r="O22" s="260">
        <f t="shared" ref="O22:O23" si="8">M22*N22</f>
        <v>1.1825000000000001</v>
      </c>
      <c r="P22" s="258">
        <f t="shared" ref="P22:P23" si="9">O22*L22</f>
        <v>1.1825000000000001</v>
      </c>
      <c r="Q22" s="251">
        <f t="shared" ref="Q22:Q23" si="10">Q$20*O22</f>
        <v>117317.27146482593</v>
      </c>
      <c r="R22" s="305">
        <f t="shared" ref="R22:R23" si="11">Q22+R$20</f>
        <v>120317.27146482593</v>
      </c>
      <c r="S22" s="290">
        <f t="shared" ref="S22:S23" si="12">M22*L22</f>
        <v>2.15</v>
      </c>
      <c r="T22" s="46">
        <f t="shared" ref="T22:T23" si="13">N22*2*L22*2</f>
        <v>2.2000000000000002</v>
      </c>
      <c r="U22" s="9"/>
      <c r="X22" s="4"/>
    </row>
    <row r="23" spans="2:25" ht="18" thickBot="1" x14ac:dyDescent="0.35">
      <c r="B23" s="438">
        <v>1</v>
      </c>
      <c r="C23" s="435" t="s">
        <v>293</v>
      </c>
      <c r="D23" s="431">
        <v>1.88</v>
      </c>
      <c r="E23" s="431">
        <v>0.5</v>
      </c>
      <c r="F23" s="313" t="s">
        <v>292</v>
      </c>
      <c r="G23" s="432">
        <f>Q23</f>
        <v>97226.99876154706</v>
      </c>
      <c r="H23" s="439">
        <f t="shared" si="4"/>
        <v>97226.99876154706</v>
      </c>
      <c r="I23" s="306"/>
      <c r="J23" s="264"/>
      <c r="K23" s="47"/>
      <c r="L23" s="47">
        <f t="shared" si="5"/>
        <v>1</v>
      </c>
      <c r="M23" s="39">
        <f t="shared" si="6"/>
        <v>1.96</v>
      </c>
      <c r="N23" s="39">
        <f t="shared" si="7"/>
        <v>0.5</v>
      </c>
      <c r="O23" s="260">
        <f t="shared" si="8"/>
        <v>0.98</v>
      </c>
      <c r="P23" s="258">
        <f t="shared" si="9"/>
        <v>0.98</v>
      </c>
      <c r="Q23" s="251">
        <f t="shared" si="10"/>
        <v>97226.99876154706</v>
      </c>
      <c r="R23" s="305">
        <f t="shared" si="11"/>
        <v>100226.99876154706</v>
      </c>
      <c r="S23" s="290">
        <f t="shared" si="12"/>
        <v>1.96</v>
      </c>
      <c r="T23" s="46">
        <f t="shared" si="13"/>
        <v>2</v>
      </c>
      <c r="U23" s="9"/>
      <c r="X23" s="4"/>
    </row>
    <row r="24" spans="2:25" ht="18" thickBot="1" x14ac:dyDescent="0.35">
      <c r="B24" s="440">
        <v>1</v>
      </c>
      <c r="C24" s="435" t="s">
        <v>293</v>
      </c>
      <c r="D24" s="441">
        <v>2.4350000000000001</v>
      </c>
      <c r="E24" s="441">
        <v>0.6</v>
      </c>
      <c r="F24" s="313" t="s">
        <v>292</v>
      </c>
      <c r="G24" s="432">
        <f>Q24</f>
        <v>149709.73584813726</v>
      </c>
      <c r="H24" s="442">
        <f>G24*B24</f>
        <v>149709.73584813726</v>
      </c>
      <c r="I24" s="306"/>
      <c r="J24" s="264"/>
      <c r="K24" s="47"/>
      <c r="L24" s="47">
        <f t="shared" si="5"/>
        <v>1</v>
      </c>
      <c r="M24" s="39">
        <f t="shared" ref="M24" si="14">D24+M$19</f>
        <v>2.5150000000000001</v>
      </c>
      <c r="N24" s="39">
        <f t="shared" ref="N24" si="15">E24+$N$19</f>
        <v>0.6</v>
      </c>
      <c r="O24" s="260">
        <f t="shared" ref="O24" si="16">M24*N24</f>
        <v>1.5090000000000001</v>
      </c>
      <c r="P24" s="258">
        <f t="shared" ref="P24" si="17">O24*L24</f>
        <v>1.5090000000000001</v>
      </c>
      <c r="Q24" s="251">
        <f t="shared" ref="Q24" si="18">Q$20*O24</f>
        <v>149709.73584813726</v>
      </c>
      <c r="R24" s="305">
        <f t="shared" ref="R24" si="19">Q24+R$20</f>
        <v>152709.73584813726</v>
      </c>
      <c r="S24" s="290">
        <f t="shared" ref="S24" si="20">M24*L24</f>
        <v>2.5150000000000001</v>
      </c>
      <c r="T24" s="46"/>
      <c r="U24" s="9"/>
      <c r="X24" s="4"/>
    </row>
    <row r="25" spans="2:25" ht="17.399999999999999" x14ac:dyDescent="0.3">
      <c r="B25" s="283"/>
      <c r="C25" s="325"/>
      <c r="D25" s="284"/>
      <c r="E25" s="284"/>
      <c r="F25" s="283"/>
      <c r="G25" s="306"/>
      <c r="H25" s="306"/>
      <c r="I25" s="306"/>
      <c r="J25" s="264"/>
      <c r="K25" s="47"/>
      <c r="L25" s="47"/>
      <c r="M25" s="39"/>
      <c r="N25" s="39"/>
      <c r="O25" s="260"/>
      <c r="P25" s="258"/>
      <c r="Q25" s="251"/>
      <c r="R25" s="305"/>
      <c r="S25" s="290"/>
      <c r="T25" s="46"/>
      <c r="U25" s="9"/>
      <c r="X25" s="4"/>
    </row>
    <row r="26" spans="2:25" ht="18" thickBot="1" x14ac:dyDescent="0.35">
      <c r="B26" s="283"/>
      <c r="C26" s="325"/>
      <c r="D26" s="284"/>
      <c r="E26" s="284"/>
      <c r="F26" s="283"/>
      <c r="G26" s="264"/>
      <c r="H26" s="307"/>
      <c r="I26" s="309"/>
      <c r="J26" s="233"/>
      <c r="K26" s="47"/>
      <c r="L26" s="47"/>
      <c r="M26" s="39"/>
      <c r="N26" s="39"/>
      <c r="O26" s="260"/>
      <c r="P26" s="258"/>
      <c r="Q26" s="251"/>
      <c r="R26" s="257"/>
      <c r="S26" s="290"/>
      <c r="T26" s="14"/>
      <c r="U26" s="9"/>
      <c r="X26" s="4"/>
    </row>
    <row r="27" spans="2:25" ht="17.399999999999999" x14ac:dyDescent="0.3">
      <c r="B27" s="283"/>
      <c r="C27" s="283"/>
      <c r="D27" s="284"/>
      <c r="E27" s="284"/>
      <c r="F27" s="283"/>
      <c r="G27" s="310" t="s">
        <v>28</v>
      </c>
      <c r="H27" s="311">
        <f>SUM(H21:H24)</f>
        <v>488664.88</v>
      </c>
      <c r="I27" s="308"/>
      <c r="J27" s="264"/>
      <c r="K27" s="47"/>
      <c r="L27" s="47"/>
      <c r="M27" s="39"/>
      <c r="N27" s="39"/>
      <c r="O27" s="260"/>
      <c r="P27" s="258"/>
      <c r="Q27" s="251"/>
      <c r="R27" s="257"/>
      <c r="S27" s="290"/>
      <c r="T27" s="46">
        <f>SUM(T21:T24)</f>
        <v>6.6</v>
      </c>
      <c r="U27" s="9"/>
      <c r="X27" s="4"/>
    </row>
    <row r="28" spans="2:25" ht="17.399999999999999" x14ac:dyDescent="0.3">
      <c r="B28" s="277"/>
      <c r="C28" s="280"/>
      <c r="D28" s="281"/>
      <c r="E28" s="281"/>
      <c r="F28" s="282"/>
      <c r="G28" s="289" t="s">
        <v>51</v>
      </c>
      <c r="H28" s="287">
        <f>H27*19%</f>
        <v>92846.3272</v>
      </c>
      <c r="I28" s="308"/>
      <c r="J28" s="264"/>
      <c r="K28" s="47"/>
      <c r="L28" s="47"/>
      <c r="M28" s="39">
        <f>SUM(M21:M27)</f>
        <v>8.7149999999999999</v>
      </c>
      <c r="N28" s="12"/>
      <c r="O28" s="12"/>
      <c r="P28" s="252">
        <f>SUM(P21:P26)</f>
        <v>4.9254999999999995</v>
      </c>
      <c r="Q28" s="14"/>
      <c r="R28" s="12"/>
      <c r="S28" s="239"/>
      <c r="T28" s="46"/>
      <c r="U28" s="9"/>
      <c r="X28" s="4"/>
    </row>
    <row r="29" spans="2:25" ht="18" thickBot="1" x14ac:dyDescent="0.35">
      <c r="B29" s="274"/>
      <c r="C29" s="279"/>
      <c r="D29" s="271"/>
      <c r="E29" s="271"/>
      <c r="F29" s="272"/>
      <c r="G29" s="278" t="s">
        <v>6</v>
      </c>
      <c r="H29" s="288">
        <f>H27+H28</f>
        <v>581511.20720000006</v>
      </c>
      <c r="I29" s="308"/>
      <c r="J29" s="264"/>
      <c r="K29" s="47"/>
      <c r="L29" s="47"/>
      <c r="M29" s="39"/>
      <c r="N29" s="12"/>
      <c r="O29" s="12"/>
      <c r="P29" s="252">
        <f>P28</f>
        <v>4.9254999999999995</v>
      </c>
      <c r="Q29" s="14"/>
      <c r="R29" s="12"/>
      <c r="S29" s="239">
        <f>SUM(S21:S28)</f>
        <v>8.7149999999999999</v>
      </c>
      <c r="T29" s="46"/>
      <c r="U29" s="9"/>
      <c r="X29" s="4"/>
    </row>
    <row r="30" spans="2:25" ht="17.399999999999999" x14ac:dyDescent="0.3">
      <c r="B30" s="274"/>
      <c r="C30" s="270"/>
      <c r="D30" s="271"/>
      <c r="E30" s="271"/>
      <c r="F30" s="272"/>
      <c r="J30" s="264"/>
      <c r="K30" s="47"/>
      <c r="L30" s="47"/>
      <c r="M30" s="14"/>
      <c r="N30" s="12"/>
      <c r="O30" s="12"/>
      <c r="P30" s="39">
        <f>P29*20%</f>
        <v>0.98509999999999998</v>
      </c>
      <c r="Q30" s="39" t="s">
        <v>129</v>
      </c>
      <c r="R30" s="42"/>
      <c r="S30" s="240">
        <f>S29+T27</f>
        <v>15.315</v>
      </c>
      <c r="T30" s="14"/>
      <c r="U30" s="9"/>
      <c r="X30" s="4"/>
    </row>
    <row r="31" spans="2:25" ht="17.399999999999999" x14ac:dyDescent="0.35">
      <c r="B31" s="268"/>
      <c r="C31" s="230"/>
      <c r="D31" s="230"/>
      <c r="E31" s="233"/>
      <c r="F31" s="234"/>
      <c r="G31" s="230"/>
      <c r="H31" s="273"/>
      <c r="I31" s="273"/>
      <c r="J31" s="264"/>
      <c r="K31" s="47"/>
      <c r="L31" s="47"/>
      <c r="M31" s="14"/>
      <c r="N31" s="12"/>
      <c r="O31" s="12"/>
      <c r="P31" s="46">
        <f>P29+P30</f>
        <v>5.9105999999999996</v>
      </c>
      <c r="Q31" s="14"/>
      <c r="R31" s="14"/>
      <c r="S31" s="238">
        <f>S30*20%</f>
        <v>3.0630000000000002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3"/>
      <c r="J32" s="264"/>
      <c r="K32" s="47"/>
      <c r="L32" s="47"/>
      <c r="M32" s="14"/>
      <c r="N32" s="14"/>
      <c r="O32" s="14"/>
      <c r="P32" s="14"/>
      <c r="Q32" s="14"/>
      <c r="R32" s="14"/>
      <c r="S32" s="240">
        <f>S30+S31</f>
        <v>18.378</v>
      </c>
      <c r="T32" s="14"/>
      <c r="U32" s="294" t="s">
        <v>21</v>
      </c>
      <c r="V32" s="291" t="s">
        <v>149</v>
      </c>
      <c r="W32" s="295">
        <v>44971</v>
      </c>
      <c r="X32" s="296"/>
    </row>
    <row r="33" spans="1:24" ht="17.399999999999999" x14ac:dyDescent="0.35">
      <c r="B33" s="230"/>
      <c r="C33" s="230"/>
      <c r="D33" s="230"/>
      <c r="E33" s="230"/>
      <c r="F33" s="230"/>
      <c r="G33" s="230"/>
      <c r="J33" s="264"/>
      <c r="K33" s="47"/>
      <c r="L33" s="47"/>
      <c r="M33" s="39">
        <f>P31</f>
        <v>5.9105999999999996</v>
      </c>
      <c r="N33" s="12">
        <v>4000</v>
      </c>
      <c r="O33" s="12">
        <f t="shared" ref="O33:O38" si="21">M33*N33</f>
        <v>23642.399999999998</v>
      </c>
      <c r="P33" s="14" t="s">
        <v>21</v>
      </c>
      <c r="Q33" s="14"/>
      <c r="R33" s="14"/>
      <c r="S33" s="241"/>
      <c r="T33" s="14"/>
      <c r="U33" s="294" t="s">
        <v>150</v>
      </c>
      <c r="V33" s="291">
        <v>3625</v>
      </c>
      <c r="W33" s="59" t="s">
        <v>151</v>
      </c>
      <c r="X33" s="296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4"/>
      <c r="K34" s="47"/>
      <c r="L34" s="47"/>
      <c r="M34" s="248">
        <v>2</v>
      </c>
      <c r="N34" s="12">
        <v>24910</v>
      </c>
      <c r="O34" s="12">
        <f t="shared" si="21"/>
        <v>49820</v>
      </c>
      <c r="P34" s="39" t="s">
        <v>31</v>
      </c>
      <c r="Q34" s="42"/>
      <c r="R34" s="14"/>
      <c r="S34" s="240"/>
      <c r="T34" s="14"/>
      <c r="U34" s="294"/>
      <c r="V34" s="59">
        <v>906.25</v>
      </c>
      <c r="W34" s="59" t="s">
        <v>152</v>
      </c>
      <c r="X34" s="296"/>
    </row>
    <row r="35" spans="1:24" s="230" customFormat="1" ht="17.399999999999999" x14ac:dyDescent="0.35">
      <c r="B35" s="24" t="s">
        <v>148</v>
      </c>
      <c r="J35" s="261"/>
      <c r="K35" s="232"/>
      <c r="L35" s="249"/>
      <c r="M35" s="14"/>
      <c r="N35" s="249">
        <v>58860</v>
      </c>
      <c r="O35" s="12">
        <f t="shared" si="21"/>
        <v>0</v>
      </c>
      <c r="P35" s="39" t="s">
        <v>30</v>
      </c>
      <c r="Q35" s="42"/>
      <c r="S35" s="240"/>
      <c r="T35" s="255"/>
      <c r="U35" s="59"/>
      <c r="V35" s="59">
        <f>V34*20%</f>
        <v>181.25</v>
      </c>
      <c r="W35" s="296" t="s">
        <v>153</v>
      </c>
      <c r="X35" s="59"/>
    </row>
    <row r="36" spans="1:24" s="230" customFormat="1" ht="17.399999999999999" x14ac:dyDescent="0.35">
      <c r="B36" s="24" t="s">
        <v>162</v>
      </c>
      <c r="C36"/>
      <c r="D36"/>
      <c r="E36"/>
      <c r="F36"/>
      <c r="J36" s="261"/>
      <c r="K36" s="232"/>
      <c r="L36" s="249"/>
      <c r="M36" s="14">
        <v>4</v>
      </c>
      <c r="N36" s="249">
        <v>32807</v>
      </c>
      <c r="O36" s="12">
        <f t="shared" si="21"/>
        <v>131228</v>
      </c>
      <c r="P36" s="14" t="s">
        <v>139</v>
      </c>
      <c r="Q36" s="17"/>
      <c r="S36" s="238"/>
      <c r="T36" s="255"/>
      <c r="U36" s="59"/>
      <c r="V36" s="59">
        <f>V34+V35</f>
        <v>1087.5</v>
      </c>
      <c r="W36" s="296" t="s">
        <v>154</v>
      </c>
      <c r="X36" s="59"/>
    </row>
    <row r="37" spans="1:24" s="230" customFormat="1" ht="17.399999999999999" x14ac:dyDescent="0.35">
      <c r="A37" s="230" t="s">
        <v>283</v>
      </c>
      <c r="B37" s="29" t="s">
        <v>124</v>
      </c>
      <c r="C37"/>
      <c r="D37"/>
      <c r="E37"/>
      <c r="F37" s="229" t="s">
        <v>15</v>
      </c>
      <c r="J37" s="261"/>
      <c r="K37" s="259"/>
      <c r="L37" s="249"/>
      <c r="M37" s="248"/>
      <c r="N37" s="249">
        <v>900</v>
      </c>
      <c r="O37" s="12">
        <f t="shared" si="21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86"/>
      <c r="K38" s="259"/>
      <c r="L38" s="249"/>
      <c r="M38" s="265">
        <v>8.7149999999999999</v>
      </c>
      <c r="N38" s="12">
        <v>2000</v>
      </c>
      <c r="O38" s="12">
        <f t="shared" si="21"/>
        <v>17430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59"/>
      <c r="L39" s="249"/>
      <c r="M39" s="14"/>
      <c r="N39" s="12"/>
      <c r="O39" s="12">
        <f>SUM(O33:O38)</f>
        <v>222120.4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49"/>
      <c r="M40" s="253" t="s">
        <v>33</v>
      </c>
      <c r="N40" s="12"/>
      <c r="O40" s="254">
        <f>O39*2.2</f>
        <v>488664.88</v>
      </c>
      <c r="P40" s="14" t="s">
        <v>138</v>
      </c>
      <c r="Q40" s="14"/>
      <c r="R40" s="40">
        <f>P31/R39</f>
        <v>1.5936691113028472</v>
      </c>
      <c r="S40"/>
      <c r="T40" s="256"/>
    </row>
    <row r="41" spans="1:24" s="230" customFormat="1" ht="17.399999999999999" x14ac:dyDescent="0.35">
      <c r="G41"/>
      <c r="H41" s="259"/>
      <c r="I41" s="259"/>
      <c r="J41" s="259"/>
      <c r="K41" s="230">
        <v>42800</v>
      </c>
      <c r="L41" s="249"/>
      <c r="M41" s="14"/>
      <c r="N41" s="12"/>
      <c r="O41" s="12">
        <f>O40/P29</f>
        <v>99211.223226068425</v>
      </c>
      <c r="P41" s="45" t="s">
        <v>24</v>
      </c>
      <c r="Q41" s="14"/>
      <c r="R41" s="14"/>
      <c r="S41"/>
      <c r="T41" s="238"/>
      <c r="U41" s="59" t="s">
        <v>155</v>
      </c>
      <c r="V41" s="291">
        <v>43650</v>
      </c>
    </row>
    <row r="42" spans="1:24" s="230" customFormat="1" ht="17.399999999999999" x14ac:dyDescent="0.35">
      <c r="G42"/>
      <c r="K42" s="230">
        <f>K41/1.19</f>
        <v>35966.386554621851</v>
      </c>
      <c r="L42" s="249"/>
      <c r="M42" s="13"/>
      <c r="N42" s="14"/>
      <c r="O42" s="17">
        <f>O40/O39</f>
        <v>2.2000000000000002</v>
      </c>
      <c r="P42" s="15"/>
      <c r="Q42"/>
      <c r="R42"/>
      <c r="S42"/>
      <c r="T42" s="238"/>
      <c r="U42" s="59" t="s">
        <v>157</v>
      </c>
      <c r="V42" s="292" t="s">
        <v>156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158</v>
      </c>
      <c r="V43" s="293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153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49"/>
    </row>
    <row r="47" spans="1:24" x14ac:dyDescent="0.3">
      <c r="L47" s="249"/>
      <c r="T47" s="269"/>
    </row>
    <row r="48" spans="1:24" x14ac:dyDescent="0.3">
      <c r="L48" s="249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1">
    <mergeCell ref="B19:H19"/>
  </mergeCells>
  <phoneticPr fontId="32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CUBIERTAS!G10</f>
        <v>46137</v>
      </c>
    </row>
    <row r="6" spans="2:31" ht="16.2" thickBot="1" x14ac:dyDescent="0.35">
      <c r="B6" s="140" t="s">
        <v>2</v>
      </c>
      <c r="C6" s="139" t="str">
        <f>CUBIERTAS!C10</f>
        <v>ESTEBAN ALBORNOZ CABRERA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CUBIERTAS!#REF!</f>
        <v>#REF!</v>
      </c>
      <c r="D7" s="138"/>
      <c r="E7" s="138"/>
      <c r="F7" s="138"/>
      <c r="H7" s="453" t="s">
        <v>98</v>
      </c>
      <c r="I7" s="454"/>
      <c r="J7" s="454"/>
      <c r="K7" s="455"/>
      <c r="N7" s="75"/>
      <c r="O7" s="452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CUBIERTAS!D8</f>
        <v>N° 12105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52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-53037.611700120782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CUBIERTAS!H27</f>
        <v>488664.88</v>
      </c>
      <c r="E11" s="132">
        <f>D11*0.19</f>
        <v>92846.3272</v>
      </c>
      <c r="F11" s="131">
        <f>E11+D11</f>
        <v>581511.20720000006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52952.388299879218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103296.4907874396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34952.388299879218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385368.38921256037</v>
      </c>
      <c r="E13" s="221">
        <f>(D11/D12)-1</f>
        <v>3.7307016557373656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25952.388299879218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-13047.611700120782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170439.20979927533</v>
      </c>
      <c r="F15" s="216">
        <f>E15-D12</f>
        <v>67142.719011835725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-13047.611700120782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26952.388299879218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CUBIERTAS!O35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CUBIERTAS!O34</f>
        <v>49820</v>
      </c>
      <c r="E19" s="123">
        <f>D19*0.19</f>
        <v>9465.7999999999993</v>
      </c>
      <c r="F19" s="120">
        <f>SUM(D19:E19)</f>
        <v>59285.8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CUBIERTAS!O33</f>
        <v>23642.399999999998</v>
      </c>
      <c r="E20" s="121">
        <f>D20*0.19</f>
        <v>4492.0559999999996</v>
      </c>
      <c r="F20" s="120">
        <f>SUM(D20:E20)</f>
        <v>28134.455999999998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73462.399999999994</v>
      </c>
      <c r="E21" s="116">
        <f>SUM(E18:E20)</f>
        <v>13957.856</v>
      </c>
      <c r="F21" s="115">
        <f>SUM(F18:F20)</f>
        <v>87420.255999999994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78888.4712</v>
      </c>
    </row>
    <row r="41" spans="2:16" ht="15" thickBot="1" x14ac:dyDescent="0.35">
      <c r="H41" s="456" t="s">
        <v>60</v>
      </c>
      <c r="I41" s="457"/>
      <c r="J41" s="457"/>
      <c r="K41" s="457"/>
      <c r="L41" s="457"/>
      <c r="M41" s="458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488664.88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73462.399999999994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385368.38921256037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385368.38921256037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CUBIERTAS!D8</f>
        <v>N° 12105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IF(CUBIERTAS!C10="","",CUBIERTAS!C10)</f>
        <v>ESTEBAN ALBORNOZ CABRERA</v>
      </c>
      <c r="D10" s="350"/>
      <c r="E10" s="350"/>
      <c r="F10" s="351" t="s">
        <v>167</v>
      </c>
      <c r="G10" s="352">
        <f>CUBIERTAS!G10</f>
        <v>46137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IF(CUBIERTAS!C11="","",CUBIERTAS!C11)</f>
        <v>12.654.086-6</v>
      </c>
      <c r="D11" s="345"/>
      <c r="E11" s="345"/>
      <c r="F11" s="345" t="s">
        <v>168</v>
      </c>
      <c r="G11" s="340">
        <f>WORKDAY(G10,5)</f>
        <v>46143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IF(CUBIERTAS!C12="","",CUBIERTAS!C12)</f>
        <v/>
      </c>
      <c r="D12" s="355"/>
      <c r="E12" s="355"/>
      <c r="F12" s="355" t="s">
        <v>181</v>
      </c>
      <c r="G12" s="355" t="str">
        <f>CUBIERTAS!G14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IF(CUBIERTAS!C13="","",CUBIERTAS!C13)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IF(CUBIERTAS!C14="","",CUBIERTAS!C14)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IF(CUBIERTAS!C15="","",CUBIERTAS!C15)</f>
        <v/>
      </c>
      <c r="D15" s="347"/>
      <c r="E15" s="345"/>
      <c r="F15" s="345" t="s">
        <v>173</v>
      </c>
      <c r="G15" s="345" t="str">
        <f>CUBIERTAS!G12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IF(CUBIERTAS!C16="","",CUBIERTAS!C16)</f>
        <v/>
      </c>
      <c r="D16" s="355"/>
      <c r="E16" s="355"/>
      <c r="F16" s="355" t="s">
        <v>174</v>
      </c>
      <c r="G16" s="355" t="str">
        <f>CUBIERTAS!G16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IF(CUBIERTAS!C17="","",CUBIERTAS!C17)</f>
        <v>SANTIAGO</v>
      </c>
      <c r="D17" s="343"/>
      <c r="E17" s="344"/>
      <c r="F17" s="459" t="s">
        <v>175</v>
      </c>
      <c r="G17" s="459"/>
      <c r="H17" s="460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61" t="s">
        <v>176</v>
      </c>
      <c r="C20" s="462"/>
      <c r="D20" s="462"/>
      <c r="E20" s="462"/>
      <c r="F20" s="462"/>
      <c r="G20" s="462"/>
      <c r="H20" s="463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CUBIERTAS!B21</f>
        <v>1</v>
      </c>
      <c r="C22" s="313" t="str">
        <f>CUBIERTAS!C21</f>
        <v>CUBIERTA CON RESPALDO Y FEENTE 90°</v>
      </c>
      <c r="D22" s="321">
        <f>CUBIERTAS!D21*1000</f>
        <v>2009.9999999999998</v>
      </c>
      <c r="E22" s="321">
        <f>CUBIERTAS!E21*1000</f>
        <v>600</v>
      </c>
      <c r="F22" s="322" t="str">
        <f>CUBIERTAS!F21</f>
        <v>GRAFITO 2174 MT</v>
      </c>
      <c r="G22" s="314">
        <f>CUBIERTAS!G21</f>
        <v>124410.87392548978</v>
      </c>
      <c r="H22" s="323">
        <f>G22*B22</f>
        <v>124410.87392548978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124410.87392548978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23638.066045843058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148048.93997133285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64" t="s">
        <v>182</v>
      </c>
      <c r="C2" s="464"/>
      <c r="D2" s="464"/>
      <c r="E2" s="361"/>
      <c r="G2" s="464" t="s">
        <v>183</v>
      </c>
      <c r="H2" s="464"/>
      <c r="I2" s="464"/>
      <c r="P2" s="465" t="s">
        <v>184</v>
      </c>
      <c r="Q2" s="465"/>
      <c r="R2" s="465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65" t="s">
        <v>184</v>
      </c>
      <c r="M8" s="465"/>
      <c r="N8" s="465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70" t="s">
        <v>265</v>
      </c>
      <c r="L3" s="470"/>
      <c r="M3" s="470" t="s">
        <v>266</v>
      </c>
      <c r="N3" s="470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ESTEBAN ALBORNOZ CABRERA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46137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46143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71" t="s">
        <v>265</v>
      </c>
      <c r="B10" s="471"/>
      <c r="C10" s="471"/>
      <c r="D10" s="471"/>
      <c r="E10" s="471"/>
      <c r="F10" s="471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71" t="s">
        <v>266</v>
      </c>
      <c r="B17" s="471"/>
      <c r="C17" s="471"/>
      <c r="D17" s="471"/>
      <c r="E17" s="471"/>
      <c r="F17" s="471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71" t="s">
        <v>272</v>
      </c>
      <c r="B45" s="471"/>
      <c r="C45" s="471"/>
      <c r="D45" s="471"/>
      <c r="E45" s="471"/>
      <c r="F45" s="471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66" t="s">
        <v>95</v>
      </c>
      <c r="C47" s="467"/>
      <c r="D47" s="468"/>
      <c r="E47" s="468"/>
      <c r="F47" s="469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12105</v>
      </c>
      <c r="C2" s="1">
        <f>'NOTA DE VENTA'!$G$10</f>
        <v>46137</v>
      </c>
      <c r="D2" s="1">
        <f>'NOTA DE VENTA'!$G$11</f>
        <v>46143</v>
      </c>
      <c r="E2" t="str">
        <f>'NOTA DE VENTA'!$C$10</f>
        <v>ESTEBAN ALBORNOZ CABRERA</v>
      </c>
      <c r="F2" t="str">
        <f>'NOTA DE VENTA'!$C$22</f>
        <v>CUBIERTA CON RESPALDO Y FEENTE 90°</v>
      </c>
      <c r="G2" t="str">
        <f>'NOTA DE VENTA'!$F$22</f>
        <v>GRAFITO 2174 MT</v>
      </c>
      <c r="H2" s="416">
        <f>'NOTA DE VENTA'!$H$25</f>
        <v>124410.87392548978</v>
      </c>
      <c r="I2" s="416">
        <f>H2*0.19</f>
        <v>23638.066045843058</v>
      </c>
      <c r="J2" s="416">
        <f>I2+H2</f>
        <v>148048.93997133285</v>
      </c>
      <c r="L2" s="61">
        <f>J2-K2</f>
        <v>148048.93997133285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DUROLAC Y MELAMIL</vt:lpstr>
      <vt:lpstr>PUERTAS</vt:lpstr>
      <vt:lpstr>CUBIERTAS</vt:lpstr>
      <vt:lpstr>COSTOS</vt:lpstr>
      <vt:lpstr>NOTA DE VENTA</vt:lpstr>
      <vt:lpstr>REGLAS</vt:lpstr>
      <vt:lpstr>PRODUCCION</vt:lpstr>
      <vt:lpstr>SEGUIMIENTO</vt:lpstr>
      <vt:lpstr>CUBIERTAS!Área_de_impresión</vt:lpstr>
      <vt:lpstr>'DUROLAC Y MELAMIL'!Área_de_impresión</vt:lpstr>
      <vt:lpstr>PUERTAS!Área_de_impresión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Luis Donoso</cp:lastModifiedBy>
  <cp:lastPrinted>2026-04-26T20:26:52Z</cp:lastPrinted>
  <dcterms:created xsi:type="dcterms:W3CDTF">2013-03-18T13:35:42Z</dcterms:created>
  <dcterms:modified xsi:type="dcterms:W3CDTF">2026-05-05T21:40:07Z</dcterms:modified>
</cp:coreProperties>
</file>