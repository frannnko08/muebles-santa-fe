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5C255D5E-1E91-4C4C-A013-2B163A407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ON INK" sheetId="8" r:id="rId1"/>
    <sheet name="MESON 1ER PISO" sheetId="1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1">'MESON 1ER PISO'!$B$1:$H$36</definedName>
    <definedName name="_xlnm.Print_Area" localSheetId="0">'MESON INK'!$B$1:$H$44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8" l="1"/>
  <c r="H30" i="8"/>
  <c r="H33" i="8"/>
  <c r="H29" i="8"/>
  <c r="H28" i="8"/>
  <c r="M39" i="8"/>
  <c r="H27" i="8"/>
  <c r="H26" i="8"/>
  <c r="S25" i="8"/>
  <c r="S26" i="8"/>
  <c r="S27" i="8"/>
  <c r="S28" i="8"/>
  <c r="S29" i="8"/>
  <c r="S30" i="8"/>
  <c r="S24" i="8"/>
  <c r="N29" i="8"/>
  <c r="O29" i="8" s="1"/>
  <c r="P29" i="8" s="1"/>
  <c r="N30" i="8"/>
  <c r="O30" i="8" s="1"/>
  <c r="P30" i="8" s="1"/>
  <c r="L25" i="8"/>
  <c r="L26" i="8"/>
  <c r="L27" i="8"/>
  <c r="L28" i="8"/>
  <c r="L29" i="8"/>
  <c r="L30" i="8"/>
  <c r="M24" i="8"/>
  <c r="O24" i="8" s="1"/>
  <c r="P24" i="8" s="1"/>
  <c r="N24" i="8"/>
  <c r="M30" i="8"/>
  <c r="M29" i="8"/>
  <c r="N28" i="8"/>
  <c r="M28" i="8"/>
  <c r="N27" i="8"/>
  <c r="O27" i="8" s="1"/>
  <c r="P27" i="8" s="1"/>
  <c r="M27" i="8"/>
  <c r="N26" i="8"/>
  <c r="O26" i="8"/>
  <c r="P26" i="8" s="1"/>
  <c r="M26" i="8"/>
  <c r="L24" i="8"/>
  <c r="H22" i="8"/>
  <c r="H23" i="8"/>
  <c r="S22" i="8"/>
  <c r="M22" i="8"/>
  <c r="N22" i="8"/>
  <c r="M23" i="8"/>
  <c r="O23" i="8" s="1"/>
  <c r="N23" i="8"/>
  <c r="K49" i="8"/>
  <c r="R46" i="8"/>
  <c r="O45" i="8"/>
  <c r="O44" i="8"/>
  <c r="O43" i="8"/>
  <c r="O42" i="8"/>
  <c r="V41" i="8"/>
  <c r="V42" i="8" s="1"/>
  <c r="O41" i="8"/>
  <c r="O40" i="8"/>
  <c r="N25" i="8"/>
  <c r="M25" i="8"/>
  <c r="N21" i="8"/>
  <c r="T21" i="8" s="1"/>
  <c r="T33" i="8" s="1"/>
  <c r="M21" i="8"/>
  <c r="N20" i="8"/>
  <c r="L20" i="8"/>
  <c r="G22" i="1"/>
  <c r="H22" i="1" s="1"/>
  <c r="O37" i="1"/>
  <c r="M22" i="1"/>
  <c r="S22" i="1" s="1"/>
  <c r="N22" i="1"/>
  <c r="O28" i="8" l="1"/>
  <c r="P28" i="8" s="1"/>
  <c r="P23" i="8"/>
  <c r="S21" i="8"/>
  <c r="S23" i="8"/>
  <c r="S35" i="8" s="1"/>
  <c r="S36" i="8" s="1"/>
  <c r="S37" i="8" s="1"/>
  <c r="S38" i="8" s="1"/>
  <c r="O22" i="8"/>
  <c r="P22" i="8" s="1"/>
  <c r="O25" i="8"/>
  <c r="P25" i="8" s="1"/>
  <c r="M34" i="8"/>
  <c r="O21" i="8"/>
  <c r="P21" i="8" s="1"/>
  <c r="O22" i="1"/>
  <c r="P22" i="1"/>
  <c r="N5" i="6"/>
  <c r="A2" i="7"/>
  <c r="P34" i="8" l="1"/>
  <c r="P35" i="8" s="1"/>
  <c r="P36" i="8"/>
  <c r="P37" i="8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O39" i="8" l="1"/>
  <c r="O46" i="8" s="1"/>
  <c r="O47" i="8" s="1"/>
  <c r="R47" i="8"/>
  <c r="F14" i="6"/>
  <c r="D5" i="6"/>
  <c r="G11" i="4"/>
  <c r="D7" i="6"/>
  <c r="I14" i="6"/>
  <c r="B14" i="6" s="1"/>
  <c r="B21" i="6"/>
  <c r="N21" i="1"/>
  <c r="O49" i="8" l="1"/>
  <c r="O48" i="8"/>
  <c r="Q20" i="8" s="1"/>
  <c r="K5" i="6"/>
  <c r="D14" i="6"/>
  <c r="E14" i="6"/>
  <c r="E21" i="6"/>
  <c r="D21" i="6"/>
  <c r="L5" i="6"/>
  <c r="M5" i="6"/>
  <c r="D2" i="7"/>
  <c r="D8" i="6"/>
  <c r="M21" i="1"/>
  <c r="Q30" i="8" l="1"/>
  <c r="R30" i="8" s="1"/>
  <c r="Q29" i="8"/>
  <c r="R29" i="8" s="1"/>
  <c r="Q28" i="8"/>
  <c r="R28" i="8" s="1"/>
  <c r="Q24" i="8"/>
  <c r="R24" i="8" s="1"/>
  <c r="Q26" i="8"/>
  <c r="R26" i="8" s="1"/>
  <c r="Q27" i="8"/>
  <c r="R27" i="8" s="1"/>
  <c r="Q22" i="8"/>
  <c r="R22" i="8" s="1"/>
  <c r="Q23" i="8"/>
  <c r="R23" i="8" s="1"/>
  <c r="Q25" i="8"/>
  <c r="Q21" i="8"/>
  <c r="M26" i="1"/>
  <c r="S21" i="1"/>
  <c r="S27" i="1" s="1"/>
  <c r="T21" i="1"/>
  <c r="T25" i="1" s="1"/>
  <c r="O21" i="1"/>
  <c r="P21" i="1" s="1"/>
  <c r="P26" i="1" s="1"/>
  <c r="K41" i="1"/>
  <c r="H21" i="8" l="1"/>
  <c r="R21" i="8"/>
  <c r="H25" i="8"/>
  <c r="R25" i="8"/>
  <c r="S28" i="1"/>
  <c r="S29" i="1" s="1"/>
  <c r="S30" i="1" s="1"/>
  <c r="V33" i="1"/>
  <c r="V34" i="1" s="1"/>
  <c r="P27" i="1" l="1"/>
  <c r="N20" i="1"/>
  <c r="L20" i="1"/>
  <c r="H34" i="8" l="1"/>
  <c r="H35" i="8" s="1"/>
  <c r="P28" i="1"/>
  <c r="P29" i="1" s="1"/>
  <c r="M31" i="1" s="1"/>
  <c r="O33" i="1"/>
  <c r="R38" i="1"/>
  <c r="R39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8" i="1" l="1"/>
  <c r="O39" i="1" s="1"/>
  <c r="D20" i="3"/>
  <c r="E20" i="3" s="1"/>
  <c r="E21" i="3" s="1"/>
  <c r="O40" i="1" l="1"/>
  <c r="Q20" i="1" s="1"/>
  <c r="Q22" i="1" s="1"/>
  <c r="R22" i="1" s="1"/>
  <c r="D21" i="3"/>
  <c r="M43" i="3" s="1"/>
  <c r="D12" i="3" s="1"/>
  <c r="F20" i="3"/>
  <c r="F21" i="3" s="1"/>
  <c r="O41" i="1" l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<sst xmlns="http://schemas.openxmlformats.org/spreadsheetml/2006/main" count="601" uniqueCount="299">
  <si>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</si>
  <si>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</si>
  <si>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</si>
  <si>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</si>
  <si>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</si>
  <si>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</si>
  <si>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</si>
  <si>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</si>
  <si>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</si>
  <si>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</si>
  <si>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</si>
  <si>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</si>
  <si>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</si>
  <si>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</si>
  <si>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</si>
  <si>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</si>
  <si>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</si>
  <si>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</si>
  <si>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</si>
  <si>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</si>
  <si>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</si>
  <si>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</si>
  <si>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</si>
  <si>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</si>
  <si>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</si>
  <si>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</si>
  <si>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</si>
  <si>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</si>
  <si>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</si>
  <si>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</si>
  <si>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</si>
  <si>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</si>
  <si>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</si>
  <si>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</si>
  <si>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</si>
  <si>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</si>
  <si>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</si>
  <si>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</si>
  <si>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</si>
  <si>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</si>
  <si>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</si>
  <si>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</si>
  <si>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</si>
  <si>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</si>
  <si>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</si>
  <si>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</si>
  <si>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</si>
  <si>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</si>
  <si>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</si>
  <si>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</si>
  <si>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</si>
  <si>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</si>
  <si>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</si>
  <si>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</si>
  <si>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</si>
  <si>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</si>
  <si>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</si>
  <si>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</si>
  <si>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</si>
  <si>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</si>
  <si>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</si>
  <si>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</si>
  <si>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</si>
  <si>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</si>
  <si>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</si>
  <si>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</si>
  <si>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</si>
  <si>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</si>
  <si>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</si>
  <si>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</si>
  <si>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</si>
  <si>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</si>
  <si>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</si>
  <si>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</si>
  <si>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</si>
  <si>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</si>
  <si>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</si>
  <si>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</si>
  <si>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</si>
  <si>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</si>
  <si>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</si>
  <si>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</si>
  <si>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</si>
  <si>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</si>
  <si>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</si>
  <si>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</si>
  <si>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</si>
  <si>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</si>
  <si>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</si>
  <si>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</si>
  <si>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</si>
  <si>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</si>
  <si>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</si>
  <si>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</si>
  <si>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</si>
  <si>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</si>
  <si>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</si>
  <si>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</si>
  <si>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</si>
  <si>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</si>
  <si>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</si>
  <si>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</si>
  <si>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</si>
  <si>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</si>
  <si>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</si>
  <si>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</si>
  <si>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</si>
  <si>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</si>
  <si>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</si>
  <si>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</si>
  <si>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</si>
  <si>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</si>
  <si>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</si>
  <si>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</si>
  <si>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</si>
  <si>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</si>
  <si>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</si>
  <si>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</si>
  <si>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</si>
  <si>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</si>
  <si>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</si>
  <si>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</si>
  <si>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</si>
  <si>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</si>
  <si>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</si>
  <si>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</si>
  <si>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</si>
  <si>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</si>
  <si>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</si>
  <si>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</si>
  <si>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</si>
  <si>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</si>
  <si>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</si>
  <si>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</si>
  <si>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</si>
  <si>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</si>
  <si>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</si>
  <si>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</si>
  <si>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</si>
  <si>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</si>
  <si>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</si>
  <si>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</si>
  <si>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</si>
  <si>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</si>
  <si>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</si>
  <si>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</si>
  <si>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</si>
  <si>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</si>
  <si>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</si>
  <si>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</si>
  <si>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</si>
  <si>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</si>
  <si>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</si>
  <si>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</si>
  <si>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</si>
  <si>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</si>
  <si>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</si>
  <si>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</si>
  <si>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</si>
  <si>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</si>
  <si>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</si>
  <si>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</si>
  <si>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</si>
  <si>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</si>
  <si>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</si>
  <si>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</si>
  <si>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</si>
  <si>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</si>
  <si>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</si>
  <si>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</si>
  <si>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</si>
  <si>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</si>
  <si>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</si>
  <si>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</si>
  <si>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</si>
  <si>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</si>
  <si>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</si>
  <si>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</si>
  <si>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</si>
  <si>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</si>
  <si>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</si>
  <si>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</si>
  <si>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</si>
  <si>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</si>
  <si>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</si>
  <si>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</si>
  <si>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</si>
  <si>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</si>
  <si>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</si>
  <si>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</si>
  <si>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</si>
  <si>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</si>
  <si>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</si>
  <si>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</si>
  <si>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</si>
  <si>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</si>
  <si>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</si>
  <si>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</si>
  <si>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</si>
  <si>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</si>
  <si>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</si>
  <si>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</si>
  <si>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</si>
  <si>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</si>
  <si>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</si>
  <si>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</si>
  <si>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</si>
  <si>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</si>
  <si>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</si>
  <si>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</si>
  <si>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</si>
  <si>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</si>
  <si>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</si>
  <si>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</si>
  <si>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</si>
  <si>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</si>
  <si>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</si>
  <si>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</si>
  <si>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</si>
  <si>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</si>
  <si>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</si>
  <si>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</si>
  <si>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</si>
  <si>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</si>
  <si>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</si>
  <si>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</si>
  <si>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</si>
  <si>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</si>
  <si>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</si>
  <si>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</si>
  <si>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</si>
  <si>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</si>
  <si>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</si>
  <si>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</si>
  <si>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</si>
  <si>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</si>
  <si>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</si>
  <si>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</si>
  <si>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</si>
  <si>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</si>
  <si>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</si>
  <si>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</si>
  <si>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</si>
  <si>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</si>
  <si>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</si>
  <si>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</si>
  <si>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</si>
  <si>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</si>
  <si>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</si>
  <si>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</si>
  <si>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</si>
  <si>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</si>
  <si>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</si>
  <si>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</si>
  <si>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</si>
  <si>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</si>
  <si>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</si>
  <si>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</si>
  <si>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</si>
  <si>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</si>
  <si>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</si>
  <si>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</si>
  <si>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</si>
  <si>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</si>
  <si>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</si>
  <si>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</si>
  <si>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</si>
  <si>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</si>
  <si>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</si>
  <si>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</si>
  <si>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</si>
  <si>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</si>
  <si>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</si>
  <si>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</si>
  <si>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</si>
  <si>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</si>
  <si>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</si>
  <si>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</si>
  <si>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</si>
  <si>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</si>
  <si>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</si>
  <si>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</si>
  <si>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</si>
  <si>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</si>
  <si>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</si>
  <si>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</si>
  <si>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</si>
  <si>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</si>
  <si>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FRANCISCO ASENJO</t>
  </si>
  <si>
    <t>N° 12107</t>
  </si>
  <si>
    <t>DOVE GREY</t>
  </si>
  <si>
    <t>CENEFA 2V R6</t>
  </si>
  <si>
    <t>E/R 2 CARAS MDF 25MM</t>
  </si>
  <si>
    <t>MDF25MM</t>
  </si>
  <si>
    <t>TAPACANTO 29X2</t>
  </si>
  <si>
    <t>TAPACANTO PVC 22X0,45</t>
  </si>
  <si>
    <t>BALANCE</t>
  </si>
  <si>
    <t>INK SF</t>
  </si>
  <si>
    <t>TAPACANTO 29X2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</si>
</sst>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40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0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FF3814D-B39F-433C-9CAF-C7A7D0FE8688}"/>
            </a:ext>
          </a:extLst>
        </xdr:cNvPr>
        <xdr:cNvSpPr/>
      </xdr:nvSpPr>
      <xdr:spPr>
        <a:xfrm>
          <a:off x="7231380" y="57231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757E0B-15D3-455D-A64F-9278125E7B40}"/>
            </a:ext>
          </a:extLst>
        </xdr:cNvPr>
        <xdr:cNvCxnSpPr/>
      </xdr:nvCxnSpPr>
      <xdr:spPr>
        <a:xfrm>
          <a:off x="7454265" y="63112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EA875D6-9C6D-4AEB-B6D4-E4FF6C48418B}"/>
            </a:ext>
          </a:extLst>
        </xdr:cNvPr>
        <xdr:cNvSpPr/>
      </xdr:nvSpPr>
      <xdr:spPr>
        <a:xfrm>
          <a:off x="390525" y="5724525"/>
          <a:ext cx="64753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16387</xdr:rowOff>
    </xdr:from>
    <xdr:to>
      <xdr:col>5</xdr:col>
      <xdr:colOff>1728839</xdr:colOff>
      <xdr:row>34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77CC9BF-6669-4661-A660-82DA875DBAFE}"/>
            </a:ext>
          </a:extLst>
        </xdr:cNvPr>
        <xdr:cNvSpPr/>
      </xdr:nvSpPr>
      <xdr:spPr>
        <a:xfrm>
          <a:off x="411480" y="4611247"/>
          <a:ext cx="6437999" cy="87539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S CUBIERTAS SE ENTREGAN CON SOBRE MEDIDA EN EL LARGO 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5508EA-8717-4351-A005-A1CAE06FC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087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E93BAF-5001-45E3-92B4-48DB4A6505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563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16387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14452"/>
          <a:ext cx="6431936" cy="8767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S CUBIERTAS SE ENTREGAN CON SOBRE MEDIDA EN EL LARGO 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D8E0-5B5D-43AA-AFD7-903B217FF271}">
  <sheetPr>
    <pageSetUpPr fitToPage="1"/>
  </sheetPr>
  <dimension ref="A2:Y591"/>
  <sheetViews>
    <sheetView tabSelected="1" topLeftCell="A18" zoomScale="93" zoomScaleNormal="93" workbookViewId="0">
      <selection activeCell="J30" sqref="J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30" t="s">
        <v>288</v>
      </c>
      <c r="D10" s="243"/>
      <c r="E10" s="243"/>
      <c r="F10" s="418" t="s">
        <v>276</v>
      </c>
      <c r="G10" s="275">
        <v>46139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9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6" t="s">
        <v>13</v>
      </c>
      <c r="C17" s="299" t="s">
        <v>286</v>
      </c>
      <c r="D17" s="300"/>
      <c r="E17" s="119"/>
      <c r="F17" s="427" t="s">
        <v>178</v>
      </c>
      <c r="G17" s="427" t="s">
        <v>179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2" t="s">
        <v>94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O48</f>
        <v>123842.98969072166</v>
      </c>
      <c r="R20" s="257">
        <v>3000</v>
      </c>
      <c r="S20" s="38"/>
      <c r="T20" s="14" t="s">
        <v>126</v>
      </c>
      <c r="U20" s="9"/>
      <c r="X20" s="4"/>
    </row>
    <row r="21" spans="2:25" ht="17.399999999999999" x14ac:dyDescent="0.3">
      <c r="B21" s="459">
        <v>5</v>
      </c>
      <c r="C21" s="460" t="s">
        <v>291</v>
      </c>
      <c r="D21" s="461">
        <v>2.2000000000000002</v>
      </c>
      <c r="E21" s="461">
        <v>0.2</v>
      </c>
      <c r="F21" s="459" t="s">
        <v>297</v>
      </c>
      <c r="G21" s="462">
        <v>38318</v>
      </c>
      <c r="H21" s="462">
        <f>G21*B21</f>
        <v>191590</v>
      </c>
      <c r="I21" s="306"/>
      <c r="J21" s="264"/>
      <c r="K21" s="47"/>
      <c r="L21" s="47"/>
      <c r="M21" s="39">
        <f>D21+M$19</f>
        <v>2.2800000000000002</v>
      </c>
      <c r="N21" s="39">
        <f>E21+$N$19</f>
        <v>0.2</v>
      </c>
      <c r="O21" s="260">
        <f t="shared" ref="O21:O28" si="0">M21*N21</f>
        <v>0.45600000000000007</v>
      </c>
      <c r="P21" s="258">
        <f t="shared" ref="P21:P28" si="1">O21*L21</f>
        <v>0</v>
      </c>
      <c r="Q21" s="251">
        <f t="shared" ref="Q21:Q28" si="2">Q$20*O21</f>
        <v>56472.40329896909</v>
      </c>
      <c r="R21" s="305">
        <f t="shared" ref="R21:R28" si="3">Q21+R$20</f>
        <v>59472.40329896909</v>
      </c>
      <c r="S21" s="290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459">
        <v>3</v>
      </c>
      <c r="C22" s="460" t="s">
        <v>291</v>
      </c>
      <c r="D22" s="461">
        <v>1.3</v>
      </c>
      <c r="E22" s="461">
        <v>0.2</v>
      </c>
      <c r="F22" s="459" t="s">
        <v>297</v>
      </c>
      <c r="G22" s="462">
        <v>23193</v>
      </c>
      <c r="H22" s="462">
        <f t="shared" ref="H22:H24" si="4">G22*B22</f>
        <v>69579</v>
      </c>
      <c r="I22" s="306"/>
      <c r="J22" s="264"/>
      <c r="K22" s="47"/>
      <c r="L22" s="47"/>
      <c r="M22" s="39">
        <f t="shared" ref="M22:M23" si="5">D22+M$19</f>
        <v>1.3800000000000001</v>
      </c>
      <c r="N22" s="39">
        <f t="shared" ref="N22:N23" si="6">E22+$N$19</f>
        <v>0.2</v>
      </c>
      <c r="O22" s="260">
        <f t="shared" ref="O22:O23" si="7">M22*N22</f>
        <v>0.27600000000000002</v>
      </c>
      <c r="P22" s="258">
        <f t="shared" ref="P22:P23" si="8">O22*L22</f>
        <v>0</v>
      </c>
      <c r="Q22" s="251">
        <f t="shared" ref="Q22:Q23" si="9">Q$20*O22</f>
        <v>34180.66515463918</v>
      </c>
      <c r="R22" s="305">
        <f t="shared" ref="R22:R23" si="10">Q22+R$20</f>
        <v>37180.66515463918</v>
      </c>
      <c r="S22" s="290">
        <f t="shared" ref="S22:S23" si="11">M22*L22</f>
        <v>0</v>
      </c>
      <c r="T22" s="46"/>
      <c r="U22" s="9"/>
      <c r="X22" s="4"/>
    </row>
    <row r="23" spans="2:25" ht="17.399999999999999" x14ac:dyDescent="0.3">
      <c r="B23" s="459">
        <v>5</v>
      </c>
      <c r="C23" s="460" t="s">
        <v>291</v>
      </c>
      <c r="D23" s="461">
        <v>2.2999999999999998</v>
      </c>
      <c r="E23" s="461">
        <v>0.2</v>
      </c>
      <c r="F23" s="459" t="s">
        <v>297</v>
      </c>
      <c r="G23" s="462">
        <v>39999</v>
      </c>
      <c r="H23" s="462">
        <f t="shared" si="4"/>
        <v>199995</v>
      </c>
      <c r="I23" s="306"/>
      <c r="J23" s="264"/>
      <c r="K23" s="47"/>
      <c r="L23" s="47"/>
      <c r="M23" s="39">
        <f t="shared" si="5"/>
        <v>2.38</v>
      </c>
      <c r="N23" s="39">
        <f t="shared" si="6"/>
        <v>0.2</v>
      </c>
      <c r="O23" s="260">
        <f t="shared" si="7"/>
        <v>0.47599999999999998</v>
      </c>
      <c r="P23" s="258">
        <f t="shared" si="8"/>
        <v>0</v>
      </c>
      <c r="Q23" s="251">
        <f t="shared" si="9"/>
        <v>58949.263092783505</v>
      </c>
      <c r="R23" s="305">
        <f t="shared" si="10"/>
        <v>61949.263092783505</v>
      </c>
      <c r="S23" s="290">
        <f t="shared" si="11"/>
        <v>0</v>
      </c>
      <c r="T23" s="46"/>
      <c r="U23" s="9"/>
      <c r="X23" s="4"/>
    </row>
    <row r="24" spans="2:25" ht="17.399999999999999" x14ac:dyDescent="0.3">
      <c r="B24" s="459">
        <v>1</v>
      </c>
      <c r="C24" s="460" t="s">
        <v>292</v>
      </c>
      <c r="D24" s="463">
        <v>2.44</v>
      </c>
      <c r="E24" s="461">
        <v>0.6</v>
      </c>
      <c r="F24" s="459" t="s">
        <v>290</v>
      </c>
      <c r="G24" s="462">
        <v>187251</v>
      </c>
      <c r="H24" s="462">
        <f t="shared" si="4"/>
        <v>187251</v>
      </c>
      <c r="I24" s="306"/>
      <c r="J24" s="264"/>
      <c r="K24" s="47"/>
      <c r="L24" s="47">
        <f t="shared" ref="L22:L30" si="12">B24</f>
        <v>1</v>
      </c>
      <c r="M24" s="39">
        <f t="shared" ref="M24" si="13">D24+M$19</f>
        <v>2.52</v>
      </c>
      <c r="N24" s="39">
        <f t="shared" ref="N24" si="14">E24+$N$19</f>
        <v>0.6</v>
      </c>
      <c r="O24" s="260">
        <f t="shared" ref="O24" si="15">M24*N24</f>
        <v>1.512</v>
      </c>
      <c r="P24" s="258">
        <f t="shared" ref="P24" si="16">O24*L24</f>
        <v>1.512</v>
      </c>
      <c r="Q24" s="251">
        <f t="shared" ref="Q24" si="17">Q$20*O24</f>
        <v>187250.60041237116</v>
      </c>
      <c r="R24" s="305">
        <f t="shared" ref="R24" si="18">Q24+R$20</f>
        <v>190250.60041237116</v>
      </c>
      <c r="S24" s="290">
        <f>M24*L24*2</f>
        <v>5.04</v>
      </c>
      <c r="T24" s="46"/>
      <c r="U24" s="9"/>
      <c r="X24" s="4"/>
    </row>
    <row r="25" spans="2:25" ht="17.399999999999999" x14ac:dyDescent="0.3">
      <c r="B25" s="459">
        <v>1</v>
      </c>
      <c r="C25" s="460" t="s">
        <v>292</v>
      </c>
      <c r="D25" s="463">
        <v>1.1000000000000001</v>
      </c>
      <c r="E25" s="461">
        <v>0.6</v>
      </c>
      <c r="F25" s="459" t="s">
        <v>290</v>
      </c>
      <c r="G25" s="462">
        <v>87681</v>
      </c>
      <c r="H25" s="462">
        <f>G25*B25</f>
        <v>87681</v>
      </c>
      <c r="I25" s="306"/>
      <c r="J25" s="264"/>
      <c r="K25" s="47"/>
      <c r="L25" s="47">
        <f t="shared" si="12"/>
        <v>1</v>
      </c>
      <c r="M25" s="39">
        <f>D25+M$19</f>
        <v>1.1800000000000002</v>
      </c>
      <c r="N25" s="39">
        <f>E25+$N$19</f>
        <v>0.6</v>
      </c>
      <c r="O25" s="260">
        <f t="shared" si="0"/>
        <v>0.70800000000000007</v>
      </c>
      <c r="P25" s="258">
        <f t="shared" si="1"/>
        <v>0.70800000000000007</v>
      </c>
      <c r="Q25" s="251">
        <f t="shared" si="2"/>
        <v>87680.836701030945</v>
      </c>
      <c r="R25" s="305">
        <f t="shared" si="3"/>
        <v>90680.836701030945</v>
      </c>
      <c r="S25" s="290">
        <f t="shared" ref="S25:S30" si="19">M25*L25*2</f>
        <v>2.3600000000000003</v>
      </c>
      <c r="T25" s="46"/>
      <c r="U25" s="9"/>
      <c r="X25" s="4"/>
    </row>
    <row r="26" spans="2:25" ht="17.399999999999999" x14ac:dyDescent="0.3">
      <c r="B26" s="459">
        <v>1</v>
      </c>
      <c r="C26" s="460" t="s">
        <v>292</v>
      </c>
      <c r="D26" s="463">
        <v>2.2999999999999998</v>
      </c>
      <c r="E26" s="461">
        <v>0.6</v>
      </c>
      <c r="F26" s="459" t="s">
        <v>290</v>
      </c>
      <c r="G26" s="462">
        <v>176848</v>
      </c>
      <c r="H26" s="462">
        <f>G26*B26</f>
        <v>176848</v>
      </c>
      <c r="I26" s="306"/>
      <c r="J26" s="264"/>
      <c r="K26" s="47"/>
      <c r="L26" s="47">
        <f t="shared" si="12"/>
        <v>1</v>
      </c>
      <c r="M26" s="39">
        <f>D26+M$19</f>
        <v>2.38</v>
      </c>
      <c r="N26" s="39">
        <f>E26+$N$19</f>
        <v>0.6</v>
      </c>
      <c r="O26" s="260">
        <f t="shared" si="0"/>
        <v>1.4279999999999999</v>
      </c>
      <c r="P26" s="258">
        <f t="shared" si="1"/>
        <v>1.4279999999999999</v>
      </c>
      <c r="Q26" s="251">
        <f t="shared" si="2"/>
        <v>176847.78927835054</v>
      </c>
      <c r="R26" s="305">
        <f t="shared" si="3"/>
        <v>179847.78927835054</v>
      </c>
      <c r="S26" s="290">
        <f t="shared" si="19"/>
        <v>4.76</v>
      </c>
      <c r="T26" s="46"/>
      <c r="U26" s="9"/>
      <c r="X26" s="4"/>
    </row>
    <row r="27" spans="2:25" ht="17.399999999999999" x14ac:dyDescent="0.3">
      <c r="B27" s="459">
        <v>1</v>
      </c>
      <c r="C27" s="460" t="s">
        <v>292</v>
      </c>
      <c r="D27" s="463">
        <v>0.9</v>
      </c>
      <c r="E27" s="461">
        <v>0.9</v>
      </c>
      <c r="F27" s="459" t="s">
        <v>290</v>
      </c>
      <c r="G27" s="462">
        <v>109230</v>
      </c>
      <c r="H27" s="462">
        <f>G27*B27</f>
        <v>109230</v>
      </c>
      <c r="I27" s="306"/>
      <c r="J27" s="264"/>
      <c r="K27" s="47"/>
      <c r="L27" s="47">
        <f t="shared" si="12"/>
        <v>1</v>
      </c>
      <c r="M27" s="39">
        <f>D27+M$19</f>
        <v>0.98</v>
      </c>
      <c r="N27" s="39">
        <f>E27+$N$19</f>
        <v>0.9</v>
      </c>
      <c r="O27" s="260">
        <f t="shared" si="0"/>
        <v>0.88200000000000001</v>
      </c>
      <c r="P27" s="258">
        <f t="shared" si="1"/>
        <v>0.88200000000000001</v>
      </c>
      <c r="Q27" s="251">
        <f t="shared" si="2"/>
        <v>109229.5169072165</v>
      </c>
      <c r="R27" s="305">
        <f t="shared" si="3"/>
        <v>112229.5169072165</v>
      </c>
      <c r="S27" s="290">
        <f t="shared" si="19"/>
        <v>1.96</v>
      </c>
      <c r="T27" s="46"/>
      <c r="U27" s="9"/>
      <c r="X27" s="4"/>
    </row>
    <row r="28" spans="2:25" ht="17.399999999999999" x14ac:dyDescent="0.3">
      <c r="B28" s="459">
        <v>1</v>
      </c>
      <c r="C28" s="460" t="s">
        <v>292</v>
      </c>
      <c r="D28" s="461">
        <v>2.4</v>
      </c>
      <c r="E28" s="461">
        <v>0.3</v>
      </c>
      <c r="F28" s="459" t="s">
        <v>290</v>
      </c>
      <c r="G28" s="462">
        <v>92139</v>
      </c>
      <c r="H28" s="462">
        <f>G28*B28</f>
        <v>92139</v>
      </c>
      <c r="I28" s="306"/>
      <c r="J28" s="264"/>
      <c r="K28" s="47"/>
      <c r="L28" s="47">
        <f t="shared" si="12"/>
        <v>1</v>
      </c>
      <c r="M28" s="39">
        <f>D28+M$19</f>
        <v>2.48</v>
      </c>
      <c r="N28" s="39">
        <f>E28+$N$19</f>
        <v>0.3</v>
      </c>
      <c r="O28" s="260">
        <f t="shared" si="0"/>
        <v>0.74399999999999999</v>
      </c>
      <c r="P28" s="258">
        <f t="shared" si="1"/>
        <v>0.74399999999999999</v>
      </c>
      <c r="Q28" s="251">
        <f t="shared" si="2"/>
        <v>92139.184329896918</v>
      </c>
      <c r="R28" s="305">
        <f t="shared" si="3"/>
        <v>95139.184329896918</v>
      </c>
      <c r="S28" s="290">
        <f t="shared" si="19"/>
        <v>4.96</v>
      </c>
      <c r="T28" s="46"/>
      <c r="U28" s="9"/>
      <c r="X28" s="4"/>
    </row>
    <row r="29" spans="2:25" ht="17.399999999999999" x14ac:dyDescent="0.3">
      <c r="B29" s="459">
        <v>1</v>
      </c>
      <c r="C29" s="460" t="s">
        <v>292</v>
      </c>
      <c r="D29" s="461">
        <v>1.1000000000000001</v>
      </c>
      <c r="E29" s="461">
        <v>0.3</v>
      </c>
      <c r="F29" s="459" t="s">
        <v>290</v>
      </c>
      <c r="G29" s="462">
        <v>43840</v>
      </c>
      <c r="H29" s="462">
        <f>G29*B29</f>
        <v>43840</v>
      </c>
      <c r="I29" s="306"/>
      <c r="J29" s="264"/>
      <c r="K29" s="47"/>
      <c r="L29" s="47">
        <f t="shared" si="12"/>
        <v>1</v>
      </c>
      <c r="M29" s="39">
        <f>D29+M$19</f>
        <v>1.1800000000000002</v>
      </c>
      <c r="N29" s="39">
        <f t="shared" ref="N29:N30" si="20">E29+$N$19</f>
        <v>0.3</v>
      </c>
      <c r="O29" s="260">
        <f t="shared" ref="O29:O30" si="21">M29*N29</f>
        <v>0.35400000000000004</v>
      </c>
      <c r="P29" s="258">
        <f t="shared" ref="P29:P30" si="22">O29*L29</f>
        <v>0.35400000000000004</v>
      </c>
      <c r="Q29" s="251">
        <f t="shared" ref="Q29:Q30" si="23">Q$20*O29</f>
        <v>43840.418350515472</v>
      </c>
      <c r="R29" s="305">
        <f t="shared" ref="R29:R30" si="24">Q29+R$20</f>
        <v>46840.418350515472</v>
      </c>
      <c r="S29" s="290">
        <f t="shared" si="19"/>
        <v>2.3600000000000003</v>
      </c>
      <c r="T29" s="46"/>
      <c r="U29" s="9"/>
      <c r="X29" s="4"/>
    </row>
    <row r="30" spans="2:25" ht="17.399999999999999" x14ac:dyDescent="0.3">
      <c r="B30" s="459">
        <v>1</v>
      </c>
      <c r="C30" s="460" t="s">
        <v>292</v>
      </c>
      <c r="D30" s="461">
        <v>2.5</v>
      </c>
      <c r="E30" s="461">
        <v>0.3</v>
      </c>
      <c r="F30" s="459" t="s">
        <v>290</v>
      </c>
      <c r="G30" s="462">
        <v>96854</v>
      </c>
      <c r="H30" s="462">
        <f>G30*B30</f>
        <v>96854</v>
      </c>
      <c r="I30" s="306"/>
      <c r="J30" s="264"/>
      <c r="K30" s="47"/>
      <c r="L30" s="47">
        <f t="shared" si="12"/>
        <v>1</v>
      </c>
      <c r="M30" s="39">
        <f>D30+M$19</f>
        <v>2.58</v>
      </c>
      <c r="N30" s="39">
        <f t="shared" si="20"/>
        <v>0.3</v>
      </c>
      <c r="O30" s="260">
        <f t="shared" si="21"/>
        <v>0.77400000000000002</v>
      </c>
      <c r="P30" s="258">
        <f t="shared" si="22"/>
        <v>0.77400000000000002</v>
      </c>
      <c r="Q30" s="251">
        <f t="shared" si="23"/>
        <v>95854.474020618567</v>
      </c>
      <c r="R30" s="305">
        <f t="shared" si="24"/>
        <v>98854.474020618567</v>
      </c>
      <c r="S30" s="290">
        <f t="shared" si="19"/>
        <v>5.16</v>
      </c>
      <c r="T30" s="46"/>
      <c r="U30" s="9"/>
      <c r="X30" s="4"/>
    </row>
    <row r="31" spans="2:25" ht="17.399999999999999" x14ac:dyDescent="0.3">
      <c r="B31" s="283"/>
      <c r="C31" s="325"/>
      <c r="D31" s="284"/>
      <c r="E31" s="284"/>
      <c r="F31" s="283"/>
      <c r="G31" s="306"/>
      <c r="H31" s="306"/>
      <c r="I31" s="306"/>
      <c r="J31" s="264"/>
      <c r="K31" s="47"/>
      <c r="L31" s="47"/>
      <c r="M31" s="39"/>
      <c r="N31" s="39"/>
      <c r="O31" s="260"/>
      <c r="P31" s="258"/>
      <c r="Q31" s="251"/>
      <c r="R31" s="305"/>
      <c r="S31" s="290"/>
      <c r="T31" s="46"/>
      <c r="U31" s="9"/>
      <c r="X31" s="4"/>
    </row>
    <row r="32" spans="2:25" ht="18" thickBot="1" x14ac:dyDescent="0.35">
      <c r="B32" s="283"/>
      <c r="C32" s="325"/>
      <c r="D32" s="284"/>
      <c r="E32" s="284"/>
      <c r="F32" s="283"/>
      <c r="G32" s="264"/>
      <c r="H32" s="307"/>
      <c r="I32" s="309"/>
      <c r="J32" s="233"/>
      <c r="K32" s="47"/>
      <c r="L32" s="47"/>
      <c r="M32" s="39"/>
      <c r="N32" s="39"/>
      <c r="O32" s="260"/>
      <c r="P32" s="258"/>
      <c r="Q32" s="251"/>
      <c r="R32" s="257"/>
      <c r="S32" s="290"/>
      <c r="T32" s="14"/>
      <c r="U32" s="9"/>
      <c r="X32" s="4"/>
    </row>
    <row r="33" spans="1:24" ht="17.399999999999999" x14ac:dyDescent="0.3">
      <c r="B33" s="283"/>
      <c r="C33" s="283"/>
      <c r="D33" s="284"/>
      <c r="E33" s="284"/>
      <c r="F33" s="283"/>
      <c r="G33" s="310" t="s">
        <v>28</v>
      </c>
      <c r="H33" s="311">
        <f>SUM(H21:H30)</f>
        <v>1255007</v>
      </c>
      <c r="I33" s="308"/>
      <c r="J33" s="264"/>
      <c r="K33" s="47"/>
      <c r="L33" s="47"/>
      <c r="M33" s="39"/>
      <c r="N33" s="39"/>
      <c r="O33" s="260"/>
      <c r="P33" s="258"/>
      <c r="Q33" s="251"/>
      <c r="R33" s="257"/>
      <c r="S33" s="290"/>
      <c r="T33" s="46">
        <f>SUM(T21:T21)</f>
        <v>0</v>
      </c>
      <c r="U33" s="9"/>
      <c r="X33" s="4"/>
    </row>
    <row r="34" spans="1:24" ht="17.399999999999999" x14ac:dyDescent="0.3">
      <c r="B34" s="277"/>
      <c r="C34" s="280"/>
      <c r="D34" s="281"/>
      <c r="E34" s="281"/>
      <c r="F34" s="282"/>
      <c r="G34" s="289" t="s">
        <v>50</v>
      </c>
      <c r="H34" s="287">
        <f>H33*19%</f>
        <v>238451.33000000002</v>
      </c>
      <c r="I34" s="308"/>
      <c r="J34" s="264"/>
      <c r="K34" s="47"/>
      <c r="L34" s="47"/>
      <c r="M34" s="39">
        <f>SUM(M21:M33)</f>
        <v>19.340000000000003</v>
      </c>
      <c r="N34" s="12"/>
      <c r="O34" s="12"/>
      <c r="P34" s="252">
        <f>SUM(P21:P32)</f>
        <v>6.4020000000000001</v>
      </c>
      <c r="Q34" s="14"/>
      <c r="R34" s="12"/>
      <c r="S34" s="239"/>
      <c r="T34" s="46"/>
      <c r="U34" s="9"/>
      <c r="X34" s="4"/>
    </row>
    <row r="35" spans="1:24" ht="18" thickBot="1" x14ac:dyDescent="0.35">
      <c r="B35" s="274"/>
      <c r="C35" s="279"/>
      <c r="D35" s="271"/>
      <c r="E35" s="271"/>
      <c r="F35" s="272"/>
      <c r="G35" s="278" t="s">
        <v>6</v>
      </c>
      <c r="H35" s="288">
        <f>H33+H34</f>
        <v>1493458.33</v>
      </c>
      <c r="I35" s="308"/>
      <c r="J35" s="264"/>
      <c r="K35" s="47"/>
      <c r="L35" s="47"/>
      <c r="M35" s="39"/>
      <c r="N35" s="12"/>
      <c r="O35" s="12"/>
      <c r="P35" s="252">
        <f>P34</f>
        <v>6.4020000000000001</v>
      </c>
      <c r="Q35" s="14"/>
      <c r="R35" s="12"/>
      <c r="S35" s="239">
        <f>SUM(S21:S34)</f>
        <v>26.6</v>
      </c>
      <c r="T35" s="46"/>
      <c r="U35" s="9"/>
      <c r="X35" s="4"/>
    </row>
    <row r="36" spans="1:24" ht="17.399999999999999" x14ac:dyDescent="0.3">
      <c r="B36" s="274"/>
      <c r="C36" s="270"/>
      <c r="D36" s="271"/>
      <c r="E36" s="271"/>
      <c r="F36" s="272"/>
      <c r="J36" s="264"/>
      <c r="K36" s="47"/>
      <c r="L36" s="47"/>
      <c r="M36" s="14"/>
      <c r="N36" s="12"/>
      <c r="O36" s="12"/>
      <c r="P36" s="39">
        <f>P35*20%</f>
        <v>1.2804000000000002</v>
      </c>
      <c r="Q36" s="39" t="s">
        <v>128</v>
      </c>
      <c r="R36" s="42"/>
      <c r="S36" s="240">
        <f>S35+T33</f>
        <v>26.6</v>
      </c>
      <c r="T36" s="14"/>
      <c r="U36" s="9"/>
      <c r="X36" s="4"/>
    </row>
    <row r="37" spans="1:24" ht="17.399999999999999" x14ac:dyDescent="0.35">
      <c r="B37" s="268"/>
      <c r="C37" s="230"/>
      <c r="D37" s="230"/>
      <c r="E37" s="233"/>
      <c r="F37" s="234"/>
      <c r="G37" s="230"/>
      <c r="H37" s="273"/>
      <c r="I37" s="273"/>
      <c r="J37" s="264"/>
      <c r="K37" s="47"/>
      <c r="L37" s="47"/>
      <c r="M37" s="14"/>
      <c r="N37" s="12"/>
      <c r="O37" s="12"/>
      <c r="P37" s="46">
        <f>P35+P36</f>
        <v>7.6824000000000003</v>
      </c>
      <c r="Q37" s="14"/>
      <c r="R37" s="14"/>
      <c r="S37" s="238">
        <f>S36*20%</f>
        <v>5.32</v>
      </c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3"/>
      <c r="J38" s="264"/>
      <c r="K38" s="47"/>
      <c r="L38" s="47"/>
      <c r="M38" s="14"/>
      <c r="N38" s="14"/>
      <c r="O38" s="14"/>
      <c r="P38" s="14"/>
      <c r="Q38" s="14"/>
      <c r="R38" s="14"/>
      <c r="S38" s="240">
        <f>S36+S37</f>
        <v>31.92</v>
      </c>
      <c r="T38" s="14"/>
      <c r="U38" s="294" t="s">
        <v>21</v>
      </c>
      <c r="V38" s="291" t="s">
        <v>148</v>
      </c>
      <c r="W38" s="295">
        <v>44971</v>
      </c>
      <c r="X38" s="296"/>
    </row>
    <row r="39" spans="1:24" ht="17.399999999999999" x14ac:dyDescent="0.35">
      <c r="B39" s="230"/>
      <c r="C39" s="230"/>
      <c r="D39" s="230"/>
      <c r="E39" s="230"/>
      <c r="F39" s="230"/>
      <c r="G39" s="230"/>
      <c r="J39" s="264"/>
      <c r="K39" s="47">
        <v>4.4349999999999996</v>
      </c>
      <c r="L39" s="47"/>
      <c r="M39" s="39">
        <f>P37*2</f>
        <v>15.364800000000001</v>
      </c>
      <c r="N39" s="12">
        <v>4000</v>
      </c>
      <c r="O39" s="12">
        <f t="shared" ref="O39:O45" si="25">M39*N39</f>
        <v>61459.200000000004</v>
      </c>
      <c r="P39" s="14" t="s">
        <v>21</v>
      </c>
      <c r="Q39" s="14"/>
      <c r="R39" s="14"/>
      <c r="S39" s="241"/>
      <c r="T39" s="14"/>
      <c r="U39" s="294" t="s">
        <v>149</v>
      </c>
      <c r="V39" s="291">
        <v>3625</v>
      </c>
      <c r="W39" s="59" t="s">
        <v>150</v>
      </c>
      <c r="X39" s="296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4"/>
      <c r="K40" s="47"/>
      <c r="L40" s="47"/>
      <c r="M40" s="248"/>
      <c r="N40" s="12">
        <v>24910</v>
      </c>
      <c r="O40" s="12">
        <f t="shared" si="25"/>
        <v>0</v>
      </c>
      <c r="P40" s="39" t="s">
        <v>30</v>
      </c>
      <c r="Q40" s="42"/>
      <c r="R40" s="14"/>
      <c r="S40" s="240"/>
      <c r="T40" s="14"/>
      <c r="U40" s="294"/>
      <c r="V40" s="59">
        <v>906.25</v>
      </c>
      <c r="W40" s="59" t="s">
        <v>151</v>
      </c>
      <c r="X40" s="296"/>
    </row>
    <row r="41" spans="1:24" s="230" customFormat="1" ht="17.399999999999999" x14ac:dyDescent="0.35">
      <c r="B41" s="24" t="s">
        <v>147</v>
      </c>
      <c r="J41" s="261"/>
      <c r="K41" s="232"/>
      <c r="L41" s="249"/>
      <c r="M41" s="14">
        <v>2.5</v>
      </c>
      <c r="N41" s="249">
        <v>38030</v>
      </c>
      <c r="O41" s="12">
        <f t="shared" si="25"/>
        <v>95075</v>
      </c>
      <c r="P41" s="39" t="s">
        <v>293</v>
      </c>
      <c r="Q41" s="42"/>
      <c r="S41" s="240"/>
      <c r="T41" s="255"/>
      <c r="U41" s="59"/>
      <c r="V41" s="59">
        <f>V40*20%</f>
        <v>181.25</v>
      </c>
      <c r="W41" s="296" t="s">
        <v>152</v>
      </c>
      <c r="X41" s="59"/>
    </row>
    <row r="42" spans="1:24" s="230" customFormat="1" ht="17.399999999999999" x14ac:dyDescent="0.35">
      <c r="B42" s="24" t="s">
        <v>161</v>
      </c>
      <c r="C42"/>
      <c r="D42"/>
      <c r="E42"/>
      <c r="F42"/>
      <c r="J42" s="261"/>
      <c r="K42" s="232"/>
      <c r="L42" s="249"/>
      <c r="M42" s="14">
        <v>3</v>
      </c>
      <c r="N42" s="249">
        <v>27010</v>
      </c>
      <c r="O42" s="12">
        <f t="shared" si="25"/>
        <v>81030</v>
      </c>
      <c r="P42" s="14" t="s">
        <v>138</v>
      </c>
      <c r="Q42" s="17"/>
      <c r="S42" s="238"/>
      <c r="T42" s="255"/>
      <c r="U42" s="59"/>
      <c r="V42" s="59">
        <f>V40+V41</f>
        <v>1087.5</v>
      </c>
      <c r="W42" s="296" t="s">
        <v>153</v>
      </c>
      <c r="X42" s="59"/>
    </row>
    <row r="43" spans="1:24" s="230" customFormat="1" ht="17.399999999999999" x14ac:dyDescent="0.35">
      <c r="A43" s="230" t="s">
        <v>282</v>
      </c>
      <c r="B43" s="29" t="s">
        <v>123</v>
      </c>
      <c r="C43"/>
      <c r="D43"/>
      <c r="E43"/>
      <c r="F43" s="229" t="s">
        <v>15</v>
      </c>
      <c r="J43" s="261"/>
      <c r="K43" s="259"/>
      <c r="L43" s="249"/>
      <c r="M43" s="248">
        <v>2</v>
      </c>
      <c r="N43" s="249">
        <v>39990</v>
      </c>
      <c r="O43" s="12">
        <f t="shared" si="25"/>
        <v>79980</v>
      </c>
      <c r="P43" s="14" t="s">
        <v>298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86"/>
      <c r="K44" s="259"/>
      <c r="L44" s="249"/>
      <c r="M44" s="265"/>
      <c r="N44" s="12">
        <v>8390</v>
      </c>
      <c r="O44" s="12">
        <f t="shared" si="25"/>
        <v>0</v>
      </c>
      <c r="P44" s="14" t="s">
        <v>295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J45" s="286"/>
      <c r="K45" s="259"/>
      <c r="L45" s="249"/>
      <c r="M45" s="265">
        <v>3</v>
      </c>
      <c r="N45" s="12">
        <v>20000</v>
      </c>
      <c r="O45" s="12">
        <f t="shared" si="25"/>
        <v>60000</v>
      </c>
      <c r="P45" s="14" t="s">
        <v>296</v>
      </c>
      <c r="Q45" s="14"/>
      <c r="R45"/>
      <c r="S45"/>
      <c r="T45" s="238"/>
      <c r="X45" s="231"/>
    </row>
    <row r="46" spans="1:24" s="230" customFormat="1" ht="17.399999999999999" x14ac:dyDescent="0.35">
      <c r="K46" s="259"/>
      <c r="L46" s="249"/>
      <c r="M46" s="14"/>
      <c r="N46" s="12"/>
      <c r="O46" s="12">
        <f>SUM(O39:O45)</f>
        <v>377544.2</v>
      </c>
      <c r="P46" s="39" t="s">
        <v>23</v>
      </c>
      <c r="Q46" s="14"/>
      <c r="R46">
        <f>R43*R44</f>
        <v>3.7088000000000001</v>
      </c>
      <c r="S46"/>
      <c r="T46" s="238"/>
      <c r="X46" s="231"/>
    </row>
    <row r="47" spans="1:24" s="230" customFormat="1" ht="17.399999999999999" x14ac:dyDescent="0.35">
      <c r="L47" s="249"/>
      <c r="M47" s="253" t="s">
        <v>32</v>
      </c>
      <c r="N47" s="12"/>
      <c r="O47" s="254">
        <f>O46*2.1</f>
        <v>792842.82000000007</v>
      </c>
      <c r="P47" s="14" t="s">
        <v>137</v>
      </c>
      <c r="Q47" s="14"/>
      <c r="R47" s="40">
        <f>P37/R46</f>
        <v>2.0713977566867992</v>
      </c>
      <c r="S47"/>
      <c r="T47" s="256"/>
    </row>
    <row r="48" spans="1:24" s="230" customFormat="1" ht="17.399999999999999" x14ac:dyDescent="0.35">
      <c r="G48"/>
      <c r="H48" s="259"/>
      <c r="I48" s="259"/>
      <c r="J48" s="259"/>
      <c r="K48" s="230">
        <v>32790</v>
      </c>
      <c r="L48" s="249"/>
      <c r="M48" s="14"/>
      <c r="N48" s="12"/>
      <c r="O48" s="12">
        <f>O47/P35</f>
        <v>123842.98969072166</v>
      </c>
      <c r="P48" s="45" t="s">
        <v>24</v>
      </c>
      <c r="Q48" s="14"/>
      <c r="R48" s="14"/>
      <c r="S48"/>
      <c r="T48" s="238"/>
      <c r="U48" s="59" t="s">
        <v>154</v>
      </c>
      <c r="V48" s="291">
        <v>43650</v>
      </c>
    </row>
    <row r="49" spans="2:23" s="230" customFormat="1" ht="17.399999999999999" x14ac:dyDescent="0.35">
      <c r="G49"/>
      <c r="K49" s="230">
        <f>K48/1.19</f>
        <v>27554.621848739498</v>
      </c>
      <c r="L49" s="249"/>
      <c r="M49" s="13"/>
      <c r="N49" s="14"/>
      <c r="O49" s="17">
        <f>O47/O46</f>
        <v>2.1</v>
      </c>
      <c r="P49" s="15"/>
      <c r="Q49"/>
      <c r="R49"/>
      <c r="S49"/>
      <c r="T49" s="238"/>
      <c r="U49" s="59" t="s">
        <v>156</v>
      </c>
      <c r="V49" s="292" t="s">
        <v>155</v>
      </c>
      <c r="W49" s="59">
        <v>2.4</v>
      </c>
    </row>
    <row r="50" spans="2:23" s="230" customFormat="1" ht="17.399999999999999" x14ac:dyDescent="0.35">
      <c r="G50" s="23"/>
      <c r="L50" s="12"/>
      <c r="T50" s="238"/>
      <c r="U50" s="59" t="s">
        <v>157</v>
      </c>
      <c r="V50" s="293">
        <v>395.37</v>
      </c>
    </row>
    <row r="51" spans="2:23" s="230" customFormat="1" ht="17.399999999999999" x14ac:dyDescent="0.35">
      <c r="B51"/>
      <c r="C51" s="228"/>
      <c r="D51" s="22"/>
      <c r="E51" s="22"/>
      <c r="F51" s="21"/>
      <c r="G51" s="23"/>
      <c r="L51" s="12"/>
      <c r="T51" s="238"/>
      <c r="U51" s="59" t="s">
        <v>152</v>
      </c>
      <c r="V51" s="59">
        <v>474.45</v>
      </c>
    </row>
    <row r="52" spans="2:23" ht="14.4" customHeight="1" x14ac:dyDescent="0.3">
      <c r="L52" s="12"/>
      <c r="U52" s="59"/>
      <c r="V52" s="59"/>
    </row>
    <row r="53" spans="2:23" x14ac:dyDescent="0.3">
      <c r="L53" s="249"/>
    </row>
    <row r="54" spans="2:23" x14ac:dyDescent="0.3">
      <c r="L54" s="249"/>
      <c r="T54" s="269"/>
    </row>
    <row r="55" spans="2:23" x14ac:dyDescent="0.3">
      <c r="L55" s="249"/>
    </row>
    <row r="56" spans="2:23" ht="15" customHeight="1" x14ac:dyDescent="0.3"/>
    <row r="58" spans="2:23" x14ac:dyDescent="0.3">
      <c r="O58">
        <v>40935</v>
      </c>
      <c r="P58" t="s">
        <v>16</v>
      </c>
      <c r="Q58" t="s">
        <v>26</v>
      </c>
    </row>
    <row r="60" spans="2:23" x14ac:dyDescent="0.3">
      <c r="O60" s="54"/>
      <c r="P60" s="54"/>
    </row>
    <row r="61" spans="2:23" x14ac:dyDescent="0.3">
      <c r="S61" s="18"/>
      <c r="T61" s="18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2" spans="15:20" x14ac:dyDescent="0.3">
      <c r="O72" s="43"/>
    </row>
    <row r="73" spans="15:20" x14ac:dyDescent="0.3">
      <c r="O73" s="43"/>
    </row>
    <row r="74" spans="15:20" x14ac:dyDescent="0.3">
      <c r="O74" s="6"/>
    </row>
    <row r="75" spans="15:20" x14ac:dyDescent="0.3">
      <c r="O75" s="6"/>
    </row>
    <row r="83" spans="3:3" x14ac:dyDescent="0.3">
      <c r="C83" t="s">
        <v>144</v>
      </c>
    </row>
    <row r="84" spans="3:3" x14ac:dyDescent="0.3">
      <c r="C84" t="s">
        <v>143</v>
      </c>
    </row>
    <row r="87" spans="3:3" x14ac:dyDescent="0.3">
      <c r="C87" t="s">
        <v>143</v>
      </c>
    </row>
    <row r="164" spans="3:3" x14ac:dyDescent="0.3">
      <c r="C164" t="s">
        <v>143</v>
      </c>
    </row>
    <row r="165" spans="3:3" x14ac:dyDescent="0.3">
      <c r="C165" t="s">
        <v>145</v>
      </c>
    </row>
    <row r="166" spans="3:3" x14ac:dyDescent="0.3">
      <c r="C166" t="s">
        <v>146</v>
      </c>
    </row>
    <row r="591" spans="3:3" x14ac:dyDescent="0.3">
      <c r="C591" t="s">
        <v>143</v>
      </c>
    </row>
  </sheetData>
  <mergeCells count="1">
    <mergeCell ref="B19:H19"/>
  </mergeCells>
  <hyperlinks>
    <hyperlink ref="F43" r:id="rId1" xr:uid="{5E3306AA-F47A-48C4-B326-C551953751B4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opLeftCell="B21" zoomScale="93" zoomScaleNormal="93" workbookViewId="0">
      <selection activeCell="B23" sqref="B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30" t="s">
        <v>288</v>
      </c>
      <c r="D10" s="243"/>
      <c r="E10" s="243"/>
      <c r="F10" s="418" t="s">
        <v>276</v>
      </c>
      <c r="G10" s="275">
        <v>46139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9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6" t="s">
        <v>13</v>
      </c>
      <c r="C17" s="299" t="s">
        <v>286</v>
      </c>
      <c r="D17" s="300"/>
      <c r="E17" s="119"/>
      <c r="F17" s="427" t="s">
        <v>178</v>
      </c>
      <c r="G17" s="427" t="s">
        <v>179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2" t="s">
        <v>94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O40</f>
        <v>81295.101010100989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55">
        <v>6</v>
      </c>
      <c r="C21" s="456" t="s">
        <v>291</v>
      </c>
      <c r="D21" s="457">
        <v>3</v>
      </c>
      <c r="E21" s="457">
        <v>0.2</v>
      </c>
      <c r="F21" s="458" t="s">
        <v>290</v>
      </c>
      <c r="G21" s="314">
        <f>Q21</f>
        <v>50077.782222222217</v>
      </c>
      <c r="H21" s="431">
        <f>G21*B21</f>
        <v>300466.6933333333</v>
      </c>
      <c r="I21" s="306"/>
      <c r="J21" s="264"/>
      <c r="K21" s="47"/>
      <c r="L21" s="47">
        <v>6</v>
      </c>
      <c r="M21" s="39">
        <f>D21+M$19</f>
        <v>3.08</v>
      </c>
      <c r="N21" s="39">
        <f>E21+$N$19</f>
        <v>0.2</v>
      </c>
      <c r="O21" s="260">
        <f t="shared" ref="O21" si="0">M21*N21</f>
        <v>0.6160000000000001</v>
      </c>
      <c r="P21" s="258">
        <f t="shared" ref="P21" si="1">O21*L21</f>
        <v>3.6960000000000006</v>
      </c>
      <c r="Q21" s="251">
        <f t="shared" ref="Q21" si="2">Q$20*O21</f>
        <v>50077.782222222217</v>
      </c>
      <c r="R21" s="305">
        <f t="shared" ref="R21" si="3">Q21+R$20</f>
        <v>53077.782222222217</v>
      </c>
      <c r="S21" s="290">
        <f>M21*L21</f>
        <v>18.48</v>
      </c>
      <c r="T21" s="46">
        <f>N21*2*L21*2</f>
        <v>4.8000000000000007</v>
      </c>
      <c r="U21" s="9"/>
      <c r="X21" s="4"/>
    </row>
    <row r="22" spans="1:25" ht="17.399999999999999" x14ac:dyDescent="0.3">
      <c r="B22" s="459">
        <v>2</v>
      </c>
      <c r="C22" s="460" t="s">
        <v>292</v>
      </c>
      <c r="D22" s="461">
        <v>3</v>
      </c>
      <c r="E22" s="461">
        <v>0.75</v>
      </c>
      <c r="F22" s="458" t="s">
        <v>290</v>
      </c>
      <c r="G22" s="306">
        <f>Q22</f>
        <v>187791.68333333329</v>
      </c>
      <c r="H22" s="431">
        <f>G22*B22</f>
        <v>375583.36666666658</v>
      </c>
      <c r="I22" s="306"/>
      <c r="J22" s="264"/>
      <c r="K22" s="47"/>
      <c r="L22" s="47">
        <v>2</v>
      </c>
      <c r="M22" s="39">
        <f>D22+M$19</f>
        <v>3.08</v>
      </c>
      <c r="N22" s="39">
        <f>E22+$N$19</f>
        <v>0.75</v>
      </c>
      <c r="O22" s="260">
        <f t="shared" ref="O22" si="4">M22*N22</f>
        <v>2.31</v>
      </c>
      <c r="P22" s="258">
        <f t="shared" ref="P22" si="5">O22*L22</f>
        <v>4.62</v>
      </c>
      <c r="Q22" s="251">
        <f t="shared" ref="Q22" si="6">Q$20*O22</f>
        <v>187791.68333333329</v>
      </c>
      <c r="R22" s="305">
        <f t="shared" ref="R22" si="7">Q22+R$20</f>
        <v>190791.68333333329</v>
      </c>
      <c r="S22" s="290">
        <f>M22*L22</f>
        <v>6.16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676050.05999999982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4.8000000000000007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128449.51139999997</v>
      </c>
      <c r="I26" s="308"/>
      <c r="J26" s="264"/>
      <c r="K26" s="47"/>
      <c r="L26" s="47"/>
      <c r="M26" s="39">
        <f>SUM(M21:M25)</f>
        <v>6.16</v>
      </c>
      <c r="N26" s="12"/>
      <c r="O26" s="12"/>
      <c r="P26" s="252">
        <f>SUM(P21:P24)</f>
        <v>8.3160000000000007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804499.57139999978</v>
      </c>
      <c r="I27" s="308"/>
      <c r="J27" s="264"/>
      <c r="K27" s="47"/>
      <c r="L27" s="47"/>
      <c r="M27" s="39"/>
      <c r="N27" s="12"/>
      <c r="O27" s="12"/>
      <c r="P27" s="252">
        <f>P26</f>
        <v>8.3160000000000007</v>
      </c>
      <c r="Q27" s="14"/>
      <c r="R27" s="12"/>
      <c r="S27" s="239">
        <f>SUM(S21:S26)</f>
        <v>24.64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1.6632000000000002</v>
      </c>
      <c r="Q28" s="39" t="s">
        <v>128</v>
      </c>
      <c r="R28" s="42"/>
      <c r="S28" s="240">
        <f>S27+T25</f>
        <v>29.44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9.9792000000000005</v>
      </c>
      <c r="Q29" s="14"/>
      <c r="R29" s="14"/>
      <c r="S29" s="238">
        <f>S28*20%</f>
        <v>5.8880000000000008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35.328000000000003</v>
      </c>
      <c r="T30" s="14"/>
      <c r="U30" s="294" t="s">
        <v>21</v>
      </c>
      <c r="V30" s="291" t="s">
        <v>148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>
        <v>4.4349999999999996</v>
      </c>
      <c r="L31" s="47"/>
      <c r="M31" s="39">
        <f>P29*2+K31</f>
        <v>24.3934</v>
      </c>
      <c r="N31" s="12">
        <v>4000</v>
      </c>
      <c r="O31" s="12">
        <f t="shared" ref="O31:O37" si="8">M31*N31</f>
        <v>97573.6</v>
      </c>
      <c r="P31" s="14" t="s">
        <v>21</v>
      </c>
      <c r="Q31" s="14"/>
      <c r="R31" s="14"/>
      <c r="S31" s="241"/>
      <c r="T31" s="14"/>
      <c r="U31" s="294" t="s">
        <v>149</v>
      </c>
      <c r="V31" s="291">
        <v>3625</v>
      </c>
      <c r="W31" s="59" t="s">
        <v>150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24910</v>
      </c>
      <c r="O32" s="12">
        <f t="shared" si="8"/>
        <v>24910</v>
      </c>
      <c r="P32" s="39" t="s">
        <v>30</v>
      </c>
      <c r="Q32" s="42"/>
      <c r="R32" s="14"/>
      <c r="S32" s="240"/>
      <c r="T32" s="14"/>
      <c r="U32" s="294"/>
      <c r="V32" s="59">
        <v>906.25</v>
      </c>
      <c r="W32" s="59" t="s">
        <v>151</v>
      </c>
      <c r="X32" s="296"/>
    </row>
    <row r="33" spans="1:24" s="230" customFormat="1" ht="17.399999999999999" x14ac:dyDescent="0.35">
      <c r="B33" s="24" t="s">
        <v>147</v>
      </c>
      <c r="J33" s="261"/>
      <c r="K33" s="232"/>
      <c r="L33" s="249"/>
      <c r="M33" s="14">
        <v>1.5</v>
      </c>
      <c r="N33" s="249">
        <v>38030</v>
      </c>
      <c r="O33" s="12">
        <f t="shared" si="8"/>
        <v>57045</v>
      </c>
      <c r="P33" s="39" t="s">
        <v>293</v>
      </c>
      <c r="Q33" s="42"/>
      <c r="S33" s="240"/>
      <c r="T33" s="255"/>
      <c r="U33" s="59"/>
      <c r="V33" s="59">
        <f>V32*20%</f>
        <v>181.25</v>
      </c>
      <c r="W33" s="296" t="s">
        <v>152</v>
      </c>
      <c r="X33" s="59"/>
    </row>
    <row r="34" spans="1:24" s="230" customFormat="1" ht="17.399999999999999" x14ac:dyDescent="0.35">
      <c r="B34" s="24" t="s">
        <v>161</v>
      </c>
      <c r="C34"/>
      <c r="D34"/>
      <c r="E34"/>
      <c r="F34"/>
      <c r="J34" s="261"/>
      <c r="K34" s="232"/>
      <c r="L34" s="249"/>
      <c r="M34" s="14">
        <v>2</v>
      </c>
      <c r="N34" s="249">
        <v>27010</v>
      </c>
      <c r="O34" s="12">
        <f t="shared" si="8"/>
        <v>54020</v>
      </c>
      <c r="P34" s="14" t="s">
        <v>138</v>
      </c>
      <c r="Q34" s="17"/>
      <c r="S34" s="238"/>
      <c r="T34" s="255"/>
      <c r="U34" s="59"/>
      <c r="V34" s="59">
        <f>V32+V33</f>
        <v>1087.5</v>
      </c>
      <c r="W34" s="296" t="s">
        <v>153</v>
      </c>
      <c r="X34" s="59"/>
    </row>
    <row r="35" spans="1:24" s="230" customFormat="1" ht="17.399999999999999" x14ac:dyDescent="0.35">
      <c r="A35" s="230" t="s">
        <v>282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>
        <v>1</v>
      </c>
      <c r="N35" s="249">
        <v>39990</v>
      </c>
      <c r="O35" s="12">
        <f t="shared" si="8"/>
        <v>39990</v>
      </c>
      <c r="P35" s="14" t="s">
        <v>294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1</v>
      </c>
      <c r="N36" s="12">
        <v>8390</v>
      </c>
      <c r="O36" s="12">
        <f t="shared" si="8"/>
        <v>8390</v>
      </c>
      <c r="P36" s="14" t="s">
        <v>295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J37" s="286"/>
      <c r="K37" s="259"/>
      <c r="L37" s="249"/>
      <c r="M37" s="265">
        <v>2</v>
      </c>
      <c r="N37" s="12">
        <v>20000</v>
      </c>
      <c r="O37" s="12">
        <f t="shared" si="8"/>
        <v>40000</v>
      </c>
      <c r="P37" s="14" t="s">
        <v>296</v>
      </c>
      <c r="Q37" s="14"/>
      <c r="R37"/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SUM(O31:O37)</f>
        <v>321928.59999999998</v>
      </c>
      <c r="P38" s="39" t="s">
        <v>23</v>
      </c>
      <c r="Q38" s="14"/>
      <c r="R38">
        <f>R35*R36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32</v>
      </c>
      <c r="N39" s="12"/>
      <c r="O39" s="254">
        <f>O38*2.1</f>
        <v>676050.05999999994</v>
      </c>
      <c r="P39" s="14" t="s">
        <v>137</v>
      </c>
      <c r="Q39" s="14"/>
      <c r="R39" s="40">
        <f>P29/R38</f>
        <v>2.690681622088007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32790</v>
      </c>
      <c r="L40" s="249"/>
      <c r="M40" s="14"/>
      <c r="N40" s="12"/>
      <c r="O40" s="12">
        <f>O39/P27</f>
        <v>81295.101010100989</v>
      </c>
      <c r="P40" s="45" t="s">
        <v>24</v>
      </c>
      <c r="Q40" s="14"/>
      <c r="R40" s="14"/>
      <c r="S40"/>
      <c r="T40" s="238"/>
      <c r="U40" s="59" t="s">
        <v>154</v>
      </c>
      <c r="V40" s="291">
        <v>43650</v>
      </c>
    </row>
    <row r="41" spans="1:24" s="230" customFormat="1" ht="17.399999999999999" x14ac:dyDescent="0.35">
      <c r="G41"/>
      <c r="K41" s="230">
        <f>K40/1.19</f>
        <v>27554.621848739498</v>
      </c>
      <c r="L41" s="249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156</v>
      </c>
      <c r="V41" s="292" t="s">
        <v>155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157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152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144</v>
      </c>
    </row>
    <row r="76" spans="3:15" x14ac:dyDescent="0.3">
      <c r="C76" t="s">
        <v>143</v>
      </c>
    </row>
    <row r="79" spans="3:15" x14ac:dyDescent="0.3">
      <c r="C79" t="s">
        <v>143</v>
      </c>
    </row>
    <row r="156" spans="3:3" x14ac:dyDescent="0.3">
      <c r="C156" t="s">
        <v>143</v>
      </c>
    </row>
    <row r="157" spans="3:3" x14ac:dyDescent="0.3">
      <c r="C157" t="s">
        <v>145</v>
      </c>
    </row>
    <row r="158" spans="3:3" x14ac:dyDescent="0.3">
      <c r="C158" t="s">
        <v>146</v>
      </c>
    </row>
    <row r="583" spans="3:3" x14ac:dyDescent="0.3">
      <c r="C583" t="s">
        <v>143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'MESON 1ER PISO'!G10</f>
        <v>46139</v>
      </c>
    </row>
    <row r="6" spans="2:31" ht="16.2" thickBot="1" x14ac:dyDescent="0.35">
      <c r="B6" s="140" t="s">
        <v>2</v>
      </c>
      <c r="C6" s="139" t="str">
        <f>'MESON 1ER PISO'!C10</f>
        <v>FRANCISCO ASENJO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'MESON 1ER PISO'!#REF!</f>
        <v>#REF!</v>
      </c>
      <c r="D7" s="138"/>
      <c r="E7" s="138"/>
      <c r="F7" s="138"/>
      <c r="H7" s="436" t="s">
        <v>97</v>
      </c>
      <c r="I7" s="437"/>
      <c r="J7" s="437"/>
      <c r="K7" s="438"/>
      <c r="N7" s="75"/>
      <c r="O7" s="435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'MESON 1ER PISO'!D8</f>
        <v>N° 12107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5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-55100.270033454079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'MESON 1ER PISO'!H25</f>
        <v>676050.05999999982</v>
      </c>
      <c r="E11" s="132">
        <f>D11*0.19</f>
        <v>128449.51139999997</v>
      </c>
      <c r="F11" s="131">
        <f>E11+D11</f>
        <v>804499.57139999978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50889.729966545921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209362.69078743961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32889.729966545921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466687.36921256024</v>
      </c>
      <c r="E13" s="221">
        <f>(D11/D12)-1</f>
        <v>2.2290856477689021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23889.729966545921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-15110.270033454079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345448.43979927537</v>
      </c>
      <c r="F15" s="216">
        <f>E15-D12</f>
        <v>136085.74901183575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-15110.270033454079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24889.729966545921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'MESON 1ER PISO'!O33</f>
        <v>57045</v>
      </c>
      <c r="E18" s="123">
        <f>D18*0.19</f>
        <v>10838.55</v>
      </c>
      <c r="F18" s="120">
        <f>SUM(D18:E18)</f>
        <v>67883.55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'MESON 1ER PISO'!O32</f>
        <v>24910</v>
      </c>
      <c r="E19" s="123">
        <f>D19*0.19</f>
        <v>4732.8999999999996</v>
      </c>
      <c r="F19" s="120">
        <f>SUM(D19:E19)</f>
        <v>29642.9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'MESON 1ER PISO'!O31</f>
        <v>97573.6</v>
      </c>
      <c r="E20" s="121">
        <f>D20*0.19</f>
        <v>18538.984</v>
      </c>
      <c r="F20" s="120">
        <f>SUM(D20:E20)</f>
        <v>116112.584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179528.6</v>
      </c>
      <c r="E21" s="116">
        <f>SUM(E18:E20)</f>
        <v>34110.434000000001</v>
      </c>
      <c r="F21" s="115">
        <f>SUM(F18:F20)</f>
        <v>213639.03400000001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94339.07739999998</v>
      </c>
    </row>
    <row r="41" spans="2:16" ht="15" thickBot="1" x14ac:dyDescent="0.35">
      <c r="H41" s="439" t="s">
        <v>59</v>
      </c>
      <c r="I41" s="440"/>
      <c r="J41" s="440"/>
      <c r="K41" s="440"/>
      <c r="L41" s="440"/>
      <c r="M41" s="441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676050.05999999982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179528.6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466687.36921256024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466687.36921256024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'MESON 1ER PISO'!D8</f>
        <v>N° 12107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IF('MESON 1ER PISO'!C10="","",'MESON 1ER PISO'!C10)</f>
        <v>FRANCISCO ASENJO</v>
      </c>
      <c r="D10" s="350"/>
      <c r="E10" s="350"/>
      <c r="F10" s="351" t="s">
        <v>166</v>
      </c>
      <c r="G10" s="352">
        <f>'MESON 1ER PISO'!G10</f>
        <v>46139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IF('MESON 1ER PISO'!C11="","",'MESON 1ER PISO'!C11)</f>
        <v/>
      </c>
      <c r="D11" s="345"/>
      <c r="E11" s="345"/>
      <c r="F11" s="345" t="s">
        <v>167</v>
      </c>
      <c r="G11" s="340">
        <f>WORKDAY(G10,5)</f>
        <v>46146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IF('MESON 1ER PISO'!C12="","",'MESON 1ER PISO'!C12)</f>
        <v/>
      </c>
      <c r="D12" s="355"/>
      <c r="E12" s="355"/>
      <c r="F12" s="355" t="s">
        <v>180</v>
      </c>
      <c r="G12" s="355" t="str">
        <f>'MESON 1ER PISO'!G14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IF('MESON 1ER PISO'!C13="","",'MESON 1ER PISO'!C13)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IF('MESON 1ER PISO'!C14="","",'MESON 1ER PISO'!C14)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IF('MESON 1ER PISO'!C15="","",'MESON 1ER PISO'!C15)</f>
        <v/>
      </c>
      <c r="D15" s="347"/>
      <c r="E15" s="345"/>
      <c r="F15" s="345" t="s">
        <v>172</v>
      </c>
      <c r="G15" s="345" t="str">
        <f>'MESON 1ER PISO'!G12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IF('MESON 1ER PISO'!C16="","",'MESON 1ER PISO'!C16)</f>
        <v/>
      </c>
      <c r="D16" s="355"/>
      <c r="E16" s="355"/>
      <c r="F16" s="355" t="s">
        <v>173</v>
      </c>
      <c r="G16" s="355" t="str">
        <f>'MESON 1ER PISO'!G16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IF('MESON 1ER PISO'!C17="","",'MESON 1ER PISO'!C17)</f>
        <v>SANTIAGO</v>
      </c>
      <c r="D17" s="343"/>
      <c r="E17" s="344"/>
      <c r="F17" s="442" t="s">
        <v>174</v>
      </c>
      <c r="G17" s="442"/>
      <c r="H17" s="44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4" t="s">
        <v>175</v>
      </c>
      <c r="C20" s="445"/>
      <c r="D20" s="445"/>
      <c r="E20" s="445"/>
      <c r="F20" s="445"/>
      <c r="G20" s="445"/>
      <c r="H20" s="44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'MESON 1ER PISO'!B21</f>
        <v>6</v>
      </c>
      <c r="C22" s="313" t="str">
        <f>'MESON 1ER PISO'!C21</f>
        <v>CENEFA 2V R6</v>
      </c>
      <c r="D22" s="321">
        <f>'MESON 1ER PISO'!D21*1000</f>
        <v>3000</v>
      </c>
      <c r="E22" s="321">
        <f>'MESON 1ER PISO'!E21*1000</f>
        <v>200</v>
      </c>
      <c r="F22" s="322" t="str">
        <f>'MESON 1ER PISO'!F21</f>
        <v>DOVE GREY</v>
      </c>
      <c r="G22" s="314">
        <f>'MESON 1ER PISO'!G21</f>
        <v>50077.782222222217</v>
      </c>
      <c r="H22" s="323">
        <f>G22*B22</f>
        <v>300466.6933333333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300466.6933333333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57088.671733333329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357555.36506666662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181</v>
      </c>
      <c r="C2" s="447"/>
      <c r="D2" s="447"/>
      <c r="E2" s="361"/>
      <c r="G2" s="447" t="s">
        <v>182</v>
      </c>
      <c r="H2" s="447"/>
      <c r="I2" s="447"/>
      <c r="P2" s="448" t="s">
        <v>183</v>
      </c>
      <c r="Q2" s="448"/>
      <c r="R2" s="448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48" t="s">
        <v>183</v>
      </c>
      <c r="M8" s="448"/>
      <c r="N8" s="448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3" t="s">
        <v>264</v>
      </c>
      <c r="L3" s="453"/>
      <c r="M3" s="453" t="s">
        <v>265</v>
      </c>
      <c r="N3" s="453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FRANCISCO ASENJO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46139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46146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4" t="s">
        <v>264</v>
      </c>
      <c r="B10" s="454"/>
      <c r="C10" s="454"/>
      <c r="D10" s="454"/>
      <c r="E10" s="454"/>
      <c r="F10" s="45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4" t="s">
        <v>265</v>
      </c>
      <c r="B17" s="454"/>
      <c r="C17" s="454"/>
      <c r="D17" s="454"/>
      <c r="E17" s="454"/>
      <c r="F17" s="45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4" t="s">
        <v>271</v>
      </c>
      <c r="B45" s="454"/>
      <c r="C45" s="454"/>
      <c r="D45" s="454"/>
      <c r="E45" s="454"/>
      <c r="F45" s="45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9" t="s">
        <v>94</v>
      </c>
      <c r="C47" s="450"/>
      <c r="D47" s="451"/>
      <c r="E47" s="451"/>
      <c r="F47" s="452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12107</v>
      </c>
      <c r="C2" s="1">
        <f>'NOTA DE VENTA'!$G$10</f>
        <v>46139</v>
      </c>
      <c r="D2" s="1">
        <f>'NOTA DE VENTA'!$G$11</f>
        <v>46146</v>
      </c>
      <c r="E2" t="str">
        <f>'NOTA DE VENTA'!$C$10</f>
        <v>FRANCISCO ASENJO</v>
      </c>
      <c r="F2" t="str">
        <f>'NOTA DE VENTA'!$C$22</f>
        <v>CENEFA 2V R6</v>
      </c>
      <c r="G2" t="str">
        <f>'NOTA DE VENTA'!$F$22</f>
        <v>DOVE GREY</v>
      </c>
      <c r="H2" s="416">
        <f>'NOTA DE VENTA'!$H$25</f>
        <v>300466.6933333333</v>
      </c>
      <c r="I2" s="416">
        <f>H2*0.19</f>
        <v>57088.671733333329</v>
      </c>
      <c r="J2" s="416">
        <f>I2+H2</f>
        <v>357555.36506666662</v>
      </c>
      <c r="L2" s="61">
        <f>J2-K2</f>
        <v>357555.36506666662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MESON INK</vt:lpstr>
      <vt:lpstr>MESON 1ER PISO</vt:lpstr>
      <vt:lpstr>COSTOS</vt:lpstr>
      <vt:lpstr>NOTA DE VENTA</vt:lpstr>
      <vt:lpstr>REGLAS</vt:lpstr>
      <vt:lpstr>PRODUCCION</vt:lpstr>
      <vt:lpstr>SEGUIMIENTO</vt:lpstr>
      <vt:lpstr>'MESON 1ER PISO'!Área_de_impresión</vt:lpstr>
      <vt:lpstr>'MESON INK'!Área_de_impresión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2026-04-27T13:28:49Z</cp:lastPrinted>
  <dcterms:created xsi:type="dcterms:W3CDTF">2013-03-18T13:35:42Z</dcterms:created>
  <dcterms:modified xsi:type="dcterms:W3CDTF">2026-04-29T02:08:23Z</dcterms:modified>
</cp:coreProperties>
</file>