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53ACE4AB-1018-4BB4-897F-347AE36608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M21" i="1"/>
  <c r="L21" i="1"/>
  <c r="S21" i="1" l="1"/>
  <c r="N21" i="1" l="1"/>
  <c r="O21" i="1" l="1"/>
  <c r="P21" i="1" s="1"/>
  <c r="P27" i="1" s="1"/>
  <c r="S28" i="1"/>
  <c r="M27" i="1"/>
  <c r="T26" i="1"/>
  <c r="S29" i="1" l="1"/>
  <c r="S30" i="1" s="1"/>
  <c r="S31" i="1" s="1"/>
  <c r="V34" i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R22" i="1" s="1"/>
  <c r="Q23" i="1"/>
  <c r="R23" i="1" s="1"/>
  <c r="Q21" i="1"/>
  <c r="O41" i="1"/>
  <c r="E15" i="3"/>
  <c r="R21" i="1" l="1"/>
  <c r="H21" i="1"/>
  <c r="F15" i="3"/>
  <c r="H26" i="1" l="1"/>
  <c r="H27" i="1" s="1"/>
  <c r="H28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<sst xmlns="http://schemas.openxmlformats.org/spreadsheetml/2006/main" count="234" uniqueCount="175">
  <si>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</si>
  <si>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</si>
  <si>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</si>
  <si>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</si>
  <si>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</si>
  <si>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</si>
  <si>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</si>
  <si>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</si>
  <si>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</si>
  <si>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</si>
  <si>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</si>
  <si>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</si>
  <si>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</si>
  <si>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</si>
  <si>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</si>
  <si>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</si>
  <si>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</si>
  <si>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</si>
  <si>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</si>
  <si>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</si>
  <si>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</si>
  <si>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</si>
  <si>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</si>
  <si>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</si>
  <si>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</si>
  <si>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</si>
  <si>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</si>
  <si>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</si>
  <si>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</si>
  <si>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</si>
  <si>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</si>
  <si>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</si>
  <si>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</si>
  <si>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</si>
  <si>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</si>
  <si>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</si>
  <si>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</si>
  <si>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</si>
  <si>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</si>
  <si>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</si>
  <si>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</si>
  <si>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</si>
  <si>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</si>
  <si>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</si>
  <si>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</si>
  <si>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</si>
  <si>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</si>
  <si>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</si>
  <si>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</si>
  <si>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</si>
  <si>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</si>
  <si>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</si>
  <si>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</si>
  <si>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</si>
  <si>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</si>
  <si>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</si>
  <si>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</si>
  <si>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</si>
  <si>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</si>
  <si>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</si>
  <si>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</si>
  <si>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</si>
  <si>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</si>
  <si>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</si>
  <si>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</si>
  <si>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</si>
  <si>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</si>
  <si>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</si>
  <si>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</si>
  <si>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</si>
  <si>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</si>
  <si>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</si>
  <si>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</si>
  <si>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</si>
  <si>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</si>
  <si>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</si>
  <si>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</si>
  <si>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</si>
  <si>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</si>
  <si>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</si>
  <si>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</si>
  <si>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</si>
  <si>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</si>
  <si>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</si>
  <si>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</si>
  <si>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</si>
  <si>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</si>
  <si>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</si>
  <si>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</si>
  <si>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</si>
  <si>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</si>
  <si>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</si>
  <si>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</si>
  <si>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</si>
  <si>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</si>
  <si>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</si>
  <si>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</si>
  <si>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</si>
  <si>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</si>
  <si>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</si>
  <si>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</si>
  <si>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</si>
  <si>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</si>
  <si>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</si>
  <si>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</si>
  <si>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</si>
  <si>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</si>
  <si>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</si>
  <si>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</si>
  <si>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</si>
  <si>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</si>
  <si>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</si>
  <si>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</si>
  <si>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</si>
  <si>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</si>
  <si>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</si>
  <si>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</si>
  <si>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</si>
  <si>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</si>
  <si>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</si>
  <si>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</si>
  <si>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</si>
  <si>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</si>
  <si>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</si>
  <si>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</si>
  <si>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</si>
  <si>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</si>
  <si>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</si>
  <si>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</si>
  <si>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</si>
  <si>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</si>
  <si>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</si>
  <si>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</si>
  <si>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</si>
  <si>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</si>
  <si>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</si>
  <si>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</si>
  <si>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</si>
  <si>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</si>
  <si>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</si>
  <si>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</si>
  <si>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</si>
  <si>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</si>
  <si>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</si>
  <si>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</si>
  <si>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</si>
  <si>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</si>
  <si>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</si>
  <si>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</si>
  <si>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</si>
  <si>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</si>
  <si>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</si>
  <si>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</si>
  <si>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</si>
  <si>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</si>
  <si>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</si>
  <si>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</si>
  <si>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</si>
  <si>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</si>
  <si>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</si>
  <si>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</si>
  <si>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</si>
  <si>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</si>
  <si>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</si>
  <si>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</si>
  <si>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</si>
  <si>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</si>
  <si>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</si>
  <si>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</si>
  <si>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</si>
  <si>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</si>
  <si>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</si>
  <si>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N° 12096</t>
  </si>
  <si>
    <t>1 DIA HABIL</t>
  </si>
  <si>
    <t>GLACIAL WHITE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</si>
</sst>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25913</xdr:rowOff>
    </xdr:from>
    <xdr:to>
      <xdr:col>5</xdr:col>
      <xdr:colOff>1728839</xdr:colOff>
      <xdr:row>28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84" zoomScaleNormal="84" workbookViewId="0">
      <selection activeCell="J17" sqref="J1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46128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50586.052631578954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171</v>
      </c>
      <c r="D21" s="332">
        <v>3.4</v>
      </c>
      <c r="E21" s="332">
        <v>0.6</v>
      </c>
      <c r="F21" s="330" t="s">
        <v>174</v>
      </c>
      <c r="G21" s="331">
        <v>105624</v>
      </c>
      <c r="H21" s="331">
        <f t="shared" ref="H21:H23" si="1">G21*B21</f>
        <v>105624</v>
      </c>
      <c r="I21" s="320"/>
      <c r="J21" s="265"/>
      <c r="K21" s="47"/>
      <c r="L21" s="333">
        <f>B21</f>
        <v>1</v>
      </c>
      <c r="M21" s="39">
        <f>D21+M$19</f>
        <v>3.48</v>
      </c>
      <c r="N21" s="39">
        <f t="shared" ref="N21" si="2">E21+$N$19</f>
        <v>0.6</v>
      </c>
      <c r="O21" s="261">
        <f t="shared" ref="O21" si="3">M21*N21</f>
        <v>2.0880000000000001</v>
      </c>
      <c r="P21" s="259">
        <f t="shared" ref="P21" si="4">O21*L21</f>
        <v>2.0880000000000001</v>
      </c>
      <c r="Q21" s="252">
        <f t="shared" ref="Q21" si="5">Q$20*O21</f>
        <v>105623.67789473686</v>
      </c>
      <c r="R21" s="319">
        <f t="shared" ref="R21" si="6">Q21+R$20</f>
        <v>108623.67789473686</v>
      </c>
      <c r="S21" s="297">
        <f t="shared" ref="S21" si="7">L21*M21</f>
        <v>3.48</v>
      </c>
      <c r="T21" s="46"/>
      <c r="U21" s="9"/>
      <c r="X21" s="4"/>
    </row>
    <row r="22" spans="2:25" ht="17.399999999999999" x14ac:dyDescent="0.3">
      <c r="B22" s="330">
        <v>1</v>
      </c>
      <c r="C22" s="330" t="s">
        <v>171</v>
      </c>
      <c r="D22" s="332">
        <v>3</v>
      </c>
      <c r="E22" s="332">
        <v>0.6</v>
      </c>
      <c r="F22" s="330" t="s">
        <v>174</v>
      </c>
      <c r="G22" s="331">
        <v>93483</v>
      </c>
      <c r="H22" s="331">
        <f t="shared" si="1"/>
        <v>93483</v>
      </c>
      <c r="I22" s="320"/>
      <c r="J22" s="265"/>
      <c r="K22" s="47"/>
      <c r="L22" s="333">
        <f t="shared" ref="L22:L23" si="8">B22</f>
        <v>1</v>
      </c>
      <c r="M22" s="39">
        <f t="shared" ref="M22:M23" si="9">D22+M$19</f>
        <v>3.08</v>
      </c>
      <c r="N22" s="39">
        <f t="shared" ref="N22:N23" si="10">E22+$N$19</f>
        <v>0.6</v>
      </c>
      <c r="O22" s="261">
        <f t="shared" ref="O22:O23" si="11">M22*N22</f>
        <v>1.8479999999999999</v>
      </c>
      <c r="P22" s="259">
        <f t="shared" ref="P22:P23" si="12">O22*L22</f>
        <v>1.8479999999999999</v>
      </c>
      <c r="Q22" s="252">
        <f t="shared" ref="Q22:Q23" si="13">Q$20*O22</f>
        <v>93483.025263157906</v>
      </c>
      <c r="R22" s="319">
        <f t="shared" ref="R22:R23" si="14">Q22+R$20</f>
        <v>96483.025263157906</v>
      </c>
      <c r="S22" s="297">
        <f t="shared" ref="S22:S23" si="15">L22*M22</f>
        <v>3.08</v>
      </c>
      <c r="T22" s="46"/>
      <c r="U22" s="9"/>
      <c r="X22" s="4"/>
    </row>
    <row r="23" spans="2:25" ht="17.399999999999999" x14ac:dyDescent="0.3">
      <c r="B23" s="330">
        <v>1</v>
      </c>
      <c r="C23" s="330" t="s">
        <v>171</v>
      </c>
      <c r="D23" s="332">
        <v>2.1</v>
      </c>
      <c r="E23" s="332">
        <v>0.6</v>
      </c>
      <c r="F23" s="330" t="s">
        <v>174</v>
      </c>
      <c r="G23" s="331">
        <v>66167</v>
      </c>
      <c r="H23" s="331">
        <f t="shared" si="1"/>
        <v>66167</v>
      </c>
      <c r="I23" s="320"/>
      <c r="J23" s="265"/>
      <c r="K23" s="47"/>
      <c r="L23" s="333">
        <f t="shared" si="8"/>
        <v>1</v>
      </c>
      <c r="M23" s="39">
        <f t="shared" si="9"/>
        <v>2.1800000000000002</v>
      </c>
      <c r="N23" s="39">
        <f t="shared" si="10"/>
        <v>0.6</v>
      </c>
      <c r="O23" s="261">
        <f t="shared" si="11"/>
        <v>1.3080000000000001</v>
      </c>
      <c r="P23" s="259">
        <f t="shared" si="12"/>
        <v>1.3080000000000001</v>
      </c>
      <c r="Q23" s="252">
        <f t="shared" si="13"/>
        <v>66166.556842105274</v>
      </c>
      <c r="R23" s="319">
        <f t="shared" si="14"/>
        <v>69166.556842105274</v>
      </c>
      <c r="S23" s="297">
        <f t="shared" si="15"/>
        <v>2.1800000000000002</v>
      </c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333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265274</v>
      </c>
      <c r="I26" s="322"/>
      <c r="J26" s="265"/>
      <c r="K26" s="47"/>
      <c r="L26" s="47"/>
      <c r="M26" s="39"/>
      <c r="N26" s="39"/>
      <c r="O26" s="261"/>
      <c r="P26" s="259"/>
      <c r="Q26" s="252"/>
      <c r="R26" s="258"/>
      <c r="S26" s="297"/>
      <c r="T26" s="46">
        <f>SUM(T21:T25)</f>
        <v>0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50402.06</v>
      </c>
      <c r="I27" s="322"/>
      <c r="J27" s="265"/>
      <c r="K27" s="47"/>
      <c r="L27" s="47"/>
      <c r="M27" s="39">
        <f>SUM(M21:M26)</f>
        <v>8.74</v>
      </c>
      <c r="N27" s="12"/>
      <c r="O27" s="12"/>
      <c r="P27" s="253">
        <f>SUM(P21:P25)</f>
        <v>5.2439999999999998</v>
      </c>
      <c r="Q27" s="14"/>
      <c r="R27" s="12"/>
      <c r="S27" s="239"/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315676.06</v>
      </c>
      <c r="I28" s="322"/>
      <c r="J28" s="265"/>
      <c r="K28" s="47"/>
      <c r="L28" s="47"/>
      <c r="M28" s="39"/>
      <c r="N28" s="12"/>
      <c r="O28" s="12"/>
      <c r="P28" s="253">
        <f>P27</f>
        <v>5.2439999999999998</v>
      </c>
      <c r="Q28" s="14"/>
      <c r="R28" s="12"/>
      <c r="S28" s="239">
        <f>SUM(S21:S27)</f>
        <v>8.74</v>
      </c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1.0488</v>
      </c>
      <c r="Q29" s="39" t="s">
        <v>130</v>
      </c>
      <c r="R29" s="42"/>
      <c r="S29" s="240">
        <f>S28+T26</f>
        <v>8.74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6.2927999999999997</v>
      </c>
      <c r="Q30" s="14"/>
      <c r="R30" s="14"/>
      <c r="S30" s="238">
        <f>S29*20%</f>
        <v>1.7480000000000002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10.488</v>
      </c>
      <c r="T31" s="14"/>
      <c r="U31" s="302" t="s">
        <v>21</v>
      </c>
      <c r="V31" s="299" t="s">
        <v>151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6.2927999999999997</v>
      </c>
      <c r="N32" s="12">
        <v>2000</v>
      </c>
      <c r="O32" s="12">
        <f t="shared" ref="O32:O37" si="16">M32*N32</f>
        <v>12585.599999999999</v>
      </c>
      <c r="P32" s="14" t="s">
        <v>21</v>
      </c>
      <c r="Q32" s="14"/>
      <c r="R32" s="14"/>
      <c r="S32" s="241"/>
      <c r="T32" s="14"/>
      <c r="U32" s="302" t="s">
        <v>152</v>
      </c>
      <c r="V32" s="299">
        <v>3625</v>
      </c>
      <c r="W32" s="59" t="s">
        <v>153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1.5</v>
      </c>
      <c r="N33" s="12">
        <v>24910</v>
      </c>
      <c r="O33" s="12">
        <f t="shared" si="16"/>
        <v>37365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154</v>
      </c>
      <c r="X33" s="304"/>
    </row>
    <row r="34" spans="1:24" s="230" customFormat="1" ht="17.399999999999999" x14ac:dyDescent="0.35">
      <c r="B34" s="24" t="s">
        <v>150</v>
      </c>
      <c r="J34" s="262"/>
      <c r="K34" s="232"/>
      <c r="L34" s="250"/>
      <c r="M34" s="14"/>
      <c r="N34" s="250">
        <v>23500</v>
      </c>
      <c r="O34" s="12">
        <f t="shared" si="16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155</v>
      </c>
      <c r="X34" s="59"/>
    </row>
    <row r="35" spans="1:24" s="230" customFormat="1" ht="17.399999999999999" x14ac:dyDescent="0.35">
      <c r="B35" s="24" t="s">
        <v>143</v>
      </c>
      <c r="C35"/>
      <c r="D35"/>
      <c r="E35"/>
      <c r="F35"/>
      <c r="J35" s="262"/>
      <c r="K35" s="232"/>
      <c r="L35" s="250"/>
      <c r="M35" s="14">
        <v>3</v>
      </c>
      <c r="N35" s="250">
        <v>24000</v>
      </c>
      <c r="O35" s="12">
        <f t="shared" si="16"/>
        <v>72000</v>
      </c>
      <c r="P35" s="14" t="s">
        <v>170</v>
      </c>
      <c r="Q35" s="17"/>
      <c r="S35" s="238"/>
      <c r="T35" s="256"/>
      <c r="U35" s="59"/>
      <c r="V35" s="59">
        <f>V33+V34</f>
        <v>1087.5</v>
      </c>
      <c r="W35" s="304" t="s">
        <v>156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15700</v>
      </c>
      <c r="O36" s="12">
        <f t="shared" si="16"/>
        <v>0</v>
      </c>
      <c r="P36" s="14" t="s">
        <v>32</v>
      </c>
      <c r="Q36" s="14"/>
      <c r="R36" s="230">
        <v>1.83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8.74</v>
      </c>
      <c r="N37" s="12">
        <v>500</v>
      </c>
      <c r="O37" s="12">
        <f t="shared" si="16"/>
        <v>4370</v>
      </c>
      <c r="P37" s="14" t="s">
        <v>22</v>
      </c>
      <c r="Q37" s="14"/>
      <c r="R37">
        <v>2.5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126320.6</v>
      </c>
      <c r="P38" s="39" t="s">
        <v>23</v>
      </c>
      <c r="Q38" s="14"/>
      <c r="R38">
        <f>R36*R37</f>
        <v>4.5750000000000002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O38*2.1</f>
        <v>265273.26</v>
      </c>
      <c r="P39" s="14" t="s">
        <v>140</v>
      </c>
      <c r="Q39" s="14"/>
      <c r="R39" s="40">
        <f>P30/R38</f>
        <v>1.3754754098360655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L40" s="250"/>
      <c r="M40" s="14"/>
      <c r="N40" s="12"/>
      <c r="O40" s="12">
        <f>O39/P28</f>
        <v>50586.052631578954</v>
      </c>
      <c r="P40" s="45" t="s">
        <v>24</v>
      </c>
      <c r="Q40" s="14"/>
      <c r="R40" s="14"/>
      <c r="S40"/>
      <c r="T40" s="238"/>
      <c r="U40" s="59" t="s">
        <v>157</v>
      </c>
      <c r="V40" s="299">
        <v>43650</v>
      </c>
    </row>
    <row r="41" spans="1:24" s="230" customFormat="1" ht="17.399999999999999" x14ac:dyDescent="0.35">
      <c r="G41"/>
      <c r="L41" s="250"/>
      <c r="M41" s="13"/>
      <c r="N41" s="14"/>
      <c r="O41" s="17">
        <f>O39/O38</f>
        <v>2.1</v>
      </c>
      <c r="P41" s="15"/>
      <c r="Q41"/>
      <c r="R41"/>
      <c r="S41"/>
      <c r="T41" s="238"/>
      <c r="U41" s="59" t="s">
        <v>159</v>
      </c>
      <c r="V41" s="300" t="s">
        <v>158</v>
      </c>
      <c r="W41" s="59">
        <v>2.4</v>
      </c>
    </row>
    <row r="42" spans="1:24" s="230" customFormat="1" ht="17.399999999999999" x14ac:dyDescent="0.35">
      <c r="G42" s="23"/>
      <c r="J42" s="260"/>
      <c r="L42" s="12"/>
      <c r="T42" s="238"/>
      <c r="U42" s="59" t="s">
        <v>160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155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147</v>
      </c>
    </row>
    <row r="76" spans="3:15" x14ac:dyDescent="0.3">
      <c r="C76" t="s">
        <v>146</v>
      </c>
    </row>
    <row r="79" spans="3:15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46128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12096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-22271.543366787442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265274</v>
      </c>
      <c r="E11" s="132">
        <f>D11*0.19</f>
        <v>50402.06</v>
      </c>
      <c r="F11" s="131">
        <f>E11+D11</f>
        <v>315676.06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83718.456633212554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79784.690787439613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65718.456633212554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185489.30921256039</v>
      </c>
      <c r="E13" s="221">
        <f>(D11/D12)-1</f>
        <v>2.3248734485508802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56718.456633212554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17718.456633212558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131644.73979927535</v>
      </c>
      <c r="F15" s="216">
        <f>E15-D12</f>
        <v>51860.049011835741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17718.456633212558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57718.456633212554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37365</v>
      </c>
      <c r="E19" s="123">
        <f>D19*0.19</f>
        <v>7099.35</v>
      </c>
      <c r="F19" s="120">
        <f>SUM(D19:E19)</f>
        <v>44464.35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12585.599999999999</v>
      </c>
      <c r="E20" s="121">
        <f>D20*0.19</f>
        <v>2391.2639999999997</v>
      </c>
      <c r="F20" s="120">
        <f>SUM(D20:E20)</f>
        <v>14976.863999999998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49950.6</v>
      </c>
      <c r="E21" s="116">
        <f>SUM(E18:E20)</f>
        <v>9490.6139999999996</v>
      </c>
      <c r="F21" s="115">
        <f>SUM(F18:F20)</f>
        <v>59441.213999999993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40911.445999999996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265274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49950.6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185489.30921256039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185489.30921256039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2026-03-03T00:14:56Z</cp:lastPrinted>
  <dcterms:created xsi:type="dcterms:W3CDTF">2013-03-18T13:35:42Z</dcterms:created>
  <dcterms:modified xsi:type="dcterms:W3CDTF">2026-04-16T17:58:02Z</dcterms:modified>
</cp:coreProperties>
</file>