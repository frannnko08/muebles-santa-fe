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9AA6F3A5-E381-412C-A836-0811F2C127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P24" i="1" s="1"/>
  <c r="N5" i="6"/>
  <c r="A2" i="7"/>
  <c r="S25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O38" i="1"/>
  <c r="E15" i="3"/>
  <c r="R21" i="1" l="1"/>
  <c r="H21" i="1"/>
  <c r="F15" i="3"/>
  <c r="H23" i="1" l="1"/>
  <c r="H24" i="1" s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<sst xmlns="http://schemas.openxmlformats.org/spreadsheetml/2006/main" count="489" uniqueCount="299">
  <si>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</si>
  <si>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</si>
  <si>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</si>
  <si>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</si>
  <si>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</si>
  <si>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</si>
  <si>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</si>
  <si>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</si>
  <si>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</si>
  <si>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</si>
  <si>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</si>
  <si>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</si>
  <si>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</si>
  <si>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</si>
  <si>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</si>
  <si>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</si>
  <si>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</si>
  <si>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</si>
  <si>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</si>
  <si>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</si>
  <si>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</si>
  <si>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</si>
  <si>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</si>
  <si>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</si>
  <si>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</si>
  <si>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</si>
  <si>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</si>
  <si>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</si>
  <si>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</si>
  <si>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</si>
  <si>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</si>
  <si>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</si>
  <si>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</si>
  <si>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</si>
  <si>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</si>
  <si>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</si>
  <si>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</si>
  <si>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</si>
  <si>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</si>
  <si>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</si>
  <si>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</si>
  <si>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</si>
  <si>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</si>
  <si>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</si>
  <si>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</si>
  <si>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</si>
  <si>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</si>
  <si>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</si>
  <si>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</si>
  <si>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</si>
  <si>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</si>
  <si>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</si>
  <si>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</si>
  <si>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</si>
  <si>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</si>
  <si>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</si>
  <si>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</si>
  <si>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</si>
  <si>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</si>
  <si>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</si>
  <si>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</si>
  <si>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</si>
  <si>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</si>
  <si>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</si>
  <si>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</si>
  <si>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</si>
  <si>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</si>
  <si>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</si>
  <si>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</si>
  <si>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</si>
  <si>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</si>
  <si>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</si>
  <si>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</si>
  <si>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</si>
  <si>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</si>
  <si>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</si>
  <si>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</si>
  <si>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</si>
  <si>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</si>
  <si>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</si>
  <si>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</si>
  <si>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</si>
  <si>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</si>
  <si>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</si>
  <si>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</si>
  <si>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</si>
  <si>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</si>
  <si>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</si>
  <si>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</si>
  <si>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</si>
  <si>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</si>
  <si>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</si>
  <si>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</si>
  <si>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</si>
  <si>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</si>
  <si>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</si>
  <si>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</si>
  <si>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</si>
  <si>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</si>
  <si>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</si>
  <si>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</si>
  <si>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</si>
  <si>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</si>
  <si>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</si>
  <si>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</si>
  <si>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</si>
  <si>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</si>
  <si>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</si>
  <si>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</si>
  <si>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</si>
  <si>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</si>
  <si>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</si>
  <si>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</si>
  <si>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</si>
  <si>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</si>
  <si>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</si>
  <si>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</si>
  <si>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</si>
  <si>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</si>
  <si>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</si>
  <si>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</si>
  <si>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</si>
  <si>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</si>
  <si>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</si>
  <si>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</si>
  <si>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</si>
  <si>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</si>
  <si>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</si>
  <si>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</si>
  <si>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</si>
  <si>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</si>
  <si>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</si>
  <si>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</si>
  <si>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</si>
  <si>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</si>
  <si>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</si>
  <si>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</si>
  <si>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</si>
  <si>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</si>
  <si>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</si>
  <si>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</si>
  <si>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</si>
  <si>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</si>
  <si>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</si>
  <si>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</si>
  <si>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</si>
  <si>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</si>
  <si>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</si>
  <si>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</si>
  <si>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</si>
  <si>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</si>
  <si>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</si>
  <si>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</si>
  <si>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</si>
  <si>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</si>
  <si>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</si>
  <si>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</si>
  <si>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</si>
  <si>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</si>
  <si>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</si>
  <si>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</si>
  <si>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</si>
  <si>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</si>
  <si>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</si>
  <si>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</si>
  <si>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</si>
  <si>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</si>
  <si>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</si>
  <si>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</si>
  <si>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</si>
  <si>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</si>
  <si>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</si>
  <si>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</si>
  <si>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</si>
  <si>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</si>
  <si>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</si>
  <si>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</si>
  <si>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</si>
  <si>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</si>
  <si>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</si>
  <si>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</si>
  <si>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</si>
  <si>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</si>
  <si>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</si>
  <si>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</si>
  <si>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</si>
  <si>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</si>
  <si>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</si>
  <si>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</si>
  <si>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</si>
  <si>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</si>
  <si>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</si>
  <si>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</si>
  <si>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</si>
  <si>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</si>
  <si>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</si>
  <si>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</si>
  <si>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</si>
  <si>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</si>
  <si>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</si>
  <si>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</si>
  <si>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</si>
  <si>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</si>
  <si>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</si>
  <si>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</si>
  <si>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</si>
  <si>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</si>
  <si>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</si>
  <si>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</si>
  <si>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</si>
  <si>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</si>
  <si>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</si>
  <si>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</si>
  <si>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</si>
  <si>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</si>
  <si>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</si>
  <si>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</si>
  <si>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</si>
  <si>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</si>
  <si>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</si>
  <si>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</si>
  <si>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</si>
  <si>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</si>
  <si>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</si>
  <si>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</si>
  <si>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</si>
  <si>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</si>
  <si>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</si>
  <si>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</si>
  <si>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</si>
  <si>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</si>
  <si>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</si>
  <si>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</si>
  <si>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</si>
  <si>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</si>
  <si>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</si>
  <si>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</si>
  <si>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</si>
  <si>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</si>
  <si>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</si>
  <si>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</si>
  <si>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</si>
  <si>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</si>
  <si>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</si>
  <si>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</si>
  <si>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</si>
  <si>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</si>
  <si>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</si>
  <si>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</si>
  <si>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</si>
  <si>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</si>
  <si>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</si>
  <si>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</si>
  <si>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</si>
  <si>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</si>
  <si>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</si>
  <si>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</si>
  <si>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</si>
  <si>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</si>
  <si>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</si>
  <si>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</si>
  <si>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</si>
  <si>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</si>
  <si>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</si>
  <si>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</si>
  <si>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</si>
  <si>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</si>
  <si>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</si>
  <si>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</si>
  <si>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</si>
  <si>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</si>
  <si>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</si>
  <si>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</si>
  <si>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</si>
  <si>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</si>
  <si>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</si>
  <si>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</si>
  <si>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</si>
  <si>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</si>
  <si>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</si>
  <si>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</si>
  <si>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</si>
  <si>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</si>
  <si>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</si>
  <si>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</si>
  <si>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</si>
  <si>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</si>
  <si>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</si>
  <si>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</si>
  <si>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SI</t>
  </si>
  <si>
    <t>N° 12085</t>
  </si>
  <si>
    <t>DANIEL PERALTA</t>
  </si>
  <si>
    <t>10 DIAS HABILES</t>
  </si>
  <si>
    <t>VAINILLA BRILLO</t>
  </si>
  <si>
    <t>BANCA  POR 350 AMBOS LADOS</t>
  </si>
  <si>
    <t>96.913-350-4</t>
  </si>
  <si>
    <t>QCLASS S.A.</t>
  </si>
  <si>
    <t>CONTRUCCION</t>
  </si>
  <si>
    <t>+56 9 5188 3204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</si>
</sst>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66" fontId="30" fillId="0" borderId="6" xfId="0" applyNumberFormat="1" applyFont="1" applyBorder="1" applyAlignment="1">
      <alignment horizontal="center" vertical="center"/>
    </xf>
    <xf numFmtId="0" fontId="50" fillId="0" borderId="0" xfId="0" applyFont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BANCAS SE ENTREGAN CORTADAS A LA MEDIDA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MELAMIL  18MM TRASCARA BLANCA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2" zoomScale="93" zoomScaleNormal="93" workbookViewId="0">
      <selection activeCell="I17" sqref="I1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 t="s">
        <v>296</v>
      </c>
      <c r="D10" s="243"/>
      <c r="E10" s="243"/>
      <c r="F10" s="418" t="s">
        <v>275</v>
      </c>
      <c r="G10" s="275">
        <v>46119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C11" t="s">
        <v>295</v>
      </c>
      <c r="F11" s="29" t="s">
        <v>284</v>
      </c>
      <c r="G11" s="420" t="s">
        <v>292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 t="s">
        <v>297</v>
      </c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C13" t="s">
        <v>291</v>
      </c>
      <c r="F13" s="29" t="s">
        <v>133</v>
      </c>
      <c r="G13" s="422" t="s">
        <v>289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6" t="s">
        <v>298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7" t="s">
        <v>94</v>
      </c>
      <c r="C19" s="438"/>
      <c r="D19" s="438"/>
      <c r="E19" s="438"/>
      <c r="F19" s="438"/>
      <c r="G19" s="438"/>
      <c r="H19" s="439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339220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0">
        <v>3</v>
      </c>
      <c r="C21" s="434" t="s">
        <v>294</v>
      </c>
      <c r="D21" s="435">
        <v>1.2</v>
      </c>
      <c r="E21" s="435">
        <v>0.3</v>
      </c>
      <c r="F21" s="431" t="s">
        <v>293</v>
      </c>
      <c r="G21" s="432">
        <v>167812</v>
      </c>
      <c r="H21" s="433">
        <f>G21*B21</f>
        <v>503436</v>
      </c>
      <c r="I21" s="306"/>
      <c r="J21" s="264"/>
      <c r="K21" s="47"/>
      <c r="L21" s="47">
        <f t="shared" ref="L21" si="0">B21</f>
        <v>3</v>
      </c>
      <c r="M21" s="39">
        <f t="shared" ref="M21" si="1">D21+M$19</f>
        <v>1.25</v>
      </c>
      <c r="N21" s="39">
        <f t="shared" ref="N21" si="2">E21+$N$19</f>
        <v>0.3</v>
      </c>
      <c r="O21" s="260">
        <f t="shared" ref="O21" si="3">M21*N21</f>
        <v>0.375</v>
      </c>
      <c r="P21" s="258">
        <f t="shared" ref="P21" si="4">O21*L21</f>
        <v>1.125</v>
      </c>
      <c r="Q21" s="251">
        <f t="shared" ref="Q21" si="5">Q$20*O21</f>
        <v>127207.5</v>
      </c>
      <c r="R21" s="305">
        <f t="shared" ref="R21" si="6">Q21+R$20</f>
        <v>130207.5</v>
      </c>
      <c r="S21" s="290">
        <f>M21*L21*2</f>
        <v>7.5</v>
      </c>
      <c r="T21" s="46">
        <f>N21*L21*2</f>
        <v>1.7999999999999998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503436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1.7999999999999998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95652.84</v>
      </c>
      <c r="I24" s="308"/>
      <c r="J24" s="264"/>
      <c r="K24" s="47"/>
      <c r="L24" s="429">
        <f>M24*10</f>
        <v>12.5</v>
      </c>
      <c r="M24" s="39">
        <f>SUM(M21:M23)</f>
        <v>1.25</v>
      </c>
      <c r="N24" s="12"/>
      <c r="O24" s="12"/>
      <c r="P24" s="252">
        <f>SUM(P21:P21)</f>
        <v>1.125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599088.84</v>
      </c>
      <c r="I25" s="308"/>
      <c r="J25" s="264"/>
      <c r="K25" s="47"/>
      <c r="L25" s="47"/>
      <c r="M25" s="39"/>
      <c r="N25" s="12"/>
      <c r="O25" s="12"/>
      <c r="P25" s="252">
        <f>P24</f>
        <v>1.125</v>
      </c>
      <c r="Q25" s="14"/>
      <c r="R25" s="12"/>
      <c r="S25" s="239">
        <f>SUM(S21:S24)</f>
        <v>7.5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0.22500000000000001</v>
      </c>
      <c r="Q26" s="39" t="s">
        <v>128</v>
      </c>
      <c r="R26" s="42"/>
      <c r="S26" s="240">
        <f>S25+T23</f>
        <v>9.3000000000000007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1.35</v>
      </c>
      <c r="Q27" s="14"/>
      <c r="R27" s="14"/>
      <c r="S27" s="238">
        <f>S26*20%</f>
        <v>1.8600000000000003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11.16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1.35</v>
      </c>
      <c r="N29" s="12">
        <v>3500</v>
      </c>
      <c r="O29" s="12">
        <f t="shared" ref="O29:O34" si="7">M29*N29</f>
        <v>4725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2</v>
      </c>
      <c r="N30" s="12">
        <v>42000</v>
      </c>
      <c r="O30" s="12">
        <f t="shared" si="7"/>
        <v>84000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3</v>
      </c>
      <c r="N32" s="249">
        <v>31000</v>
      </c>
      <c r="O32" s="12">
        <f t="shared" si="7"/>
        <v>93000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7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181725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O35*2.1</f>
        <v>381622.5</v>
      </c>
      <c r="P36" s="14" t="s">
        <v>137</v>
      </c>
      <c r="Q36" s="14"/>
      <c r="R36" s="40">
        <f>P27/R35</f>
        <v>0.36399913718723037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339220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2.1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46119</v>
      </c>
    </row>
    <row r="6" spans="2:31" ht="16.2" thickBot="1" x14ac:dyDescent="0.35">
      <c r="B6" s="140" t="s">
        <v>2</v>
      </c>
      <c r="C6" s="139" t="str">
        <f>'2229'!C10</f>
        <v>QCLASS S.A.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97</v>
      </c>
      <c r="I7" s="442"/>
      <c r="J7" s="442"/>
      <c r="K7" s="443"/>
      <c r="N7" s="75"/>
      <c r="O7" s="440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12085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0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-51302.250033454118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503436</v>
      </c>
      <c r="E11" s="132">
        <f>D11*0.19</f>
        <v>95652.84</v>
      </c>
      <c r="F11" s="131">
        <f>E11+D11</f>
        <v>599088.84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54687.749966545882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118559.09078743961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36687.749966545882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384876.90921256039</v>
      </c>
      <c r="E13" s="221">
        <f>(D11/D12)-1</f>
        <v>3.246287624646115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27687.749966545882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-11312.250033454118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195622.49979927533</v>
      </c>
      <c r="F15" s="216">
        <f>E15-D12</f>
        <v>77063.409011835727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-11312.250033454118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28687.749966545882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84000</v>
      </c>
      <c r="E19" s="123">
        <f>D19*0.19</f>
        <v>15960</v>
      </c>
      <c r="F19" s="120">
        <f>SUM(D19:E19)</f>
        <v>99960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4725</v>
      </c>
      <c r="E20" s="121">
        <f>D20*0.19</f>
        <v>897.75</v>
      </c>
      <c r="F20" s="120">
        <f>SUM(D20:E20)</f>
        <v>5622.75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88725</v>
      </c>
      <c r="E21" s="116">
        <f>SUM(E18:E20)</f>
        <v>16857.75</v>
      </c>
      <c r="F21" s="115">
        <f>SUM(F18:F20)</f>
        <v>105582.75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78795.09</v>
      </c>
    </row>
    <row r="41" spans="2:16" ht="15" thickBot="1" x14ac:dyDescent="0.35">
      <c r="H41" s="444" t="s">
        <v>59</v>
      </c>
      <c r="I41" s="445"/>
      <c r="J41" s="445"/>
      <c r="K41" s="445"/>
      <c r="L41" s="445"/>
      <c r="M41" s="446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503436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88725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384876.90921256039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384876.90921256039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12085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QCLASS S.A.</v>
      </c>
      <c r="D10" s="350"/>
      <c r="E10" s="350"/>
      <c r="F10" s="351" t="s">
        <v>165</v>
      </c>
      <c r="G10" s="352">
        <f>'2229'!G10</f>
        <v>46119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96.913-350-4</v>
      </c>
      <c r="D11" s="345"/>
      <c r="E11" s="345"/>
      <c r="F11" s="345" t="s">
        <v>166</v>
      </c>
      <c r="G11" s="340">
        <f>WORKDAY(G10,5)</f>
        <v>46126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>CONTRUCCION</v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>DANIEL PERALTA</v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+56 9 5188 3204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7" t="s">
        <v>173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174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180</v>
      </c>
      <c r="C2" s="452"/>
      <c r="D2" s="452"/>
      <c r="E2" s="361"/>
      <c r="G2" s="452" t="s">
        <v>181</v>
      </c>
      <c r="H2" s="452"/>
      <c r="I2" s="452"/>
      <c r="P2" s="453" t="s">
        <v>182</v>
      </c>
      <c r="Q2" s="453"/>
      <c r="R2" s="453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3" t="s">
        <v>182</v>
      </c>
      <c r="M8" s="453"/>
      <c r="N8" s="453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263</v>
      </c>
      <c r="L3" s="458"/>
      <c r="M3" s="458" t="s">
        <v>264</v>
      </c>
      <c r="N3" s="458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QCLASS S.A.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46119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46126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263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264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270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94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12085</v>
      </c>
      <c r="C2" s="1">
        <f>'NOTA DE VENTA'!$G$10</f>
        <v>46119</v>
      </c>
      <c r="D2" s="1">
        <f>'NOTA DE VENTA'!$G$11</f>
        <v>46126</v>
      </c>
      <c r="E2" t="str">
        <f>'NOTA DE VENTA'!$C$10</f>
        <v>QCLASS S.A.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2026-04-06T13:39:12Z</cp:lastPrinted>
  <dcterms:created xsi:type="dcterms:W3CDTF">2013-03-18T13:35:42Z</dcterms:created>
  <dcterms:modified xsi:type="dcterms:W3CDTF">2026-04-17T14:04:08Z</dcterms:modified>
</cp:coreProperties>
</file>