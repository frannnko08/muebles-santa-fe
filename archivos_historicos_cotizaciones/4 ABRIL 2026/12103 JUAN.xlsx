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ranc\Dropbox\PC\Desktop\POSTFORMADO 2020\COTIZACIONES MUEBLES SANTA FE\4 ABRIL 2026\"/>
    </mc:Choice>
  </mc:AlternateContent>
  <xr:revisionPtr revIDLastSave="0" documentId="13_ncr:1_{3980B8DA-081A-498F-989F-500383D62EB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  <sheet name="NOTA DE VENTA" sheetId="4" r:id="rId3"/>
    <sheet name="REGLAS" sheetId="5" r:id="rId4"/>
    <sheet name="PRODUCCION" sheetId="6" r:id="rId5"/>
    <sheet name="SEGUIMIENTO" sheetId="7" r:id="rId6"/>
  </sheets>
  <externalReferences>
    <externalReference r:id="rId7"/>
  </externalReferences>
  <definedNames>
    <definedName name="_xlnm.Print_Area" localSheetId="0">'2229'!$B$1:$H$35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37" i="1" l="1"/>
  <c r="L21" i="1" l="1"/>
  <c r="N5" i="6" l="1"/>
  <c r="A2" i="7"/>
  <c r="C7" i="6" l="1"/>
  <c r="D4" i="6"/>
  <c r="F49" i="6"/>
  <c r="E49" i="6"/>
  <c r="D49" i="6"/>
  <c r="C49" i="6"/>
  <c r="B49" i="6"/>
  <c r="D42" i="6"/>
  <c r="C42" i="6"/>
  <c r="D40" i="6"/>
  <c r="D39" i="6"/>
  <c r="F27" i="6"/>
  <c r="E27" i="6"/>
  <c r="D27" i="6"/>
  <c r="C27" i="6"/>
  <c r="F21" i="6" s="1"/>
  <c r="B27" i="6"/>
  <c r="I21" i="6" s="1"/>
  <c r="K21" i="6"/>
  <c r="J21" i="6"/>
  <c r="K14" i="6"/>
  <c r="J14" i="6"/>
  <c r="F22" i="4"/>
  <c r="G2" i="7" s="1"/>
  <c r="E22" i="4"/>
  <c r="D22" i="4"/>
  <c r="C22" i="4"/>
  <c r="F2" i="7" s="1"/>
  <c r="B22" i="4"/>
  <c r="G16" i="4"/>
  <c r="G12" i="4"/>
  <c r="G15" i="4"/>
  <c r="G10" i="4"/>
  <c r="C2" i="7" s="1"/>
  <c r="C17" i="4"/>
  <c r="C11" i="4"/>
  <c r="C12" i="4"/>
  <c r="C13" i="4"/>
  <c r="C14" i="4"/>
  <c r="C15" i="4"/>
  <c r="C16" i="4"/>
  <c r="C10" i="4"/>
  <c r="E2" i="7" s="1"/>
  <c r="D8" i="4"/>
  <c r="B2" i="7" s="1"/>
  <c r="F14" i="6" l="1"/>
  <c r="D5" i="6"/>
  <c r="G11" i="4"/>
  <c r="D7" i="6"/>
  <c r="I14" i="6"/>
  <c r="B14" i="6" s="1"/>
  <c r="B21" i="6"/>
  <c r="N21" i="1"/>
  <c r="K5" i="6" l="1"/>
  <c r="D14" i="6"/>
  <c r="E14" i="6"/>
  <c r="E21" i="6"/>
  <c r="D21" i="6"/>
  <c r="L5" i="6"/>
  <c r="M5" i="6"/>
  <c r="D2" i="7"/>
  <c r="D8" i="6"/>
  <c r="M21" i="1"/>
  <c r="M25" i="1" l="1"/>
  <c r="S21" i="1"/>
  <c r="S26" i="1" s="1"/>
  <c r="T21" i="1"/>
  <c r="T24" i="1" s="1"/>
  <c r="O21" i="1"/>
  <c r="P21" i="1" s="1"/>
  <c r="P25" i="1" s="1"/>
  <c r="K39" i="1"/>
  <c r="S27" i="1" l="1"/>
  <c r="S28" i="1" s="1"/>
  <c r="S29" i="1" s="1"/>
  <c r="V32" i="1"/>
  <c r="V33" i="1" s="1"/>
  <c r="P26" i="1" l="1"/>
  <c r="N20" i="1"/>
  <c r="L20" i="1"/>
  <c r="P27" i="1" l="1"/>
  <c r="P28" i="1" s="1"/>
  <c r="M30" i="1" s="1"/>
  <c r="O32" i="1"/>
  <c r="R36" i="1"/>
  <c r="R37" i="1" l="1"/>
  <c r="O31" i="1" s="1"/>
  <c r="O33" i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O35" i="1"/>
  <c r="O34" i="1"/>
  <c r="F18" i="3" l="1"/>
  <c r="O30" i="1" l="1"/>
  <c r="O36" i="1" s="1"/>
  <c r="D20" i="3" l="1"/>
  <c r="E20" i="3" s="1"/>
  <c r="E21" i="3" s="1"/>
  <c r="O38" i="1" l="1"/>
  <c r="Q20" i="1" s="1"/>
  <c r="D21" i="3"/>
  <c r="M43" i="3" s="1"/>
  <c r="D12" i="3" s="1"/>
  <c r="F20" i="3"/>
  <c r="F21" i="3" s="1"/>
  <c r="O39" i="1" l="1"/>
  <c r="E15" i="3"/>
  <c r="Q21" i="1" l="1"/>
  <c r="G21" i="1" s="1"/>
  <c r="F15" i="3"/>
  <c r="R21" i="1" l="1"/>
  <c r="H21" i="1" l="1"/>
  <c r="H24" i="1" s="1"/>
  <c r="H25" i="1" l="1"/>
  <c r="H26" i="1" s="1"/>
  <c r="G22" i="4"/>
  <c r="H22" i="4" s="1"/>
  <c r="H25" i="4" s="1"/>
  <c r="D11" i="3"/>
  <c r="X9" i="3" s="1"/>
  <c r="X15" i="3" s="1"/>
  <c r="H2" i="7" l="1"/>
  <c r="I2" i="7" s="1"/>
  <c r="J2" i="7" s="1"/>
  <c r="L2" i="7" s="1"/>
  <c r="H26" i="4"/>
  <c r="H27" i="4" s="1"/>
  <c r="D13" i="3"/>
  <c r="E13" i="3"/>
  <c r="X16" i="3"/>
  <c r="X11" i="3"/>
  <c r="X14" i="3"/>
  <c r="E11" i="3"/>
  <c r="D40" i="3" s="1"/>
  <c r="X13" i="3"/>
  <c r="X12" i="3"/>
  <c r="M42" i="3"/>
  <c r="M46" i="3" s="1"/>
  <c r="M49" i="3" s="1"/>
  <c r="F11" i="3" l="1"/>
</calcChain>
</file>

<file path=xl/sharedStrings.xml><?xml version="1.0" encoding="utf-8"?>
<sst xmlns="http://schemas.openxmlformats.org/spreadsheetml/2006/main" count="486" uniqueCount="294">
  <si>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</si>
  <si>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</si>
  <si>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</si>
  <si>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</si>
  <si>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</si>
  <si>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</si>
  <si>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</si>
  <si>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</si>
  <si>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</si>
  <si>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</si>
  <si>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</si>
  <si>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</si>
  <si>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</si>
  <si>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</si>
  <si>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</si>
  <si>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</si>
  <si>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</si>
  <si>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</si>
  <si>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</si>
  <si>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</si>
  <si>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</si>
  <si>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</si>
  <si>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</si>
  <si>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</si>
  <si>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</si>
  <si>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</si>
  <si>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</si>
  <si>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</si>
  <si>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</si>
  <si>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</si>
  <si>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</si>
  <si>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</si>
  <si>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</si>
  <si>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</si>
  <si>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</si>
  <si>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</si>
  <si>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</si>
  <si>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</si>
  <si>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</si>
  <si>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</si>
  <si>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</si>
  <si>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</si>
  <si>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</si>
  <si>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</si>
  <si>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</si>
  <si>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</si>
  <si>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</si>
  <si>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</si>
  <si>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</si>
  <si>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</si>
  <si>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</si>
  <si>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</si>
  <si>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</si>
  <si>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</si>
  <si>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</si>
  <si>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</si>
  <si>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</si>
  <si>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</si>
  <si>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</si>
  <si>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</si>
  <si>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</si>
  <si>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</si>
  <si>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</si>
  <si>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</si>
  <si>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</si>
  <si>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</si>
  <si>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</si>
  <si>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</si>
  <si>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</si>
  <si>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</si>
  <si>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</si>
  <si>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</si>
  <si>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</si>
  <si>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</si>
  <si>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</si>
  <si>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</si>
  <si>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</si>
  <si>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</si>
  <si>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</si>
  <si>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</si>
  <si>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</si>
  <si>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</si>
  <si>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</si>
  <si>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</si>
  <si>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</si>
  <si>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</si>
  <si>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</si>
  <si>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</si>
  <si>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</si>
  <si>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</si>
  <si>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</si>
  <si>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</si>
  <si>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</si>
  <si>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</si>
  <si>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</si>
  <si>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</si>
  <si>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</si>
  <si>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</si>
  <si>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</si>
  <si>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</si>
  <si>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</si>
  <si>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</si>
  <si>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</si>
  <si>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</si>
  <si>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</si>
  <si>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</si>
  <si>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</si>
  <si>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</si>
  <si>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</si>
  <si>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</si>
  <si>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</si>
  <si>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</si>
  <si>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</si>
  <si>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</si>
  <si>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</si>
  <si>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</si>
  <si>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</si>
  <si>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</si>
  <si>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</si>
  <si>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</si>
  <si>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</si>
  <si>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</si>
  <si>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</si>
  <si>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</si>
  <si>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</si>
  <si>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</si>
  <si>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</si>
  <si>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</si>
  <si>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</si>
  <si>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</si>
  <si>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</si>
  <si>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</si>
  <si>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</si>
  <si>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</si>
  <si>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</si>
  <si>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</si>
  <si>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</si>
  <si>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</si>
  <si>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</si>
  <si>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</si>
  <si>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</si>
  <si>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</si>
  <si>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</si>
  <si>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</si>
  <si>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</si>
  <si>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</si>
  <si>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</si>
  <si>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</si>
  <si>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</si>
  <si>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</si>
  <si>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</si>
  <si>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</si>
  <si>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</si>
  <si>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</si>
  <si>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</si>
  <si>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</si>
  <si>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</si>
  <si>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</si>
  <si>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</si>
  <si>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</si>
  <si>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</si>
  <si>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FONO +569 2032 3382</t>
  </si>
  <si>
    <t>RUT : 77.054.606-0 CORREO: FRANCODONOSO@TOPMOBILI.CL</t>
  </si>
  <si>
    <t>CELULAR: 963868755</t>
  </si>
  <si>
    <t>E-MAIL: fdonoso@topmobili.cl</t>
  </si>
  <si>
    <t>NOTA DE VENTA :</t>
  </si>
  <si>
    <t xml:space="preserve">CLIENTE: </t>
  </si>
  <si>
    <t>FECHA :</t>
  </si>
  <si>
    <t>FECHA LIMITE :</t>
  </si>
  <si>
    <t xml:space="preserve">GIRO: </t>
  </si>
  <si>
    <t xml:space="preserve">ORDEN DE COMPRA: </t>
  </si>
  <si>
    <t>HECHO POR:</t>
  </si>
  <si>
    <t>FERNANDO DONOSO</t>
  </si>
  <si>
    <t xml:space="preserve">SERVICIO EXPRESS: </t>
  </si>
  <si>
    <t>FORMA DE PAGO :</t>
  </si>
  <si>
    <t>VALIDEZ COTIZACIÓN: 5 DÍAS</t>
  </si>
  <si>
    <t xml:space="preserve">D E T A L L E </t>
  </si>
  <si>
    <t xml:space="preserve">CUENTA VISTA DEL BANCO ESTADO N° 35571389078 A NOMBRE DE </t>
  </si>
  <si>
    <t>"MUEBLES SANTA FE SPA." - RUT : 77.054.606-0, VENTAS@TOPMOBILI.CL</t>
  </si>
  <si>
    <t>Duración cotización 5 días hábiles</t>
  </si>
  <si>
    <t>Cotizado por: Franco Donoso</t>
  </si>
  <si>
    <t>DESPACHO:</t>
  </si>
  <si>
    <t>DETALLE CORTE LAMINA</t>
  </si>
  <si>
    <t>DETALLE CORTE SUSTRATO</t>
  </si>
  <si>
    <t>DETALLE CORTE MERA</t>
  </si>
  <si>
    <t>CEN 1V</t>
  </si>
  <si>
    <t>A1</t>
  </si>
  <si>
    <t>REGLA SIEMPRE LLEVAR MEDIDA MINIMO A 100</t>
  </si>
  <si>
    <t>CUB C/R</t>
  </si>
  <si>
    <t>CEN 2V</t>
  </si>
  <si>
    <t>A2</t>
  </si>
  <si>
    <t xml:space="preserve">CEN 2V </t>
  </si>
  <si>
    <t>REGLA SIEMPRE LLEVAR MEDIDA MINIMO A 101</t>
  </si>
  <si>
    <t>CORNISA  FRENTE ESPAÑOL 1 LADO</t>
  </si>
  <si>
    <t>A3</t>
  </si>
  <si>
    <t xml:space="preserve">CUB C/R 180° </t>
  </si>
  <si>
    <t>CORNISA  FRENTE ESPAÑOL 2 LADO</t>
  </si>
  <si>
    <t>A4</t>
  </si>
  <si>
    <t>CUB C/R FRENTE ESPAÑOL</t>
  </si>
  <si>
    <t>CORNISA 180° 1LADO</t>
  </si>
  <si>
    <t>A5</t>
  </si>
  <si>
    <t>CUB C/R PUNTA 1 LADO</t>
  </si>
  <si>
    <t>CORNISA PUNTA TIBURON 1 LADO</t>
  </si>
  <si>
    <t>B</t>
  </si>
  <si>
    <t>CORNISA 1LADO</t>
  </si>
  <si>
    <t>CUB S/R FRENTE ESPAÑOL</t>
  </si>
  <si>
    <t>CORNISA PUNTA TIBURON 2 LADOS</t>
  </si>
  <si>
    <t>C</t>
  </si>
  <si>
    <t>CORNISA 2 LADOS</t>
  </si>
  <si>
    <t>CUB S/R</t>
  </si>
  <si>
    <t>CORNISA R8 1LADO</t>
  </si>
  <si>
    <t>D</t>
  </si>
  <si>
    <t>CUB S/R y CUB MESA</t>
  </si>
  <si>
    <t>CUB MESA 180° 2 LADOS</t>
  </si>
  <si>
    <t>CORNISA R8 2 LADOS</t>
  </si>
  <si>
    <t>E</t>
  </si>
  <si>
    <t>PR</t>
  </si>
  <si>
    <t>CUB MESA 180° 3 LADOS</t>
  </si>
  <si>
    <t>CUB C/R R6</t>
  </si>
  <si>
    <t>F</t>
  </si>
  <si>
    <t>CUB MESA 180° 4 LADOS</t>
  </si>
  <si>
    <t xml:space="preserve">CUB C/R FRENTE ESPAÑOL </t>
  </si>
  <si>
    <t>G</t>
  </si>
  <si>
    <t>CUB MESA 4 LADOS</t>
  </si>
  <si>
    <t>CUB C/R R2</t>
  </si>
  <si>
    <t>H</t>
  </si>
  <si>
    <t>CUB C/R PUNTA TIBURON 1 LADO</t>
  </si>
  <si>
    <t>CUB MESA FRENTE ESPAÑOL 2 LADOS</t>
  </si>
  <si>
    <t>I</t>
  </si>
  <si>
    <t>CUB MESA FRENTE ESPAÑOL 3 LADOS</t>
  </si>
  <si>
    <t>J</t>
  </si>
  <si>
    <t>CUB MESA FRENTE ESPAÑOL 4 LADOS</t>
  </si>
  <si>
    <t>K</t>
  </si>
  <si>
    <t>CUB MESA PUNTA TIBURON 2 LADOS</t>
  </si>
  <si>
    <t xml:space="preserve">CUB MESA 2L </t>
  </si>
  <si>
    <t>L</t>
  </si>
  <si>
    <t>ES IGUAL A LO PEDIDO NO SE DEBE SUMAR NI RESTAR</t>
  </si>
  <si>
    <t>CUB MESA PUNTA TIBURON 3 LADOS</t>
  </si>
  <si>
    <t xml:space="preserve">CUB MESA 3L </t>
  </si>
  <si>
    <t>M</t>
  </si>
  <si>
    <t>CUB MESA PUNTA TIBURON 4 LADOS</t>
  </si>
  <si>
    <t>N</t>
  </si>
  <si>
    <t>CUB PUNTA TIBURON 1 LADO</t>
  </si>
  <si>
    <t>O</t>
  </si>
  <si>
    <t>CENEFA 1 LADO</t>
  </si>
  <si>
    <t>P</t>
  </si>
  <si>
    <t>CENEFA 2 LADOS</t>
  </si>
  <si>
    <t>Q</t>
  </si>
  <si>
    <t>R</t>
  </si>
  <si>
    <t>S</t>
  </si>
  <si>
    <t>T</t>
  </si>
  <si>
    <t>U</t>
  </si>
  <si>
    <t xml:space="preserve">CUB S/R </t>
  </si>
  <si>
    <t>V</t>
  </si>
  <si>
    <t>W</t>
  </si>
  <si>
    <t>CUB S/R R2</t>
  </si>
  <si>
    <t>X</t>
  </si>
  <si>
    <t>PR2</t>
  </si>
  <si>
    <t>PR12</t>
  </si>
  <si>
    <t>Y</t>
  </si>
  <si>
    <t>PR6</t>
  </si>
  <si>
    <t>PR19</t>
  </si>
  <si>
    <t>Z</t>
  </si>
  <si>
    <t>PR8</t>
  </si>
  <si>
    <t>NO BORRAR REGLAS!!!!! SI NO LAS SABEN USAR NO BORREN ESTO POR FAVOR!!!!!</t>
  </si>
  <si>
    <t>SUSTRATO</t>
  </si>
  <si>
    <t>LAMINADO</t>
  </si>
  <si>
    <t>CLIENTE :</t>
  </si>
  <si>
    <t>FECHA ENTREGA:</t>
  </si>
  <si>
    <t>DESCRIPCIÓN</t>
  </si>
  <si>
    <t xml:space="preserve"> MDF 18MM</t>
  </si>
  <si>
    <t>MEDIDAS ORIGINALES</t>
  </si>
  <si>
    <t>PRODUCCIÓN</t>
  </si>
  <si>
    <t>DESCRIPCION</t>
  </si>
  <si>
    <t>MDF18MM</t>
  </si>
  <si>
    <t>NV</t>
  </si>
  <si>
    <t>N° COTIZA</t>
  </si>
  <si>
    <t>FECHA</t>
  </si>
  <si>
    <t>ENTREGA</t>
  </si>
  <si>
    <t>NOMBRE</t>
  </si>
  <si>
    <t>ABONO</t>
  </si>
  <si>
    <t>SALDO</t>
  </si>
  <si>
    <t>ESTADO</t>
  </si>
  <si>
    <t>GE</t>
  </si>
  <si>
    <t>INSTALACIÓN</t>
  </si>
  <si>
    <t>DESPACHO</t>
  </si>
  <si>
    <t>PLAZO ENTREGA</t>
  </si>
  <si>
    <t>SANTIAGO</t>
  </si>
  <si>
    <t>5 DIAS HABILES</t>
  </si>
  <si>
    <t>CUB CON RESPALDO FTE 90°</t>
  </si>
  <si>
    <t>JUAN</t>
  </si>
  <si>
    <t>N° 12103</t>
  </si>
  <si>
    <t>+56 9 7978 4127</t>
  </si>
  <si>
    <t>NEO LUNA GRANITE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</si>
</sst>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51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  <font>
      <b/>
      <sz val="11"/>
      <color theme="0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u/>
      <sz val="12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3"/>
      <color theme="0"/>
      <name val="Calibri"/>
      <family val="2"/>
      <scheme val="minor"/>
    </font>
    <font>
      <sz val="9"/>
      <color rgb="FF000000"/>
      <name val="Segoe UI"/>
      <family val="2"/>
    </font>
  </fonts>
  <fills count="25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 tint="-0.249977111117893"/>
        <bgColor indexed="64"/>
      </patternFill>
    </fill>
  </fills>
  <borders count="6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458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4" fillId="0" borderId="0" xfId="0" applyFont="1" applyAlignment="1">
      <alignment horizontal="center" vertical="center"/>
    </xf>
    <xf numFmtId="166" fontId="24" fillId="0" borderId="0" xfId="0" applyNumberFormat="1" applyFont="1" applyAlignment="1">
      <alignment horizontal="center" vertical="center"/>
    </xf>
    <xf numFmtId="0" fontId="25" fillId="0" borderId="0" xfId="0" applyFont="1" applyAlignment="1">
      <alignment horizontal="center"/>
    </xf>
    <xf numFmtId="167" fontId="26" fillId="0" borderId="0" xfId="0" applyNumberFormat="1" applyFont="1" applyAlignment="1">
      <alignment horizontal="center" vertical="center"/>
    </xf>
    <xf numFmtId="0" fontId="24" fillId="0" borderId="0" xfId="0" applyFont="1" applyAlignment="1">
      <alignment horizontal="left" vertical="center"/>
    </xf>
    <xf numFmtId="14" fontId="27" fillId="8" borderId="46" xfId="0" applyNumberFormat="1" applyFont="1" applyFill="1" applyBorder="1" applyAlignment="1">
      <alignment horizontal="left"/>
    </xf>
    <xf numFmtId="0" fontId="27" fillId="8" borderId="0" xfId="0" applyFont="1" applyFill="1" applyAlignment="1">
      <alignment horizontal="left"/>
    </xf>
    <xf numFmtId="0" fontId="29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7" fillId="0" borderId="0" xfId="0" applyFont="1" applyAlignment="1">
      <alignment horizontal="center" vertical="center"/>
    </xf>
    <xf numFmtId="0" fontId="27" fillId="0" borderId="0" xfId="0" applyFont="1" applyAlignment="1">
      <alignment horizontal="left" vertical="center"/>
    </xf>
    <xf numFmtId="166" fontId="27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0" fillId="0" borderId="0" xfId="0" applyFont="1" applyAlignment="1">
      <alignment horizontal="center" vertical="center"/>
    </xf>
    <xf numFmtId="166" fontId="30" fillId="0" borderId="0" xfId="0" applyNumberFormat="1" applyFont="1" applyAlignment="1">
      <alignment horizontal="center" vertical="center"/>
    </xf>
    <xf numFmtId="0" fontId="27" fillId="8" borderId="0" xfId="0" applyFont="1" applyFill="1"/>
    <xf numFmtId="42" fontId="22" fillId="0" borderId="0" xfId="0" applyNumberFormat="1" applyFont="1"/>
    <xf numFmtId="42" fontId="31" fillId="18" borderId="20" xfId="8" applyFont="1" applyFill="1" applyBorder="1"/>
    <xf numFmtId="42" fontId="31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33" fillId="8" borderId="0" xfId="0" applyFont="1" applyFill="1"/>
    <xf numFmtId="0" fontId="27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5" fillId="8" borderId="0" xfId="0" applyFont="1" applyFill="1"/>
    <xf numFmtId="0" fontId="7" fillId="8" borderId="54" xfId="0" applyFont="1" applyFill="1" applyBorder="1"/>
    <xf numFmtId="0" fontId="14" fillId="8" borderId="0" xfId="0" applyFont="1" applyFill="1"/>
    <xf numFmtId="0" fontId="28" fillId="8" borderId="0" xfId="0" applyFont="1" applyFill="1"/>
    <xf numFmtId="41" fontId="11" fillId="2" borderId="0" xfId="4" applyFont="1" applyFill="1" applyBorder="1" applyAlignment="1">
      <alignment horizontal="center"/>
    </xf>
    <xf numFmtId="167" fontId="11" fillId="0" borderId="0" xfId="2" applyNumberFormat="1" applyFont="1" applyFill="1" applyBorder="1" applyAlignment="1">
      <alignment horizontal="center" vertical="center"/>
    </xf>
    <xf numFmtId="41" fontId="22" fillId="0" borderId="0" xfId="4" applyFont="1" applyBorder="1" applyAlignment="1">
      <alignment horizontal="center" vertical="center"/>
    </xf>
    <xf numFmtId="42" fontId="31" fillId="0" borderId="0" xfId="8" applyFont="1" applyFill="1" applyBorder="1"/>
    <xf numFmtId="41" fontId="22" fillId="0" borderId="0" xfId="4" applyFont="1" applyFill="1" applyBorder="1" applyAlignment="1">
      <alignment horizontal="center" vertical="center"/>
    </xf>
    <xf numFmtId="0" fontId="11" fillId="0" borderId="28" xfId="0" applyFont="1" applyBorder="1" applyAlignment="1">
      <alignment horizontal="center"/>
    </xf>
    <xf numFmtId="42" fontId="31" fillId="0" borderId="27" xfId="8" applyFont="1" applyFill="1" applyBorder="1"/>
    <xf numFmtId="0" fontId="30" fillId="0" borderId="28" xfId="0" applyFont="1" applyBorder="1" applyAlignment="1">
      <alignment horizontal="center" vertical="center"/>
    </xf>
    <xf numFmtId="0" fontId="30" fillId="0" borderId="36" xfId="0" applyFont="1" applyBorder="1" applyAlignment="1">
      <alignment horizontal="center" vertical="center"/>
    </xf>
    <xf numFmtId="167" fontId="11" fillId="0" borderId="36" xfId="2" applyNumberFormat="1" applyFont="1" applyFill="1" applyBorder="1" applyAlignment="1">
      <alignment horizontal="center" vertical="center"/>
    </xf>
    <xf numFmtId="0" fontId="6" fillId="0" borderId="2" xfId="0" applyFont="1" applyBorder="1" applyAlignment="1">
      <alignment horizontal="left" indent="1"/>
    </xf>
    <xf numFmtId="0" fontId="6" fillId="0" borderId="9" xfId="0" applyFont="1" applyBorder="1"/>
    <xf numFmtId="0" fontId="6" fillId="0" borderId="3" xfId="0" applyFont="1" applyBorder="1" applyAlignment="1">
      <alignment horizontal="center"/>
    </xf>
    <xf numFmtId="0" fontId="6" fillId="0" borderId="2" xfId="0" applyFont="1" applyBorder="1" applyAlignment="1">
      <alignment horizontal="left"/>
    </xf>
    <xf numFmtId="0" fontId="11" fillId="0" borderId="3" xfId="0" applyFont="1" applyBorder="1" applyAlignment="1">
      <alignment horizontal="left"/>
    </xf>
    <xf numFmtId="0" fontId="11" fillId="8" borderId="0" xfId="0" applyFont="1" applyFill="1"/>
    <xf numFmtId="1" fontId="30" fillId="0" borderId="36" xfId="0" applyNumberFormat="1" applyFont="1" applyBorder="1" applyAlignment="1">
      <alignment horizontal="center" vertical="center"/>
    </xf>
    <xf numFmtId="0" fontId="38" fillId="0" borderId="36" xfId="0" applyFont="1" applyBorder="1" applyAlignment="1">
      <alignment horizontal="center" vertical="center"/>
    </xf>
    <xf numFmtId="42" fontId="30" fillId="0" borderId="1" xfId="8" applyFont="1" applyBorder="1" applyAlignment="1">
      <alignment horizontal="center" vertical="center"/>
    </xf>
    <xf numFmtId="42" fontId="30" fillId="0" borderId="0" xfId="8" applyFont="1" applyBorder="1" applyAlignment="1">
      <alignment horizontal="center" vertical="center"/>
    </xf>
    <xf numFmtId="0" fontId="39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6" fillId="0" borderId="28" xfId="0" applyFont="1" applyBorder="1" applyAlignment="1">
      <alignment horizontal="center"/>
    </xf>
    <xf numFmtId="167" fontId="6" fillId="0" borderId="27" xfId="2" applyNumberFormat="1" applyFont="1" applyFill="1" applyBorder="1"/>
    <xf numFmtId="3" fontId="6" fillId="8" borderId="26" xfId="0" applyNumberFormat="1" applyFont="1" applyFill="1" applyBorder="1" applyAlignment="1">
      <alignment horizontal="center"/>
    </xf>
    <xf numFmtId="167" fontId="6" fillId="0" borderId="20" xfId="2" applyNumberFormat="1" applyFont="1" applyFill="1" applyBorder="1"/>
    <xf numFmtId="0" fontId="6" fillId="0" borderId="31" xfId="0" applyFont="1" applyBorder="1" applyAlignment="1">
      <alignment horizontal="center"/>
    </xf>
    <xf numFmtId="167" fontId="6" fillId="0" borderId="29" xfId="2" applyNumberFormat="1" applyFont="1" applyFill="1" applyBorder="1"/>
    <xf numFmtId="0" fontId="6" fillId="0" borderId="0" xfId="0" applyFont="1" applyAlignment="1">
      <alignment horizontal="center"/>
    </xf>
    <xf numFmtId="167" fontId="6" fillId="0" borderId="0" xfId="2" applyNumberFormat="1" applyFont="1" applyFill="1" applyBorder="1"/>
    <xf numFmtId="0" fontId="40" fillId="0" borderId="0" xfId="0" applyFont="1" applyAlignment="1">
      <alignment horizontal="left" vertical="center"/>
    </xf>
    <xf numFmtId="0" fontId="41" fillId="0" borderId="0" xfId="0" applyFont="1" applyAlignment="1">
      <alignment horizontal="center" vertical="center"/>
    </xf>
    <xf numFmtId="166" fontId="11" fillId="0" borderId="0" xfId="0" applyNumberFormat="1" applyFont="1" applyAlignment="1">
      <alignment horizontal="center" vertical="center"/>
    </xf>
    <xf numFmtId="0" fontId="42" fillId="0" borderId="0" xfId="3" applyFont="1" applyFill="1" applyBorder="1" applyAlignment="1">
      <alignment horizontal="left" vertical="center" indent="1"/>
    </xf>
    <xf numFmtId="0" fontId="0" fillId="17" borderId="54" xfId="0" applyFill="1" applyBorder="1"/>
    <xf numFmtId="14" fontId="0" fillId="17" borderId="0" xfId="0" applyNumberFormat="1" applyFill="1" applyAlignment="1">
      <alignment horizontal="left"/>
    </xf>
    <xf numFmtId="0" fontId="0" fillId="17" borderId="55" xfId="0" applyFill="1" applyBorder="1"/>
    <xf numFmtId="0" fontId="0" fillId="17" borderId="44" xfId="0" applyFill="1" applyBorder="1"/>
    <xf numFmtId="0" fontId="0" fillId="17" borderId="37" xfId="3" applyFont="1" applyFill="1" applyBorder="1" applyAlignment="1">
      <alignment horizontal="left"/>
    </xf>
    <xf numFmtId="0" fontId="0" fillId="17" borderId="37" xfId="0" applyFill="1" applyBorder="1"/>
    <xf numFmtId="0" fontId="0" fillId="17" borderId="0" xfId="0" applyFill="1"/>
    <xf numFmtId="0" fontId="0" fillId="8" borderId="0" xfId="0" applyFill="1" applyAlignment="1">
      <alignment horizontal="left"/>
    </xf>
    <xf numFmtId="0" fontId="0" fillId="17" borderId="0" xfId="0" applyFill="1" applyAlignment="1">
      <alignment horizontal="left"/>
    </xf>
    <xf numFmtId="0" fontId="0" fillId="8" borderId="37" xfId="0" applyFill="1" applyBorder="1"/>
    <xf numFmtId="0" fontId="0" fillId="18" borderId="47" xfId="0" applyFill="1" applyBorder="1"/>
    <xf numFmtId="0" fontId="0" fillId="18" borderId="46" xfId="0" applyFill="1" applyBorder="1"/>
    <xf numFmtId="0" fontId="0" fillId="18" borderId="46" xfId="0" applyFill="1" applyBorder="1" applyAlignment="1">
      <alignment horizontal="left"/>
    </xf>
    <xf numFmtId="14" fontId="0" fillId="18" borderId="46" xfId="0" applyNumberFormat="1" applyFill="1" applyBorder="1" applyAlignment="1">
      <alignment horizontal="left"/>
    </xf>
    <xf numFmtId="0" fontId="0" fillId="18" borderId="53" xfId="0" applyFill="1" applyBorder="1"/>
    <xf numFmtId="0" fontId="0" fillId="18" borderId="54" xfId="0" applyFill="1" applyBorder="1"/>
    <xf numFmtId="0" fontId="0" fillId="18" borderId="0" xfId="0" applyFill="1"/>
    <xf numFmtId="0" fontId="0" fillId="18" borderId="55" xfId="0" applyFill="1" applyBorder="1"/>
    <xf numFmtId="0" fontId="0" fillId="18" borderId="0" xfId="0" applyFill="1" applyAlignment="1">
      <alignment horizontal="left"/>
    </xf>
    <xf numFmtId="0" fontId="44" fillId="20" borderId="40" xfId="0" applyFont="1" applyFill="1" applyBorder="1" applyAlignment="1">
      <alignment horizontal="center" vertical="center"/>
    </xf>
    <xf numFmtId="0" fontId="44" fillId="20" borderId="39" xfId="0" applyFont="1" applyFill="1" applyBorder="1" applyAlignment="1">
      <alignment horizontal="center" vertical="center"/>
    </xf>
    <xf numFmtId="0" fontId="44" fillId="20" borderId="43" xfId="0" applyFont="1" applyFill="1" applyBorder="1" applyAlignment="1">
      <alignment horizontal="center" vertical="center"/>
    </xf>
    <xf numFmtId="0" fontId="0" fillId="7" borderId="0" xfId="0" applyFill="1" applyAlignment="1">
      <alignment horizontal="center"/>
    </xf>
    <xf numFmtId="0" fontId="0" fillId="7" borderId="1" xfId="0" applyFill="1" applyBorder="1" applyAlignment="1">
      <alignment horizontal="center"/>
    </xf>
    <xf numFmtId="0" fontId="45" fillId="21" borderId="1" xfId="0" applyFont="1" applyFill="1" applyBorder="1" applyAlignment="1">
      <alignment horizontal="center"/>
    </xf>
    <xf numFmtId="0" fontId="45" fillId="21" borderId="0" xfId="0" applyFont="1" applyFill="1" applyAlignment="1">
      <alignment horizontal="center"/>
    </xf>
    <xf numFmtId="0" fontId="0" fillId="8" borderId="1" xfId="0" applyFill="1" applyBorder="1" applyAlignment="1">
      <alignment horizontal="center"/>
    </xf>
    <xf numFmtId="0" fontId="0" fillId="8" borderId="1" xfId="0" applyFill="1" applyBorder="1"/>
    <xf numFmtId="0" fontId="0" fillId="7" borderId="1" xfId="0" applyFill="1" applyBorder="1"/>
    <xf numFmtId="0" fontId="0" fillId="8" borderId="4" xfId="0" applyFill="1" applyBorder="1" applyAlignment="1">
      <alignment horizontal="center"/>
    </xf>
    <xf numFmtId="0" fontId="0" fillId="8" borderId="4" xfId="0" applyFill="1" applyBorder="1"/>
    <xf numFmtId="0" fontId="36" fillId="0" borderId="0" xfId="0" applyFont="1" applyAlignment="1">
      <alignment horizontal="left" indent="1"/>
    </xf>
    <xf numFmtId="0" fontId="36" fillId="8" borderId="0" xfId="0" applyFont="1" applyFill="1" applyAlignment="1">
      <alignment horizontal="left" indent="1"/>
    </xf>
    <xf numFmtId="0" fontId="37" fillId="8" borderId="0" xfId="0" applyFont="1" applyFill="1" applyAlignment="1">
      <alignment horizontal="left"/>
    </xf>
    <xf numFmtId="0" fontId="11" fillId="0" borderId="0" xfId="0" applyFont="1" applyAlignment="1">
      <alignment horizontal="left" indent="1"/>
    </xf>
    <xf numFmtId="14" fontId="11" fillId="0" borderId="0" xfId="0" applyNumberFormat="1" applyFont="1" applyAlignment="1">
      <alignment horizontal="right" vertical="top"/>
    </xf>
    <xf numFmtId="14" fontId="6" fillId="0" borderId="0" xfId="0" applyNumberFormat="1" applyFont="1" applyAlignment="1">
      <alignment horizontal="left" wrapText="1" shrinkToFit="1"/>
    </xf>
    <xf numFmtId="0" fontId="37" fillId="0" borderId="0" xfId="0" applyFont="1"/>
    <xf numFmtId="0" fontId="37" fillId="0" borderId="57" xfId="0" applyFont="1" applyBorder="1" applyAlignment="1">
      <alignment horizontal="center"/>
    </xf>
    <xf numFmtId="0" fontId="11" fillId="22" borderId="57" xfId="0" applyFont="1" applyFill="1" applyBorder="1" applyAlignment="1">
      <alignment horizontal="center"/>
    </xf>
    <xf numFmtId="0" fontId="0" fillId="19" borderId="1" xfId="0" applyFill="1" applyBorder="1" applyAlignment="1">
      <alignment horizontal="center"/>
    </xf>
    <xf numFmtId="0" fontId="3" fillId="0" borderId="0" xfId="0" applyFont="1" applyAlignment="1">
      <alignment horizontal="right"/>
    </xf>
    <xf numFmtId="0" fontId="11" fillId="0" borderId="1" xfId="0" applyFont="1" applyBorder="1" applyAlignment="1">
      <alignment horizontal="center"/>
    </xf>
    <xf numFmtId="0" fontId="11" fillId="8" borderId="1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0" fillId="19" borderId="58" xfId="0" applyFill="1" applyBorder="1" applyAlignment="1">
      <alignment horizontal="center"/>
    </xf>
    <xf numFmtId="0" fontId="11" fillId="8" borderId="0" xfId="0" applyFont="1" applyFill="1" applyAlignment="1">
      <alignment horizontal="center"/>
    </xf>
    <xf numFmtId="0" fontId="0" fillId="19" borderId="0" xfId="0" applyFill="1" applyAlignment="1">
      <alignment horizontal="center"/>
    </xf>
    <xf numFmtId="0" fontId="37" fillId="0" borderId="59" xfId="0" applyFont="1" applyBorder="1" applyAlignment="1">
      <alignment horizontal="center"/>
    </xf>
    <xf numFmtId="0" fontId="11" fillId="22" borderId="59" xfId="0" applyFont="1" applyFill="1" applyBorder="1" applyAlignment="1">
      <alignment horizontal="center"/>
    </xf>
    <xf numFmtId="0" fontId="11" fillId="0" borderId="59" xfId="0" applyFont="1" applyBorder="1" applyAlignment="1">
      <alignment horizontal="center"/>
    </xf>
    <xf numFmtId="0" fontId="5" fillId="0" borderId="59" xfId="0" applyFont="1" applyBorder="1" applyAlignment="1">
      <alignment horizontal="center"/>
    </xf>
    <xf numFmtId="0" fontId="5" fillId="0" borderId="0" xfId="0" applyFont="1" applyAlignment="1">
      <alignment horizontal="right"/>
    </xf>
    <xf numFmtId="0" fontId="37" fillId="0" borderId="2" xfId="0" applyFont="1" applyBorder="1"/>
    <xf numFmtId="0" fontId="37" fillId="0" borderId="9" xfId="0" applyFont="1" applyBorder="1"/>
    <xf numFmtId="0" fontId="37" fillId="0" borderId="3" xfId="0" applyFont="1" applyBorder="1"/>
    <xf numFmtId="0" fontId="37" fillId="0" borderId="1" xfId="0" applyFont="1" applyBorder="1" applyAlignment="1">
      <alignment horizontal="center" vertical="center"/>
    </xf>
    <xf numFmtId="14" fontId="36" fillId="0" borderId="0" xfId="0" applyNumberFormat="1" applyFont="1" applyAlignment="1">
      <alignment horizontal="left" indent="1"/>
    </xf>
    <xf numFmtId="0" fontId="37" fillId="0" borderId="61" xfId="0" applyFont="1" applyBorder="1" applyAlignment="1">
      <alignment horizontal="center"/>
    </xf>
    <xf numFmtId="0" fontId="37" fillId="0" borderId="1" xfId="0" applyFont="1" applyBorder="1" applyAlignment="1">
      <alignment horizontal="center"/>
    </xf>
    <xf numFmtId="0" fontId="37" fillId="0" borderId="63" xfId="0" applyFont="1" applyBorder="1" applyAlignment="1">
      <alignment horizontal="center"/>
    </xf>
    <xf numFmtId="0" fontId="6" fillId="0" borderId="59" xfId="0" applyFont="1" applyBorder="1" applyAlignment="1">
      <alignment horizontal="center"/>
    </xf>
    <xf numFmtId="0" fontId="46" fillId="0" borderId="59" xfId="0" applyFont="1" applyBorder="1" applyAlignment="1">
      <alignment horizontal="center"/>
    </xf>
    <xf numFmtId="0" fontId="6" fillId="0" borderId="64" xfId="0" applyFont="1" applyBorder="1" applyAlignment="1">
      <alignment horizontal="center"/>
    </xf>
    <xf numFmtId="0" fontId="46" fillId="0" borderId="0" xfId="0" applyFont="1" applyAlignment="1">
      <alignment horizontal="center"/>
    </xf>
    <xf numFmtId="0" fontId="11" fillId="0" borderId="0" xfId="0" applyFont="1" applyAlignment="1">
      <alignment vertical="center"/>
    </xf>
    <xf numFmtId="14" fontId="6" fillId="0" borderId="0" xfId="0" applyNumberFormat="1" applyFont="1" applyAlignment="1">
      <alignment horizontal="left"/>
    </xf>
    <xf numFmtId="14" fontId="6" fillId="0" borderId="0" xfId="0" applyNumberFormat="1" applyFont="1" applyAlignment="1">
      <alignment horizontal="left" vertical="top" wrapText="1" shrinkToFit="1"/>
    </xf>
    <xf numFmtId="0" fontId="47" fillId="20" borderId="2" xfId="0" applyFont="1" applyFill="1" applyBorder="1" applyAlignment="1">
      <alignment horizontal="left" indent="1"/>
    </xf>
    <xf numFmtId="0" fontId="48" fillId="20" borderId="9" xfId="0" applyFont="1" applyFill="1" applyBorder="1"/>
    <xf numFmtId="0" fontId="47" fillId="20" borderId="3" xfId="0" applyFont="1" applyFill="1" applyBorder="1" applyAlignment="1">
      <alignment horizontal="center"/>
    </xf>
    <xf numFmtId="0" fontId="49" fillId="20" borderId="40" xfId="0" applyFont="1" applyFill="1" applyBorder="1" applyAlignment="1">
      <alignment horizontal="center" vertical="center"/>
    </xf>
    <xf numFmtId="0" fontId="49" fillId="20" borderId="39" xfId="0" applyFont="1" applyFill="1" applyBorder="1" applyAlignment="1">
      <alignment horizontal="center" vertical="center"/>
    </xf>
    <xf numFmtId="0" fontId="49" fillId="20" borderId="43" xfId="0" applyFont="1" applyFill="1" applyBorder="1" applyAlignment="1">
      <alignment horizontal="center" vertical="center"/>
    </xf>
    <xf numFmtId="0" fontId="35" fillId="24" borderId="0" xfId="0" applyFont="1" applyFill="1" applyAlignment="1">
      <alignment horizontal="center"/>
    </xf>
    <xf numFmtId="0" fontId="35" fillId="24" borderId="0" xfId="0" applyFont="1" applyFill="1" applyAlignment="1">
      <alignment horizontal="left"/>
    </xf>
    <xf numFmtId="42" fontId="35" fillId="24" borderId="0" xfId="8" applyFont="1" applyFill="1" applyAlignment="1">
      <alignment horizontal="center"/>
    </xf>
    <xf numFmtId="42" fontId="0" fillId="0" borderId="0" xfId="8" applyFont="1"/>
    <xf numFmtId="0" fontId="50" fillId="8" borderId="0" xfId="0" applyFont="1" applyFill="1"/>
    <xf numFmtId="0" fontId="5" fillId="8" borderId="46" xfId="0" applyFont="1" applyFill="1" applyBorder="1" applyAlignment="1">
      <alignment horizontal="left"/>
    </xf>
    <xf numFmtId="0" fontId="0" fillId="0" borderId="54" xfId="0" applyBorder="1"/>
    <xf numFmtId="0" fontId="33" fillId="0" borderId="0" xfId="0" applyFont="1"/>
    <xf numFmtId="14" fontId="27" fillId="0" borderId="0" xfId="0" applyNumberFormat="1" applyFont="1" applyAlignment="1">
      <alignment horizontal="left"/>
    </xf>
    <xf numFmtId="0" fontId="0" fillId="0" borderId="55" xfId="0" applyBorder="1"/>
    <xf numFmtId="0" fontId="27" fillId="0" borderId="0" xfId="0" applyFont="1"/>
    <xf numFmtId="0" fontId="34" fillId="0" borderId="0" xfId="0" quotePrefix="1" applyFont="1"/>
    <xf numFmtId="0" fontId="23" fillId="0" borderId="0" xfId="0" applyFont="1"/>
    <xf numFmtId="0" fontId="0" fillId="0" borderId="44" xfId="0" applyBorder="1"/>
    <xf numFmtId="0" fontId="18" fillId="0" borderId="37" xfId="0" applyFont="1" applyBorder="1"/>
    <xf numFmtId="0" fontId="18" fillId="0" borderId="56" xfId="0" applyFont="1" applyBorder="1"/>
    <xf numFmtId="0" fontId="9" fillId="8" borderId="0" xfId="3" applyFill="1"/>
    <xf numFmtId="0" fontId="30" fillId="0" borderId="1" xfId="0" applyFont="1" applyBorder="1" applyAlignment="1">
      <alignment horizontal="center" vertical="center"/>
    </xf>
    <xf numFmtId="166" fontId="30" fillId="0" borderId="1" xfId="0" applyNumberFormat="1" applyFont="1" applyBorder="1" applyAlignment="1">
      <alignment horizontal="center" vertical="center"/>
    </xf>
    <xf numFmtId="167" fontId="11" fillId="0" borderId="1" xfId="2" applyNumberFormat="1" applyFont="1" applyFill="1" applyBorder="1" applyAlignment="1">
      <alignment horizontal="center" vertical="center"/>
    </xf>
    <xf numFmtId="0" fontId="46" fillId="8" borderId="46" xfId="0" applyFont="1" applyFill="1" applyBorder="1"/>
    <xf numFmtId="0" fontId="39" fillId="0" borderId="1" xfId="0" applyFont="1" applyBorder="1" applyAlignment="1">
      <alignment horizontal="center" vertical="center"/>
    </xf>
    <xf numFmtId="0" fontId="16" fillId="23" borderId="40" xfId="0" applyFont="1" applyFill="1" applyBorder="1" applyAlignment="1">
      <alignment horizontal="center" vertical="center"/>
    </xf>
    <xf numFmtId="0" fontId="16" fillId="23" borderId="39" xfId="0" applyFont="1" applyFill="1" applyBorder="1" applyAlignment="1">
      <alignment horizontal="center" vertical="center"/>
    </xf>
    <xf numFmtId="0" fontId="16" fillId="23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  <xf numFmtId="0" fontId="43" fillId="17" borderId="37" xfId="0" applyFont="1" applyFill="1" applyBorder="1" applyAlignment="1">
      <alignment horizontal="left"/>
    </xf>
    <xf numFmtId="0" fontId="43" fillId="17" borderId="56" xfId="0" applyFont="1" applyFill="1" applyBorder="1" applyAlignment="1">
      <alignment horizontal="left"/>
    </xf>
    <xf numFmtId="0" fontId="37" fillId="8" borderId="2" xfId="0" applyFont="1" applyFill="1" applyBorder="1" applyAlignment="1">
      <alignment horizontal="center" vertical="center"/>
    </xf>
    <xf numFmtId="0" fontId="37" fillId="8" borderId="9" xfId="0" applyFont="1" applyFill="1" applyBorder="1" applyAlignment="1">
      <alignment horizontal="center" vertical="center"/>
    </xf>
    <xf numFmtId="0" fontId="37" fillId="8" borderId="3" xfId="0" applyFont="1" applyFill="1" applyBorder="1" applyAlignment="1">
      <alignment horizontal="center" vertical="center"/>
    </xf>
    <xf numFmtId="0" fontId="8" fillId="7" borderId="1" xfId="0" applyFont="1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37" fillId="8" borderId="60" xfId="0" applyFont="1" applyFill="1" applyBorder="1" applyAlignment="1">
      <alignment horizontal="left" vertical="top" indent="28"/>
    </xf>
    <xf numFmtId="0" fontId="37" fillId="8" borderId="61" xfId="0" applyFont="1" applyFill="1" applyBorder="1" applyAlignment="1">
      <alignment horizontal="left" vertical="top" indent="28"/>
    </xf>
    <xf numFmtId="0" fontId="37" fillId="8" borderId="62" xfId="0" applyFont="1" applyFill="1" applyBorder="1" applyAlignment="1">
      <alignment horizontal="left" vertical="top" indent="28"/>
    </xf>
    <xf numFmtId="0" fontId="37" fillId="8" borderId="63" xfId="0" applyFont="1" applyFill="1" applyBorder="1" applyAlignment="1">
      <alignment horizontal="left" vertical="top" indent="28"/>
    </xf>
    <xf numFmtId="0" fontId="0" fillId="0" borderId="0" xfId="0" applyAlignment="1">
      <alignment horizontal="center"/>
    </xf>
    <xf numFmtId="0" fontId="37" fillId="0" borderId="0" xfId="0" applyFont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2">
    <dxf>
      <fill>
        <patternFill>
          <bgColor rgb="FF92D050"/>
        </patternFill>
      </fill>
    </dxf>
    <dxf>
      <fill>
        <patternFill>
          <bgColor theme="0"/>
        </patternFill>
      </fill>
    </dxf>
  </dxfs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27</xdr:row>
      <xdr:rowOff>8194</xdr:rowOff>
    </xdr:from>
    <xdr:to>
      <xdr:col>8</xdr:col>
      <xdr:colOff>8193</xdr:colOff>
      <xdr:row>30</xdr:row>
      <xdr:rowOff>8195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74000" y="5489678"/>
          <a:ext cx="2023806" cy="66367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29</xdr:row>
      <xdr:rowOff>154305</xdr:rowOff>
    </xdr:from>
    <xdr:to>
      <xdr:col>7</xdr:col>
      <xdr:colOff>853440</xdr:colOff>
      <xdr:row>29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27</xdr:row>
      <xdr:rowOff>9525</xdr:rowOff>
    </xdr:from>
    <xdr:to>
      <xdr:col>5</xdr:col>
      <xdr:colOff>1745226</xdr:colOff>
      <xdr:row>30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5491009"/>
          <a:ext cx="6885346" cy="654152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22</xdr:row>
      <xdr:rowOff>204838</xdr:rowOff>
    </xdr:from>
    <xdr:to>
      <xdr:col>5</xdr:col>
      <xdr:colOff>1728839</xdr:colOff>
      <xdr:row>25</xdr:row>
      <xdr:rowOff>221226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09677" y="4965290"/>
          <a:ext cx="6317227" cy="688259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LA</a:t>
          </a:r>
          <a:r>
            <a:rPr lang="es-CL" sz="1200" b="1" baseline="0"/>
            <a:t> CUBIERTA SE ENTREGA SOBRE MEDIDA EN EL LARGO</a:t>
          </a:r>
        </a:p>
        <a:p>
          <a:pPr algn="l"/>
          <a:r>
            <a:rPr lang="es-CL" sz="1200" b="1" i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 MDF  18MM</a:t>
          </a:r>
        </a:p>
        <a:p>
          <a:pPr algn="l"/>
          <a:r>
            <a:rPr lang="es-CL" sz="1200" b="1" i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</a:p>
      </xdr:txBody>
    </xdr:sp>
    <xdr:clientData/>
  </xdr:twoCellAnchor>
  <xdr:twoCellAnchor editAs="oneCell">
    <xdr:from>
      <xdr:col>1</xdr:col>
      <xdr:colOff>0</xdr:colOff>
      <xdr:row>1</xdr:row>
      <xdr:rowOff>0</xdr:rowOff>
    </xdr:from>
    <xdr:to>
      <xdr:col>2</xdr:col>
      <xdr:colOff>301397</xdr:colOff>
      <xdr:row>6</xdr:row>
      <xdr:rowOff>15999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9F8CE62A-5ECD-452C-A4D4-4D97A84ACEE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409677" y="184355"/>
          <a:ext cx="1028575" cy="973026"/>
        </a:xfrm>
        <a:prstGeom prst="rect">
          <a:avLst/>
        </a:prstGeom>
      </xdr:spPr>
    </xdr:pic>
    <xdr:clientData/>
  </xdr:twoCellAnchor>
  <xdr:twoCellAnchor editAs="oneCell">
    <xdr:from>
      <xdr:col>2</xdr:col>
      <xdr:colOff>307258</xdr:colOff>
      <xdr:row>1</xdr:row>
      <xdr:rowOff>184355</xdr:rowOff>
    </xdr:from>
    <xdr:to>
      <xdr:col>2</xdr:col>
      <xdr:colOff>2112890</xdr:colOff>
      <xdr:row>6</xdr:row>
      <xdr:rowOff>3307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1D973B6C-5777-4092-9B95-8461A920747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444113" y="368710"/>
          <a:ext cx="1813252" cy="77540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15240</xdr:colOff>
      <xdr:row>24</xdr:row>
      <xdr:rowOff>11430</xdr:rowOff>
    </xdr:from>
    <xdr:to>
      <xdr:col>5</xdr:col>
      <xdr:colOff>1386840</xdr:colOff>
      <xdr:row>27</xdr:row>
      <xdr:rowOff>9525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B3E24C2D-8046-4012-A115-1CD507096522}"/>
            </a:ext>
          </a:extLst>
        </xdr:cNvPr>
        <xdr:cNvSpPr/>
      </xdr:nvSpPr>
      <xdr:spPr>
        <a:xfrm>
          <a:off x="215265" y="4888230"/>
          <a:ext cx="5943600" cy="60769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900" b="1" i="1"/>
            <a:t>OBSERVACIONES: </a:t>
          </a:r>
          <a:endParaRPr lang="es-CL" sz="900" b="1" i="1" baseline="0"/>
        </a:p>
      </xdr:txBody>
    </xdr:sp>
    <xdr:clientData/>
  </xdr:twoCellAnchor>
  <xdr:twoCellAnchor editAs="oneCell">
    <xdr:from>
      <xdr:col>1</xdr:col>
      <xdr:colOff>0</xdr:colOff>
      <xdr:row>1</xdr:row>
      <xdr:rowOff>0</xdr:rowOff>
    </xdr:from>
    <xdr:to>
      <xdr:col>2</xdr:col>
      <xdr:colOff>251335</xdr:colOff>
      <xdr:row>5</xdr:row>
      <xdr:rowOff>169116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7AAFB05-AE5E-485E-BE15-F0A81EEB2BA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200025" y="200025"/>
          <a:ext cx="1032385" cy="893016"/>
        </a:xfrm>
        <a:prstGeom prst="rect">
          <a:avLst/>
        </a:prstGeom>
      </xdr:spPr>
    </xdr:pic>
    <xdr:clientData/>
  </xdr:twoCellAnchor>
  <xdr:twoCellAnchor editAs="oneCell">
    <xdr:from>
      <xdr:col>2</xdr:col>
      <xdr:colOff>335280</xdr:colOff>
      <xdr:row>2</xdr:row>
      <xdr:rowOff>30480</xdr:rowOff>
    </xdr:from>
    <xdr:to>
      <xdr:col>2</xdr:col>
      <xdr:colOff>2154247</xdr:colOff>
      <xdr:row>6</xdr:row>
      <xdr:rowOff>71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726E0EDB-6016-4980-A3B2-4D39ED6AEB5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314450" y="428625"/>
          <a:ext cx="1817062" cy="6953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923925</xdr:colOff>
      <xdr:row>5</xdr:row>
      <xdr:rowOff>53340</xdr:rowOff>
    </xdr:from>
    <xdr:to>
      <xdr:col>6</xdr:col>
      <xdr:colOff>11429</xdr:colOff>
      <xdr:row>6</xdr:row>
      <xdr:rowOff>190500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6554DEFA-4CFC-4689-B3B4-6A0261248C86}"/>
            </a:ext>
          </a:extLst>
        </xdr:cNvPr>
        <xdr:cNvSpPr/>
      </xdr:nvSpPr>
      <xdr:spPr>
        <a:xfrm>
          <a:off x="1647825" y="1091565"/>
          <a:ext cx="6802754" cy="19431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</xdr:row>
      <xdr:rowOff>28575</xdr:rowOff>
    </xdr:from>
    <xdr:to>
      <xdr:col>6</xdr:col>
      <xdr:colOff>0</xdr:colOff>
      <xdr:row>5</xdr:row>
      <xdr:rowOff>9525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2091E886-C6F5-41FC-A1B8-9EDDF5E33E90}"/>
            </a:ext>
          </a:extLst>
        </xdr:cNvPr>
        <xdr:cNvSpPr/>
      </xdr:nvSpPr>
      <xdr:spPr>
        <a:xfrm>
          <a:off x="1649730" y="836295"/>
          <a:ext cx="6789420" cy="21336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2</xdr:row>
      <xdr:rowOff>180975</xdr:rowOff>
    </xdr:from>
    <xdr:to>
      <xdr:col>6</xdr:col>
      <xdr:colOff>0</xdr:colOff>
      <xdr:row>3</xdr:row>
      <xdr:rowOff>190500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791C706B-4ED2-4854-8370-1781A2BFE1C6}"/>
            </a:ext>
          </a:extLst>
        </xdr:cNvPr>
        <xdr:cNvSpPr/>
      </xdr:nvSpPr>
      <xdr:spPr>
        <a:xfrm>
          <a:off x="1649730" y="588645"/>
          <a:ext cx="6789420" cy="21145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11430</xdr:colOff>
      <xdr:row>15</xdr:row>
      <xdr:rowOff>53340</xdr:rowOff>
    </xdr:from>
    <xdr:to>
      <xdr:col>6</xdr:col>
      <xdr:colOff>9525</xdr:colOff>
      <xdr:row>16</xdr:row>
      <xdr:rowOff>198120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F6F1CA1A-AD41-47C9-984E-EB7E8672A6BA}"/>
            </a:ext>
          </a:extLst>
        </xdr:cNvPr>
        <xdr:cNvSpPr/>
      </xdr:nvSpPr>
      <xdr:spPr>
        <a:xfrm>
          <a:off x="735330" y="2939415"/>
          <a:ext cx="7713345" cy="23050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9524</xdr:colOff>
      <xdr:row>8</xdr:row>
      <xdr:rowOff>186690</xdr:rowOff>
    </xdr:from>
    <xdr:to>
      <xdr:col>6</xdr:col>
      <xdr:colOff>11429</xdr:colOff>
      <xdr:row>10</xdr:row>
      <xdr:rowOff>38100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CAAFE55F-7F66-4B80-8572-E12A490D8E06}"/>
            </a:ext>
          </a:extLst>
        </xdr:cNvPr>
        <xdr:cNvSpPr/>
      </xdr:nvSpPr>
      <xdr:spPr>
        <a:xfrm>
          <a:off x="733424" y="1682115"/>
          <a:ext cx="7717155" cy="24193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0</xdr:col>
      <xdr:colOff>714375</xdr:colOff>
      <xdr:row>43</xdr:row>
      <xdr:rowOff>171450</xdr:rowOff>
    </xdr:from>
    <xdr:to>
      <xdr:col>6</xdr:col>
      <xdr:colOff>19050</xdr:colOff>
      <xdr:row>45</xdr:row>
      <xdr:rowOff>19050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7CD915AE-BA8E-4FED-B2EB-0ABDFE1B09E2}"/>
            </a:ext>
          </a:extLst>
        </xdr:cNvPr>
        <xdr:cNvSpPr/>
      </xdr:nvSpPr>
      <xdr:spPr>
        <a:xfrm>
          <a:off x="714375" y="8296275"/>
          <a:ext cx="7743825" cy="2476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41</xdr:row>
      <xdr:rowOff>0</xdr:rowOff>
    </xdr:from>
    <xdr:to>
      <xdr:col>6</xdr:col>
      <xdr:colOff>0</xdr:colOff>
      <xdr:row>42</xdr:row>
      <xdr:rowOff>0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E0558F93-79BE-477E-B59E-00D1EF51FD8B}"/>
            </a:ext>
          </a:extLst>
        </xdr:cNvPr>
        <xdr:cNvSpPr/>
      </xdr:nvSpPr>
      <xdr:spPr>
        <a:xfrm>
          <a:off x="1649730" y="7724775"/>
          <a:ext cx="678942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39</xdr:row>
      <xdr:rowOff>38100</xdr:rowOff>
    </xdr:from>
    <xdr:to>
      <xdr:col>6</xdr:col>
      <xdr:colOff>0</xdr:colOff>
      <xdr:row>40</xdr:row>
      <xdr:rowOff>19050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FD08B214-FCC8-48CD-AD3A-D73853BB3EA7}"/>
            </a:ext>
          </a:extLst>
        </xdr:cNvPr>
        <xdr:cNvSpPr/>
      </xdr:nvSpPr>
      <xdr:spPr>
        <a:xfrm>
          <a:off x="1649730" y="7496175"/>
          <a:ext cx="6789420" cy="18669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38</xdr:row>
      <xdr:rowOff>0</xdr:rowOff>
    </xdr:from>
    <xdr:to>
      <xdr:col>6</xdr:col>
      <xdr:colOff>0</xdr:colOff>
      <xdr:row>39</xdr:row>
      <xdr:rowOff>0</xdr:rowOff>
    </xdr:to>
    <xdr:sp macro="" textlink="">
      <xdr:nvSpPr>
        <xdr:cNvPr id="10" name="Rectángulo 9">
          <a:extLst>
            <a:ext uri="{FF2B5EF4-FFF2-40B4-BE49-F238E27FC236}">
              <a16:creationId xmlns:a16="http://schemas.microsoft.com/office/drawing/2014/main" id="{0B7652AB-957D-428C-A0E3-7C1ABD18D77E}"/>
            </a:ext>
          </a:extLst>
        </xdr:cNvPr>
        <xdr:cNvSpPr/>
      </xdr:nvSpPr>
      <xdr:spPr>
        <a:xfrm>
          <a:off x="1649730" y="7258050"/>
          <a:ext cx="678942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51</xdr:row>
      <xdr:rowOff>0</xdr:rowOff>
    </xdr:from>
    <xdr:to>
      <xdr:col>2</xdr:col>
      <xdr:colOff>38100</xdr:colOff>
      <xdr:row>52</xdr:row>
      <xdr:rowOff>9525</xdr:rowOff>
    </xdr:to>
    <xdr:sp macro="" textlink="">
      <xdr:nvSpPr>
        <xdr:cNvPr id="11" name="Rectángulo 10">
          <a:extLst>
            <a:ext uri="{FF2B5EF4-FFF2-40B4-BE49-F238E27FC236}">
              <a16:creationId xmlns:a16="http://schemas.microsoft.com/office/drawing/2014/main" id="{050FC0A9-3162-4EB7-8483-51C81BC44035}"/>
            </a:ext>
          </a:extLst>
        </xdr:cNvPr>
        <xdr:cNvSpPr/>
      </xdr:nvSpPr>
      <xdr:spPr>
        <a:xfrm>
          <a:off x="723900" y="9658350"/>
          <a:ext cx="971550" cy="21145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2</xdr:col>
      <xdr:colOff>38100</xdr:colOff>
      <xdr:row>51</xdr:row>
      <xdr:rowOff>0</xdr:rowOff>
    </xdr:from>
    <xdr:to>
      <xdr:col>2</xdr:col>
      <xdr:colOff>1019175</xdr:colOff>
      <xdr:row>51</xdr:row>
      <xdr:rowOff>190500</xdr:rowOff>
    </xdr:to>
    <xdr:sp macro="" textlink="">
      <xdr:nvSpPr>
        <xdr:cNvPr id="12" name="Rectángulo 11">
          <a:extLst>
            <a:ext uri="{FF2B5EF4-FFF2-40B4-BE49-F238E27FC236}">
              <a16:creationId xmlns:a16="http://schemas.microsoft.com/office/drawing/2014/main" id="{BB96658F-0B7A-4F26-A703-34F1CD379CCE}"/>
            </a:ext>
          </a:extLst>
        </xdr:cNvPr>
        <xdr:cNvSpPr/>
      </xdr:nvSpPr>
      <xdr:spPr>
        <a:xfrm>
          <a:off x="1695450" y="9658350"/>
          <a:ext cx="979170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51</xdr:row>
      <xdr:rowOff>0</xdr:rowOff>
    </xdr:from>
    <xdr:to>
      <xdr:col>3</xdr:col>
      <xdr:colOff>352425</xdr:colOff>
      <xdr:row>52</xdr:row>
      <xdr:rowOff>0</xdr:rowOff>
    </xdr:to>
    <xdr:sp macro="" textlink="">
      <xdr:nvSpPr>
        <xdr:cNvPr id="13" name="Rectángulo 12">
          <a:extLst>
            <a:ext uri="{FF2B5EF4-FFF2-40B4-BE49-F238E27FC236}">
              <a16:creationId xmlns:a16="http://schemas.microsoft.com/office/drawing/2014/main" id="{65E20200-C72F-4007-A4A0-AEAB8604EB4D}"/>
            </a:ext>
          </a:extLst>
        </xdr:cNvPr>
        <xdr:cNvSpPr/>
      </xdr:nvSpPr>
      <xdr:spPr>
        <a:xfrm>
          <a:off x="2663190" y="9658350"/>
          <a:ext cx="1767840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51</xdr:row>
      <xdr:rowOff>0</xdr:rowOff>
    </xdr:from>
    <xdr:to>
      <xdr:col>4</xdr:col>
      <xdr:colOff>257175</xdr:colOff>
      <xdr:row>52</xdr:row>
      <xdr:rowOff>0</xdr:rowOff>
    </xdr:to>
    <xdr:sp macro="" textlink="">
      <xdr:nvSpPr>
        <xdr:cNvPr id="14" name="Rectángulo 13">
          <a:extLst>
            <a:ext uri="{FF2B5EF4-FFF2-40B4-BE49-F238E27FC236}">
              <a16:creationId xmlns:a16="http://schemas.microsoft.com/office/drawing/2014/main" id="{861068B0-9C28-4D4D-8046-31978A29063D}"/>
            </a:ext>
          </a:extLst>
        </xdr:cNvPr>
        <xdr:cNvSpPr/>
      </xdr:nvSpPr>
      <xdr:spPr>
        <a:xfrm>
          <a:off x="4431030" y="9658350"/>
          <a:ext cx="996315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51</xdr:row>
      <xdr:rowOff>0</xdr:rowOff>
    </xdr:from>
    <xdr:to>
      <xdr:col>5</xdr:col>
      <xdr:colOff>447675</xdr:colOff>
      <xdr:row>51</xdr:row>
      <xdr:rowOff>190500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54D754DB-36F9-44BF-8B1C-72CA2CF5BEB2}"/>
            </a:ext>
          </a:extLst>
        </xdr:cNvPr>
        <xdr:cNvSpPr/>
      </xdr:nvSpPr>
      <xdr:spPr>
        <a:xfrm>
          <a:off x="5415915" y="9658350"/>
          <a:ext cx="1068705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51</xdr:row>
      <xdr:rowOff>0</xdr:rowOff>
    </xdr:from>
    <xdr:to>
      <xdr:col>6</xdr:col>
      <xdr:colOff>0</xdr:colOff>
      <xdr:row>51</xdr:row>
      <xdr:rowOff>190500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111BA57A-082B-4BF6-803D-AFC34947095C}"/>
            </a:ext>
          </a:extLst>
        </xdr:cNvPr>
        <xdr:cNvSpPr/>
      </xdr:nvSpPr>
      <xdr:spPr>
        <a:xfrm>
          <a:off x="6496050" y="9658350"/>
          <a:ext cx="1943100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1</xdr:col>
      <xdr:colOff>0</xdr:colOff>
      <xdr:row>51</xdr:row>
      <xdr:rowOff>190500</xdr:rowOff>
    </xdr:from>
    <xdr:to>
      <xdr:col>2</xdr:col>
      <xdr:colOff>304800</xdr:colOff>
      <xdr:row>53</xdr:row>
      <xdr:rowOff>95250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2EE25A4F-BDF7-4D92-8A95-5D8719013E8F}"/>
            </a:ext>
          </a:extLst>
        </xdr:cNvPr>
        <xdr:cNvSpPr/>
      </xdr:nvSpPr>
      <xdr:spPr>
        <a:xfrm>
          <a:off x="723900" y="9848850"/>
          <a:ext cx="123825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38100</xdr:colOff>
      <xdr:row>51</xdr:row>
      <xdr:rowOff>190500</xdr:rowOff>
    </xdr:from>
    <xdr:to>
      <xdr:col>2</xdr:col>
      <xdr:colOff>1276350</xdr:colOff>
      <xdr:row>53</xdr:row>
      <xdr:rowOff>95250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EE7C25AF-AB5D-4B42-A086-56952089DDBB}"/>
            </a:ext>
          </a:extLst>
        </xdr:cNvPr>
        <xdr:cNvSpPr/>
      </xdr:nvSpPr>
      <xdr:spPr>
        <a:xfrm>
          <a:off x="1695450" y="9848850"/>
          <a:ext cx="123444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51</xdr:row>
      <xdr:rowOff>190500</xdr:rowOff>
    </xdr:from>
    <xdr:to>
      <xdr:col>3</xdr:col>
      <xdr:colOff>619125</xdr:colOff>
      <xdr:row>53</xdr:row>
      <xdr:rowOff>95250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CF74A4FC-0ADD-45C4-BA65-21C12BC4214A}"/>
            </a:ext>
          </a:extLst>
        </xdr:cNvPr>
        <xdr:cNvSpPr/>
      </xdr:nvSpPr>
      <xdr:spPr>
        <a:xfrm>
          <a:off x="2663190" y="9848850"/>
          <a:ext cx="203454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51</xdr:row>
      <xdr:rowOff>190500</xdr:rowOff>
    </xdr:from>
    <xdr:to>
      <xdr:col>4</xdr:col>
      <xdr:colOff>523875</xdr:colOff>
      <xdr:row>53</xdr:row>
      <xdr:rowOff>95250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B553124C-6F96-42B0-8F5C-9CB3FF6BC238}"/>
            </a:ext>
          </a:extLst>
        </xdr:cNvPr>
        <xdr:cNvSpPr/>
      </xdr:nvSpPr>
      <xdr:spPr>
        <a:xfrm>
          <a:off x="4431030" y="9848850"/>
          <a:ext cx="1263015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51</xdr:row>
      <xdr:rowOff>190500</xdr:rowOff>
    </xdr:from>
    <xdr:to>
      <xdr:col>5</xdr:col>
      <xdr:colOff>723900</xdr:colOff>
      <xdr:row>53</xdr:row>
      <xdr:rowOff>95250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3ED15B50-641E-4A75-8741-005979AB5EAC}"/>
            </a:ext>
          </a:extLst>
        </xdr:cNvPr>
        <xdr:cNvSpPr/>
      </xdr:nvSpPr>
      <xdr:spPr>
        <a:xfrm>
          <a:off x="5415915" y="9848850"/>
          <a:ext cx="1346835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51</xdr:row>
      <xdr:rowOff>190500</xdr:rowOff>
    </xdr:from>
    <xdr:to>
      <xdr:col>6</xdr:col>
      <xdr:colOff>0</xdr:colOff>
      <xdr:row>53</xdr:row>
      <xdr:rowOff>95250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11F91FE-5E66-486B-968C-CAB7440DB154}"/>
            </a:ext>
          </a:extLst>
        </xdr:cNvPr>
        <xdr:cNvSpPr/>
      </xdr:nvSpPr>
      <xdr:spPr>
        <a:xfrm>
          <a:off x="6496050" y="9848850"/>
          <a:ext cx="194310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1</xdr:col>
      <xdr:colOff>0</xdr:colOff>
      <xdr:row>30</xdr:row>
      <xdr:rowOff>22859</xdr:rowOff>
    </xdr:from>
    <xdr:to>
      <xdr:col>6</xdr:col>
      <xdr:colOff>0</xdr:colOff>
      <xdr:row>34</xdr:row>
      <xdr:rowOff>57150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96B8D23D-5178-487E-9435-A5BD51CFB4F5}"/>
            </a:ext>
          </a:extLst>
        </xdr:cNvPr>
        <xdr:cNvSpPr/>
      </xdr:nvSpPr>
      <xdr:spPr>
        <a:xfrm>
          <a:off x="723900" y="5680709"/>
          <a:ext cx="7715250" cy="83439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ES" sz="1050" baseline="0">
              <a:effectLst/>
            </a:rPr>
            <a:t> </a:t>
          </a:r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</a:t>
          </a:r>
          <a:r>
            <a:rPr lang="es-CL" sz="1100" b="1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endParaRPr lang="es-ES" sz="1050" b="1">
            <a:effectLst/>
          </a:endParaRPr>
        </a:p>
      </xdr:txBody>
    </xdr:sp>
    <xdr:clientData/>
  </xdr:twoCellAnchor>
  <xdr:twoCellAnchor>
    <xdr:from>
      <xdr:col>0</xdr:col>
      <xdr:colOff>714375</xdr:colOff>
      <xdr:row>22</xdr:row>
      <xdr:rowOff>201930</xdr:rowOff>
    </xdr:from>
    <xdr:to>
      <xdr:col>6</xdr:col>
      <xdr:colOff>22859</xdr:colOff>
      <xdr:row>23</xdr:row>
      <xdr:rowOff>200025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DE1259BF-C16C-4EE7-85E0-E3741906A117}"/>
            </a:ext>
          </a:extLst>
        </xdr:cNvPr>
        <xdr:cNvSpPr/>
      </xdr:nvSpPr>
      <xdr:spPr>
        <a:xfrm>
          <a:off x="714375" y="4307205"/>
          <a:ext cx="7747634" cy="20764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20955</xdr:colOff>
      <xdr:row>54</xdr:row>
      <xdr:rowOff>32385</xdr:rowOff>
    </xdr:from>
    <xdr:to>
      <xdr:col>6</xdr:col>
      <xdr:colOff>19050</xdr:colOff>
      <xdr:row>58</xdr:row>
      <xdr:rowOff>152400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101F4DF7-36D7-47D8-8C07-9FF73B9A5B64}"/>
            </a:ext>
          </a:extLst>
        </xdr:cNvPr>
        <xdr:cNvSpPr/>
      </xdr:nvSpPr>
      <xdr:spPr>
        <a:xfrm>
          <a:off x="741045" y="10288905"/>
          <a:ext cx="7713345" cy="91249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</a:t>
          </a:r>
          <a:endParaRPr lang="es-CL" b="1">
            <a:effectLst/>
          </a:endParaRPr>
        </a:p>
      </xdr:txBody>
    </xdr:sp>
    <xdr:clientData/>
  </xdr:twoCellAnchor>
  <xdr:twoCellAnchor>
    <xdr:from>
      <xdr:col>1</xdr:col>
      <xdr:colOff>923925</xdr:colOff>
      <xdr:row>7</xdr:row>
      <xdr:rowOff>28575</xdr:rowOff>
    </xdr:from>
    <xdr:to>
      <xdr:col>6</xdr:col>
      <xdr:colOff>0</xdr:colOff>
      <xdr:row>8</xdr:row>
      <xdr:rowOff>38100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48B3892B-C2A6-4450-9E93-5E6DD1ECE24F}"/>
            </a:ext>
          </a:extLst>
        </xdr:cNvPr>
        <xdr:cNvSpPr/>
      </xdr:nvSpPr>
      <xdr:spPr>
        <a:xfrm>
          <a:off x="1649730" y="1322070"/>
          <a:ext cx="6789420" cy="21145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 editAs="oneCell">
    <xdr:from>
      <xdr:col>0</xdr:col>
      <xdr:colOff>247650</xdr:colOff>
      <xdr:row>2</xdr:row>
      <xdr:rowOff>125731</xdr:rowOff>
    </xdr:from>
    <xdr:to>
      <xdr:col>1</xdr:col>
      <xdr:colOff>592455</xdr:colOff>
      <xdr:row>8</xdr:row>
      <xdr:rowOff>56599</xdr:rowOff>
    </xdr:to>
    <xdr:pic>
      <xdr:nvPicPr>
        <xdr:cNvPr id="29" name="Imagen 28">
          <a:extLst>
            <a:ext uri="{FF2B5EF4-FFF2-40B4-BE49-F238E27FC236}">
              <a16:creationId xmlns:a16="http://schemas.microsoft.com/office/drawing/2014/main" id="{E72A4634-E6B0-4312-8A82-7D3BDD98EC4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247650" y="535306"/>
          <a:ext cx="1064895" cy="1026243"/>
        </a:xfrm>
        <a:prstGeom prst="rect">
          <a:avLst/>
        </a:prstGeom>
      </xdr:spPr>
    </xdr:pic>
    <xdr:clientData/>
  </xdr:twoCellAnchor>
  <xdr:twoCellAnchor editAs="oneCell">
    <xdr:from>
      <xdr:col>0</xdr:col>
      <xdr:colOff>419100</xdr:colOff>
      <xdr:row>37</xdr:row>
      <xdr:rowOff>28575</xdr:rowOff>
    </xdr:from>
    <xdr:to>
      <xdr:col>1</xdr:col>
      <xdr:colOff>781050</xdr:colOff>
      <xdr:row>42</xdr:row>
      <xdr:rowOff>170898</xdr:rowOff>
    </xdr:to>
    <xdr:pic>
      <xdr:nvPicPr>
        <xdr:cNvPr id="31" name="Imagen 30">
          <a:extLst>
            <a:ext uri="{FF2B5EF4-FFF2-40B4-BE49-F238E27FC236}">
              <a16:creationId xmlns:a16="http://schemas.microsoft.com/office/drawing/2014/main" id="{071A7D42-576E-47B1-BAF7-E4A5484FD86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419100" y="7086600"/>
          <a:ext cx="1076325" cy="1018623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NOTAS%20DE%20VENTAS%20TOPMOBILI/12%20DICIEMBRE%202025/7332%20FMR%20MAKING%20SPA.xlsx" TargetMode="External"/><Relationship Id="rId2" Type="http://schemas.openxmlformats.org/officeDocument/2006/relationships/externalLinkPath" Target="file:///C:\Users\franc\Dropbox\PC\Desktop\POSTFORMADO%202020\NOTAS%20DE%20VENTAS%20TOPMOBILI\12%20DICIEMBRE%202025\7332%20FMR%20MAKING%20SPA.xlsx" TargetMode="External"/><Relationship Id="rId1" Type="http://schemas.openxmlformats.org/officeDocument/2006/relationships/externalLinkPath" Target="/Users/franc/Dropbox/PC/Desktop/POSTFORMADO%202020/NOTAS%20DE%20VENTAS%20TOPMOBILI/12%20DICIEMBRE%202025/7332%20FMR%20MAKING%20SP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4637"/>
      <sheetName val="REGLAS"/>
      <sheetName val="CUBIERTA"/>
    </sheetNames>
    <sheetDataSet>
      <sheetData sheetId="0">
        <row r="8">
          <cell r="G8">
            <v>7332</v>
          </cell>
        </row>
        <row r="10">
          <cell r="C10" t="str">
            <v>FMR MAKING SPA</v>
          </cell>
        </row>
        <row r="11">
          <cell r="F11" t="str">
            <v>FECHA LIMITE :</v>
          </cell>
          <cell r="G11">
            <v>45996</v>
          </cell>
        </row>
        <row r="21">
          <cell r="B21">
            <v>1</v>
          </cell>
          <cell r="C21" t="str">
            <v>CUB C/R R8</v>
          </cell>
          <cell r="D21">
            <v>1800</v>
          </cell>
          <cell r="E21">
            <v>500</v>
          </cell>
          <cell r="F21" t="str">
            <v>LATE 2167 MT</v>
          </cell>
        </row>
      </sheetData>
      <sheetData sheetId="1">
        <row r="4">
          <cell r="B4">
            <v>40</v>
          </cell>
        </row>
      </sheetData>
      <sheetData sheetId="2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hyperlink" Target="http://www.topmobilichile.cl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Y581"/>
  <sheetViews>
    <sheetView tabSelected="1" topLeftCell="C13" zoomScale="93" zoomScaleNormal="93" workbookViewId="0">
      <selection activeCell="O13" sqref="O13"/>
    </sheetView>
  </sheetViews>
  <sheetFormatPr baseColWidth="10" defaultRowHeight="14.4" x14ac:dyDescent="0.3"/>
  <cols>
    <col min="1" max="1" width="6" customWidth="1"/>
    <col min="2" max="2" width="10.5546875" customWidth="1"/>
    <col min="3" max="3" width="34.77734375" customWidth="1"/>
    <col min="4" max="4" width="12.77734375" customWidth="1"/>
    <col min="5" max="5" width="10.5546875" customWidth="1"/>
    <col min="6" max="6" width="30.77734375" customWidth="1"/>
    <col min="7" max="7" width="14" customWidth="1"/>
    <col min="8" max="9" width="15.44140625" customWidth="1"/>
    <col min="10" max="10" width="13.44140625" customWidth="1"/>
    <col min="12" max="12" width="9.5546875" style="18" customWidth="1"/>
    <col min="13" max="13" width="8.88671875" customWidth="1"/>
    <col min="14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9.6640625" customWidth="1"/>
    <col min="21" max="21" width="9.33203125" customWidth="1"/>
    <col min="22" max="22" width="9.6640625" customWidth="1"/>
    <col min="23" max="23" width="10.88671875" customWidth="1"/>
    <col min="24" max="24" width="10.44140625" customWidth="1"/>
    <col min="25" max="25" width="9" customWidth="1"/>
  </cols>
  <sheetData>
    <row r="2" spans="2:24" ht="15.6" x14ac:dyDescent="0.3">
      <c r="F2" s="242" t="s">
        <v>140</v>
      </c>
      <c r="Q2" s="2"/>
      <c r="R2" s="2"/>
      <c r="S2" s="3"/>
      <c r="T2" s="3"/>
      <c r="U2" s="2"/>
      <c r="V2" s="2"/>
      <c r="W2" s="3"/>
      <c r="X2" s="4"/>
    </row>
    <row r="3" spans="2:24" x14ac:dyDescent="0.3">
      <c r="F3" s="59" t="s">
        <v>136</v>
      </c>
      <c r="Q3" s="2"/>
      <c r="R3" s="2"/>
      <c r="S3" s="3"/>
      <c r="T3" s="3"/>
      <c r="U3" s="2"/>
      <c r="V3" s="2"/>
      <c r="W3" s="3"/>
      <c r="X3" s="4"/>
    </row>
    <row r="4" spans="2:24" x14ac:dyDescent="0.3">
      <c r="F4" s="59" t="s">
        <v>141</v>
      </c>
      <c r="Q4" s="2"/>
      <c r="R4" s="2"/>
      <c r="S4" s="3"/>
      <c r="T4" s="3"/>
      <c r="U4" s="2"/>
      <c r="V4" s="2"/>
      <c r="W4" s="3"/>
      <c r="X4" s="4"/>
    </row>
    <row r="5" spans="2:24" x14ac:dyDescent="0.3">
      <c r="F5" s="59" t="s">
        <v>14</v>
      </c>
      <c r="Q5" s="2"/>
      <c r="R5" s="2"/>
      <c r="S5" s="3"/>
      <c r="T5" s="3"/>
      <c r="U5" s="2"/>
      <c r="V5" s="2"/>
      <c r="W5" s="3"/>
      <c r="X5" s="4"/>
    </row>
    <row r="6" spans="2:24" ht="15.6" x14ac:dyDescent="0.3">
      <c r="F6" s="59" t="s">
        <v>161</v>
      </c>
      <c r="O6" s="33" t="s">
        <v>19</v>
      </c>
      <c r="Q6" s="2"/>
      <c r="R6" s="2"/>
      <c r="S6" s="3"/>
      <c r="T6" s="3"/>
      <c r="U6" s="2"/>
      <c r="V6" s="2"/>
      <c r="W6" s="3"/>
    </row>
    <row r="7" spans="2:24" ht="15" thickBot="1" x14ac:dyDescent="0.35">
      <c r="F7" s="59" t="s">
        <v>123</v>
      </c>
      <c r="Q7" s="2"/>
      <c r="R7" s="2"/>
      <c r="S7" s="3"/>
      <c r="T7" s="3"/>
      <c r="U7" s="2"/>
      <c r="V7" s="2"/>
      <c r="W7" s="3"/>
    </row>
    <row r="8" spans="2:24" ht="21.6" thickBot="1" x14ac:dyDescent="0.45">
      <c r="B8" s="407" t="s">
        <v>125</v>
      </c>
      <c r="C8" s="408"/>
      <c r="D8" s="409" t="s">
        <v>291</v>
      </c>
      <c r="F8" s="59"/>
      <c r="K8" s="52"/>
      <c r="R8" s="2"/>
      <c r="S8" s="3"/>
      <c r="T8" s="3"/>
      <c r="U8" s="2"/>
      <c r="V8" s="2"/>
      <c r="W8" s="3"/>
    </row>
    <row r="9" spans="2:24" ht="15" thickBot="1" x14ac:dyDescent="0.35">
      <c r="R9" s="2"/>
      <c r="S9" s="3"/>
      <c r="T9" s="3"/>
      <c r="U9" s="4"/>
      <c r="V9" s="2"/>
      <c r="W9" s="3"/>
    </row>
    <row r="10" spans="2:24" x14ac:dyDescent="0.3">
      <c r="B10" s="297" t="s">
        <v>159</v>
      </c>
      <c r="C10" s="433" t="s">
        <v>290</v>
      </c>
      <c r="D10" s="243"/>
      <c r="E10" s="243"/>
      <c r="F10" s="418" t="s">
        <v>277</v>
      </c>
      <c r="G10" s="275">
        <v>46135</v>
      </c>
      <c r="H10" s="244"/>
      <c r="K10" s="1"/>
      <c r="R10" s="2"/>
      <c r="S10" s="3"/>
      <c r="T10" s="3"/>
      <c r="U10" s="4"/>
      <c r="V10" s="2"/>
      <c r="W10" s="3"/>
    </row>
    <row r="11" spans="2:24" ht="16.8" x14ac:dyDescent="0.4">
      <c r="B11" s="419" t="s">
        <v>12</v>
      </c>
      <c r="C11" s="420"/>
      <c r="F11" s="29" t="s">
        <v>286</v>
      </c>
      <c r="G11" s="421" t="s">
        <v>288</v>
      </c>
      <c r="H11" s="422"/>
      <c r="Q11" s="19"/>
      <c r="R11" s="25" t="s">
        <v>18</v>
      </c>
      <c r="S11" s="19"/>
    </row>
    <row r="12" spans="2:24" x14ac:dyDescent="0.3">
      <c r="B12" s="245" t="s">
        <v>142</v>
      </c>
      <c r="C12" s="417"/>
      <c r="D12" s="246"/>
      <c r="E12" s="246"/>
      <c r="F12" s="301" t="s">
        <v>126</v>
      </c>
      <c r="G12" s="276" t="s">
        <v>133</v>
      </c>
      <c r="H12" s="247"/>
      <c r="Q12" s="19"/>
      <c r="R12" s="25"/>
      <c r="S12" s="19"/>
    </row>
    <row r="13" spans="2:24" x14ac:dyDescent="0.3">
      <c r="B13" s="419" t="s">
        <v>143</v>
      </c>
      <c r="F13" s="29" t="s">
        <v>134</v>
      </c>
      <c r="G13" s="423" t="s">
        <v>133</v>
      </c>
      <c r="H13" s="422"/>
      <c r="Q13" s="19"/>
      <c r="R13" s="25"/>
      <c r="S13" s="19"/>
    </row>
    <row r="14" spans="2:24" x14ac:dyDescent="0.3">
      <c r="B14" s="245" t="s">
        <v>137</v>
      </c>
      <c r="C14" s="429"/>
      <c r="D14" s="246"/>
      <c r="E14" s="246"/>
      <c r="F14" s="301" t="s">
        <v>285</v>
      </c>
      <c r="G14" s="285" t="s">
        <v>133</v>
      </c>
      <c r="H14" s="247"/>
      <c r="K14" s="29"/>
      <c r="Q14" s="20"/>
      <c r="R14" s="26" t="s">
        <v>17</v>
      </c>
      <c r="S14" s="20"/>
    </row>
    <row r="15" spans="2:24" ht="15.6" x14ac:dyDescent="0.3">
      <c r="B15" s="419" t="s">
        <v>4</v>
      </c>
      <c r="C15" s="424" t="s">
        <v>292</v>
      </c>
      <c r="D15" s="425"/>
      <c r="F15" s="29" t="s">
        <v>284</v>
      </c>
      <c r="G15" s="75" t="s">
        <v>133</v>
      </c>
      <c r="H15" s="422"/>
    </row>
    <row r="16" spans="2:24" ht="16.8" x14ac:dyDescent="0.4">
      <c r="B16" s="302" t="s">
        <v>3</v>
      </c>
      <c r="C16" s="298"/>
      <c r="D16" s="246"/>
      <c r="E16" s="246"/>
      <c r="F16" s="303" t="s">
        <v>128</v>
      </c>
      <c r="G16" s="304" t="s">
        <v>160</v>
      </c>
      <c r="H16" s="247"/>
    </row>
    <row r="17" spans="1:25" ht="15" thickBot="1" x14ac:dyDescent="0.35">
      <c r="B17" s="426" t="s">
        <v>13</v>
      </c>
      <c r="C17" s="299" t="s">
        <v>287</v>
      </c>
      <c r="D17" s="300"/>
      <c r="E17" s="119"/>
      <c r="F17" s="427" t="s">
        <v>179</v>
      </c>
      <c r="G17" s="427" t="s">
        <v>180</v>
      </c>
      <c r="H17" s="428"/>
      <c r="I17" s="262"/>
      <c r="J17" s="262"/>
      <c r="T17" s="6"/>
      <c r="U17" s="6"/>
    </row>
    <row r="18" spans="1:25" ht="15.75" customHeight="1" thickBot="1" x14ac:dyDescent="0.35">
      <c r="J18" s="47"/>
      <c r="K18" s="5"/>
      <c r="V18" s="9"/>
      <c r="X18" s="6"/>
      <c r="Y18" s="6"/>
    </row>
    <row r="19" spans="1:25" ht="13.5" customHeight="1" thickBot="1" x14ac:dyDescent="0.35">
      <c r="B19" s="435" t="s">
        <v>95</v>
      </c>
      <c r="C19" s="436"/>
      <c r="D19" s="436"/>
      <c r="E19" s="436"/>
      <c r="F19" s="436"/>
      <c r="G19" s="436"/>
      <c r="H19" s="437"/>
      <c r="I19" s="263"/>
      <c r="J19" s="263"/>
      <c r="K19" s="5"/>
      <c r="L19" s="249"/>
      <c r="M19" s="14">
        <v>0.08</v>
      </c>
      <c r="N19" s="14"/>
      <c r="O19" s="14"/>
      <c r="P19" s="250" t="s">
        <v>6</v>
      </c>
      <c r="Q19" s="36" t="s">
        <v>20</v>
      </c>
      <c r="R19" s="37" t="s">
        <v>132</v>
      </c>
      <c r="S19" s="10" t="s">
        <v>135</v>
      </c>
      <c r="U19" s="9"/>
      <c r="V19" s="9"/>
      <c r="X19" s="6"/>
      <c r="Y19" s="6"/>
    </row>
    <row r="20" spans="1:25" ht="17.399999999999999" x14ac:dyDescent="0.3">
      <c r="B20" s="410" t="s">
        <v>7</v>
      </c>
      <c r="C20" s="411" t="s">
        <v>1</v>
      </c>
      <c r="D20" s="411" t="s">
        <v>10</v>
      </c>
      <c r="E20" s="411" t="s">
        <v>11</v>
      </c>
      <c r="F20" s="411" t="s">
        <v>8</v>
      </c>
      <c r="G20" s="411" t="s">
        <v>5</v>
      </c>
      <c r="H20" s="412" t="s">
        <v>6</v>
      </c>
      <c r="I20" s="264"/>
      <c r="J20" s="264"/>
      <c r="K20" s="47"/>
      <c r="L20" s="267" t="str">
        <f>B20</f>
        <v>UNIDAD</v>
      </c>
      <c r="M20" s="266" t="s">
        <v>130</v>
      </c>
      <c r="N20" s="39" t="str">
        <f>E20</f>
        <v>ANCHO</v>
      </c>
      <c r="O20" s="260" t="s">
        <v>131</v>
      </c>
      <c r="P20" s="258" t="s">
        <v>16</v>
      </c>
      <c r="Q20" s="251">
        <f>O38</f>
        <v>68474.728682170535</v>
      </c>
      <c r="R20" s="257">
        <v>3000</v>
      </c>
      <c r="S20" s="38"/>
      <c r="T20" s="14" t="s">
        <v>127</v>
      </c>
      <c r="U20" s="9"/>
      <c r="X20" s="4"/>
    </row>
    <row r="21" spans="1:25" ht="17.399999999999999" x14ac:dyDescent="0.3">
      <c r="B21" s="430">
        <v>1</v>
      </c>
      <c r="C21" s="434" t="s">
        <v>289</v>
      </c>
      <c r="D21" s="431">
        <v>2.5</v>
      </c>
      <c r="E21" s="431">
        <v>0.55000000000000004</v>
      </c>
      <c r="F21" s="430" t="s">
        <v>293</v>
      </c>
      <c r="G21" s="432">
        <f>Q21</f>
        <v>97165.64</v>
      </c>
      <c r="H21" s="432">
        <f>G21*B21</f>
        <v>97165.64</v>
      </c>
      <c r="I21" s="306"/>
      <c r="J21" s="264"/>
      <c r="K21" s="47"/>
      <c r="L21" s="47">
        <f>B21</f>
        <v>1</v>
      </c>
      <c r="M21" s="39">
        <f>D21+M$19</f>
        <v>2.58</v>
      </c>
      <c r="N21" s="39">
        <f>E21+$N$19</f>
        <v>0.55000000000000004</v>
      </c>
      <c r="O21" s="260">
        <f t="shared" ref="O21" si="0">M21*N21</f>
        <v>1.4190000000000003</v>
      </c>
      <c r="P21" s="258">
        <f t="shared" ref="P21" si="1">O21*L21</f>
        <v>1.4190000000000003</v>
      </c>
      <c r="Q21" s="251">
        <f t="shared" ref="Q21" si="2">Q$20*O21</f>
        <v>97165.64</v>
      </c>
      <c r="R21" s="305">
        <f t="shared" ref="R21" si="3">Q21+R$20</f>
        <v>100165.64</v>
      </c>
      <c r="S21" s="290">
        <f>M21*L21</f>
        <v>2.58</v>
      </c>
      <c r="T21" s="46">
        <f>N21*2*L21*2</f>
        <v>2.2000000000000002</v>
      </c>
      <c r="U21" s="9"/>
      <c r="X21" s="4"/>
    </row>
    <row r="22" spans="1:25" ht="17.399999999999999" x14ac:dyDescent="0.3">
      <c r="B22" s="283"/>
      <c r="C22" s="325"/>
      <c r="D22" s="284"/>
      <c r="E22" s="284"/>
      <c r="F22" s="283"/>
      <c r="G22" s="306"/>
      <c r="H22" s="306"/>
      <c r="I22" s="306"/>
      <c r="J22" s="264"/>
      <c r="K22" s="47"/>
      <c r="L22" s="47"/>
      <c r="M22" s="39"/>
      <c r="N22" s="39"/>
      <c r="O22" s="260"/>
      <c r="P22" s="258"/>
      <c r="Q22" s="251"/>
      <c r="R22" s="305"/>
      <c r="S22" s="290"/>
      <c r="T22" s="46"/>
      <c r="U22" s="9"/>
      <c r="X22" s="4"/>
    </row>
    <row r="23" spans="1:25" ht="18" thickBot="1" x14ac:dyDescent="0.35">
      <c r="B23" s="283"/>
      <c r="C23" s="325"/>
      <c r="D23" s="284"/>
      <c r="E23" s="284"/>
      <c r="F23" s="283"/>
      <c r="G23" s="264"/>
      <c r="H23" s="307"/>
      <c r="I23" s="309"/>
      <c r="J23" s="233"/>
      <c r="K23" s="47"/>
      <c r="L23" s="47"/>
      <c r="M23" s="39"/>
      <c r="N23" s="39"/>
      <c r="O23" s="260"/>
      <c r="P23" s="258"/>
      <c r="Q23" s="251"/>
      <c r="R23" s="257"/>
      <c r="S23" s="290"/>
      <c r="T23" s="14"/>
      <c r="U23" s="9"/>
      <c r="X23" s="4"/>
    </row>
    <row r="24" spans="1:25" ht="17.399999999999999" x14ac:dyDescent="0.3">
      <c r="B24" s="283"/>
      <c r="C24" s="283"/>
      <c r="D24" s="284"/>
      <c r="E24" s="284"/>
      <c r="F24" s="283"/>
      <c r="G24" s="310" t="s">
        <v>28</v>
      </c>
      <c r="H24" s="311">
        <f>SUM(H21:H22)</f>
        <v>97165.64</v>
      </c>
      <c r="I24" s="308"/>
      <c r="J24" s="264"/>
      <c r="K24" s="47"/>
      <c r="L24" s="47"/>
      <c r="M24" s="39"/>
      <c r="N24" s="39"/>
      <c r="O24" s="260"/>
      <c r="P24" s="258"/>
      <c r="Q24" s="251"/>
      <c r="R24" s="257"/>
      <c r="S24" s="290"/>
      <c r="T24" s="46">
        <f>SUM(T21:T22)</f>
        <v>2.2000000000000002</v>
      </c>
      <c r="U24" s="9"/>
      <c r="X24" s="4"/>
    </row>
    <row r="25" spans="1:25" ht="17.399999999999999" x14ac:dyDescent="0.3">
      <c r="B25" s="277"/>
      <c r="C25" s="280"/>
      <c r="D25" s="281"/>
      <c r="E25" s="281"/>
      <c r="F25" s="282"/>
      <c r="G25" s="289" t="s">
        <v>51</v>
      </c>
      <c r="H25" s="287">
        <f>H24*19%</f>
        <v>18461.471600000001</v>
      </c>
      <c r="I25" s="308"/>
      <c r="J25" s="264"/>
      <c r="K25" s="47"/>
      <c r="L25" s="47"/>
      <c r="M25" s="39">
        <f>SUM(M21:M24)</f>
        <v>2.58</v>
      </c>
      <c r="N25" s="12"/>
      <c r="O25" s="12"/>
      <c r="P25" s="252">
        <f>SUM(P21:P21)</f>
        <v>1.4190000000000003</v>
      </c>
      <c r="Q25" s="14"/>
      <c r="R25" s="12"/>
      <c r="S25" s="239"/>
      <c r="T25" s="46"/>
      <c r="U25" s="9"/>
      <c r="X25" s="4"/>
    </row>
    <row r="26" spans="1:25" ht="18" thickBot="1" x14ac:dyDescent="0.35">
      <c r="B26" s="274"/>
      <c r="C26" s="279"/>
      <c r="D26" s="271"/>
      <c r="E26" s="271"/>
      <c r="F26" s="272"/>
      <c r="G26" s="278" t="s">
        <v>6</v>
      </c>
      <c r="H26" s="288">
        <f>H24+H25</f>
        <v>115627.1116</v>
      </c>
      <c r="I26" s="308"/>
      <c r="J26" s="264"/>
      <c r="K26" s="47"/>
      <c r="L26" s="47"/>
      <c r="M26" s="39"/>
      <c r="N26" s="12"/>
      <c r="O26" s="12"/>
      <c r="P26" s="252">
        <f>P25</f>
        <v>1.4190000000000003</v>
      </c>
      <c r="Q26" s="14"/>
      <c r="R26" s="12"/>
      <c r="S26" s="239">
        <f>SUM(S21:S25)</f>
        <v>2.58</v>
      </c>
      <c r="T26" s="46"/>
      <c r="U26" s="9"/>
      <c r="X26" s="4"/>
    </row>
    <row r="27" spans="1:25" ht="17.399999999999999" x14ac:dyDescent="0.3">
      <c r="B27" s="274"/>
      <c r="C27" s="270"/>
      <c r="D27" s="271"/>
      <c r="E27" s="271"/>
      <c r="F27" s="272"/>
      <c r="J27" s="264"/>
      <c r="K27" s="47"/>
      <c r="L27" s="47"/>
      <c r="M27" s="14"/>
      <c r="N27" s="12"/>
      <c r="O27" s="12"/>
      <c r="P27" s="39">
        <f>P26*20%</f>
        <v>0.28380000000000005</v>
      </c>
      <c r="Q27" s="39" t="s">
        <v>129</v>
      </c>
      <c r="R27" s="42"/>
      <c r="S27" s="240">
        <f>S26+T24</f>
        <v>4.78</v>
      </c>
      <c r="T27" s="14"/>
      <c r="U27" s="9"/>
      <c r="X27" s="4"/>
    </row>
    <row r="28" spans="1:25" ht="17.399999999999999" x14ac:dyDescent="0.35">
      <c r="B28" s="268"/>
      <c r="C28" s="230"/>
      <c r="D28" s="230"/>
      <c r="E28" s="233"/>
      <c r="F28" s="234"/>
      <c r="G28" s="230"/>
      <c r="H28" s="273"/>
      <c r="I28" s="273"/>
      <c r="J28" s="264"/>
      <c r="K28" s="47"/>
      <c r="L28" s="47"/>
      <c r="M28" s="14"/>
      <c r="N28" s="12"/>
      <c r="O28" s="12"/>
      <c r="P28" s="46">
        <f>P26+P27</f>
        <v>1.7028000000000003</v>
      </c>
      <c r="Q28" s="14"/>
      <c r="R28" s="14"/>
      <c r="S28" s="238">
        <f>S27*20%</f>
        <v>0.95600000000000007</v>
      </c>
      <c r="T28" s="14"/>
      <c r="U28" s="9"/>
      <c r="X28" s="4"/>
    </row>
    <row r="29" spans="1:25" ht="17.399999999999999" x14ac:dyDescent="0.35">
      <c r="B29" s="235"/>
      <c r="C29" s="236"/>
      <c r="D29" s="237"/>
      <c r="E29" s="235"/>
      <c r="F29" s="230"/>
      <c r="G29" s="230"/>
      <c r="I29" s="273"/>
      <c r="J29" s="264"/>
      <c r="K29" s="47"/>
      <c r="L29" s="47"/>
      <c r="M29" s="14"/>
      <c r="N29" s="14"/>
      <c r="O29" s="14"/>
      <c r="P29" s="14"/>
      <c r="Q29" s="14"/>
      <c r="R29" s="14"/>
      <c r="S29" s="240">
        <f>S27+S28</f>
        <v>5.7360000000000007</v>
      </c>
      <c r="T29" s="14"/>
      <c r="U29" s="294" t="s">
        <v>21</v>
      </c>
      <c r="V29" s="291" t="s">
        <v>149</v>
      </c>
      <c r="W29" s="295">
        <v>44971</v>
      </c>
      <c r="X29" s="296"/>
    </row>
    <row r="30" spans="1:25" ht="17.399999999999999" x14ac:dyDescent="0.35">
      <c r="B30" s="230"/>
      <c r="C30" s="230"/>
      <c r="D30" s="230"/>
      <c r="E30" s="230"/>
      <c r="F30" s="230"/>
      <c r="G30" s="230"/>
      <c r="J30" s="264"/>
      <c r="K30" s="47"/>
      <c r="L30" s="47"/>
      <c r="M30" s="39">
        <f>P28</f>
        <v>1.7028000000000003</v>
      </c>
      <c r="N30" s="12">
        <v>4000</v>
      </c>
      <c r="O30" s="12">
        <f t="shared" ref="O30:O35" si="4">M30*N30</f>
        <v>6811.2000000000016</v>
      </c>
      <c r="P30" s="14" t="s">
        <v>21</v>
      </c>
      <c r="Q30" s="14"/>
      <c r="R30" s="14"/>
      <c r="S30" s="241"/>
      <c r="T30" s="14"/>
      <c r="U30" s="294" t="s">
        <v>150</v>
      </c>
      <c r="V30" s="291">
        <v>3625</v>
      </c>
      <c r="W30" s="59" t="s">
        <v>151</v>
      </c>
      <c r="X30" s="296"/>
    </row>
    <row r="31" spans="1:25" ht="17.399999999999999" x14ac:dyDescent="0.35">
      <c r="A31" s="230"/>
      <c r="B31" s="230"/>
      <c r="C31" s="230"/>
      <c r="D31" s="230"/>
      <c r="E31" s="230"/>
      <c r="F31" s="230"/>
      <c r="G31" s="230"/>
      <c r="H31" s="230"/>
      <c r="J31" s="264"/>
      <c r="K31" s="47"/>
      <c r="L31" s="47"/>
      <c r="M31" s="248">
        <v>0.5</v>
      </c>
      <c r="N31" s="12">
        <v>24910</v>
      </c>
      <c r="O31" s="12">
        <f t="shared" si="4"/>
        <v>12455</v>
      </c>
      <c r="P31" s="39" t="s">
        <v>31</v>
      </c>
      <c r="Q31" s="42"/>
      <c r="R31" s="14"/>
      <c r="S31" s="240"/>
      <c r="T31" s="14"/>
      <c r="U31" s="294"/>
      <c r="V31" s="59">
        <v>906.25</v>
      </c>
      <c r="W31" s="59" t="s">
        <v>152</v>
      </c>
      <c r="X31" s="296"/>
    </row>
    <row r="32" spans="1:25" s="230" customFormat="1" ht="17.399999999999999" x14ac:dyDescent="0.35">
      <c r="B32" s="24" t="s">
        <v>148</v>
      </c>
      <c r="J32" s="261"/>
      <c r="K32" s="232"/>
      <c r="L32" s="249"/>
      <c r="M32" s="14"/>
      <c r="N32" s="249">
        <v>58860</v>
      </c>
      <c r="O32" s="12">
        <f t="shared" si="4"/>
        <v>0</v>
      </c>
      <c r="P32" s="39" t="s">
        <v>30</v>
      </c>
      <c r="Q32" s="42"/>
      <c r="S32" s="240"/>
      <c r="T32" s="255"/>
      <c r="U32" s="59"/>
      <c r="V32" s="59">
        <f>V31*20%</f>
        <v>181.25</v>
      </c>
      <c r="W32" s="296" t="s">
        <v>153</v>
      </c>
      <c r="X32" s="59"/>
    </row>
    <row r="33" spans="1:24" s="230" customFormat="1" ht="17.399999999999999" x14ac:dyDescent="0.35">
      <c r="B33" s="24" t="s">
        <v>162</v>
      </c>
      <c r="C33"/>
      <c r="D33"/>
      <c r="E33"/>
      <c r="F33"/>
      <c r="J33" s="261"/>
      <c r="K33" s="232"/>
      <c r="L33" s="249"/>
      <c r="M33" s="14">
        <v>1</v>
      </c>
      <c r="N33" s="249">
        <v>21000</v>
      </c>
      <c r="O33" s="12">
        <f t="shared" si="4"/>
        <v>21000</v>
      </c>
      <c r="P33" s="14" t="s">
        <v>139</v>
      </c>
      <c r="Q33" s="17"/>
      <c r="S33" s="238"/>
      <c r="T33" s="255"/>
      <c r="U33" s="59"/>
      <c r="V33" s="59">
        <f>V31+V32</f>
        <v>1087.5</v>
      </c>
      <c r="W33" s="296" t="s">
        <v>154</v>
      </c>
      <c r="X33" s="59"/>
    </row>
    <row r="34" spans="1:24" s="230" customFormat="1" ht="17.399999999999999" x14ac:dyDescent="0.35">
      <c r="A34" s="230" t="s">
        <v>283</v>
      </c>
      <c r="B34" s="29" t="s">
        <v>124</v>
      </c>
      <c r="C34"/>
      <c r="D34"/>
      <c r="E34"/>
      <c r="F34" s="229" t="s">
        <v>15</v>
      </c>
      <c r="J34" s="261"/>
      <c r="K34" s="259"/>
      <c r="L34" s="249"/>
      <c r="M34" s="248"/>
      <c r="N34" s="249">
        <v>900</v>
      </c>
      <c r="O34" s="12">
        <f t="shared" si="4"/>
        <v>0</v>
      </c>
      <c r="P34" s="14" t="s">
        <v>32</v>
      </c>
      <c r="Q34" s="14"/>
      <c r="R34" s="230">
        <v>1.52</v>
      </c>
      <c r="S34" s="238"/>
      <c r="T34" s="238"/>
    </row>
    <row r="35" spans="1:24" s="230" customFormat="1" ht="17.399999999999999" x14ac:dyDescent="0.35">
      <c r="J35" s="286"/>
      <c r="K35" s="259"/>
      <c r="L35" s="249"/>
      <c r="M35" s="265">
        <v>2.6</v>
      </c>
      <c r="N35" s="12">
        <v>1500</v>
      </c>
      <c r="O35" s="12">
        <f t="shared" si="4"/>
        <v>3900</v>
      </c>
      <c r="P35" s="14" t="s">
        <v>22</v>
      </c>
      <c r="Q35" s="14"/>
      <c r="R35">
        <v>2.44</v>
      </c>
      <c r="S35"/>
      <c r="T35" s="238"/>
      <c r="X35" s="231"/>
    </row>
    <row r="36" spans="1:24" s="230" customFormat="1" ht="17.399999999999999" x14ac:dyDescent="0.35">
      <c r="K36" s="259"/>
      <c r="L36" s="249"/>
      <c r="M36" s="14"/>
      <c r="N36" s="12"/>
      <c r="O36" s="12">
        <f>SUM(O30:O35)</f>
        <v>44166.2</v>
      </c>
      <c r="P36" s="39" t="s">
        <v>23</v>
      </c>
      <c r="Q36" s="14"/>
      <c r="R36">
        <f>R34*R35</f>
        <v>3.7088000000000001</v>
      </c>
      <c r="S36"/>
      <c r="T36" s="238"/>
      <c r="X36" s="231"/>
    </row>
    <row r="37" spans="1:24" s="230" customFormat="1" ht="17.399999999999999" x14ac:dyDescent="0.35">
      <c r="L37" s="249"/>
      <c r="M37" s="253" t="s">
        <v>33</v>
      </c>
      <c r="N37" s="12"/>
      <c r="O37" s="254">
        <f>O36*2.2</f>
        <v>97165.64</v>
      </c>
      <c r="P37" s="14" t="s">
        <v>138</v>
      </c>
      <c r="Q37" s="14"/>
      <c r="R37" s="40">
        <f>P28/R36</f>
        <v>0.45912424503882665</v>
      </c>
      <c r="S37"/>
      <c r="T37" s="256"/>
    </row>
    <row r="38" spans="1:24" s="230" customFormat="1" ht="17.399999999999999" x14ac:dyDescent="0.35">
      <c r="G38"/>
      <c r="H38" s="259"/>
      <c r="I38" s="259"/>
      <c r="J38" s="259"/>
      <c r="K38" s="230">
        <v>42800</v>
      </c>
      <c r="L38" s="249"/>
      <c r="M38" s="14"/>
      <c r="N38" s="12"/>
      <c r="O38" s="12">
        <f>O37/P26</f>
        <v>68474.728682170535</v>
      </c>
      <c r="P38" s="45" t="s">
        <v>24</v>
      </c>
      <c r="Q38" s="14"/>
      <c r="R38" s="14"/>
      <c r="S38"/>
      <c r="T38" s="238"/>
      <c r="U38" s="59" t="s">
        <v>155</v>
      </c>
      <c r="V38" s="291">
        <v>43650</v>
      </c>
    </row>
    <row r="39" spans="1:24" s="230" customFormat="1" ht="17.399999999999999" x14ac:dyDescent="0.35">
      <c r="G39"/>
      <c r="K39" s="230">
        <f>K38/1.19</f>
        <v>35966.386554621851</v>
      </c>
      <c r="L39" s="249"/>
      <c r="M39" s="13"/>
      <c r="N39" s="14"/>
      <c r="O39" s="17">
        <f>O37/O36</f>
        <v>2.2000000000000002</v>
      </c>
      <c r="P39" s="15"/>
      <c r="Q39"/>
      <c r="R39"/>
      <c r="S39"/>
      <c r="T39" s="238"/>
      <c r="U39" s="59" t="s">
        <v>157</v>
      </c>
      <c r="V39" s="292" t="s">
        <v>156</v>
      </c>
      <c r="W39" s="59">
        <v>2.4</v>
      </c>
    </row>
    <row r="40" spans="1:24" s="230" customFormat="1" ht="17.399999999999999" x14ac:dyDescent="0.35">
      <c r="G40" s="23"/>
      <c r="L40" s="12"/>
      <c r="T40" s="238"/>
      <c r="U40" s="59" t="s">
        <v>158</v>
      </c>
      <c r="V40" s="293">
        <v>395.37</v>
      </c>
    </row>
    <row r="41" spans="1:24" s="230" customFormat="1" ht="17.399999999999999" x14ac:dyDescent="0.35">
      <c r="B41"/>
      <c r="C41" s="228"/>
      <c r="D41" s="22"/>
      <c r="E41" s="22"/>
      <c r="F41" s="21"/>
      <c r="G41" s="23"/>
      <c r="L41" s="12"/>
      <c r="T41" s="238"/>
      <c r="U41" s="59" t="s">
        <v>153</v>
      </c>
      <c r="V41" s="59">
        <v>474.45</v>
      </c>
    </row>
    <row r="42" spans="1:24" ht="14.4" customHeight="1" x14ac:dyDescent="0.3">
      <c r="L42" s="12"/>
      <c r="U42" s="59"/>
      <c r="V42" s="59"/>
    </row>
    <row r="43" spans="1:24" x14ac:dyDescent="0.3">
      <c r="L43" s="249"/>
    </row>
    <row r="44" spans="1:24" x14ac:dyDescent="0.3">
      <c r="L44" s="249"/>
      <c r="T44" s="269"/>
    </row>
    <row r="45" spans="1:24" x14ac:dyDescent="0.3">
      <c r="L45" s="249"/>
    </row>
    <row r="46" spans="1:24" ht="15" customHeight="1" x14ac:dyDescent="0.3"/>
    <row r="48" spans="1:24" x14ac:dyDescent="0.3">
      <c r="O48">
        <v>40935</v>
      </c>
      <c r="P48" t="s">
        <v>16</v>
      </c>
      <c r="Q48" t="s">
        <v>26</v>
      </c>
    </row>
    <row r="50" spans="15:20" x14ac:dyDescent="0.3">
      <c r="O50" s="54"/>
      <c r="P50" s="54"/>
    </row>
    <row r="51" spans="15:20" x14ac:dyDescent="0.3">
      <c r="S51" s="18"/>
      <c r="T51" s="18"/>
    </row>
    <row r="52" spans="15:20" x14ac:dyDescent="0.3">
      <c r="S52" s="18"/>
      <c r="T52" s="18"/>
    </row>
    <row r="53" spans="15:20" x14ac:dyDescent="0.3">
      <c r="S53" s="18"/>
      <c r="T53" s="18"/>
    </row>
    <row r="54" spans="15:20" x14ac:dyDescent="0.3">
      <c r="S54" s="18"/>
      <c r="T54" s="18"/>
    </row>
    <row r="55" spans="15:20" x14ac:dyDescent="0.3">
      <c r="S55" s="18"/>
      <c r="T55" s="18"/>
    </row>
    <row r="56" spans="15:20" x14ac:dyDescent="0.3">
      <c r="S56" s="18"/>
      <c r="T56" s="18"/>
    </row>
    <row r="57" spans="15:20" x14ac:dyDescent="0.3">
      <c r="S57" s="18"/>
      <c r="T57" s="18"/>
    </row>
    <row r="58" spans="15:20" x14ac:dyDescent="0.3">
      <c r="S58" s="18"/>
      <c r="T58" s="18"/>
    </row>
    <row r="59" spans="15:20" x14ac:dyDescent="0.3">
      <c r="S59" s="18"/>
      <c r="T59" s="18"/>
    </row>
    <row r="62" spans="15:20" x14ac:dyDescent="0.3">
      <c r="O62" s="43"/>
    </row>
    <row r="63" spans="15:20" x14ac:dyDescent="0.3">
      <c r="O63" s="43"/>
    </row>
    <row r="64" spans="15:20" x14ac:dyDescent="0.3">
      <c r="O64" s="6"/>
    </row>
    <row r="65" spans="3:15" x14ac:dyDescent="0.3">
      <c r="O65" s="6"/>
    </row>
    <row r="73" spans="3:15" x14ac:dyDescent="0.3">
      <c r="C73" t="s">
        <v>145</v>
      </c>
    </row>
    <row r="74" spans="3:15" x14ac:dyDescent="0.3">
      <c r="C74" t="s">
        <v>144</v>
      </c>
    </row>
    <row r="77" spans="3:15" x14ac:dyDescent="0.3">
      <c r="C77" t="s">
        <v>144</v>
      </c>
    </row>
    <row r="154" spans="3:3" x14ac:dyDescent="0.3">
      <c r="C154" t="s">
        <v>144</v>
      </c>
    </row>
    <row r="155" spans="3:3" x14ac:dyDescent="0.3">
      <c r="C155" t="s">
        <v>146</v>
      </c>
    </row>
    <row r="156" spans="3:3" x14ac:dyDescent="0.3">
      <c r="C156" t="s">
        <v>147</v>
      </c>
    </row>
    <row r="581" spans="3:3" x14ac:dyDescent="0.3">
      <c r="C581" t="s">
        <v>144</v>
      </c>
    </row>
  </sheetData>
  <mergeCells count="1">
    <mergeCell ref="B19:H19"/>
  </mergeCells>
  <phoneticPr fontId="32" type="noConversion"/>
  <hyperlinks>
    <hyperlink ref="F34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81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105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46135</v>
      </c>
    </row>
    <row r="6" spans="2:31" ht="16.2" thickBot="1" x14ac:dyDescent="0.35">
      <c r="B6" s="140" t="s">
        <v>2</v>
      </c>
      <c r="C6" s="139" t="str">
        <f>'2229'!C10</f>
        <v>JUAN</v>
      </c>
      <c r="D6" s="138"/>
      <c r="E6" s="138"/>
      <c r="F6" s="138"/>
      <c r="N6" s="75" t="s">
        <v>104</v>
      </c>
      <c r="O6" s="75"/>
      <c r="P6" s="142" t="s">
        <v>103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439" t="s">
        <v>98</v>
      </c>
      <c r="I7" s="440"/>
      <c r="J7" s="440"/>
      <c r="K7" s="441"/>
      <c r="N7" s="75"/>
      <c r="O7" s="438" t="s">
        <v>102</v>
      </c>
      <c r="P7" s="141" t="s">
        <v>101</v>
      </c>
      <c r="Q7" s="141"/>
    </row>
    <row r="8" spans="2:31" ht="16.2" thickBot="1" x14ac:dyDescent="0.35">
      <c r="B8" s="140" t="s">
        <v>100</v>
      </c>
      <c r="C8" s="139" t="str">
        <f>'2229'!D8</f>
        <v>N° 12103</v>
      </c>
      <c r="D8" s="138"/>
      <c r="E8" s="138"/>
      <c r="F8" s="138"/>
      <c r="H8" s="182" t="s">
        <v>117</v>
      </c>
      <c r="I8" s="154" t="s">
        <v>116</v>
      </c>
      <c r="J8" s="227" t="s">
        <v>95</v>
      </c>
      <c r="K8" s="135" t="s">
        <v>6</v>
      </c>
      <c r="L8" s="134" t="s">
        <v>6</v>
      </c>
      <c r="N8" s="75"/>
      <c r="O8" s="438"/>
      <c r="P8" s="75" t="s">
        <v>99</v>
      </c>
      <c r="Q8" s="75"/>
      <c r="X8">
        <f>SUM(Q11:Q16)</f>
        <v>6</v>
      </c>
    </row>
    <row r="9" spans="2:31" ht="15" thickBot="1" x14ac:dyDescent="0.35">
      <c r="H9" s="197" t="s">
        <v>96</v>
      </c>
      <c r="I9" s="198" t="s">
        <v>115</v>
      </c>
      <c r="J9" s="183" t="s">
        <v>92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-2691.6933667874378</v>
      </c>
    </row>
    <row r="10" spans="2:31" ht="16.2" thickBot="1" x14ac:dyDescent="0.35">
      <c r="D10" s="218" t="s">
        <v>28</v>
      </c>
      <c r="E10" s="219" t="s">
        <v>51</v>
      </c>
      <c r="F10" s="220" t="s">
        <v>6</v>
      </c>
      <c r="H10" s="190">
        <v>3</v>
      </c>
      <c r="I10" s="204">
        <v>350</v>
      </c>
      <c r="J10" s="201" t="s">
        <v>32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93</v>
      </c>
      <c r="D11" s="133">
        <f>'2229'!H24</f>
        <v>97165.64</v>
      </c>
      <c r="E11" s="132">
        <f>D11*0.19</f>
        <v>18461.471600000001</v>
      </c>
      <c r="F11" s="131">
        <f>E11+D11</f>
        <v>115627.1116</v>
      </c>
      <c r="H11" s="191">
        <v>3</v>
      </c>
      <c r="I11" s="174">
        <v>500</v>
      </c>
      <c r="J11" s="148" t="s">
        <v>22</v>
      </c>
      <c r="K11" s="158">
        <f t="shared" si="0"/>
        <v>1500</v>
      </c>
      <c r="Q11" s="7">
        <v>1</v>
      </c>
      <c r="R11" s="7" t="s">
        <v>35</v>
      </c>
      <c r="S11" s="51">
        <v>2.8</v>
      </c>
      <c r="T11" s="51">
        <v>0.62</v>
      </c>
      <c r="U11" s="7" t="s">
        <v>38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103298.30663321256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97</v>
      </c>
      <c r="D12" s="136">
        <f>SUM(M43:M45)</f>
        <v>49100.290787439619</v>
      </c>
      <c r="F12" s="61"/>
      <c r="H12" s="191">
        <v>0</v>
      </c>
      <c r="I12" s="174">
        <v>7500</v>
      </c>
      <c r="J12" s="150" t="s">
        <v>111</v>
      </c>
      <c r="K12" s="158">
        <f t="shared" si="0"/>
        <v>0</v>
      </c>
      <c r="L12" s="61"/>
      <c r="Q12" s="7">
        <v>1</v>
      </c>
      <c r="R12" s="7" t="s">
        <v>35</v>
      </c>
      <c r="S12" s="51">
        <v>2.2999999999999998</v>
      </c>
      <c r="T12" s="51">
        <v>0.62</v>
      </c>
      <c r="U12" s="7" t="s">
        <v>38</v>
      </c>
      <c r="V12" s="55">
        <v>87990</v>
      </c>
      <c r="W12" s="49">
        <f t="shared" si="1"/>
        <v>87990</v>
      </c>
      <c r="X12" s="176">
        <f t="shared" si="2"/>
        <v>85298.30663321256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91</v>
      </c>
      <c r="D13" s="217">
        <f>D11-D12</f>
        <v>48065.349212560381</v>
      </c>
      <c r="E13" s="221">
        <f>(D11/D12)-1</f>
        <v>0.97892188501775657</v>
      </c>
      <c r="H13" s="191">
        <v>0</v>
      </c>
      <c r="I13" s="174">
        <v>50</v>
      </c>
      <c r="J13" s="150" t="s">
        <v>112</v>
      </c>
      <c r="K13" s="158">
        <f t="shared" si="0"/>
        <v>0</v>
      </c>
      <c r="L13" s="61"/>
      <c r="Q13" s="7">
        <v>1</v>
      </c>
      <c r="R13" s="7" t="s">
        <v>35</v>
      </c>
      <c r="S13" s="51">
        <v>2.0299999999999998</v>
      </c>
      <c r="T13" s="51">
        <v>0.62</v>
      </c>
      <c r="U13" s="7" t="s">
        <v>38</v>
      </c>
      <c r="V13" s="55">
        <v>78990</v>
      </c>
      <c r="W13" s="49">
        <f t="shared" si="1"/>
        <v>78990</v>
      </c>
      <c r="X13" s="176">
        <f t="shared" si="2"/>
        <v>76298.30663321256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122</v>
      </c>
      <c r="E14" s="179" t="s">
        <v>28</v>
      </c>
      <c r="F14" s="178" t="s">
        <v>110</v>
      </c>
      <c r="H14" s="191">
        <v>0</v>
      </c>
      <c r="I14" s="174">
        <v>50</v>
      </c>
      <c r="J14" s="150" t="s">
        <v>113</v>
      </c>
      <c r="K14" s="158">
        <f t="shared" si="0"/>
        <v>0</v>
      </c>
      <c r="L14" s="61"/>
      <c r="P14" s="126"/>
      <c r="Q14" s="7">
        <v>1</v>
      </c>
      <c r="R14" s="7" t="s">
        <v>35</v>
      </c>
      <c r="S14" s="51">
        <v>1.08</v>
      </c>
      <c r="T14" s="51">
        <v>0.62</v>
      </c>
      <c r="U14" s="7" t="s">
        <v>38</v>
      </c>
      <c r="V14" s="55">
        <v>39990</v>
      </c>
      <c r="W14" s="49">
        <f t="shared" si="1"/>
        <v>39990</v>
      </c>
      <c r="X14" s="176">
        <f t="shared" si="2"/>
        <v>37298.30663321256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121</v>
      </c>
      <c r="D15" s="214">
        <v>0.65</v>
      </c>
      <c r="E15" s="215">
        <f>(100%+D15)*D12</f>
        <v>81015.479799275374</v>
      </c>
      <c r="F15" s="216">
        <f>E15-D12</f>
        <v>31915.189011835755</v>
      </c>
      <c r="H15" s="191">
        <v>0</v>
      </c>
      <c r="I15" s="174">
        <v>10</v>
      </c>
      <c r="J15" s="150" t="s">
        <v>114</v>
      </c>
      <c r="K15" s="158">
        <f t="shared" si="0"/>
        <v>0</v>
      </c>
      <c r="L15" s="61"/>
      <c r="Q15" s="7">
        <v>1</v>
      </c>
      <c r="R15" s="7" t="s">
        <v>35</v>
      </c>
      <c r="S15" s="51">
        <v>1.08</v>
      </c>
      <c r="T15" s="51">
        <v>0.62</v>
      </c>
      <c r="U15" s="7" t="s">
        <v>38</v>
      </c>
      <c r="V15" s="55">
        <v>39990</v>
      </c>
      <c r="W15" s="49">
        <f t="shared" si="1"/>
        <v>39990</v>
      </c>
      <c r="X15" s="176">
        <f t="shared" si="2"/>
        <v>37298.30663321256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90</v>
      </c>
      <c r="K16" s="158">
        <f t="shared" si="0"/>
        <v>0</v>
      </c>
      <c r="L16" s="61"/>
      <c r="Q16" s="7">
        <v>1</v>
      </c>
      <c r="R16" s="7" t="s">
        <v>35</v>
      </c>
      <c r="S16" s="51">
        <v>2.06</v>
      </c>
      <c r="T16" s="51">
        <v>0.62</v>
      </c>
      <c r="U16" s="7" t="s">
        <v>38</v>
      </c>
      <c r="V16" s="55">
        <v>79990</v>
      </c>
      <c r="W16" s="49">
        <f t="shared" si="1"/>
        <v>79990</v>
      </c>
      <c r="X16" s="176">
        <f t="shared" si="2"/>
        <v>77298.30663321256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88</v>
      </c>
      <c r="C17" s="129" t="s">
        <v>87</v>
      </c>
      <c r="D17" s="129" t="s">
        <v>28</v>
      </c>
      <c r="E17" s="128" t="s">
        <v>51</v>
      </c>
      <c r="F17" s="127" t="s">
        <v>6</v>
      </c>
      <c r="H17" s="193">
        <v>1</v>
      </c>
      <c r="I17" s="202"/>
      <c r="J17" s="188" t="s">
        <v>89</v>
      </c>
      <c r="K17" s="158">
        <f t="shared" si="0"/>
        <v>0</v>
      </c>
      <c r="L17" s="61"/>
      <c r="Q17" s="7">
        <v>6</v>
      </c>
      <c r="R17" s="7" t="s">
        <v>36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85</v>
      </c>
      <c r="D18" s="122">
        <f>'2229'!O32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86</v>
      </c>
      <c r="K18" s="158">
        <f t="shared" si="0"/>
        <v>0</v>
      </c>
      <c r="L18" s="61"/>
      <c r="Q18" s="7">
        <v>1</v>
      </c>
      <c r="R18" s="56" t="s">
        <v>37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31</v>
      </c>
      <c r="D19" s="122">
        <f>'2229'!O31</f>
        <v>12455</v>
      </c>
      <c r="E19" s="123">
        <f>D19*0.19</f>
        <v>2366.4499999999998</v>
      </c>
      <c r="F19" s="120">
        <f>SUM(D19:E19)</f>
        <v>14821.45</v>
      </c>
      <c r="H19" s="192">
        <v>1</v>
      </c>
      <c r="I19" s="202"/>
      <c r="J19" s="184" t="s">
        <v>84</v>
      </c>
      <c r="K19" s="158">
        <f t="shared" si="0"/>
        <v>0</v>
      </c>
      <c r="L19" s="61"/>
      <c r="Q19" s="16"/>
      <c r="T19" s="5"/>
      <c r="U19" s="6"/>
      <c r="V19" s="30" t="s">
        <v>28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21</v>
      </c>
      <c r="D20" s="122">
        <f>'2229'!O30</f>
        <v>6811.2000000000016</v>
      </c>
      <c r="E20" s="121">
        <f>D20*0.19</f>
        <v>1294.1280000000004</v>
      </c>
      <c r="F20" s="120">
        <f>SUM(D20:E20)</f>
        <v>8105.3280000000022</v>
      </c>
      <c r="H20" s="192">
        <v>1</v>
      </c>
      <c r="I20" s="202"/>
      <c r="J20" s="184" t="s">
        <v>83</v>
      </c>
      <c r="K20" s="158">
        <f t="shared" si="0"/>
        <v>0</v>
      </c>
      <c r="V20" s="31" t="s">
        <v>29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19266.2</v>
      </c>
      <c r="E21" s="116">
        <f>SUM(E18:E20)</f>
        <v>3660.5780000000004</v>
      </c>
      <c r="F21" s="115">
        <f>SUM(F18:F20)</f>
        <v>22926.778000000002</v>
      </c>
      <c r="H21" s="192">
        <v>1</v>
      </c>
      <c r="I21" s="202"/>
      <c r="J21" s="184" t="s">
        <v>82</v>
      </c>
      <c r="K21" s="158">
        <f t="shared" si="0"/>
        <v>0</v>
      </c>
      <c r="M21" s="153">
        <f>B32/9</f>
        <v>2318.840579710145</v>
      </c>
      <c r="Q21" s="50" t="s">
        <v>39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80</v>
      </c>
      <c r="C22" s="113" t="s">
        <v>79</v>
      </c>
      <c r="D22" s="112" t="s">
        <v>78</v>
      </c>
      <c r="E22" s="111" t="s">
        <v>77</v>
      </c>
      <c r="F22" s="110" t="s">
        <v>6</v>
      </c>
      <c r="H22" s="192">
        <v>1</v>
      </c>
      <c r="I22" s="202"/>
      <c r="J22" s="148" t="s">
        <v>81</v>
      </c>
      <c r="K22" s="158">
        <f t="shared" si="0"/>
        <v>0</v>
      </c>
      <c r="M22" s="105"/>
      <c r="N22" s="58"/>
      <c r="Q22" s="50" t="s">
        <v>34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25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76</v>
      </c>
      <c r="K23" s="158">
        <f t="shared" si="0"/>
        <v>0</v>
      </c>
      <c r="M23" s="105"/>
      <c r="N23" s="58"/>
      <c r="Q23" s="50" t="s">
        <v>27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74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117</v>
      </c>
      <c r="I24" s="155" t="s">
        <v>115</v>
      </c>
      <c r="J24" s="181" t="s">
        <v>75</v>
      </c>
      <c r="K24" s="152" t="s">
        <v>94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73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108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71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72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70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69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68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106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67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118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22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119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65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120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64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41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40</v>
      </c>
      <c r="K33" s="97">
        <f t="shared" si="5"/>
        <v>0</v>
      </c>
    </row>
    <row r="34" spans="2:16" ht="15" thickBot="1" x14ac:dyDescent="0.35">
      <c r="B34" s="83" t="s">
        <v>63</v>
      </c>
      <c r="C34" s="82" t="s">
        <v>62</v>
      </c>
      <c r="D34" s="81">
        <f>L9</f>
        <v>2550</v>
      </c>
      <c r="H34" s="192">
        <v>1</v>
      </c>
      <c r="I34" s="174"/>
      <c r="J34" s="148" t="s">
        <v>107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61</v>
      </c>
      <c r="D35" s="78">
        <f>L24</f>
        <v>0</v>
      </c>
      <c r="H35" s="194">
        <v>6</v>
      </c>
      <c r="I35" s="206"/>
      <c r="J35" s="180" t="s">
        <v>109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59</v>
      </c>
      <c r="D36" s="78">
        <f>L36</f>
        <v>18467.665666666668</v>
      </c>
      <c r="E36" s="58"/>
      <c r="H36" s="151" t="s">
        <v>96</v>
      </c>
      <c r="I36" s="155" t="s">
        <v>115</v>
      </c>
      <c r="J36" s="189" t="s">
        <v>66</v>
      </c>
      <c r="K36" s="152" t="s">
        <v>94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42</v>
      </c>
      <c r="D37" s="73"/>
      <c r="H37" s="199">
        <f>$E$33</f>
        <v>3.9000000000000004</v>
      </c>
      <c r="I37" s="204">
        <f>32609.69/9</f>
        <v>3623.2988888888885</v>
      </c>
      <c r="J37" s="187" t="s">
        <v>45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43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44</v>
      </c>
      <c r="K39" s="84">
        <f>I39*H39</f>
        <v>565.5</v>
      </c>
    </row>
    <row r="40" spans="2:16" ht="15" thickBot="1" x14ac:dyDescent="0.35">
      <c r="B40" s="68" t="s">
        <v>52</v>
      </c>
      <c r="C40" s="67" t="s">
        <v>51</v>
      </c>
      <c r="D40" s="66">
        <f>E11-E21</f>
        <v>14800.893599999999</v>
      </c>
    </row>
    <row r="41" spans="2:16" ht="15" thickBot="1" x14ac:dyDescent="0.35">
      <c r="H41" s="442" t="s">
        <v>60</v>
      </c>
      <c r="I41" s="443"/>
      <c r="J41" s="443"/>
      <c r="K41" s="443"/>
      <c r="L41" s="443"/>
      <c r="M41" s="444"/>
    </row>
    <row r="42" spans="2:16" ht="15" thickBot="1" x14ac:dyDescent="0.35">
      <c r="B42" s="75" t="s">
        <v>46</v>
      </c>
      <c r="C42" s="75"/>
      <c r="D42" s="207">
        <f>E33</f>
        <v>3.9000000000000004</v>
      </c>
      <c r="H42" s="77" t="s">
        <v>58</v>
      </c>
      <c r="I42" s="159" t="s">
        <v>57</v>
      </c>
      <c r="J42" s="160"/>
      <c r="K42" s="160"/>
      <c r="L42" s="161"/>
      <c r="M42" s="76">
        <f>D11</f>
        <v>97165.64</v>
      </c>
    </row>
    <row r="43" spans="2:16" ht="15" thickBot="1" x14ac:dyDescent="0.35">
      <c r="D43" s="57"/>
      <c r="H43" s="72" t="s">
        <v>56</v>
      </c>
      <c r="I43" s="162" t="s">
        <v>55</v>
      </c>
      <c r="J43" s="163"/>
      <c r="K43" s="163"/>
      <c r="L43" s="164"/>
      <c r="M43" s="64">
        <f>D21</f>
        <v>19266.2</v>
      </c>
    </row>
    <row r="44" spans="2:16" x14ac:dyDescent="0.3">
      <c r="D44" s="57"/>
      <c r="I44" s="165" t="s">
        <v>54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53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50</v>
      </c>
      <c r="J46" s="172"/>
      <c r="K46" s="172"/>
      <c r="L46" s="173"/>
      <c r="M46" s="62">
        <f>M42-(SUM(M43:M45))</f>
        <v>48065.349212560381</v>
      </c>
    </row>
    <row r="47" spans="2:16" x14ac:dyDescent="0.3">
      <c r="I47" s="162" t="s">
        <v>49</v>
      </c>
      <c r="J47" s="163"/>
      <c r="K47" s="163"/>
      <c r="L47" s="164"/>
      <c r="M47" s="64"/>
    </row>
    <row r="48" spans="2:16" ht="15" thickBot="1" x14ac:dyDescent="0.35">
      <c r="D48" s="60"/>
      <c r="I48" s="168" t="s">
        <v>48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47</v>
      </c>
      <c r="J49" s="172"/>
      <c r="K49" s="172"/>
      <c r="L49" s="173"/>
      <c r="M49" s="62">
        <f>M46-SUM(M47:M48)</f>
        <v>48065.349212560381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23AA49-FACD-4A6E-8133-F4F138D6ABD8}">
  <dimension ref="A1:Q34"/>
  <sheetViews>
    <sheetView topLeftCell="A7" workbookViewId="0">
      <selection activeCell="J23" sqref="J23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37" customWidth="1"/>
    <col min="4" max="5" width="9.109375" customWidth="1"/>
    <col min="6" max="6" width="27.44140625" customWidth="1"/>
    <col min="7" max="7" width="13" customWidth="1"/>
    <col min="8" max="8" width="15.33203125" customWidth="1"/>
  </cols>
  <sheetData>
    <row r="1" spans="1:17" ht="15.6" x14ac:dyDescent="0.3">
      <c r="A1" s="138"/>
      <c r="B1" s="138"/>
      <c r="C1" s="138"/>
      <c r="D1" s="138"/>
      <c r="E1" s="138"/>
      <c r="F1" s="138"/>
      <c r="G1" s="138"/>
      <c r="H1" s="138"/>
      <c r="I1" s="138"/>
    </row>
    <row r="2" spans="1:17" ht="15.6" x14ac:dyDescent="0.3">
      <c r="A2" s="138"/>
      <c r="B2" s="138"/>
      <c r="C2" s="138"/>
      <c r="D2" s="138"/>
      <c r="E2" s="138"/>
      <c r="F2" s="242" t="s">
        <v>140</v>
      </c>
      <c r="G2" s="138"/>
      <c r="H2" s="138"/>
      <c r="I2" s="138"/>
    </row>
    <row r="3" spans="1:17" ht="15.6" x14ac:dyDescent="0.3">
      <c r="A3" s="138"/>
      <c r="B3" s="138"/>
      <c r="C3" s="138"/>
      <c r="D3" s="138"/>
      <c r="E3" s="138"/>
      <c r="F3" s="138" t="s">
        <v>136</v>
      </c>
      <c r="G3" s="138"/>
      <c r="H3" s="138"/>
      <c r="I3" s="138"/>
    </row>
    <row r="4" spans="1:17" ht="15.6" x14ac:dyDescent="0.3">
      <c r="A4" s="138"/>
      <c r="B4" s="138"/>
      <c r="C4" s="138"/>
      <c r="D4" s="138"/>
      <c r="E4" s="138"/>
      <c r="F4" s="138" t="s">
        <v>141</v>
      </c>
      <c r="G4" s="138"/>
      <c r="H4" s="138"/>
      <c r="I4" s="138"/>
    </row>
    <row r="5" spans="1:17" ht="15.6" x14ac:dyDescent="0.3">
      <c r="A5" s="138"/>
      <c r="B5" s="138"/>
      <c r="C5" s="138"/>
      <c r="D5" s="138"/>
      <c r="E5" s="138"/>
      <c r="F5" s="138" t="s">
        <v>14</v>
      </c>
      <c r="G5" s="138"/>
      <c r="H5" s="138"/>
      <c r="I5" s="138"/>
    </row>
    <row r="6" spans="1:17" ht="15.6" x14ac:dyDescent="0.3">
      <c r="A6" s="138"/>
      <c r="B6" s="138"/>
      <c r="C6" s="138"/>
      <c r="D6" s="138"/>
      <c r="E6" s="138"/>
      <c r="F6" s="138" t="s">
        <v>163</v>
      </c>
      <c r="G6" s="138"/>
      <c r="H6" s="138"/>
      <c r="I6" s="138"/>
    </row>
    <row r="7" spans="1:17" ht="16.2" thickBot="1" x14ac:dyDescent="0.35">
      <c r="A7" s="138"/>
      <c r="B7" s="138"/>
      <c r="C7" s="138"/>
      <c r="D7" s="138"/>
      <c r="E7" s="138"/>
      <c r="F7" s="138" t="s">
        <v>164</v>
      </c>
      <c r="G7" s="138"/>
      <c r="H7" s="138"/>
      <c r="I7" s="138"/>
    </row>
    <row r="8" spans="1:17" ht="16.2" thickBot="1" x14ac:dyDescent="0.35">
      <c r="A8" s="138"/>
      <c r="B8" s="315" t="s">
        <v>125</v>
      </c>
      <c r="C8" s="316"/>
      <c r="D8" s="317" t="str">
        <f>'2229'!D8</f>
        <v>N° 12103</v>
      </c>
      <c r="E8" s="138"/>
      <c r="F8" s="318" t="s">
        <v>165</v>
      </c>
      <c r="G8" s="319"/>
      <c r="H8" s="138"/>
      <c r="I8" s="138"/>
    </row>
    <row r="9" spans="1:17" ht="16.2" thickBot="1" x14ac:dyDescent="0.35">
      <c r="A9" s="138"/>
      <c r="B9" s="138"/>
      <c r="C9" s="138"/>
      <c r="D9" s="138"/>
      <c r="E9" s="138"/>
      <c r="F9" s="138"/>
      <c r="G9" s="138"/>
      <c r="H9" s="138"/>
      <c r="I9" s="138"/>
    </row>
    <row r="10" spans="1:17" ht="15.6" x14ac:dyDescent="0.3">
      <c r="A10" s="138"/>
      <c r="B10" s="349" t="s">
        <v>166</v>
      </c>
      <c r="C10" s="350" t="str">
        <f>IF('2229'!C10="","",'2229'!C10)</f>
        <v>JUAN</v>
      </c>
      <c r="D10" s="350"/>
      <c r="E10" s="350"/>
      <c r="F10" s="351" t="s">
        <v>167</v>
      </c>
      <c r="G10" s="352">
        <f>'2229'!G10</f>
        <v>46135</v>
      </c>
      <c r="H10" s="353"/>
      <c r="I10" s="138"/>
      <c r="J10" s="138"/>
      <c r="K10" s="138"/>
      <c r="L10" s="138"/>
      <c r="M10" s="138"/>
      <c r="N10" s="138"/>
      <c r="O10" s="138"/>
      <c r="P10" s="138"/>
      <c r="Q10" s="138"/>
    </row>
    <row r="11" spans="1:17" ht="15.6" x14ac:dyDescent="0.3">
      <c r="A11" s="138"/>
      <c r="B11" s="339" t="s">
        <v>12</v>
      </c>
      <c r="C11" s="246" t="str">
        <f>IF('2229'!C11="","",'2229'!C11)</f>
        <v/>
      </c>
      <c r="D11" s="345"/>
      <c r="E11" s="345"/>
      <c r="F11" s="345" t="s">
        <v>168</v>
      </c>
      <c r="G11" s="340">
        <f>WORKDAY(G10,5)</f>
        <v>46142</v>
      </c>
      <c r="H11" s="341"/>
      <c r="I11" s="138"/>
    </row>
    <row r="12" spans="1:17" ht="15.6" x14ac:dyDescent="0.3">
      <c r="A12" s="138"/>
      <c r="B12" s="354" t="s">
        <v>169</v>
      </c>
      <c r="C12" s="355" t="str">
        <f>IF('2229'!C12="","",'2229'!C12)</f>
        <v/>
      </c>
      <c r="D12" s="355"/>
      <c r="E12" s="355"/>
      <c r="F12" s="355" t="s">
        <v>181</v>
      </c>
      <c r="G12" s="355" t="str">
        <f>'2229'!G14</f>
        <v>NO</v>
      </c>
      <c r="H12" s="356"/>
      <c r="I12" s="138"/>
    </row>
    <row r="13" spans="1:17" ht="15.6" x14ac:dyDescent="0.3">
      <c r="A13" s="138"/>
      <c r="B13" s="245" t="s">
        <v>143</v>
      </c>
      <c r="C13" s="246" t="str">
        <f>IF('2229'!C13="","",'2229'!C13)</f>
        <v/>
      </c>
      <c r="D13" s="246"/>
      <c r="E13" s="246"/>
      <c r="F13" s="246" t="s">
        <v>170</v>
      </c>
      <c r="G13" s="346"/>
      <c r="H13" s="247"/>
      <c r="I13" s="138"/>
    </row>
    <row r="14" spans="1:17" ht="15.6" x14ac:dyDescent="0.3">
      <c r="A14" s="138"/>
      <c r="B14" s="354" t="s">
        <v>137</v>
      </c>
      <c r="C14" s="355" t="str">
        <f>IF('2229'!C14="","",'2229'!C14)</f>
        <v/>
      </c>
      <c r="D14" s="355"/>
      <c r="E14" s="355"/>
      <c r="F14" s="355" t="s">
        <v>171</v>
      </c>
      <c r="G14" s="357" t="s">
        <v>172</v>
      </c>
      <c r="H14" s="356"/>
      <c r="I14" s="138"/>
    </row>
    <row r="15" spans="1:17" ht="15.6" x14ac:dyDescent="0.3">
      <c r="A15" s="138"/>
      <c r="B15" s="339" t="s">
        <v>4</v>
      </c>
      <c r="C15" s="246" t="str">
        <f>IF('2229'!C15="","",'2229'!C15)</f>
        <v>+56 9 7978 4127</v>
      </c>
      <c r="D15" s="347"/>
      <c r="E15" s="345"/>
      <c r="F15" s="345" t="s">
        <v>173</v>
      </c>
      <c r="G15" s="345" t="str">
        <f>'2229'!G12</f>
        <v>NO</v>
      </c>
      <c r="H15" s="341"/>
      <c r="I15" s="138"/>
    </row>
    <row r="16" spans="1:17" ht="15.6" x14ac:dyDescent="0.3">
      <c r="A16" s="138"/>
      <c r="B16" s="354" t="s">
        <v>3</v>
      </c>
      <c r="C16" s="355" t="str">
        <f>IF('2229'!C16="","",'2229'!C16)</f>
        <v/>
      </c>
      <c r="D16" s="355"/>
      <c r="E16" s="355"/>
      <c r="F16" s="355" t="s">
        <v>174</v>
      </c>
      <c r="G16" s="355" t="str">
        <f>'2229'!G16</f>
        <v>ABONO 50% SALDO C/ENTREGA</v>
      </c>
      <c r="H16" s="356"/>
      <c r="I16" s="138"/>
    </row>
    <row r="17" spans="1:16" ht="16.2" thickBot="1" x14ac:dyDescent="0.35">
      <c r="A17" s="138"/>
      <c r="B17" s="342" t="s">
        <v>13</v>
      </c>
      <c r="C17" s="348" t="str">
        <f>IF('2229'!C17="","",'2229'!C17)</f>
        <v>SANTIAGO</v>
      </c>
      <c r="D17" s="343"/>
      <c r="E17" s="344"/>
      <c r="F17" s="445" t="s">
        <v>175</v>
      </c>
      <c r="G17" s="445"/>
      <c r="H17" s="446"/>
      <c r="I17" s="138"/>
    </row>
    <row r="18" spans="1:16" ht="15.6" x14ac:dyDescent="0.3">
      <c r="A18" s="138"/>
      <c r="B18" s="138"/>
      <c r="C18" s="138"/>
      <c r="D18" s="138"/>
      <c r="E18" s="138"/>
      <c r="F18" s="138"/>
      <c r="G18" s="138"/>
      <c r="H18" s="138"/>
      <c r="I18" s="138"/>
    </row>
    <row r="19" spans="1:16" ht="16.2" thickBot="1" x14ac:dyDescent="0.35">
      <c r="A19" s="138"/>
      <c r="B19" s="138"/>
      <c r="C19" s="138"/>
      <c r="D19" s="138"/>
      <c r="E19" s="138"/>
      <c r="F19" s="138"/>
      <c r="G19" s="138"/>
      <c r="H19" s="138"/>
      <c r="I19" s="138"/>
    </row>
    <row r="20" spans="1:16" ht="16.2" thickBot="1" x14ac:dyDescent="0.35">
      <c r="A20" s="138"/>
      <c r="B20" s="447" t="s">
        <v>176</v>
      </c>
      <c r="C20" s="448"/>
      <c r="D20" s="448"/>
      <c r="E20" s="448"/>
      <c r="F20" s="448"/>
      <c r="G20" s="448"/>
      <c r="H20" s="449"/>
      <c r="I20" s="138"/>
    </row>
    <row r="21" spans="1:16" ht="16.2" thickBot="1" x14ac:dyDescent="0.35">
      <c r="A21" s="138"/>
      <c r="B21" s="358" t="s">
        <v>7</v>
      </c>
      <c r="C21" s="359" t="s">
        <v>1</v>
      </c>
      <c r="D21" s="359" t="s">
        <v>10</v>
      </c>
      <c r="E21" s="359" t="s">
        <v>11</v>
      </c>
      <c r="F21" s="360" t="s">
        <v>8</v>
      </c>
      <c r="G21" s="358" t="s">
        <v>5</v>
      </c>
      <c r="H21" s="360" t="s">
        <v>6</v>
      </c>
      <c r="I21" s="138"/>
    </row>
    <row r="22" spans="1:16" ht="15.6" x14ac:dyDescent="0.3">
      <c r="A22" s="138"/>
      <c r="B22" s="312">
        <f>'2229'!B21</f>
        <v>1</v>
      </c>
      <c r="C22" s="313" t="str">
        <f>'2229'!C21</f>
        <v>CUB CON RESPALDO FTE 90°</v>
      </c>
      <c r="D22" s="321">
        <f>'2229'!D21*1000</f>
        <v>2500</v>
      </c>
      <c r="E22" s="321">
        <f>'2229'!E21*1000</f>
        <v>550</v>
      </c>
      <c r="F22" s="322" t="str">
        <f>'2229'!F21</f>
        <v>NEO LUNA GRANITE</v>
      </c>
      <c r="G22" s="314">
        <f>'2229'!G21</f>
        <v>97165.64</v>
      </c>
      <c r="H22" s="323">
        <f>G22*B22</f>
        <v>97165.64</v>
      </c>
      <c r="I22" s="138"/>
      <c r="K22" s="5"/>
      <c r="L22" s="263"/>
      <c r="M22" s="5"/>
      <c r="N22" s="5"/>
      <c r="O22" s="263"/>
      <c r="P22" s="47"/>
    </row>
    <row r="23" spans="1:16" ht="15.6" x14ac:dyDescent="0.3">
      <c r="A23" s="138"/>
      <c r="B23" s="283"/>
      <c r="C23" s="283"/>
      <c r="D23" s="283"/>
      <c r="E23" s="283"/>
      <c r="F23" s="283"/>
      <c r="G23" s="324"/>
      <c r="H23" s="324"/>
      <c r="I23" s="138"/>
      <c r="K23" s="5"/>
      <c r="L23" s="263"/>
      <c r="M23" s="5"/>
      <c r="N23" s="5"/>
      <c r="O23" s="263"/>
      <c r="P23" s="47"/>
    </row>
    <row r="24" spans="1:16" ht="16.2" thickBot="1" x14ac:dyDescent="0.35">
      <c r="A24" s="138"/>
      <c r="B24" s="283"/>
      <c r="C24" s="283"/>
      <c r="D24" s="283"/>
      <c r="E24" s="283"/>
      <c r="F24" s="325"/>
      <c r="G24" s="324"/>
      <c r="H24" s="324"/>
      <c r="I24" s="138"/>
      <c r="K24" s="5"/>
      <c r="L24" s="263"/>
      <c r="M24" s="5"/>
      <c r="N24" s="5"/>
      <c r="O24" s="263"/>
      <c r="P24" s="47"/>
    </row>
    <row r="25" spans="1:16" ht="15.6" x14ac:dyDescent="0.3">
      <c r="A25" s="138"/>
      <c r="B25" s="138"/>
      <c r="C25" s="138"/>
      <c r="D25" s="138"/>
      <c r="E25" s="138"/>
      <c r="F25" s="138"/>
      <c r="G25" s="327" t="s">
        <v>28</v>
      </c>
      <c r="H25" s="328">
        <f>SUM(H22:H24)</f>
        <v>97165.64</v>
      </c>
      <c r="I25" s="138"/>
    </row>
    <row r="26" spans="1:16" ht="15.6" x14ac:dyDescent="0.3">
      <c r="A26" s="138"/>
      <c r="B26" s="138"/>
      <c r="C26" s="138"/>
      <c r="D26" s="138"/>
      <c r="E26" s="138"/>
      <c r="F26" s="138"/>
      <c r="G26" s="329" t="s">
        <v>29</v>
      </c>
      <c r="H26" s="330">
        <f>H25*19%</f>
        <v>18461.471600000001</v>
      </c>
      <c r="I26" s="138"/>
    </row>
    <row r="27" spans="1:16" ht="16.2" thickBot="1" x14ac:dyDescent="0.35">
      <c r="A27" s="138"/>
      <c r="B27" s="138"/>
      <c r="C27" s="138"/>
      <c r="D27" s="138"/>
      <c r="E27" s="138"/>
      <c r="F27" s="138"/>
      <c r="G27" s="331" t="s">
        <v>6</v>
      </c>
      <c r="H27" s="332">
        <f>H25+H26</f>
        <v>115627.1116</v>
      </c>
      <c r="I27" s="138"/>
    </row>
    <row r="28" spans="1:16" ht="15.6" x14ac:dyDescent="0.3">
      <c r="A28" s="138"/>
      <c r="B28" s="138"/>
      <c r="C28" s="138"/>
      <c r="D28" s="138"/>
      <c r="E28" s="138"/>
      <c r="F28" s="138"/>
      <c r="G28" s="333"/>
      <c r="H28" s="334"/>
      <c r="I28" s="138"/>
    </row>
    <row r="29" spans="1:16" ht="15.6" x14ac:dyDescent="0.3">
      <c r="A29" s="138"/>
      <c r="B29" s="138"/>
      <c r="C29" s="138"/>
      <c r="D29" s="138"/>
      <c r="E29" s="138"/>
      <c r="F29" s="138"/>
      <c r="G29" s="138"/>
      <c r="H29" s="138"/>
      <c r="I29" s="138"/>
    </row>
    <row r="30" spans="1:16" ht="15.6" x14ac:dyDescent="0.3">
      <c r="A30" s="138"/>
      <c r="B30" s="335" t="s">
        <v>177</v>
      </c>
      <c r="C30" s="336"/>
      <c r="D30" s="337"/>
      <c r="E30" s="337"/>
      <c r="F30" s="326"/>
      <c r="G30" s="138"/>
      <c r="H30" s="138"/>
      <c r="I30" s="138"/>
    </row>
    <row r="31" spans="1:16" ht="15.6" x14ac:dyDescent="0.3">
      <c r="A31" s="138"/>
      <c r="B31" s="335" t="s">
        <v>178</v>
      </c>
      <c r="C31" s="336"/>
      <c r="D31" s="337"/>
      <c r="E31" s="337"/>
      <c r="F31" s="326"/>
      <c r="G31" s="138"/>
      <c r="H31" s="138"/>
      <c r="I31" s="138"/>
    </row>
    <row r="32" spans="1:16" ht="15.6" x14ac:dyDescent="0.3">
      <c r="A32" s="138"/>
      <c r="B32" s="138" t="s">
        <v>124</v>
      </c>
      <c r="C32" s="138"/>
      <c r="D32" s="138"/>
      <c r="E32" s="338" t="s">
        <v>15</v>
      </c>
      <c r="F32" s="138"/>
      <c r="G32" s="138"/>
      <c r="H32" s="138"/>
      <c r="I32" s="138"/>
    </row>
    <row r="33" spans="1:9" ht="15.6" x14ac:dyDescent="0.3">
      <c r="A33" s="138"/>
      <c r="B33" s="138"/>
      <c r="C33" s="138"/>
      <c r="D33" s="138"/>
      <c r="E33" s="138"/>
      <c r="F33" s="138"/>
      <c r="G33" s="138"/>
      <c r="H33" s="138"/>
      <c r="I33" s="138"/>
    </row>
    <row r="34" spans="1:9" ht="15.6" x14ac:dyDescent="0.3">
      <c r="A34" s="138"/>
      <c r="B34" s="138"/>
      <c r="C34" s="138"/>
      <c r="D34" s="138"/>
      <c r="E34" s="138"/>
      <c r="F34" s="138"/>
      <c r="G34" s="138"/>
      <c r="H34" s="138"/>
      <c r="I34" s="138"/>
    </row>
  </sheetData>
  <mergeCells count="2">
    <mergeCell ref="F17:H17"/>
    <mergeCell ref="B20:H20"/>
  </mergeCells>
  <hyperlinks>
    <hyperlink ref="E32" r:id="rId1" xr:uid="{EC98F725-E97B-4273-94C0-7F16CDD70B6D}"/>
  </hyperlinks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6E89C-323A-4224-9EE5-04C95B528395}">
  <dimension ref="B2:R48"/>
  <sheetViews>
    <sheetView topLeftCell="A17" workbookViewId="0">
      <selection activeCell="I12" sqref="I12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450" t="s">
        <v>182</v>
      </c>
      <c r="C2" s="450"/>
      <c r="D2" s="450"/>
      <c r="E2" s="361"/>
      <c r="G2" s="450" t="s">
        <v>183</v>
      </c>
      <c r="H2" s="450"/>
      <c r="I2" s="450"/>
      <c r="P2" s="451" t="s">
        <v>184</v>
      </c>
      <c r="Q2" s="451"/>
      <c r="R2" s="451"/>
    </row>
    <row r="3" spans="2:18" x14ac:dyDescent="0.3">
      <c r="B3" s="363" t="s">
        <v>130</v>
      </c>
      <c r="C3" s="363" t="s">
        <v>11</v>
      </c>
      <c r="D3" s="363" t="s">
        <v>1</v>
      </c>
      <c r="E3" s="364"/>
      <c r="G3" s="363" t="s">
        <v>130</v>
      </c>
      <c r="H3" s="363" t="s">
        <v>11</v>
      </c>
      <c r="I3" s="363" t="s">
        <v>1</v>
      </c>
      <c r="P3" s="363" t="s">
        <v>130</v>
      </c>
      <c r="Q3" s="363" t="s">
        <v>11</v>
      </c>
      <c r="R3" s="363" t="s">
        <v>1</v>
      </c>
    </row>
    <row r="4" spans="2:18" x14ac:dyDescent="0.3">
      <c r="B4" s="365">
        <v>40</v>
      </c>
      <c r="C4" s="365">
        <v>60</v>
      </c>
      <c r="D4" s="366" t="s">
        <v>185</v>
      </c>
      <c r="E4" s="246" t="s">
        <v>186</v>
      </c>
      <c r="G4" s="362">
        <v>50</v>
      </c>
      <c r="H4" s="362">
        <v>100</v>
      </c>
      <c r="I4" s="367" t="s">
        <v>185</v>
      </c>
      <c r="J4" s="54" t="s">
        <v>187</v>
      </c>
      <c r="K4" s="54"/>
      <c r="L4" s="54"/>
      <c r="M4" s="54"/>
      <c r="P4">
        <v>50</v>
      </c>
      <c r="Q4">
        <v>-30</v>
      </c>
      <c r="R4" t="s">
        <v>188</v>
      </c>
    </row>
    <row r="5" spans="2:18" x14ac:dyDescent="0.3">
      <c r="B5" s="365">
        <v>40</v>
      </c>
      <c r="C5" s="365">
        <v>90</v>
      </c>
      <c r="D5" s="366" t="s">
        <v>189</v>
      </c>
      <c r="E5" s="246" t="s">
        <v>190</v>
      </c>
      <c r="G5" s="362">
        <v>50</v>
      </c>
      <c r="H5" s="362"/>
      <c r="I5" s="367" t="s">
        <v>191</v>
      </c>
      <c r="J5" s="54" t="s">
        <v>192</v>
      </c>
      <c r="K5" s="54"/>
      <c r="L5" s="54"/>
      <c r="M5" s="54"/>
      <c r="P5">
        <v>50</v>
      </c>
      <c r="Q5">
        <v>-30</v>
      </c>
      <c r="R5" t="s">
        <v>188</v>
      </c>
    </row>
    <row r="6" spans="2:18" x14ac:dyDescent="0.3">
      <c r="B6" s="365">
        <v>40</v>
      </c>
      <c r="C6" s="365">
        <v>100</v>
      </c>
      <c r="D6" s="366" t="s">
        <v>193</v>
      </c>
      <c r="E6" s="246" t="s">
        <v>194</v>
      </c>
      <c r="G6" s="365">
        <v>50</v>
      </c>
      <c r="H6" s="365">
        <v>100</v>
      </c>
      <c r="I6" s="366" t="s">
        <v>193</v>
      </c>
      <c r="P6">
        <v>50</v>
      </c>
      <c r="Q6">
        <v>-30</v>
      </c>
      <c r="R6" t="s">
        <v>195</v>
      </c>
    </row>
    <row r="7" spans="2:18" x14ac:dyDescent="0.3">
      <c r="B7" s="365">
        <v>40</v>
      </c>
      <c r="C7" s="365">
        <v>150</v>
      </c>
      <c r="D7" s="366" t="s">
        <v>196</v>
      </c>
      <c r="E7" s="246" t="s">
        <v>197</v>
      </c>
      <c r="G7" s="365">
        <v>50</v>
      </c>
      <c r="H7" s="365"/>
      <c r="I7" s="366" t="s">
        <v>196</v>
      </c>
      <c r="P7">
        <v>50</v>
      </c>
      <c r="Q7">
        <v>-30</v>
      </c>
      <c r="R7" t="s">
        <v>198</v>
      </c>
    </row>
    <row r="8" spans="2:18" x14ac:dyDescent="0.3">
      <c r="B8" s="365">
        <v>40</v>
      </c>
      <c r="C8" s="365">
        <v>100</v>
      </c>
      <c r="D8" s="366" t="s">
        <v>199</v>
      </c>
      <c r="E8" s="246" t="s">
        <v>200</v>
      </c>
      <c r="G8" s="365">
        <v>50</v>
      </c>
      <c r="H8" s="365">
        <v>100</v>
      </c>
      <c r="I8" s="366" t="s">
        <v>199</v>
      </c>
      <c r="L8" s="451" t="s">
        <v>184</v>
      </c>
      <c r="M8" s="451"/>
      <c r="N8" s="451"/>
      <c r="P8">
        <v>50</v>
      </c>
      <c r="Q8">
        <v>-30</v>
      </c>
      <c r="R8" t="s">
        <v>201</v>
      </c>
    </row>
    <row r="9" spans="2:18" x14ac:dyDescent="0.3">
      <c r="B9" s="365">
        <v>40</v>
      </c>
      <c r="C9" s="365">
        <v>50</v>
      </c>
      <c r="D9" s="366" t="s">
        <v>202</v>
      </c>
      <c r="E9" s="246" t="s">
        <v>203</v>
      </c>
      <c r="G9" s="365">
        <v>50</v>
      </c>
      <c r="H9" s="365">
        <v>100</v>
      </c>
      <c r="I9" s="366" t="s">
        <v>204</v>
      </c>
      <c r="L9" s="363" t="s">
        <v>130</v>
      </c>
      <c r="M9" s="363" t="s">
        <v>11</v>
      </c>
      <c r="N9" s="363" t="s">
        <v>1</v>
      </c>
      <c r="P9">
        <v>50</v>
      </c>
      <c r="Q9">
        <v>0</v>
      </c>
      <c r="R9" t="s">
        <v>205</v>
      </c>
    </row>
    <row r="10" spans="2:18" x14ac:dyDescent="0.3">
      <c r="B10" s="365">
        <v>40</v>
      </c>
      <c r="C10" s="365">
        <v>80</v>
      </c>
      <c r="D10" s="366" t="s">
        <v>206</v>
      </c>
      <c r="E10" s="246" t="s">
        <v>207</v>
      </c>
      <c r="G10" s="365">
        <v>50</v>
      </c>
      <c r="H10" s="365"/>
      <c r="I10" s="366" t="s">
        <v>208</v>
      </c>
      <c r="L10" s="365">
        <v>50</v>
      </c>
      <c r="M10" s="365">
        <v>-30</v>
      </c>
      <c r="N10" s="366" t="s">
        <v>188</v>
      </c>
      <c r="P10">
        <v>50</v>
      </c>
      <c r="Q10">
        <v>0</v>
      </c>
      <c r="R10" t="s">
        <v>209</v>
      </c>
    </row>
    <row r="11" spans="2:18" x14ac:dyDescent="0.3">
      <c r="B11" s="365">
        <v>40</v>
      </c>
      <c r="C11" s="365">
        <v>60</v>
      </c>
      <c r="D11" s="366" t="s">
        <v>210</v>
      </c>
      <c r="E11" s="246" t="s">
        <v>211</v>
      </c>
      <c r="G11" s="365">
        <v>50</v>
      </c>
      <c r="H11" s="365">
        <v>100</v>
      </c>
      <c r="I11" s="366" t="s">
        <v>202</v>
      </c>
      <c r="L11" s="365">
        <v>50</v>
      </c>
      <c r="M11" s="365">
        <v>0</v>
      </c>
      <c r="N11" s="366" t="s">
        <v>212</v>
      </c>
      <c r="P11">
        <v>50</v>
      </c>
      <c r="Q11">
        <v>0</v>
      </c>
      <c r="R11" t="s">
        <v>213</v>
      </c>
    </row>
    <row r="12" spans="2:18" x14ac:dyDescent="0.3">
      <c r="B12" s="365">
        <v>40</v>
      </c>
      <c r="C12" s="365">
        <v>100</v>
      </c>
      <c r="D12" s="366" t="s">
        <v>214</v>
      </c>
      <c r="E12" s="246" t="s">
        <v>215</v>
      </c>
      <c r="G12" s="365">
        <v>50</v>
      </c>
      <c r="H12" s="365"/>
      <c r="I12" s="366" t="s">
        <v>206</v>
      </c>
      <c r="L12" s="365">
        <v>50</v>
      </c>
      <c r="M12" s="365">
        <v>-2</v>
      </c>
      <c r="N12" s="366" t="s">
        <v>216</v>
      </c>
      <c r="P12">
        <v>50</v>
      </c>
      <c r="Q12">
        <v>0</v>
      </c>
      <c r="R12" t="s">
        <v>217</v>
      </c>
    </row>
    <row r="13" spans="2:18" x14ac:dyDescent="0.3">
      <c r="B13" s="365">
        <v>40</v>
      </c>
      <c r="C13" s="365">
        <v>130</v>
      </c>
      <c r="D13" s="366" t="s">
        <v>218</v>
      </c>
      <c r="E13" s="246" t="s">
        <v>219</v>
      </c>
      <c r="G13" s="365">
        <v>50</v>
      </c>
      <c r="H13" s="365">
        <v>-30</v>
      </c>
      <c r="I13" s="366" t="s">
        <v>188</v>
      </c>
      <c r="P13">
        <v>50</v>
      </c>
      <c r="Q13">
        <v>0</v>
      </c>
      <c r="R13" t="s">
        <v>220</v>
      </c>
    </row>
    <row r="14" spans="2:18" x14ac:dyDescent="0.3">
      <c r="B14" s="365">
        <v>40</v>
      </c>
      <c r="C14" s="365">
        <v>150</v>
      </c>
      <c r="D14" s="366" t="s">
        <v>195</v>
      </c>
      <c r="E14" s="246"/>
      <c r="G14" s="365">
        <v>50</v>
      </c>
      <c r="H14" s="365">
        <v>-30</v>
      </c>
      <c r="I14" s="366" t="s">
        <v>195</v>
      </c>
    </row>
    <row r="15" spans="2:18" x14ac:dyDescent="0.3">
      <c r="B15" s="365">
        <v>40</v>
      </c>
      <c r="C15" s="365">
        <v>150</v>
      </c>
      <c r="D15" s="366" t="s">
        <v>221</v>
      </c>
      <c r="E15" s="246" t="s">
        <v>222</v>
      </c>
      <c r="G15" s="365">
        <v>50</v>
      </c>
      <c r="H15" s="365">
        <v>-30</v>
      </c>
      <c r="I15" s="366" t="s">
        <v>198</v>
      </c>
      <c r="P15">
        <v>50</v>
      </c>
      <c r="Q15">
        <v>0</v>
      </c>
      <c r="R15" t="s">
        <v>223</v>
      </c>
    </row>
    <row r="16" spans="2:18" x14ac:dyDescent="0.3">
      <c r="B16" s="365">
        <v>40</v>
      </c>
      <c r="C16" s="365">
        <v>130</v>
      </c>
      <c r="D16" s="366" t="s">
        <v>224</v>
      </c>
      <c r="E16" s="246" t="s">
        <v>225</v>
      </c>
      <c r="G16" s="365">
        <v>50</v>
      </c>
      <c r="H16" s="365">
        <v>-30</v>
      </c>
      <c r="I16" s="366" t="s">
        <v>226</v>
      </c>
      <c r="P16">
        <v>50</v>
      </c>
      <c r="Q16">
        <v>0</v>
      </c>
      <c r="R16" t="s">
        <v>227</v>
      </c>
    </row>
    <row r="17" spans="2:18" x14ac:dyDescent="0.3">
      <c r="B17" s="365">
        <v>40</v>
      </c>
      <c r="C17" s="365">
        <v>150</v>
      </c>
      <c r="D17" s="366" t="s">
        <v>213</v>
      </c>
      <c r="E17" s="246" t="s">
        <v>228</v>
      </c>
      <c r="G17" s="365">
        <v>50</v>
      </c>
      <c r="H17" s="365"/>
      <c r="I17" s="366" t="s">
        <v>213</v>
      </c>
      <c r="P17">
        <v>50</v>
      </c>
      <c r="Q17">
        <v>0</v>
      </c>
      <c r="R17" t="s">
        <v>229</v>
      </c>
    </row>
    <row r="18" spans="2:18" x14ac:dyDescent="0.3">
      <c r="B18" s="365">
        <v>140</v>
      </c>
      <c r="C18" s="365">
        <v>150</v>
      </c>
      <c r="D18" s="366" t="s">
        <v>217</v>
      </c>
      <c r="E18" s="246" t="s">
        <v>230</v>
      </c>
      <c r="G18" s="365">
        <v>50</v>
      </c>
      <c r="H18" s="365"/>
      <c r="I18" s="366" t="s">
        <v>217</v>
      </c>
      <c r="P18">
        <v>50</v>
      </c>
      <c r="Q18">
        <v>0</v>
      </c>
      <c r="R18" t="s">
        <v>231</v>
      </c>
    </row>
    <row r="19" spans="2:18" x14ac:dyDescent="0.3">
      <c r="B19" s="365">
        <v>150</v>
      </c>
      <c r="C19" s="365">
        <v>150</v>
      </c>
      <c r="D19" s="366" t="s">
        <v>220</v>
      </c>
      <c r="E19" s="246" t="s">
        <v>232</v>
      </c>
      <c r="G19" s="365">
        <v>50</v>
      </c>
      <c r="H19" s="365"/>
      <c r="I19" s="366" t="s">
        <v>220</v>
      </c>
      <c r="P19">
        <v>50</v>
      </c>
      <c r="Q19">
        <v>0</v>
      </c>
      <c r="R19" t="s">
        <v>233</v>
      </c>
    </row>
    <row r="20" spans="2:18" x14ac:dyDescent="0.3">
      <c r="B20" s="365">
        <v>40</v>
      </c>
      <c r="C20" s="365">
        <v>100</v>
      </c>
      <c r="D20" s="366" t="s">
        <v>234</v>
      </c>
      <c r="E20" s="246" t="s">
        <v>235</v>
      </c>
      <c r="G20" s="365">
        <v>50</v>
      </c>
      <c r="H20" s="365">
        <v>0</v>
      </c>
      <c r="I20" s="366" t="s">
        <v>234</v>
      </c>
      <c r="J20" s="54" t="s">
        <v>236</v>
      </c>
      <c r="K20" s="54"/>
      <c r="L20" s="54"/>
      <c r="M20" s="54"/>
      <c r="P20">
        <v>50</v>
      </c>
      <c r="Q20">
        <v>0</v>
      </c>
      <c r="R20" t="s">
        <v>237</v>
      </c>
    </row>
    <row r="21" spans="2:18" x14ac:dyDescent="0.3">
      <c r="B21" s="365">
        <v>100</v>
      </c>
      <c r="C21" s="365">
        <v>100</v>
      </c>
      <c r="D21" s="366" t="s">
        <v>238</v>
      </c>
      <c r="E21" s="246" t="s">
        <v>239</v>
      </c>
      <c r="G21" s="365">
        <v>50</v>
      </c>
      <c r="H21" s="365">
        <v>0</v>
      </c>
      <c r="I21" s="366" t="s">
        <v>238</v>
      </c>
      <c r="P21">
        <v>50</v>
      </c>
      <c r="Q21">
        <v>0</v>
      </c>
      <c r="R21" t="s">
        <v>240</v>
      </c>
    </row>
    <row r="22" spans="2:18" x14ac:dyDescent="0.3">
      <c r="B22" s="365">
        <v>100</v>
      </c>
      <c r="C22" s="365">
        <v>100</v>
      </c>
      <c r="D22" s="366" t="s">
        <v>223</v>
      </c>
      <c r="E22" s="246" t="s">
        <v>241</v>
      </c>
      <c r="G22" s="362"/>
      <c r="H22" s="362"/>
      <c r="I22" s="367" t="s">
        <v>223</v>
      </c>
      <c r="P22">
        <v>50</v>
      </c>
      <c r="Q22">
        <v>0</v>
      </c>
      <c r="R22" t="s">
        <v>242</v>
      </c>
    </row>
    <row r="23" spans="2:18" x14ac:dyDescent="0.3">
      <c r="B23" s="365">
        <v>40</v>
      </c>
      <c r="C23" s="365">
        <v>150</v>
      </c>
      <c r="D23" s="366" t="s">
        <v>227</v>
      </c>
      <c r="E23" s="246" t="s">
        <v>243</v>
      </c>
      <c r="G23" s="365">
        <v>50</v>
      </c>
      <c r="H23" s="365"/>
      <c r="I23" s="366" t="s">
        <v>227</v>
      </c>
      <c r="R23" t="s">
        <v>244</v>
      </c>
    </row>
    <row r="24" spans="2:18" x14ac:dyDescent="0.3">
      <c r="B24" s="365">
        <v>140</v>
      </c>
      <c r="C24" s="365">
        <v>150</v>
      </c>
      <c r="D24" s="366" t="s">
        <v>229</v>
      </c>
      <c r="E24" s="246" t="s">
        <v>245</v>
      </c>
      <c r="G24" s="365">
        <v>50</v>
      </c>
      <c r="H24" s="365"/>
      <c r="I24" s="366" t="s">
        <v>229</v>
      </c>
      <c r="R24" t="s">
        <v>246</v>
      </c>
    </row>
    <row r="25" spans="2:18" x14ac:dyDescent="0.3">
      <c r="B25" s="365">
        <v>150</v>
      </c>
      <c r="C25" s="365">
        <v>150</v>
      </c>
      <c r="D25" s="366" t="s">
        <v>231</v>
      </c>
      <c r="E25" s="246" t="s">
        <v>247</v>
      </c>
      <c r="G25" s="365">
        <v>50</v>
      </c>
      <c r="H25" s="365"/>
      <c r="I25" s="366" t="s">
        <v>231</v>
      </c>
      <c r="R25" t="s">
        <v>193</v>
      </c>
    </row>
    <row r="26" spans="2:18" x14ac:dyDescent="0.3">
      <c r="B26" s="365">
        <v>40</v>
      </c>
      <c r="C26" s="365">
        <v>77</v>
      </c>
      <c r="D26" s="366" t="s">
        <v>233</v>
      </c>
      <c r="E26" s="246" t="s">
        <v>248</v>
      </c>
      <c r="G26" s="365">
        <v>50</v>
      </c>
      <c r="H26" s="365"/>
      <c r="I26" s="366" t="s">
        <v>233</v>
      </c>
      <c r="R26" t="s">
        <v>196</v>
      </c>
    </row>
    <row r="27" spans="2:18" x14ac:dyDescent="0.3">
      <c r="B27" s="365">
        <v>110</v>
      </c>
      <c r="C27" s="365">
        <v>77</v>
      </c>
      <c r="D27" s="366" t="s">
        <v>237</v>
      </c>
      <c r="E27" s="246" t="s">
        <v>249</v>
      </c>
      <c r="G27" s="365">
        <v>50</v>
      </c>
      <c r="H27" s="365"/>
      <c r="I27" s="366" t="s">
        <v>237</v>
      </c>
      <c r="R27" t="s">
        <v>199</v>
      </c>
    </row>
    <row r="28" spans="2:18" x14ac:dyDescent="0.3">
      <c r="B28" s="365">
        <v>120</v>
      </c>
      <c r="C28" s="365">
        <v>77</v>
      </c>
      <c r="D28" s="366" t="s">
        <v>240</v>
      </c>
      <c r="E28" s="246" t="s">
        <v>250</v>
      </c>
      <c r="G28" s="365">
        <v>50</v>
      </c>
      <c r="H28" s="365"/>
      <c r="I28" s="366" t="s">
        <v>240</v>
      </c>
      <c r="R28" t="s">
        <v>204</v>
      </c>
    </row>
    <row r="29" spans="2:18" x14ac:dyDescent="0.3">
      <c r="B29" s="365">
        <v>40</v>
      </c>
      <c r="C29" s="365">
        <v>50</v>
      </c>
      <c r="D29" s="366" t="s">
        <v>242</v>
      </c>
      <c r="E29" s="246" t="s">
        <v>251</v>
      </c>
      <c r="G29" s="365">
        <v>50</v>
      </c>
      <c r="H29" s="365"/>
      <c r="I29" s="366" t="s">
        <v>242</v>
      </c>
      <c r="R29" t="s">
        <v>208</v>
      </c>
    </row>
    <row r="30" spans="2:18" x14ac:dyDescent="0.3">
      <c r="B30" s="365">
        <v>40</v>
      </c>
      <c r="C30" s="365">
        <v>60</v>
      </c>
      <c r="D30" s="366" t="s">
        <v>252</v>
      </c>
      <c r="E30" s="246" t="s">
        <v>253</v>
      </c>
      <c r="G30" s="365">
        <v>50</v>
      </c>
      <c r="H30" s="365"/>
      <c r="I30" s="366" t="s">
        <v>209</v>
      </c>
      <c r="R30" t="s">
        <v>202</v>
      </c>
    </row>
    <row r="31" spans="2:18" x14ac:dyDescent="0.3">
      <c r="B31" s="365">
        <v>40</v>
      </c>
      <c r="C31" s="365">
        <v>100</v>
      </c>
      <c r="D31" s="366" t="s">
        <v>205</v>
      </c>
      <c r="E31" s="246" t="s">
        <v>254</v>
      </c>
      <c r="G31" s="365">
        <v>50</v>
      </c>
      <c r="H31" s="365"/>
      <c r="I31" s="366" t="s">
        <v>205</v>
      </c>
      <c r="R31" t="s">
        <v>206</v>
      </c>
    </row>
    <row r="32" spans="2:18" x14ac:dyDescent="0.3">
      <c r="B32" s="365">
        <v>40</v>
      </c>
      <c r="C32" s="365">
        <v>60</v>
      </c>
      <c r="D32" s="366" t="s">
        <v>255</v>
      </c>
      <c r="E32" s="246" t="s">
        <v>256</v>
      </c>
      <c r="G32" s="365">
        <v>50</v>
      </c>
      <c r="H32" s="365"/>
      <c r="I32" s="366" t="s">
        <v>255</v>
      </c>
      <c r="R32" t="s">
        <v>257</v>
      </c>
    </row>
    <row r="33" spans="2:18" x14ac:dyDescent="0.3">
      <c r="B33" s="365">
        <v>40</v>
      </c>
      <c r="C33" s="365">
        <v>90</v>
      </c>
      <c r="D33" s="366" t="s">
        <v>258</v>
      </c>
      <c r="E33" s="246" t="s">
        <v>259</v>
      </c>
      <c r="G33" s="365">
        <v>50</v>
      </c>
      <c r="H33" s="365">
        <v>-2</v>
      </c>
      <c r="I33" s="366" t="s">
        <v>258</v>
      </c>
      <c r="R33" t="s">
        <v>260</v>
      </c>
    </row>
    <row r="34" spans="2:18" x14ac:dyDescent="0.3">
      <c r="B34" s="365">
        <v>40</v>
      </c>
      <c r="C34" s="365">
        <v>90</v>
      </c>
      <c r="D34" s="366" t="s">
        <v>261</v>
      </c>
      <c r="E34" s="246"/>
      <c r="G34" s="365">
        <v>50</v>
      </c>
      <c r="H34" s="365">
        <v>-2</v>
      </c>
      <c r="I34" s="366" t="s">
        <v>261</v>
      </c>
    </row>
    <row r="35" spans="2:18" x14ac:dyDescent="0.3">
      <c r="B35" s="365">
        <v>40</v>
      </c>
      <c r="C35" s="365">
        <v>90</v>
      </c>
      <c r="D35" s="366" t="s">
        <v>257</v>
      </c>
      <c r="E35" s="246" t="s">
        <v>262</v>
      </c>
      <c r="G35" s="365">
        <v>50</v>
      </c>
      <c r="H35" s="365">
        <v>-2</v>
      </c>
      <c r="I35" s="366" t="s">
        <v>257</v>
      </c>
      <c r="R35" t="s">
        <v>263</v>
      </c>
    </row>
    <row r="36" spans="2:18" x14ac:dyDescent="0.3">
      <c r="B36" s="368">
        <v>40</v>
      </c>
      <c r="C36" s="368">
        <v>90</v>
      </c>
      <c r="D36" s="369" t="s">
        <v>260</v>
      </c>
      <c r="G36" s="365">
        <v>50</v>
      </c>
      <c r="H36" s="365">
        <v>-2</v>
      </c>
      <c r="I36" s="366" t="s">
        <v>260</v>
      </c>
      <c r="R36" t="s">
        <v>258</v>
      </c>
    </row>
    <row r="37" spans="2:18" x14ac:dyDescent="0.3">
      <c r="B37" s="368">
        <v>40</v>
      </c>
      <c r="C37" s="368">
        <v>90</v>
      </c>
      <c r="D37" s="369" t="s">
        <v>263</v>
      </c>
      <c r="G37" s="365">
        <v>50</v>
      </c>
      <c r="H37" s="365">
        <v>-2</v>
      </c>
      <c r="I37" s="366" t="s">
        <v>263</v>
      </c>
      <c r="R37" t="s">
        <v>261</v>
      </c>
    </row>
    <row r="48" spans="2:18" x14ac:dyDescent="0.3">
      <c r="B48" s="365">
        <v>40</v>
      </c>
      <c r="C48" s="365">
        <v>150</v>
      </c>
    </row>
  </sheetData>
  <mergeCells count="4">
    <mergeCell ref="B2:D2"/>
    <mergeCell ref="G2:I2"/>
    <mergeCell ref="P2:R2"/>
    <mergeCell ref="L8:N8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15AC7F-C6DA-49C8-AB8C-8F19C4F94645}">
  <dimension ref="A1:N62"/>
  <sheetViews>
    <sheetView workbookViewId="0">
      <selection activeCell="E21" sqref="E21"/>
    </sheetView>
  </sheetViews>
  <sheetFormatPr baseColWidth="10" defaultRowHeight="14.4" x14ac:dyDescent="0.3"/>
  <cols>
    <col min="1" max="1" width="10.5546875" customWidth="1"/>
    <col min="2" max="2" width="13.5546875" customWidth="1"/>
    <col min="3" max="3" width="35.33203125" customWidth="1"/>
    <col min="4" max="4" width="16" customWidth="1"/>
    <col min="5" max="5" width="12.6640625" bestFit="1" customWidth="1"/>
    <col min="6" max="6" width="35" customWidth="1"/>
    <col min="9" max="9" width="5.44140625" customWidth="1"/>
    <col min="10" max="10" width="9.33203125" customWidth="1"/>
    <col min="11" max="11" width="8.6640625" customWidth="1"/>
  </cols>
  <sheetData>
    <row r="1" spans="1:14" ht="15.6" x14ac:dyDescent="0.3">
      <c r="A1" s="138"/>
      <c r="B1" s="138"/>
      <c r="C1" s="138"/>
      <c r="D1" s="138"/>
      <c r="E1" s="138"/>
      <c r="F1" s="138"/>
      <c r="G1" s="138"/>
    </row>
    <row r="2" spans="1:14" ht="16.5" customHeight="1" x14ac:dyDescent="0.3">
      <c r="A2" s="138"/>
      <c r="B2" s="138"/>
      <c r="C2" s="138"/>
      <c r="D2" s="138"/>
      <c r="E2" s="138"/>
      <c r="F2" s="138"/>
      <c r="G2" s="138"/>
      <c r="K2" s="75" t="s">
        <v>264</v>
      </c>
      <c r="L2" s="75"/>
      <c r="M2" s="75"/>
    </row>
    <row r="3" spans="1:14" ht="15.6" x14ac:dyDescent="0.3">
      <c r="A3" s="138"/>
      <c r="B3" s="138"/>
      <c r="C3" s="138"/>
      <c r="D3" s="138"/>
      <c r="E3" s="138"/>
      <c r="F3" s="138"/>
      <c r="G3" s="138"/>
      <c r="K3" s="456" t="s">
        <v>265</v>
      </c>
      <c r="L3" s="456"/>
      <c r="M3" s="456" t="s">
        <v>266</v>
      </c>
      <c r="N3" s="456"/>
    </row>
    <row r="4" spans="1:14" ht="15.75" customHeight="1" x14ac:dyDescent="0.3">
      <c r="A4" s="138"/>
      <c r="B4" s="138"/>
      <c r="C4" s="370" t="s">
        <v>165</v>
      </c>
      <c r="D4" s="140" t="str">
        <f>IF('NOTA DE VENTA'!$G$8="","",'NOTA DE VENTA'!$G$8)</f>
        <v/>
      </c>
      <c r="E4" s="138"/>
      <c r="F4" s="138"/>
      <c r="G4" s="138"/>
      <c r="K4" t="s">
        <v>130</v>
      </c>
      <c r="L4" t="s">
        <v>11</v>
      </c>
      <c r="M4" t="s">
        <v>130</v>
      </c>
      <c r="N4" t="s">
        <v>11</v>
      </c>
    </row>
    <row r="5" spans="1:14" ht="18" customHeight="1" x14ac:dyDescent="0.3">
      <c r="A5" s="138"/>
      <c r="B5" s="138"/>
      <c r="C5" s="371" t="s">
        <v>267</v>
      </c>
      <c r="D5" s="372" t="str">
        <f>'NOTA DE VENTA'!$C$10</f>
        <v>JUAN</v>
      </c>
      <c r="E5" s="320"/>
      <c r="F5" s="320"/>
      <c r="G5" s="138"/>
      <c r="K5">
        <f>LOOKUP(F14,REGLAS!$I$4:$I$37,REGLAS!$G$4:$G$37)+J14</f>
        <v>1850</v>
      </c>
      <c r="L5">
        <f>LOOKUP(F14,REGLAS!$I$4:$I$37,REGLAS!$H$4:$H$37)+K14</f>
        <v>470</v>
      </c>
      <c r="M5">
        <f>LOOKUP(F14,REGLAS!$D$4:$D$37,REGLAS!$B$4:$B$37)+J21</f>
        <v>1840</v>
      </c>
      <c r="N5">
        <f>H10</f>
        <v>0</v>
      </c>
    </row>
    <row r="6" spans="1:14" ht="4.5" customHeight="1" x14ac:dyDescent="0.3">
      <c r="A6" s="138"/>
      <c r="B6" s="138"/>
      <c r="C6" s="373"/>
      <c r="D6" s="374"/>
      <c r="E6" s="138"/>
      <c r="F6" s="138"/>
      <c r="G6" s="138"/>
    </row>
    <row r="7" spans="1:14" ht="15.6" x14ac:dyDescent="0.3">
      <c r="A7" s="138"/>
      <c r="B7" s="138"/>
      <c r="C7" s="396" t="str">
        <f>'NOTA DE VENTA'!$F$10</f>
        <v>FECHA :</v>
      </c>
      <c r="D7" s="406">
        <f>'NOTA DE VENTA'!$G$10</f>
        <v>46135</v>
      </c>
      <c r="E7" s="138"/>
      <c r="F7" s="138"/>
      <c r="G7" s="138"/>
    </row>
    <row r="8" spans="1:14" ht="15.6" x14ac:dyDescent="0.3">
      <c r="A8" s="138"/>
      <c r="B8" s="138"/>
      <c r="C8" s="370" t="s">
        <v>268</v>
      </c>
      <c r="D8" s="405">
        <f>'NOTA DE VENTA'!$G$11</f>
        <v>46142</v>
      </c>
      <c r="E8" s="138"/>
      <c r="F8" s="138"/>
      <c r="G8" s="138"/>
    </row>
    <row r="9" spans="1:14" ht="15.6" x14ac:dyDescent="0.3">
      <c r="A9" s="138"/>
      <c r="B9" s="138"/>
      <c r="C9" s="138"/>
      <c r="D9" s="138"/>
      <c r="E9" s="138"/>
      <c r="F9" s="138"/>
      <c r="G9" s="138"/>
    </row>
    <row r="10" spans="1:14" ht="15" customHeight="1" x14ac:dyDescent="0.3">
      <c r="A10" s="457" t="s">
        <v>265</v>
      </c>
      <c r="B10" s="457"/>
      <c r="C10" s="457"/>
      <c r="D10" s="457"/>
      <c r="E10" s="457"/>
      <c r="F10" s="457"/>
      <c r="G10" s="138"/>
    </row>
    <row r="11" spans="1:14" ht="15.6" x14ac:dyDescent="0.3">
      <c r="A11" s="138"/>
      <c r="B11" s="138"/>
      <c r="C11" s="376"/>
      <c r="D11" s="138"/>
      <c r="E11" s="138"/>
      <c r="F11" s="138"/>
      <c r="G11" s="138"/>
    </row>
    <row r="12" spans="1:14" ht="15.6" x14ac:dyDescent="0.3">
      <c r="A12" s="138"/>
      <c r="B12" s="138"/>
      <c r="C12" s="138"/>
      <c r="D12" s="333" t="s">
        <v>130</v>
      </c>
      <c r="E12" s="333" t="s">
        <v>11</v>
      </c>
      <c r="F12" s="138"/>
      <c r="G12" s="138"/>
    </row>
    <row r="13" spans="1:14" ht="15.6" x14ac:dyDescent="0.3">
      <c r="A13" s="333" t="s">
        <v>87</v>
      </c>
      <c r="B13" s="377" t="s">
        <v>96</v>
      </c>
      <c r="C13" s="377" t="s">
        <v>25</v>
      </c>
      <c r="D13" s="378">
        <v>80</v>
      </c>
      <c r="E13" s="378">
        <v>-30</v>
      </c>
      <c r="F13" s="377" t="s">
        <v>269</v>
      </c>
      <c r="G13" s="138"/>
      <c r="J13" s="379" t="s">
        <v>130</v>
      </c>
      <c r="K13" s="379" t="s">
        <v>11</v>
      </c>
    </row>
    <row r="14" spans="1:14" ht="15.6" x14ac:dyDescent="0.3">
      <c r="A14" s="380" t="s">
        <v>31</v>
      </c>
      <c r="B14" s="381">
        <f t="shared" ref="B14" si="0">I14</f>
        <v>1</v>
      </c>
      <c r="C14" s="381"/>
      <c r="D14" s="381">
        <f>LOOKUP(F14,REGLAS!$I$4:$I$37,REGLAS!$G$4:$G$37)+J14</f>
        <v>1850</v>
      </c>
      <c r="E14" s="382">
        <f>LOOKUP(F14,REGLAS!$I$4:$I$37,REGLAS!$H$4:$H$37)+K14</f>
        <v>470</v>
      </c>
      <c r="F14" s="383" t="str">
        <f>C27</f>
        <v>CUB C/R R8</v>
      </c>
      <c r="G14" s="138"/>
      <c r="I14" s="384">
        <f>I21</f>
        <v>1</v>
      </c>
      <c r="J14" s="150">
        <f t="shared" ref="J14:K14" si="1">D27</f>
        <v>1800</v>
      </c>
      <c r="K14" s="150">
        <f t="shared" si="1"/>
        <v>500</v>
      </c>
    </row>
    <row r="15" spans="1:14" ht="15.6" x14ac:dyDescent="0.3">
      <c r="A15" s="333"/>
      <c r="B15" s="52"/>
      <c r="C15" s="52"/>
      <c r="D15" s="52"/>
      <c r="E15" s="385"/>
      <c r="F15" s="52"/>
      <c r="G15" s="138"/>
      <c r="I15" s="386"/>
      <c r="J15" s="6"/>
      <c r="K15" s="6"/>
    </row>
    <row r="16" spans="1:14" ht="6.75" customHeight="1" x14ac:dyDescent="0.3">
      <c r="A16" s="138"/>
      <c r="B16" s="138"/>
      <c r="C16" s="138"/>
      <c r="D16" s="138"/>
      <c r="E16" s="138"/>
      <c r="F16" s="138"/>
      <c r="G16" s="138"/>
    </row>
    <row r="17" spans="1:11" ht="15.6" x14ac:dyDescent="0.3">
      <c r="A17" s="457" t="s">
        <v>266</v>
      </c>
      <c r="B17" s="457"/>
      <c r="C17" s="457"/>
      <c r="D17" s="457"/>
      <c r="E17" s="457"/>
      <c r="F17" s="457"/>
      <c r="G17" s="138"/>
    </row>
    <row r="18" spans="1:11" ht="10.5" customHeight="1" x14ac:dyDescent="0.3">
      <c r="A18" s="138"/>
      <c r="B18" s="138"/>
      <c r="C18" s="376"/>
      <c r="D18" s="138"/>
      <c r="E18" s="138"/>
      <c r="F18" s="138"/>
      <c r="G18" s="138"/>
    </row>
    <row r="19" spans="1:11" ht="15.6" x14ac:dyDescent="0.3">
      <c r="A19" s="138"/>
      <c r="B19" s="138"/>
      <c r="C19" s="138"/>
      <c r="D19" s="333" t="s">
        <v>130</v>
      </c>
      <c r="E19" s="333" t="s">
        <v>11</v>
      </c>
      <c r="F19" s="138"/>
      <c r="G19" s="138"/>
    </row>
    <row r="20" spans="1:11" ht="15.6" x14ac:dyDescent="0.3">
      <c r="A20" s="333" t="s">
        <v>87</v>
      </c>
      <c r="B20" s="387" t="s">
        <v>96</v>
      </c>
      <c r="C20" s="387" t="s">
        <v>25</v>
      </c>
      <c r="D20" s="388">
        <v>40</v>
      </c>
      <c r="E20" s="388">
        <v>130</v>
      </c>
      <c r="F20" s="387" t="s">
        <v>269</v>
      </c>
      <c r="G20" s="138"/>
      <c r="J20" s="379" t="s">
        <v>130</v>
      </c>
      <c r="K20" s="379" t="s">
        <v>11</v>
      </c>
    </row>
    <row r="21" spans="1:11" ht="15.6" x14ac:dyDescent="0.3">
      <c r="A21" s="380" t="s">
        <v>270</v>
      </c>
      <c r="B21" s="389">
        <f t="shared" ref="B21" si="2">I21</f>
        <v>1</v>
      </c>
      <c r="C21" s="389"/>
      <c r="D21" s="389">
        <f>LOOKUP(F14,REGLAS!$D$4:$D$37,REGLAS!$B$4:$B$37)+J21</f>
        <v>1840</v>
      </c>
      <c r="E21" s="389">
        <f>LOOKUP(F14,REGLAS!$D$4:$D$37,REGLAS!$C$4:$C$37)+K21</f>
        <v>630</v>
      </c>
      <c r="F21" s="390" t="str">
        <f>C27</f>
        <v>CUB C/R R8</v>
      </c>
      <c r="G21" s="138"/>
      <c r="I21" s="384">
        <f>B27</f>
        <v>1</v>
      </c>
      <c r="J21" s="150">
        <f>D27</f>
        <v>1800</v>
      </c>
      <c r="K21" s="150">
        <f>E27</f>
        <v>500</v>
      </c>
    </row>
    <row r="22" spans="1:11" ht="15.6" x14ac:dyDescent="0.3">
      <c r="A22" s="391"/>
      <c r="B22" s="52"/>
      <c r="C22" s="52"/>
      <c r="D22" s="52"/>
      <c r="E22" s="52"/>
      <c r="F22" s="52"/>
      <c r="G22" s="138"/>
      <c r="I22" s="386"/>
      <c r="J22" s="6"/>
      <c r="K22" s="6"/>
    </row>
    <row r="23" spans="1:11" ht="16.2" thickBot="1" x14ac:dyDescent="0.35">
      <c r="A23" s="333"/>
      <c r="B23" s="52"/>
      <c r="C23" s="52"/>
      <c r="D23" s="52"/>
      <c r="E23" s="52"/>
      <c r="F23" s="52"/>
      <c r="G23" s="138"/>
      <c r="I23" s="6"/>
      <c r="J23" s="6"/>
      <c r="K23" s="6"/>
    </row>
    <row r="24" spans="1:11" ht="16.2" thickBot="1" x14ac:dyDescent="0.35">
      <c r="A24" s="333"/>
      <c r="B24" s="392" t="s">
        <v>271</v>
      </c>
      <c r="C24" s="393"/>
      <c r="D24" s="393"/>
      <c r="E24" s="393"/>
      <c r="F24" s="394"/>
      <c r="G24" s="138"/>
      <c r="I24" s="6"/>
      <c r="J24" s="6"/>
      <c r="K24" s="6"/>
    </row>
    <row r="25" spans="1:11" ht="10.5" customHeight="1" x14ac:dyDescent="0.3">
      <c r="A25" s="138"/>
      <c r="B25" s="138"/>
      <c r="C25" s="138"/>
      <c r="D25" s="138"/>
      <c r="E25" s="138"/>
      <c r="F25" s="138"/>
      <c r="G25" s="138"/>
    </row>
    <row r="26" spans="1:11" ht="15.6" x14ac:dyDescent="0.3">
      <c r="A26" s="333" t="s">
        <v>87</v>
      </c>
      <c r="B26" s="395" t="s">
        <v>96</v>
      </c>
      <c r="C26" s="395" t="s">
        <v>269</v>
      </c>
      <c r="D26" s="395" t="s">
        <v>130</v>
      </c>
      <c r="E26" s="395" t="s">
        <v>11</v>
      </c>
      <c r="F26" s="395" t="s">
        <v>8</v>
      </c>
      <c r="G26" s="138"/>
    </row>
    <row r="27" spans="1:11" ht="15.6" x14ac:dyDescent="0.3">
      <c r="A27" s="380" t="s">
        <v>31</v>
      </c>
      <c r="B27" s="381">
        <f>'[1]4637'!B21</f>
        <v>1</v>
      </c>
      <c r="C27" s="383" t="str">
        <f>'[1]4637'!C21</f>
        <v>CUB C/R R8</v>
      </c>
      <c r="D27" s="381">
        <f>'[1]4637'!D21</f>
        <v>1800</v>
      </c>
      <c r="E27" s="381">
        <f>'[1]4637'!E21</f>
        <v>500</v>
      </c>
      <c r="F27" s="381" t="str">
        <f>'[1]4637'!F21</f>
        <v>LATE 2167 MT</v>
      </c>
      <c r="G27" s="138"/>
    </row>
    <row r="28" spans="1:11" ht="15.6" x14ac:dyDescent="0.3">
      <c r="A28" s="391"/>
      <c r="B28" s="52"/>
      <c r="C28" s="52"/>
      <c r="D28" s="52"/>
      <c r="E28" s="52"/>
      <c r="F28" s="52"/>
      <c r="G28" s="138"/>
    </row>
    <row r="29" spans="1:11" ht="15.6" x14ac:dyDescent="0.3">
      <c r="A29" s="333"/>
      <c r="B29" s="52"/>
      <c r="C29" s="52"/>
      <c r="D29" s="52"/>
      <c r="E29" s="52"/>
      <c r="F29" s="52"/>
      <c r="G29" s="138"/>
    </row>
    <row r="30" spans="1:11" ht="15.6" x14ac:dyDescent="0.3">
      <c r="A30" s="138"/>
      <c r="B30" s="52"/>
      <c r="C30" s="52"/>
      <c r="D30" s="52"/>
      <c r="E30" s="52"/>
      <c r="F30" s="52"/>
      <c r="G30" s="138"/>
    </row>
    <row r="31" spans="1:11" ht="15.6" x14ac:dyDescent="0.3">
      <c r="A31" s="138"/>
      <c r="B31" s="52"/>
      <c r="C31" s="52"/>
      <c r="D31" s="52"/>
      <c r="E31" s="52"/>
      <c r="F31" s="52"/>
      <c r="G31" s="138"/>
    </row>
    <row r="32" spans="1:11" ht="15.6" x14ac:dyDescent="0.3">
      <c r="A32" s="138"/>
      <c r="B32" s="52"/>
      <c r="C32" s="52"/>
      <c r="D32" s="52"/>
      <c r="E32" s="52"/>
      <c r="F32" s="52"/>
      <c r="G32" s="138"/>
    </row>
    <row r="33" spans="1:7" ht="15.6" x14ac:dyDescent="0.3">
      <c r="A33" s="138"/>
      <c r="B33" s="52"/>
      <c r="C33" s="52"/>
      <c r="D33" s="52"/>
      <c r="E33" s="52"/>
      <c r="F33" s="52"/>
      <c r="G33" s="138"/>
    </row>
    <row r="34" spans="1:7" ht="15.6" x14ac:dyDescent="0.3">
      <c r="A34" s="138"/>
      <c r="B34" s="52"/>
      <c r="C34" s="52"/>
      <c r="D34" s="52"/>
      <c r="E34" s="52"/>
      <c r="F34" s="52"/>
      <c r="G34" s="138"/>
    </row>
    <row r="35" spans="1:7" ht="15.6" x14ac:dyDescent="0.3">
      <c r="A35" s="138"/>
      <c r="B35" s="52"/>
      <c r="C35" s="52"/>
      <c r="D35" s="52"/>
      <c r="E35" s="52"/>
      <c r="F35" s="52"/>
      <c r="G35" s="138"/>
    </row>
    <row r="36" spans="1:7" ht="15.6" x14ac:dyDescent="0.3">
      <c r="A36" s="138"/>
      <c r="B36" s="52"/>
      <c r="C36" s="52"/>
      <c r="D36" s="52"/>
      <c r="E36" s="52"/>
      <c r="F36" s="52"/>
      <c r="G36" s="138"/>
    </row>
    <row r="37" spans="1:7" ht="15.6" x14ac:dyDescent="0.3">
      <c r="A37" s="138"/>
      <c r="B37" s="52"/>
      <c r="C37" s="52"/>
      <c r="D37" s="52"/>
      <c r="E37" s="52"/>
      <c r="F37" s="52"/>
      <c r="G37" s="138"/>
    </row>
    <row r="38" spans="1:7" ht="15.6" x14ac:dyDescent="0.3">
      <c r="A38" s="138"/>
      <c r="B38" s="138"/>
      <c r="C38" s="138"/>
      <c r="D38" s="138"/>
      <c r="E38" s="138"/>
      <c r="F38" s="138"/>
      <c r="G38" s="138"/>
    </row>
    <row r="39" spans="1:7" ht="15.6" x14ac:dyDescent="0.3">
      <c r="A39" s="138"/>
      <c r="B39" s="138"/>
      <c r="C39" s="370" t="s">
        <v>165</v>
      </c>
      <c r="D39" s="140">
        <f>'[1]4637'!G8</f>
        <v>7332</v>
      </c>
      <c r="E39" s="138"/>
      <c r="F39" s="138"/>
      <c r="G39" s="138"/>
    </row>
    <row r="40" spans="1:7" ht="17.25" customHeight="1" x14ac:dyDescent="0.3">
      <c r="A40" s="138"/>
      <c r="B40" s="138"/>
      <c r="C40" s="371" t="s">
        <v>267</v>
      </c>
      <c r="D40" s="372" t="str">
        <f>'[1]4637'!C10</f>
        <v>FMR MAKING SPA</v>
      </c>
      <c r="E40" s="320"/>
      <c r="F40" s="320"/>
      <c r="G40" s="138"/>
    </row>
    <row r="41" spans="1:7" ht="4.5" customHeight="1" x14ac:dyDescent="0.3">
      <c r="A41" s="138"/>
      <c r="B41" s="138"/>
      <c r="C41" s="373"/>
      <c r="D41" s="374"/>
      <c r="E41" s="138"/>
      <c r="F41" s="138"/>
      <c r="G41" s="138"/>
    </row>
    <row r="42" spans="1:7" ht="15.6" x14ac:dyDescent="0.3">
      <c r="A42" s="138"/>
      <c r="B42" s="138"/>
      <c r="C42" s="396" t="str">
        <f>'[1]4637'!F11</f>
        <v>FECHA LIMITE :</v>
      </c>
      <c r="D42" s="375">
        <f>'[1]4637'!G11</f>
        <v>45996</v>
      </c>
      <c r="E42" s="138"/>
      <c r="F42" s="138"/>
      <c r="G42" s="138"/>
    </row>
    <row r="43" spans="1:7" ht="15.6" x14ac:dyDescent="0.3">
      <c r="A43" s="138"/>
      <c r="B43" s="138"/>
      <c r="C43" s="138"/>
      <c r="D43" s="138"/>
      <c r="E43" s="138"/>
      <c r="F43" s="138"/>
      <c r="G43" s="138"/>
    </row>
    <row r="44" spans="1:7" ht="15.6" x14ac:dyDescent="0.3">
      <c r="A44" s="138"/>
      <c r="B44" s="138"/>
      <c r="C44" s="138"/>
      <c r="D44" s="138"/>
      <c r="E44" s="138"/>
      <c r="F44" s="138"/>
      <c r="G44" s="138"/>
    </row>
    <row r="45" spans="1:7" ht="15.6" x14ac:dyDescent="0.3">
      <c r="A45" s="457" t="s">
        <v>272</v>
      </c>
      <c r="B45" s="457"/>
      <c r="C45" s="457"/>
      <c r="D45" s="457"/>
      <c r="E45" s="457"/>
      <c r="F45" s="457"/>
      <c r="G45" s="138"/>
    </row>
    <row r="46" spans="1:7" ht="15.6" x14ac:dyDescent="0.3">
      <c r="A46" s="138"/>
      <c r="B46" s="138"/>
      <c r="C46" s="138"/>
      <c r="D46" s="138"/>
      <c r="E46" s="138"/>
      <c r="F46" s="138"/>
      <c r="G46" s="138"/>
    </row>
    <row r="47" spans="1:7" ht="15.75" customHeight="1" x14ac:dyDescent="0.3">
      <c r="A47" s="138"/>
      <c r="B47" s="452" t="s">
        <v>95</v>
      </c>
      <c r="C47" s="453"/>
      <c r="D47" s="454"/>
      <c r="E47" s="454"/>
      <c r="F47" s="455"/>
      <c r="G47" s="138"/>
    </row>
    <row r="48" spans="1:7" s="59" customFormat="1" ht="12.75" customHeight="1" x14ac:dyDescent="0.3">
      <c r="A48" s="138"/>
      <c r="B48" s="387" t="s">
        <v>96</v>
      </c>
      <c r="C48" s="397" t="s">
        <v>25</v>
      </c>
      <c r="D48" s="398" t="s">
        <v>130</v>
      </c>
      <c r="E48" s="398" t="s">
        <v>11</v>
      </c>
      <c r="F48" s="399" t="s">
        <v>273</v>
      </c>
      <c r="G48" s="138"/>
    </row>
    <row r="49" spans="1:7" s="59" customFormat="1" ht="15" customHeight="1" x14ac:dyDescent="0.3">
      <c r="A49" s="380" t="s">
        <v>274</v>
      </c>
      <c r="B49" s="400">
        <f>'[1]4637'!B21</f>
        <v>1</v>
      </c>
      <c r="C49" s="401" t="str">
        <f>'[1]4637'!C21</f>
        <v>CUB C/R R8</v>
      </c>
      <c r="D49" s="402">
        <f>'[1]4637'!D21</f>
        <v>1800</v>
      </c>
      <c r="E49" s="402">
        <f>'[1]4637'!E21</f>
        <v>500</v>
      </c>
      <c r="F49" s="400" t="str">
        <f>'[1]4637'!F21</f>
        <v>LATE 2167 MT</v>
      </c>
      <c r="G49" s="138"/>
    </row>
    <row r="50" spans="1:7" s="59" customFormat="1" ht="15" customHeight="1" x14ac:dyDescent="0.3">
      <c r="A50" s="391"/>
      <c r="B50" s="333"/>
      <c r="C50" s="403"/>
      <c r="D50" s="333"/>
      <c r="E50" s="333"/>
      <c r="F50" s="333"/>
      <c r="G50" s="138"/>
    </row>
    <row r="51" spans="1:7" s="59" customFormat="1" ht="15" customHeight="1" x14ac:dyDescent="0.3">
      <c r="A51" s="139"/>
      <c r="B51" s="333"/>
      <c r="C51" s="333"/>
      <c r="D51" s="333"/>
      <c r="E51" s="333"/>
      <c r="F51" s="333"/>
      <c r="G51" s="138"/>
    </row>
    <row r="52" spans="1:7" ht="15.6" x14ac:dyDescent="0.3">
      <c r="A52" s="52"/>
      <c r="B52" s="52"/>
      <c r="C52" s="138"/>
      <c r="D52" s="52"/>
      <c r="E52" s="52"/>
      <c r="F52" s="373"/>
      <c r="G52" s="138"/>
    </row>
    <row r="53" spans="1:7" ht="15.6" x14ac:dyDescent="0.3">
      <c r="A53" s="52"/>
      <c r="B53" s="52"/>
      <c r="C53" s="138"/>
      <c r="D53" s="52"/>
      <c r="E53" s="52"/>
      <c r="F53" s="52"/>
      <c r="G53" s="138"/>
    </row>
    <row r="54" spans="1:7" ht="15.6" x14ac:dyDescent="0.3">
      <c r="A54" s="138"/>
      <c r="B54" s="138"/>
      <c r="C54" s="138"/>
      <c r="D54" s="138"/>
      <c r="E54" s="138"/>
      <c r="F54" s="138"/>
      <c r="G54" s="138"/>
    </row>
    <row r="55" spans="1:7" ht="15.6" x14ac:dyDescent="0.3">
      <c r="A55" s="138"/>
      <c r="B55" s="138"/>
      <c r="C55" s="138"/>
      <c r="D55" s="138"/>
      <c r="E55" s="138"/>
      <c r="F55" s="138"/>
      <c r="G55" s="138"/>
    </row>
    <row r="56" spans="1:7" ht="15.6" x14ac:dyDescent="0.3">
      <c r="A56" s="138"/>
      <c r="B56" s="138"/>
      <c r="C56" s="138"/>
      <c r="D56" s="138"/>
      <c r="E56" s="138"/>
      <c r="F56" s="138"/>
      <c r="G56" s="138"/>
    </row>
    <row r="57" spans="1:7" ht="15" customHeight="1" x14ac:dyDescent="0.3">
      <c r="A57" s="138"/>
      <c r="B57" s="138"/>
      <c r="C57" s="138"/>
      <c r="D57" s="138"/>
      <c r="E57" s="138"/>
      <c r="F57" s="138"/>
      <c r="G57" s="138"/>
    </row>
    <row r="58" spans="1:7" ht="15.6" x14ac:dyDescent="0.3">
      <c r="A58" s="138"/>
      <c r="B58" s="138"/>
      <c r="C58" s="138"/>
      <c r="D58" s="138"/>
      <c r="E58" s="138"/>
      <c r="F58" s="138"/>
      <c r="G58" s="138"/>
    </row>
    <row r="59" spans="1:7" ht="15.6" x14ac:dyDescent="0.3">
      <c r="A59" s="52"/>
      <c r="B59" s="404"/>
      <c r="C59" s="138"/>
      <c r="D59" s="138"/>
      <c r="E59" s="138"/>
      <c r="F59" s="138"/>
      <c r="G59" s="138"/>
    </row>
    <row r="60" spans="1:7" ht="15.6" x14ac:dyDescent="0.3">
      <c r="A60" s="138"/>
      <c r="B60" s="138"/>
      <c r="C60" s="138"/>
      <c r="D60" s="138"/>
      <c r="E60" s="138"/>
      <c r="F60" s="138"/>
      <c r="G60" s="138"/>
    </row>
    <row r="61" spans="1:7" x14ac:dyDescent="0.3">
      <c r="B61" s="29"/>
      <c r="C61" s="29"/>
      <c r="D61" s="29"/>
      <c r="E61" s="29"/>
      <c r="F61" s="29"/>
    </row>
    <row r="62" spans="1:7" x14ac:dyDescent="0.3">
      <c r="B62" s="29"/>
      <c r="C62" s="29"/>
      <c r="E62" s="29"/>
      <c r="F62" s="29"/>
    </row>
  </sheetData>
  <mergeCells count="6">
    <mergeCell ref="B47:F47"/>
    <mergeCell ref="K3:L3"/>
    <mergeCell ref="M3:N3"/>
    <mergeCell ref="A10:F10"/>
    <mergeCell ref="A17:F17"/>
    <mergeCell ref="A45:F45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7DE25B-C0C9-4F21-A547-3E3981B81399}">
  <dimension ref="A1:M2"/>
  <sheetViews>
    <sheetView workbookViewId="0">
      <selection activeCell="M2" sqref="M2"/>
    </sheetView>
  </sheetViews>
  <sheetFormatPr baseColWidth="10" defaultRowHeight="14.4" x14ac:dyDescent="0.3"/>
  <cols>
    <col min="5" max="5" width="22" customWidth="1"/>
    <col min="6" max="6" width="24.33203125" customWidth="1"/>
    <col min="7" max="7" width="24.6640625" customWidth="1"/>
    <col min="8" max="10" width="11.5546875" style="416"/>
  </cols>
  <sheetData>
    <row r="1" spans="1:13" x14ac:dyDescent="0.3">
      <c r="A1" s="413" t="s">
        <v>275</v>
      </c>
      <c r="B1" s="414" t="s">
        <v>276</v>
      </c>
      <c r="C1" s="413" t="s">
        <v>277</v>
      </c>
      <c r="D1" s="413" t="s">
        <v>278</v>
      </c>
      <c r="E1" s="413" t="s">
        <v>279</v>
      </c>
      <c r="F1" s="413" t="s">
        <v>95</v>
      </c>
      <c r="G1" s="413" t="s">
        <v>8</v>
      </c>
      <c r="H1" s="415" t="s">
        <v>28</v>
      </c>
      <c r="I1" s="415" t="s">
        <v>51</v>
      </c>
      <c r="J1" s="415" t="s">
        <v>6</v>
      </c>
      <c r="K1" s="415" t="s">
        <v>280</v>
      </c>
      <c r="L1" s="415" t="s">
        <v>281</v>
      </c>
      <c r="M1" s="413" t="s">
        <v>282</v>
      </c>
    </row>
    <row r="2" spans="1:13" x14ac:dyDescent="0.3">
      <c r="A2">
        <f>'NOTA DE VENTA'!$G$8</f>
        <v>0</v>
      </c>
      <c r="B2" t="str">
        <f>'NOTA DE VENTA'!$D$8</f>
        <v>N° 12103</v>
      </c>
      <c r="C2" s="1">
        <f>'NOTA DE VENTA'!$G$10</f>
        <v>46135</v>
      </c>
      <c r="D2" s="1">
        <f>'NOTA DE VENTA'!$G$11</f>
        <v>46142</v>
      </c>
      <c r="E2" t="str">
        <f>'NOTA DE VENTA'!$C$10</f>
        <v>JUAN</v>
      </c>
      <c r="F2" t="str">
        <f>'NOTA DE VENTA'!$C$22</f>
        <v>CUB CON RESPALDO FTE 90°</v>
      </c>
      <c r="G2" t="str">
        <f>'NOTA DE VENTA'!$F$22</f>
        <v>NEO LUNA GRANITE</v>
      </c>
      <c r="H2" s="416">
        <f>'NOTA DE VENTA'!$H$25</f>
        <v>97165.64</v>
      </c>
      <c r="I2" s="416">
        <f>H2*0.19</f>
        <v>18461.471600000001</v>
      </c>
      <c r="J2" s="416">
        <f>I2+H2</f>
        <v>115627.1116</v>
      </c>
      <c r="L2" s="61">
        <f>J2-K2</f>
        <v>115627.1116</v>
      </c>
    </row>
  </sheetData>
  <conditionalFormatting sqref="L1">
    <cfRule type="containsBlanks" dxfId="1" priority="1">
      <formula>LEN(TRIM(L1))=0</formula>
    </cfRule>
    <cfRule type="cellIs" dxfId="0" priority="2" operator="equal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1</vt:i4>
      </vt:variant>
    </vt:vector>
  </HeadingPairs>
  <TitlesOfParts>
    <vt:vector size="7" baseType="lpstr">
      <vt:lpstr>2229</vt:lpstr>
      <vt:lpstr>COSTOS</vt:lpstr>
      <vt:lpstr>NOTA DE VENTA</vt:lpstr>
      <vt:lpstr>REGLAS</vt:lpstr>
      <vt:lpstr>PRODUCCION</vt:lpstr>
      <vt:lpstr>SEGUIMIENTO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franco donoso</cp:lastModifiedBy>
  <cp:lastPrinted>2026-04-24T19:43:22Z</cp:lastPrinted>
  <dcterms:created xsi:type="dcterms:W3CDTF">2013-03-18T13:35:42Z</dcterms:created>
  <dcterms:modified xsi:type="dcterms:W3CDTF">2026-04-24T20:21:39Z</dcterms:modified>
</cp:coreProperties>
</file>