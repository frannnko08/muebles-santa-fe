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811BA1D2-B87A-44AA-80F8-EDEC922B1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H21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<sst xmlns="http://schemas.openxmlformats.org/spreadsheetml/2006/main" count="486" uniqueCount="295">
  <si>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</si>
  <si>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</si>
  <si>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</si>
  <si>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</si>
  <si>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</si>
  <si>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</si>
  <si>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</si>
  <si>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</si>
  <si>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</si>
  <si>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</si>
  <si>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</si>
  <si>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</si>
  <si>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</si>
  <si>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</si>
  <si>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</si>
  <si>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</si>
  <si>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</si>
  <si>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</si>
  <si>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</si>
  <si>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</si>
  <si>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</si>
  <si>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</si>
  <si>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</si>
  <si>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</si>
  <si>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</si>
  <si>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</si>
  <si>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</si>
  <si>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</si>
  <si>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</si>
  <si>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</si>
  <si>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</si>
  <si>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</si>
  <si>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</si>
  <si>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</si>
  <si>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</si>
  <si>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</si>
  <si>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</si>
  <si>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</si>
  <si>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</si>
  <si>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</si>
  <si>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</si>
  <si>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</si>
  <si>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</si>
  <si>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</si>
  <si>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</si>
  <si>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</si>
  <si>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</si>
  <si>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</si>
  <si>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</si>
  <si>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</si>
  <si>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</si>
  <si>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</si>
  <si>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</si>
  <si>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</si>
  <si>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</si>
  <si>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</si>
  <si>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</si>
  <si>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</si>
  <si>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</si>
  <si>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</si>
  <si>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</si>
  <si>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</si>
  <si>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</si>
  <si>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</si>
  <si>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</si>
  <si>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</si>
  <si>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</si>
  <si>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</si>
  <si>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</si>
  <si>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</si>
  <si>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</si>
  <si>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</si>
  <si>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</si>
  <si>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</si>
  <si>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</si>
  <si>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</si>
  <si>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</si>
  <si>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</si>
  <si>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</si>
  <si>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</si>
  <si>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</si>
  <si>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</si>
  <si>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</si>
  <si>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</si>
  <si>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</si>
  <si>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</si>
  <si>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</si>
  <si>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</si>
  <si>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</si>
  <si>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</si>
  <si>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</si>
  <si>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</si>
  <si>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</si>
  <si>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</si>
  <si>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</si>
  <si>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</si>
  <si>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</si>
  <si>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</si>
  <si>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</si>
  <si>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</si>
  <si>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</si>
  <si>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</si>
  <si>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</si>
  <si>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</si>
  <si>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</si>
  <si>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</si>
  <si>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</si>
  <si>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</si>
  <si>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</si>
  <si>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</si>
  <si>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</si>
  <si>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</si>
  <si>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</si>
  <si>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</si>
  <si>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</si>
  <si>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</si>
  <si>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</si>
  <si>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</si>
  <si>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</si>
  <si>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</si>
  <si>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</si>
  <si>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</si>
  <si>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</si>
  <si>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</si>
  <si>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</si>
  <si>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</si>
  <si>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</si>
  <si>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</si>
  <si>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</si>
  <si>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</si>
  <si>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</si>
  <si>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</si>
  <si>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</si>
  <si>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</si>
  <si>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</si>
  <si>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</si>
  <si>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</si>
  <si>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</si>
  <si>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</si>
  <si>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</si>
  <si>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</si>
  <si>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</si>
  <si>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</si>
  <si>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</si>
  <si>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</si>
  <si>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</si>
  <si>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</si>
  <si>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</si>
  <si>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</si>
  <si>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</si>
  <si>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</si>
  <si>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</si>
  <si>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</si>
  <si>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</si>
  <si>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</si>
  <si>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</si>
  <si>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</si>
  <si>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</si>
  <si>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</si>
  <si>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</si>
  <si>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</si>
  <si>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</si>
  <si>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</si>
  <si>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</si>
  <si>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</si>
  <si>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</si>
  <si>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</si>
  <si>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</si>
  <si>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</si>
  <si>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</si>
  <si>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</si>
  <si>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</si>
  <si>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</si>
  <si>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</si>
  <si>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</si>
  <si>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</si>
  <si>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</si>
  <si>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</si>
  <si>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</si>
  <si>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</si>
  <si>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</si>
  <si>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</si>
  <si>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</si>
  <si>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</si>
  <si>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</si>
  <si>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</si>
  <si>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</si>
  <si>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</si>
  <si>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</si>
  <si>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</si>
  <si>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</si>
  <si>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</si>
  <si>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</si>
  <si>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</si>
  <si>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</si>
  <si>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</si>
  <si>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</si>
  <si>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</si>
  <si>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</si>
  <si>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</si>
  <si>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</si>
  <si>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</si>
  <si>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</si>
  <si>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</si>
  <si>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</si>
  <si>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</si>
  <si>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</si>
  <si>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</si>
  <si>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</si>
  <si>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</si>
  <si>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</si>
  <si>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</si>
  <si>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</si>
  <si>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</si>
  <si>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</si>
  <si>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</si>
  <si>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</si>
  <si>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</si>
  <si>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</si>
  <si>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</si>
  <si>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</si>
  <si>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</si>
  <si>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</si>
  <si>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</si>
  <si>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</si>
  <si>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</si>
  <si>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</si>
  <si>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</si>
  <si>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</si>
  <si>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</si>
  <si>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</si>
  <si>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</si>
  <si>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</si>
  <si>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</si>
  <si>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</si>
  <si>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</si>
  <si>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</si>
  <si>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</si>
  <si>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</si>
  <si>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</si>
  <si>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</si>
  <si>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</si>
  <si>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</si>
  <si>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</si>
  <si>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</si>
  <si>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</si>
  <si>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</si>
  <si>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</si>
  <si>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</si>
  <si>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</si>
  <si>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</si>
  <si>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</si>
  <si>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</si>
  <si>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</si>
  <si>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</si>
  <si>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</si>
  <si>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</si>
  <si>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</si>
  <si>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</si>
  <si>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</si>
  <si>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</si>
  <si>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</si>
  <si>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</si>
  <si>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</si>
  <si>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</si>
  <si>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</si>
  <si>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</si>
  <si>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</si>
  <si>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</si>
  <si>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</si>
  <si>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</si>
  <si>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</si>
  <si>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</si>
  <si>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</si>
  <si>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</si>
  <si>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</si>
  <si>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</si>
  <si>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</si>
  <si>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</si>
  <si>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</si>
  <si>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</si>
  <si>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</si>
  <si>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</si>
  <si>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</si>
  <si>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</si>
  <si>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</si>
  <si>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</si>
  <si>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</si>
  <si>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</si>
  <si>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3 a 5 DIAS HÁBILES</t>
  </si>
  <si>
    <t>CRISTIAN QUIROZ</t>
  </si>
  <si>
    <t>CUB CON RESPALDO FTE 180°</t>
  </si>
  <si>
    <t>BLANCO STOCK</t>
  </si>
  <si>
    <t>+569 94424631</t>
  </si>
  <si>
    <t>N° 12093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</si>
</sst>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J16" sqref="J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290</v>
      </c>
      <c r="D10" s="243"/>
      <c r="E10" s="243"/>
      <c r="F10" s="418" t="s">
        <v>275</v>
      </c>
      <c r="G10" s="275">
        <v>46125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289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38"/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67977.864077669903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291</v>
      </c>
      <c r="D21" s="434">
        <v>0.98</v>
      </c>
      <c r="E21" s="434">
        <v>0.6</v>
      </c>
      <c r="F21" s="435" t="s">
        <v>292</v>
      </c>
      <c r="G21" s="436">
        <v>42019</v>
      </c>
      <c r="H21" s="437">
        <f>G21*B21</f>
        <v>42019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1.03</v>
      </c>
      <c r="N21" s="39">
        <f t="shared" ref="N21" si="2">E21+$N$19</f>
        <v>0.6</v>
      </c>
      <c r="O21" s="260">
        <f t="shared" ref="O21" si="3">M21*N21</f>
        <v>0.61799999999999999</v>
      </c>
      <c r="P21" s="258">
        <f t="shared" ref="P21" si="4">O21*L21</f>
        <v>0.61799999999999999</v>
      </c>
      <c r="Q21" s="251">
        <f t="shared" ref="Q21" si="5">Q$20*O21</f>
        <v>42010.32</v>
      </c>
      <c r="R21" s="305">
        <f t="shared" ref="R21" si="6">Q21+R$20</f>
        <v>45010.32</v>
      </c>
      <c r="S21" s="290">
        <f>M21*L21*2</f>
        <v>2.06</v>
      </c>
      <c r="T21" s="46">
        <f>N21*L21*2</f>
        <v>1.2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v>42019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7983.61</v>
      </c>
      <c r="I24" s="308"/>
      <c r="J24" s="264"/>
      <c r="K24" s="47"/>
      <c r="L24" s="431">
        <f>M24*10</f>
        <v>10.3</v>
      </c>
      <c r="M24" s="39">
        <f>SUM(M21:M23)</f>
        <v>1.03</v>
      </c>
      <c r="N24" s="12"/>
      <c r="O24" s="12"/>
      <c r="P24" s="252">
        <f>SUM(P21:P21)</f>
        <v>0.61799999999999999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50002.61</v>
      </c>
      <c r="I25" s="308"/>
      <c r="J25" s="264"/>
      <c r="K25" s="47"/>
      <c r="L25" s="47"/>
      <c r="M25" s="39"/>
      <c r="N25" s="12"/>
      <c r="O25" s="12"/>
      <c r="P25" s="252">
        <f>P24</f>
        <v>0.61799999999999999</v>
      </c>
      <c r="Q25" s="14"/>
      <c r="R25" s="12"/>
      <c r="S25" s="239">
        <f>SUM(S21:S24)</f>
        <v>2.06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0.1236</v>
      </c>
      <c r="Q26" s="39" t="s">
        <v>128</v>
      </c>
      <c r="R26" s="42"/>
      <c r="S26" s="240">
        <f>S25+T23</f>
        <v>3.26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0.74160000000000004</v>
      </c>
      <c r="Q27" s="14"/>
      <c r="R27" s="14"/>
      <c r="S27" s="238">
        <f>S26*20%</f>
        <v>0.65200000000000002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3.9119999999999999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0.74160000000000004</v>
      </c>
      <c r="N29" s="12">
        <v>3500</v>
      </c>
      <c r="O29" s="12">
        <f t="shared" ref="O29:O34" si="7">M29*N29</f>
        <v>2595.6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0.2</v>
      </c>
      <c r="N30" s="12">
        <v>25000</v>
      </c>
      <c r="O30" s="12">
        <f t="shared" si="7"/>
        <v>5000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10000</v>
      </c>
      <c r="O32" s="12">
        <f t="shared" si="7"/>
        <v>10000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1</v>
      </c>
      <c r="N34" s="12">
        <v>1500</v>
      </c>
      <c r="O34" s="12">
        <f t="shared" si="7"/>
        <v>1500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19095.599999999999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42010.32</v>
      </c>
      <c r="P36" s="14" t="s">
        <v>137</v>
      </c>
      <c r="Q36" s="14"/>
      <c r="R36" s="40">
        <f>P27/R35</f>
        <v>0.19995685936151855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67977.864077669903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46125</v>
      </c>
    </row>
    <row r="6" spans="2:31" ht="16.2" thickBot="1" x14ac:dyDescent="0.35">
      <c r="B6" s="140" t="s">
        <v>2</v>
      </c>
      <c r="C6" s="139" t="str">
        <f>'2229'!C10</f>
        <v>CRISTIAN QUIROZ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12093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3289.998299879227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42019</v>
      </c>
      <c r="E11" s="132">
        <f>D11*0.19</f>
        <v>7983.61</v>
      </c>
      <c r="F11" s="131">
        <f>E11+D11</f>
        <v>50002.61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109279.99829987923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37429.690787439613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91279.998299879226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4589.3092125603871</v>
      </c>
      <c r="E13" s="221">
        <f>(D11/D12)-1</f>
        <v>0.1226114647492742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82279.998299879226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43279.998299879226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61758.989799275361</v>
      </c>
      <c r="F15" s="216">
        <f>E15-D12</f>
        <v>24329.299011835748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43279.998299879226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83279.998299879226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2595.6</v>
      </c>
      <c r="E20" s="121">
        <f>D20*0.19</f>
        <v>493.16399999999999</v>
      </c>
      <c r="F20" s="120">
        <f>SUM(D20:E20)</f>
        <v>3088.7640000000001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7595.6</v>
      </c>
      <c r="E21" s="116">
        <f>SUM(E18:E20)</f>
        <v>1443.164</v>
      </c>
      <c r="F21" s="115">
        <f>SUM(F18:F20)</f>
        <v>9038.7639999999992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6540.4459999999999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42019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7595.6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4589.3092125603871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4589.3092125603871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12093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CRISTIAN QUIROZ</v>
      </c>
      <c r="D10" s="350"/>
      <c r="E10" s="350"/>
      <c r="F10" s="351" t="s">
        <v>165</v>
      </c>
      <c r="G10" s="352">
        <f>'2229'!G10</f>
        <v>46125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46132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+569 94424631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CRISTIAN QUIROZ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46125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46132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12093</v>
      </c>
      <c r="C2" s="1">
        <f>'NOTA DE VENTA'!$G$10</f>
        <v>46125</v>
      </c>
      <c r="D2" s="1">
        <f>'NOTA DE VENTA'!$G$11</f>
        <v>46132</v>
      </c>
      <c r="E2" t="str">
        <f>'NOTA DE VENTA'!$C$10</f>
        <v>CRISTIAN QUIROZ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2026-04-13T18:37:52Z</cp:lastPrinted>
  <dcterms:created xsi:type="dcterms:W3CDTF">2013-03-18T13:35:42Z</dcterms:created>
  <dcterms:modified xsi:type="dcterms:W3CDTF">2026-04-14T14:03:49Z</dcterms:modified>
</cp:coreProperties>
</file>