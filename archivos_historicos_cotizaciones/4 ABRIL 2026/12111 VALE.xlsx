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8_{6065397D-9866-41C8-AF8C-F36976535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L22" i="1"/>
  <c r="M22" i="1"/>
  <c r="S22" i="1" s="1"/>
  <c r="N22" i="1"/>
  <c r="L21" i="1"/>
  <c r="O22" i="1" l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O41" i="1"/>
  <c r="E15" i="3"/>
  <c r="R22" i="1" l="1"/>
  <c r="G22" i="1"/>
  <c r="H22" i="1" s="1"/>
  <c r="Q21" i="1"/>
  <c r="G21" i="1" s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<sst xmlns="http://schemas.openxmlformats.org/spreadsheetml/2006/main" count="490" uniqueCount="297">
  <si>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</si>
  <si>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</si>
  <si>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</si>
  <si>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</si>
  <si>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</si>
  <si>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</si>
  <si>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</si>
  <si>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</si>
  <si>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</si>
  <si>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</si>
  <si>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</si>
  <si>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</si>
  <si>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</si>
  <si>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</si>
  <si>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</si>
  <si>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</si>
  <si>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</si>
  <si>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</si>
  <si>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</si>
  <si>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</si>
  <si>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</si>
  <si>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</si>
  <si>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</si>
  <si>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</si>
  <si>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</si>
  <si>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</si>
  <si>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</si>
  <si>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</si>
  <si>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</si>
  <si>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</si>
  <si>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</si>
  <si>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</si>
  <si>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</si>
  <si>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</si>
  <si>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</si>
  <si>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</si>
  <si>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</si>
  <si>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</si>
  <si>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</si>
  <si>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</si>
  <si>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</si>
  <si>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</si>
  <si>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</si>
  <si>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</si>
  <si>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</si>
  <si>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</si>
  <si>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</si>
  <si>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</si>
  <si>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</si>
  <si>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</si>
  <si>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</si>
  <si>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</si>
  <si>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</si>
  <si>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</si>
  <si>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</si>
  <si>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</si>
  <si>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</si>
  <si>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</si>
  <si>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</si>
  <si>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</si>
  <si>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</si>
  <si>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</si>
  <si>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</si>
  <si>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</si>
  <si>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</si>
  <si>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</si>
  <si>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</si>
  <si>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</si>
  <si>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</si>
  <si>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</si>
  <si>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</si>
  <si>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</si>
  <si>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</si>
  <si>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</si>
  <si>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</si>
  <si>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</si>
  <si>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</si>
  <si>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</si>
  <si>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</si>
  <si>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</si>
  <si>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</si>
  <si>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</si>
  <si>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</si>
  <si>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</si>
  <si>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</si>
  <si>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</si>
  <si>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</si>
  <si>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</si>
  <si>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</si>
  <si>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</si>
  <si>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</si>
  <si>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</si>
  <si>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</si>
  <si>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</si>
  <si>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</si>
  <si>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</si>
  <si>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</si>
  <si>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</si>
  <si>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</si>
  <si>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</si>
  <si>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</si>
  <si>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</si>
  <si>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</si>
  <si>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</si>
  <si>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</si>
  <si>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</si>
  <si>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</si>
  <si>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</si>
  <si>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</si>
  <si>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</si>
  <si>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</si>
  <si>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</si>
  <si>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</si>
  <si>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</si>
  <si>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</si>
  <si>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</si>
  <si>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</si>
  <si>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</si>
  <si>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</si>
  <si>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</si>
  <si>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</si>
  <si>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</si>
  <si>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</si>
  <si>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</si>
  <si>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</si>
  <si>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</si>
  <si>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</si>
  <si>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</si>
  <si>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</si>
  <si>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</si>
  <si>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</si>
  <si>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</si>
  <si>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</si>
  <si>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</si>
  <si>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</si>
  <si>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</si>
  <si>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</si>
  <si>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</si>
  <si>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</si>
  <si>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</si>
  <si>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</si>
  <si>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</si>
  <si>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</si>
  <si>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</si>
  <si>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</si>
  <si>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</si>
  <si>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</si>
  <si>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</si>
  <si>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</si>
  <si>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</si>
  <si>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</si>
  <si>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</si>
  <si>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</si>
  <si>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</si>
  <si>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</si>
  <si>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</si>
  <si>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</si>
  <si>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</si>
  <si>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</si>
  <si>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</si>
  <si>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</si>
  <si>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</si>
  <si>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</si>
  <si>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</si>
  <si>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</si>
  <si>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</si>
  <si>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</si>
  <si>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</si>
  <si>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</si>
  <si>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</si>
  <si>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</si>
  <si>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</si>
  <si>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</si>
  <si>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</si>
  <si>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</si>
  <si>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</si>
  <si>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</si>
  <si>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</si>
  <si>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</si>
  <si>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</si>
  <si>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</si>
  <si>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</si>
  <si>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</si>
  <si>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</si>
  <si>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</si>
  <si>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</si>
  <si>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</si>
  <si>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</si>
  <si>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</si>
  <si>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</si>
  <si>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</si>
  <si>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</si>
  <si>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</si>
  <si>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</si>
  <si>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</si>
  <si>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</si>
  <si>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</si>
  <si>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</si>
  <si>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</si>
  <si>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</si>
  <si>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</si>
  <si>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</si>
  <si>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</si>
  <si>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</si>
  <si>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</si>
  <si>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</si>
  <si>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</si>
  <si>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</si>
  <si>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</si>
  <si>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</si>
  <si>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</si>
  <si>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</si>
  <si>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</si>
  <si>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</si>
  <si>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</si>
  <si>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</si>
  <si>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</si>
  <si>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</si>
  <si>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</si>
  <si>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</si>
  <si>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</si>
  <si>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</si>
  <si>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</si>
  <si>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</si>
  <si>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</si>
  <si>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</si>
  <si>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</si>
  <si>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</si>
  <si>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</si>
  <si>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</si>
  <si>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</si>
  <si>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</si>
  <si>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</si>
  <si>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</si>
  <si>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</si>
  <si>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</si>
  <si>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</si>
  <si>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</si>
  <si>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</si>
  <si>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</si>
  <si>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</si>
  <si>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</si>
  <si>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</si>
  <si>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</si>
  <si>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</si>
  <si>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</si>
  <si>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</si>
  <si>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</si>
  <si>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</si>
  <si>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</si>
  <si>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</si>
  <si>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</si>
  <si>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</si>
  <si>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</si>
  <si>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</si>
  <si>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</si>
  <si>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</si>
  <si>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</si>
  <si>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</si>
  <si>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</si>
  <si>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</si>
  <si>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</si>
  <si>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</si>
  <si>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</si>
  <si>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</si>
  <si>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</si>
  <si>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</si>
  <si>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</si>
  <si>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</si>
  <si>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</si>
  <si>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</si>
  <si>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</si>
  <si>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</si>
  <si>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</si>
  <si>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</si>
  <si>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</si>
  <si>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</si>
  <si>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</si>
  <si>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</si>
  <si>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</si>
  <si>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</si>
  <si>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</si>
  <si>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</si>
  <si>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</si>
  <si>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</si>
  <si>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</si>
  <si>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</si>
  <si>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</si>
  <si>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CUB CON RESPALDO FTE 90°</t>
  </si>
  <si>
    <t>VALE EVANS</t>
  </si>
  <si>
    <t>SANTIAGO</t>
  </si>
  <si>
    <t>SERVICIO INSTALACION</t>
  </si>
  <si>
    <t>+56 9 9895 2360</t>
  </si>
  <si>
    <t>SI</t>
  </si>
  <si>
    <t>CHAMPAÑA METALIZADO 0220 MT</t>
  </si>
  <si>
    <t>DESMONTAJE, RETIRO Y GESTION DE RESIDUOS</t>
  </si>
  <si>
    <t>N° 12111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</si>
</sst>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7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25" xfId="0" applyFont="1" applyBorder="1" applyAlignment="1">
      <alignment horizontal="center" vertical="center"/>
    </xf>
    <xf numFmtId="166" fontId="30" fillId="0" borderId="42" xfId="0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167" fontId="11" fillId="0" borderId="10" xfId="2" applyNumberFormat="1" applyFont="1" applyFill="1" applyBorder="1" applyAlignment="1">
      <alignment horizontal="center" vertical="center"/>
    </xf>
    <xf numFmtId="0" fontId="39" fillId="0" borderId="42" xfId="0" applyFont="1" applyBorder="1" applyAlignment="1">
      <alignment horizontal="left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153629</xdr:rowOff>
    </xdr:from>
    <xdr:to>
      <xdr:col>5</xdr:col>
      <xdr:colOff>1736459</xdr:colOff>
      <xdr:row>27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EL</a:t>
          </a:r>
          <a:r>
            <a:rPr lang="es-CL" sz="1200" b="1" baseline="0"/>
            <a:t> SERVICIO DE INSTALACION INCLUYE FLETE, MONTURA DE CUBIERTAS, CORTES DESFONDADOS, CORTES A LA MEDIDA Y ENCHAPADOS. NO INCLUYE SERVICIOS DE GASFITERIA.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B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46142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293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293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292</v>
      </c>
      <c r="D15" s="424"/>
      <c r="F15" s="29" t="s">
        <v>284</v>
      </c>
      <c r="G15" s="75" t="s">
        <v>293</v>
      </c>
      <c r="H15" s="421"/>
    </row>
    <row r="16" spans="2:24" x14ac:dyDescent="0.3">
      <c r="B16" s="301" t="s">
        <v>3</v>
      </c>
      <c r="C16" s="433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290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6" t="s">
        <v>95</v>
      </c>
      <c r="C19" s="447"/>
      <c r="D19" s="447"/>
      <c r="E19" s="447"/>
      <c r="F19" s="447"/>
      <c r="G19" s="447"/>
      <c r="H19" s="448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75261.438515081216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1">
        <v>1</v>
      </c>
      <c r="C21" s="430" t="s">
        <v>288</v>
      </c>
      <c r="D21" s="431">
        <v>3.24</v>
      </c>
      <c r="E21" s="431">
        <v>0.5</v>
      </c>
      <c r="F21" s="312" t="s">
        <v>294</v>
      </c>
      <c r="G21" s="313">
        <f>Q21</f>
        <v>124933.98793503483</v>
      </c>
      <c r="H21" s="432">
        <f>G21*B21</f>
        <v>124933.98793503483</v>
      </c>
      <c r="I21" s="305"/>
      <c r="J21" s="264"/>
      <c r="K21" s="47"/>
      <c r="L21" s="47">
        <f>B21</f>
        <v>1</v>
      </c>
      <c r="M21" s="39">
        <f>D21+M$19</f>
        <v>3.3200000000000003</v>
      </c>
      <c r="N21" s="39">
        <f>E21+$N$19</f>
        <v>0.5</v>
      </c>
      <c r="O21" s="260">
        <f t="shared" ref="O21" si="0">M21*N21</f>
        <v>1.6600000000000001</v>
      </c>
      <c r="P21" s="258">
        <f t="shared" ref="P21" si="1">O21*L21</f>
        <v>1.6600000000000001</v>
      </c>
      <c r="Q21" s="251">
        <f t="shared" ref="Q21" si="2">Q$20*O21</f>
        <v>124933.98793503483</v>
      </c>
      <c r="R21" s="304">
        <f t="shared" ref="R21" si="3">Q21+R$20</f>
        <v>127933.98793503483</v>
      </c>
      <c r="S21" s="290">
        <f>M21*L21</f>
        <v>3.3200000000000003</v>
      </c>
      <c r="T21" s="46">
        <f>N21*2*L21*2</f>
        <v>2</v>
      </c>
      <c r="U21" s="9"/>
      <c r="X21" s="4"/>
    </row>
    <row r="22" spans="2:25" ht="17.399999999999999" x14ac:dyDescent="0.3">
      <c r="B22" s="438">
        <v>1</v>
      </c>
      <c r="C22" s="435" t="s">
        <v>288</v>
      </c>
      <c r="D22" s="436">
        <v>0.91</v>
      </c>
      <c r="E22" s="436">
        <v>0.5</v>
      </c>
      <c r="F22" s="434" t="s">
        <v>294</v>
      </c>
      <c r="G22" s="437">
        <f t="shared" ref="G22" si="4">Q22</f>
        <v>37254.412064965203</v>
      </c>
      <c r="H22" s="439">
        <f t="shared" ref="H22" si="5">G22*B22</f>
        <v>37254.412064965203</v>
      </c>
      <c r="I22" s="305"/>
      <c r="J22" s="264"/>
      <c r="K22" s="47"/>
      <c r="L22" s="47">
        <f t="shared" ref="L22" si="6">B22</f>
        <v>1</v>
      </c>
      <c r="M22" s="39">
        <f t="shared" ref="M22" si="7">D22+M$19</f>
        <v>0.99</v>
      </c>
      <c r="N22" s="39">
        <f t="shared" ref="N22" si="8">E22+$N$19</f>
        <v>0.5</v>
      </c>
      <c r="O22" s="260">
        <f t="shared" ref="O22" si="9">M22*N22</f>
        <v>0.495</v>
      </c>
      <c r="P22" s="258">
        <f t="shared" ref="P22" si="10">O22*L22</f>
        <v>0.495</v>
      </c>
      <c r="Q22" s="251">
        <f t="shared" ref="Q22" si="11">Q$20*O22</f>
        <v>37254.412064965203</v>
      </c>
      <c r="R22" s="304">
        <f t="shared" ref="R22" si="12">Q22+R$20</f>
        <v>40254.412064965203</v>
      </c>
      <c r="S22" s="290">
        <f t="shared" ref="S22" si="13">M22*L22</f>
        <v>0.99</v>
      </c>
      <c r="T22" s="46"/>
      <c r="U22" s="9"/>
      <c r="X22" s="4"/>
    </row>
    <row r="23" spans="2:25" ht="17.399999999999999" x14ac:dyDescent="0.3">
      <c r="B23" s="469">
        <v>1</v>
      </c>
      <c r="C23" s="474" t="s">
        <v>295</v>
      </c>
      <c r="D23" s="470"/>
      <c r="E23" s="470"/>
      <c r="F23" s="471"/>
      <c r="G23" s="472">
        <v>40000</v>
      </c>
      <c r="H23" s="473">
        <f>G23*B23</f>
        <v>40000</v>
      </c>
      <c r="I23" s="305"/>
      <c r="J23" s="264"/>
      <c r="K23" s="47"/>
      <c r="L23" s="47"/>
      <c r="M23" s="39"/>
      <c r="N23" s="39"/>
      <c r="O23" s="260"/>
      <c r="P23" s="258"/>
      <c r="Q23" s="251"/>
      <c r="R23" s="304"/>
      <c r="S23" s="290"/>
      <c r="T23" s="46"/>
      <c r="U23" s="9"/>
      <c r="X23" s="4"/>
    </row>
    <row r="24" spans="2:25" ht="18" thickBot="1" x14ac:dyDescent="0.35">
      <c r="B24" s="440">
        <v>1</v>
      </c>
      <c r="C24" s="441" t="s">
        <v>291</v>
      </c>
      <c r="D24" s="442"/>
      <c r="E24" s="442"/>
      <c r="F24" s="443"/>
      <c r="G24" s="444">
        <v>150000</v>
      </c>
      <c r="H24" s="445">
        <f>G24</f>
        <v>150000</v>
      </c>
      <c r="I24" s="305"/>
      <c r="J24" s="264"/>
      <c r="K24" s="47"/>
      <c r="L24" s="47"/>
      <c r="M24" s="39"/>
      <c r="N24" s="39"/>
      <c r="O24" s="260"/>
      <c r="P24" s="258"/>
      <c r="Q24" s="251"/>
      <c r="R24" s="304"/>
      <c r="S24" s="290"/>
      <c r="T24" s="46"/>
      <c r="U24" s="9"/>
      <c r="X24" s="4"/>
    </row>
    <row r="25" spans="2:25" ht="18" thickBot="1" x14ac:dyDescent="0.35">
      <c r="B25" s="283"/>
      <c r="C25" s="324"/>
      <c r="D25" s="284"/>
      <c r="E25" s="284"/>
      <c r="F25" s="283"/>
      <c r="G25" s="264"/>
      <c r="H25" s="306"/>
      <c r="I25" s="308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09" t="s">
        <v>28</v>
      </c>
      <c r="H26" s="310">
        <f>SUM(H21:H24)</f>
        <v>352188.4</v>
      </c>
      <c r="I26" s="307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SUM(T21:T21)</f>
        <v>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66915.796000000002</v>
      </c>
      <c r="I27" s="307"/>
      <c r="J27" s="264"/>
      <c r="K27" s="47"/>
      <c r="L27" s="47"/>
      <c r="M27" s="39">
        <f>SUM(M21:M26)</f>
        <v>4.3100000000000005</v>
      </c>
      <c r="N27" s="12"/>
      <c r="O27" s="12"/>
      <c r="P27" s="252">
        <f>SUM(P21:P25)</f>
        <v>2.1550000000000002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419104.196</v>
      </c>
      <c r="I28" s="307"/>
      <c r="J28" s="264"/>
      <c r="K28" s="47"/>
      <c r="L28" s="47"/>
      <c r="M28" s="39"/>
      <c r="N28" s="12"/>
      <c r="O28" s="12"/>
      <c r="P28" s="252">
        <f>P27</f>
        <v>2.1550000000000002</v>
      </c>
      <c r="Q28" s="14"/>
      <c r="R28" s="12"/>
      <c r="S28" s="239">
        <f>SUM(S21:S27)</f>
        <v>4.3100000000000005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0.43100000000000005</v>
      </c>
      <c r="Q29" s="39" t="s">
        <v>129</v>
      </c>
      <c r="R29" s="42"/>
      <c r="S29" s="240">
        <f>S28+T26</f>
        <v>6.3100000000000005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2.5860000000000003</v>
      </c>
      <c r="Q30" s="14"/>
      <c r="R30" s="14"/>
      <c r="S30" s="238">
        <f>S29*20%</f>
        <v>1.2620000000000002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7.572000000000001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2.5860000000000003</v>
      </c>
      <c r="N32" s="12">
        <v>4000</v>
      </c>
      <c r="O32" s="12">
        <f t="shared" ref="O32:O37" si="14">M32*N32</f>
        <v>10344.000000000002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0.8</v>
      </c>
      <c r="N33" s="12">
        <v>24910</v>
      </c>
      <c r="O33" s="12">
        <f t="shared" si="14"/>
        <v>19928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58860</v>
      </c>
      <c r="O34" s="12">
        <f t="shared" si="14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37000</v>
      </c>
      <c r="O35" s="12">
        <f t="shared" si="14"/>
        <v>37000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4.3</v>
      </c>
      <c r="N37" s="12">
        <v>1500</v>
      </c>
      <c r="O37" s="12">
        <f t="shared" si="14"/>
        <v>6450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73722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162188.40000000002</v>
      </c>
      <c r="P39" s="14" t="s">
        <v>138</v>
      </c>
      <c r="Q39" s="14"/>
      <c r="R39" s="40">
        <f>P30/R38</f>
        <v>0.697260569456428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75261.438515081216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46142</v>
      </c>
    </row>
    <row r="6" spans="2:31" ht="16.2" thickBot="1" x14ac:dyDescent="0.35">
      <c r="B6" s="140" t="s">
        <v>2</v>
      </c>
      <c r="C6" s="139" t="str">
        <f>'2229'!C10</f>
        <v>VALE EVANS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0" t="s">
        <v>98</v>
      </c>
      <c r="I7" s="451"/>
      <c r="J7" s="451"/>
      <c r="K7" s="452"/>
      <c r="N7" s="75"/>
      <c r="O7" s="44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12111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-42168.891700120781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352188.4</v>
      </c>
      <c r="E11" s="132">
        <f>D11*0.19</f>
        <v>66915.796000000002</v>
      </c>
      <c r="F11" s="131">
        <f>E11+D11</f>
        <v>419104.196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63821.108299879219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60106.090787439614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45821.108299879219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292082.30921256042</v>
      </c>
      <c r="E13" s="221">
        <f>(D11/D12)-1</f>
        <v>4.8594461124661414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36821.108299879219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-2178.891700120781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99175.049799275352</v>
      </c>
      <c r="F15" s="216">
        <f>E15-D12</f>
        <v>39068.959011835737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-2178.891700120781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37821.108299879219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19928</v>
      </c>
      <c r="E19" s="123">
        <f>D19*0.19</f>
        <v>3786.32</v>
      </c>
      <c r="F19" s="120">
        <f>SUM(D19:E19)</f>
        <v>23714.32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10344.000000000002</v>
      </c>
      <c r="E20" s="121">
        <f>D20*0.19</f>
        <v>1965.3600000000004</v>
      </c>
      <c r="F20" s="120">
        <f>SUM(D20:E20)</f>
        <v>12309.360000000002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30272</v>
      </c>
      <c r="E21" s="116">
        <f>SUM(E18:E20)</f>
        <v>5751.68</v>
      </c>
      <c r="F21" s="115">
        <f>SUM(F18:F20)</f>
        <v>36023.68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61164.116000000002</v>
      </c>
    </row>
    <row r="41" spans="2:16" ht="15" thickBot="1" x14ac:dyDescent="0.35">
      <c r="H41" s="453" t="s">
        <v>60</v>
      </c>
      <c r="I41" s="454"/>
      <c r="J41" s="454"/>
      <c r="K41" s="454"/>
      <c r="L41" s="454"/>
      <c r="M41" s="45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352188.4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30272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292082.30921256042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292082.30921256042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12111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VALE EVANS</v>
      </c>
      <c r="D10" s="349"/>
      <c r="E10" s="349"/>
      <c r="F10" s="350" t="s">
        <v>167</v>
      </c>
      <c r="G10" s="351">
        <f>'2229'!G10</f>
        <v>46142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46149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SI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+56 9 9895 2360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6" t="s">
        <v>175</v>
      </c>
      <c r="G17" s="456"/>
      <c r="H17" s="45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8" t="s">
        <v>176</v>
      </c>
      <c r="C20" s="459"/>
      <c r="D20" s="459"/>
      <c r="E20" s="459"/>
      <c r="F20" s="459"/>
      <c r="G20" s="459"/>
      <c r="H20" s="460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3240</v>
      </c>
      <c r="E22" s="320">
        <f>'2229'!E21*1000</f>
        <v>500</v>
      </c>
      <c r="F22" s="321" t="str">
        <f>'2229'!F21</f>
        <v>CHAMPAÑA METALIZADO 0220 MT</v>
      </c>
      <c r="G22" s="313">
        <f>'2229'!G21</f>
        <v>124933.98793503483</v>
      </c>
      <c r="H22" s="322">
        <f>G22*B22</f>
        <v>124933.98793503483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124933.98793503483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23737.45770765662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148671.44564269145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1" t="s">
        <v>182</v>
      </c>
      <c r="C2" s="461"/>
      <c r="D2" s="461"/>
      <c r="E2" s="360"/>
      <c r="G2" s="461" t="s">
        <v>183</v>
      </c>
      <c r="H2" s="461"/>
      <c r="I2" s="461"/>
      <c r="P2" s="462" t="s">
        <v>184</v>
      </c>
      <c r="Q2" s="462"/>
      <c r="R2" s="462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62" t="s">
        <v>184</v>
      </c>
      <c r="M8" s="462"/>
      <c r="N8" s="462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7" t="s">
        <v>265</v>
      </c>
      <c r="L3" s="467"/>
      <c r="M3" s="467" t="s">
        <v>266</v>
      </c>
      <c r="N3" s="467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VALE EVANS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46142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46149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8" t="s">
        <v>265</v>
      </c>
      <c r="B10" s="468"/>
      <c r="C10" s="468"/>
      <c r="D10" s="468"/>
      <c r="E10" s="468"/>
      <c r="F10" s="468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8" t="s">
        <v>266</v>
      </c>
      <c r="B17" s="468"/>
      <c r="C17" s="468"/>
      <c r="D17" s="468"/>
      <c r="E17" s="468"/>
      <c r="F17" s="468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8" t="s">
        <v>272</v>
      </c>
      <c r="B45" s="468"/>
      <c r="C45" s="468"/>
      <c r="D45" s="468"/>
      <c r="E45" s="468"/>
      <c r="F45" s="46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3" t="s">
        <v>95</v>
      </c>
      <c r="C47" s="464"/>
      <c r="D47" s="465"/>
      <c r="E47" s="465"/>
      <c r="F47" s="466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12111</v>
      </c>
      <c r="C2" s="1">
        <f>'NOTA DE VENTA'!$G$10</f>
        <v>46142</v>
      </c>
      <c r="D2" s="1">
        <f>'NOTA DE VENTA'!$G$11</f>
        <v>46149</v>
      </c>
      <c r="E2" t="str">
        <f>'NOTA DE VENTA'!$C$10</f>
        <v>VALE EVANS</v>
      </c>
      <c r="F2" t="str">
        <f>'NOTA DE VENTA'!$C$22</f>
        <v>CUB CON RESPALDO FTE 90°</v>
      </c>
      <c r="G2" t="str">
        <f>'NOTA DE VENTA'!$F$22</f>
        <v>CHAMPAÑA METALIZADO 0220 MT</v>
      </c>
      <c r="H2" s="415">
        <f>'NOTA DE VENTA'!$H$25</f>
        <v>124933.98793503483</v>
      </c>
      <c r="I2" s="415">
        <f>H2*0.19</f>
        <v>23737.45770765662</v>
      </c>
      <c r="J2" s="415">
        <f>I2+H2</f>
        <v>148671.44564269145</v>
      </c>
      <c r="L2" s="61">
        <f>J2-K2</f>
        <v>148671.44564269145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2026-04-28T16:45:30Z</cp:lastPrinted>
  <dcterms:created xsi:type="dcterms:W3CDTF">2013-03-18T13:35:42Z</dcterms:created>
  <dcterms:modified xsi:type="dcterms:W3CDTF">2026-04-30T20:32:43Z</dcterms:modified>
</cp:coreProperties>
</file>