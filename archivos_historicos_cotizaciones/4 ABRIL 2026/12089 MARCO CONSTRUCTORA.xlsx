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44E68AE5-2DB9-460E-88CF-F53A93664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O37" i="1"/>
  <c r="M30" i="1"/>
  <c r="J21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4" i="1" l="1"/>
  <c r="H25" i="1" s="1"/>
  <c r="H26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<sst xmlns="http://schemas.openxmlformats.org/spreadsheetml/2006/main" count="487" uniqueCount="295">
  <si>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</si>
  <si>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</si>
  <si>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</si>
  <si>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</si>
  <si>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</si>
  <si>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</si>
  <si>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</si>
  <si>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</si>
  <si>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</si>
  <si>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</si>
  <si>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</si>
  <si>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</si>
  <si>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</si>
  <si>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</si>
  <si>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</si>
  <si>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</si>
  <si>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</si>
  <si>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</si>
  <si>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</si>
  <si>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</si>
  <si>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</si>
  <si>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</si>
  <si>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</si>
  <si>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</si>
  <si>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</si>
  <si>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</si>
  <si>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</si>
  <si>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</si>
  <si>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</si>
  <si>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</si>
  <si>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</si>
  <si>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</si>
  <si>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</si>
  <si>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</si>
  <si>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</si>
  <si>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</si>
  <si>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</si>
  <si>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</si>
  <si>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</si>
  <si>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</si>
  <si>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</si>
  <si>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</si>
  <si>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</si>
  <si>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</si>
  <si>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</si>
  <si>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</si>
  <si>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</si>
  <si>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</si>
  <si>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</si>
  <si>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</si>
  <si>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</si>
  <si>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</si>
  <si>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</si>
  <si>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</si>
  <si>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</si>
  <si>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</si>
  <si>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</si>
  <si>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</si>
  <si>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</si>
  <si>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</si>
  <si>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</si>
  <si>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</si>
  <si>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</si>
  <si>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</si>
  <si>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</si>
  <si>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</si>
  <si>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</si>
  <si>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</si>
  <si>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</si>
  <si>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</si>
  <si>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</si>
  <si>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</si>
  <si>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</si>
  <si>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</si>
  <si>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</si>
  <si>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</si>
  <si>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</si>
  <si>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</si>
  <si>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</si>
  <si>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</si>
  <si>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</si>
  <si>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</si>
  <si>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</si>
  <si>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</si>
  <si>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</si>
  <si>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</si>
  <si>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</si>
  <si>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</si>
  <si>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</si>
  <si>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</si>
  <si>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</si>
  <si>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</si>
  <si>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</si>
  <si>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</si>
  <si>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</si>
  <si>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</si>
  <si>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</si>
  <si>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</si>
  <si>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</si>
  <si>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</si>
  <si>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</si>
  <si>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</si>
  <si>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</si>
  <si>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</si>
  <si>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</si>
  <si>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</si>
  <si>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</si>
  <si>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</si>
  <si>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</si>
  <si>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</si>
  <si>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</si>
  <si>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</si>
  <si>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</si>
  <si>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</si>
  <si>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</si>
  <si>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</si>
  <si>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</si>
  <si>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</si>
  <si>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</si>
  <si>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</si>
  <si>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</si>
  <si>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</si>
  <si>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</si>
  <si>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</si>
  <si>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</si>
  <si>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</si>
  <si>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</si>
  <si>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</si>
  <si>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</si>
  <si>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</si>
  <si>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</si>
  <si>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</si>
  <si>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</si>
  <si>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</si>
  <si>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</si>
  <si>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</si>
  <si>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</si>
  <si>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</si>
  <si>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</si>
  <si>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</si>
  <si>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</si>
  <si>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</si>
  <si>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</si>
  <si>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</si>
  <si>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</si>
  <si>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</si>
  <si>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</si>
  <si>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</si>
  <si>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</si>
  <si>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</si>
  <si>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</si>
  <si>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</si>
  <si>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</si>
  <si>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</si>
  <si>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</si>
  <si>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</si>
  <si>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</si>
  <si>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</si>
  <si>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</si>
  <si>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</si>
  <si>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</si>
  <si>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</si>
  <si>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</si>
  <si>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</si>
  <si>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</si>
  <si>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</si>
  <si>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</si>
  <si>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</si>
  <si>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</si>
  <si>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</si>
  <si>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</si>
  <si>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</si>
  <si>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</si>
  <si>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</si>
  <si>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</si>
  <si>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</si>
  <si>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</si>
  <si>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</si>
  <si>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</si>
  <si>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</si>
  <si>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</si>
  <si>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</si>
  <si>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</si>
  <si>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</si>
  <si>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</si>
  <si>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</si>
  <si>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</si>
  <si>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</si>
  <si>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</si>
  <si>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</si>
  <si>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</si>
  <si>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</si>
  <si>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</si>
  <si>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</si>
  <si>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</si>
  <si>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</si>
  <si>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</si>
  <si>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</si>
  <si>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</si>
  <si>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</si>
  <si>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</si>
  <si>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</si>
  <si>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</si>
  <si>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</si>
  <si>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</si>
  <si>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</si>
  <si>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</si>
  <si>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</si>
  <si>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</si>
  <si>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</si>
  <si>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</si>
  <si>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</si>
  <si>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</si>
  <si>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</si>
  <si>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</si>
  <si>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</si>
  <si>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</si>
  <si>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</si>
  <si>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</si>
  <si>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</si>
  <si>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</si>
  <si>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</si>
  <si>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</si>
  <si>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</si>
  <si>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</si>
  <si>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</si>
  <si>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</si>
  <si>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</si>
  <si>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</si>
  <si>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</si>
  <si>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</si>
  <si>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</si>
  <si>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</si>
  <si>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</si>
  <si>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</si>
  <si>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</si>
  <si>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</si>
  <si>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</si>
  <si>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</si>
  <si>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</si>
  <si>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</si>
  <si>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</si>
  <si>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</si>
  <si>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</si>
  <si>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</si>
  <si>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</si>
  <si>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</si>
  <si>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</si>
  <si>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</si>
  <si>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</si>
  <si>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</si>
  <si>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</si>
  <si>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</si>
  <si>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</si>
  <si>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</si>
  <si>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</si>
  <si>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</si>
  <si>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</si>
  <si>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</si>
  <si>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</si>
  <si>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</si>
  <si>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</si>
  <si>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</si>
  <si>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</si>
  <si>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</si>
  <si>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</si>
  <si>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</si>
  <si>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</si>
  <si>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</si>
  <si>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</si>
  <si>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</si>
  <si>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</si>
  <si>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</si>
  <si>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</si>
  <si>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</si>
  <si>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</si>
  <si>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</si>
  <si>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</si>
  <si>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</si>
  <si>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</si>
  <si>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</si>
  <si>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</si>
  <si>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</si>
  <si>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</si>
  <si>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</si>
  <si>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</si>
  <si>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</si>
  <si>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</si>
  <si>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12089</t>
  </si>
  <si>
    <t>CONSTRUCTORA</t>
  </si>
  <si>
    <t>MARCO</t>
  </si>
  <si>
    <t>+569 9435 8963</t>
  </si>
  <si>
    <t>3 DIA HABIL</t>
  </si>
  <si>
    <t>ENCHAPE RECTO 2 CARAS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</si>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</sst>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7" fontId="21" fillId="0" borderId="0" xfId="0" applyNumberFormat="1" applyFont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COB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6" zoomScale="93" zoomScaleNormal="93" workbookViewId="0">
      <selection activeCell="H22" sqref="H22"/>
    </sheetView>
  </sheetViews>
  <sheetFormatPr baseColWidth="10" defaultRowHeight="14.4" x14ac:dyDescent="0.3"/>
  <cols>
    <col min="1" max="1" width="6" customWidth="1"/>
    <col min="2" max="2" width="10.5546875" customWidth="1"/>
    <col min="3" max="3" width="32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46121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82764.693112805282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2</v>
      </c>
      <c r="C21" s="430" t="s">
        <v>293</v>
      </c>
      <c r="D21" s="431">
        <v>2.1</v>
      </c>
      <c r="E21" s="431">
        <v>0.71</v>
      </c>
      <c r="F21" s="430" t="s">
        <v>294</v>
      </c>
      <c r="G21" s="432">
        <v>133103</v>
      </c>
      <c r="H21" s="432">
        <f>G21*B21</f>
        <v>266206</v>
      </c>
      <c r="I21" s="306"/>
      <c r="J21" s="434">
        <f>G21/2</f>
        <v>66551.5</v>
      </c>
      <c r="K21" s="47"/>
      <c r="L21" s="47">
        <f>B21</f>
        <v>2</v>
      </c>
      <c r="M21" s="39">
        <f>D21+M$19</f>
        <v>2.1800000000000002</v>
      </c>
      <c r="N21" s="39">
        <f>E21+$N$19</f>
        <v>0.71</v>
      </c>
      <c r="O21" s="260">
        <f t="shared" ref="O21" si="0">M21*N21</f>
        <v>1.5478000000000001</v>
      </c>
      <c r="P21" s="258">
        <f t="shared" ref="P21" si="1">O21*L21</f>
        <v>3.0956000000000001</v>
      </c>
      <c r="Q21" s="251">
        <f t="shared" ref="Q21" si="2">Q$20*O21</f>
        <v>128103.19200000002</v>
      </c>
      <c r="R21" s="305">
        <f t="shared" ref="R21" si="3">Q21+R$20</f>
        <v>133103.19200000004</v>
      </c>
      <c r="S21" s="290">
        <f>M21*L21</f>
        <v>4.3600000000000003</v>
      </c>
      <c r="T21" s="46">
        <f>N21*2*L21*2</f>
        <v>5.68</v>
      </c>
      <c r="U21" s="9"/>
      <c r="X21" s="4"/>
    </row>
    <row r="22" spans="1:25" ht="17.399999999999999" x14ac:dyDescent="0.3">
      <c r="B22" s="283"/>
      <c r="C22" s="283"/>
      <c r="D22" s="284"/>
      <c r="E22" s="284"/>
      <c r="F22" s="283"/>
      <c r="G22" s="306"/>
      <c r="H22" s="306"/>
      <c r="I22" s="306"/>
      <c r="J22" s="43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266206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5.68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50579.14</v>
      </c>
      <c r="I25" s="308"/>
      <c r="J25" s="264"/>
      <c r="K25" s="47"/>
      <c r="L25" s="47"/>
      <c r="M25" s="39">
        <f>SUM(M21:M24)</f>
        <v>2.1800000000000002</v>
      </c>
      <c r="N25" s="12"/>
      <c r="O25" s="12"/>
      <c r="P25" s="252">
        <f>SUM(P21:P21)</f>
        <v>3.0956000000000001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316785.14</v>
      </c>
      <c r="I26" s="308"/>
      <c r="J26" s="264"/>
      <c r="K26" s="47"/>
      <c r="L26" s="47"/>
      <c r="M26" s="39"/>
      <c r="N26" s="12"/>
      <c r="O26" s="12"/>
      <c r="P26" s="252">
        <f>P25</f>
        <v>3.0956000000000001</v>
      </c>
      <c r="Q26" s="14"/>
      <c r="R26" s="12"/>
      <c r="S26" s="239">
        <f>SUM(S21:S25)</f>
        <v>4.3600000000000003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0.61912000000000011</v>
      </c>
      <c r="Q27" s="39" t="s">
        <v>129</v>
      </c>
      <c r="R27" s="42"/>
      <c r="S27" s="240">
        <f>S26+T24</f>
        <v>10.039999999999999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3.7147200000000002</v>
      </c>
      <c r="Q28" s="14"/>
      <c r="R28" s="14"/>
      <c r="S28" s="238">
        <f>S27*20%</f>
        <v>2.008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12.047999999999998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P28*2</f>
        <v>7.4294400000000005</v>
      </c>
      <c r="N30" s="12">
        <v>3500</v>
      </c>
      <c r="O30" s="12">
        <f t="shared" ref="O30:O35" si="4">M30*N30</f>
        <v>26003.040000000001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/>
      <c r="N31" s="12">
        <v>24910</v>
      </c>
      <c r="O31" s="12">
        <f t="shared" si="4"/>
        <v>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4</v>
      </c>
      <c r="N33" s="249">
        <v>24000</v>
      </c>
      <c r="O33" s="12">
        <f t="shared" si="4"/>
        <v>96000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122003.04000000001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O36*2.1</f>
        <v>256206.38400000002</v>
      </c>
      <c r="P37" s="14" t="s">
        <v>138</v>
      </c>
      <c r="Q37" s="14"/>
      <c r="R37" s="40">
        <f>P28/R36</f>
        <v>1.0015962036238137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46000</v>
      </c>
      <c r="L38" s="249"/>
      <c r="M38" s="14"/>
      <c r="N38" s="12"/>
      <c r="O38" s="12">
        <f>O37/P26</f>
        <v>82764.693112805282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38655.462184873948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46121</v>
      </c>
    </row>
    <row r="6" spans="2:31" ht="16.2" thickBot="1" x14ac:dyDescent="0.35">
      <c r="B6" s="140" t="s">
        <v>2</v>
      </c>
      <c r="C6" s="139" t="str">
        <f>'2229'!C10</f>
        <v>CONSTRUCTORA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12089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-29012.455700120772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266206</v>
      </c>
      <c r="E11" s="132">
        <f>D11*0.19</f>
        <v>50579.14</v>
      </c>
      <c r="F11" s="131">
        <f>E11+D11</f>
        <v>316785.14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76977.544299879228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55837.130787439615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58977.544299879228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210368.86921256038</v>
      </c>
      <c r="E13" s="221">
        <f>(D11/D12)-1</f>
        <v>3.7675443964588915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49977.544299879228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10977.544299879228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92131.265799275367</v>
      </c>
      <c r="F15" s="216">
        <f>E15-D12</f>
        <v>36294.135011835751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10977.544299879228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50977.544299879228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26003.040000000001</v>
      </c>
      <c r="E20" s="121">
        <f>D20*0.19</f>
        <v>4940.5776000000005</v>
      </c>
      <c r="F20" s="120">
        <f>SUM(D20:E20)</f>
        <v>30943.617600000001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26003.040000000001</v>
      </c>
      <c r="E21" s="116">
        <f>SUM(E18:E20)</f>
        <v>4940.5776000000005</v>
      </c>
      <c r="F21" s="115">
        <f>SUM(F18:F20)</f>
        <v>30943.617600000001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45638.562399999995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266206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26003.040000000001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210368.86921256038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210368.86921256038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12089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CONSTRUCTORA</v>
      </c>
      <c r="D10" s="350"/>
      <c r="E10" s="350"/>
      <c r="F10" s="351" t="s">
        <v>167</v>
      </c>
      <c r="G10" s="352">
        <f>'2229'!G10</f>
        <v>46121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46128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MARCO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+569 9435 8963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ENCHAPE RECTO 2 CARAS</v>
      </c>
      <c r="D22" s="321">
        <f>'2229'!D21*1000</f>
        <v>2100</v>
      </c>
      <c r="E22" s="321">
        <f>'2229'!E21*1000</f>
        <v>710</v>
      </c>
      <c r="F22" s="322" t="str">
        <f>'2229'!F21</f>
        <v>BLANCO 2114 MT</v>
      </c>
      <c r="G22" s="314">
        <f>'2229'!G21</f>
        <v>133103</v>
      </c>
      <c r="H22" s="323">
        <f>G22*B22</f>
        <v>266206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266206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50579.14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316785.14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CONSTRUCTORA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46128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12089</v>
      </c>
      <c r="C2" s="1">
        <f>'NOTA DE VENTA'!$G$10</f>
        <v>46121</v>
      </c>
      <c r="D2" s="1">
        <f>'NOTA DE VENTA'!$G$11</f>
        <v>46128</v>
      </c>
      <c r="E2" t="str">
        <f>'NOTA DE VENTA'!$C$10</f>
        <v>CONSTRUCTORA</v>
      </c>
      <c r="F2" t="str">
        <f>'NOTA DE VENTA'!$C$22</f>
        <v>ENCHAPE RECTO 2 CARAS</v>
      </c>
      <c r="G2" t="str">
        <f>'NOTA DE VENTA'!$F$22</f>
        <v>BLANCO 2114 MT</v>
      </c>
      <c r="H2" s="416">
        <f>'NOTA DE VENTA'!$H$25</f>
        <v>266206</v>
      </c>
      <c r="I2" s="416">
        <f>H2*0.19</f>
        <v>50579.14</v>
      </c>
      <c r="J2" s="416">
        <f>I2+H2</f>
        <v>316785.14</v>
      </c>
      <c r="L2" s="61">
        <f>J2-K2</f>
        <v>316785.14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2026-04-09T18:37:12Z</cp:lastPrinted>
  <dcterms:created xsi:type="dcterms:W3CDTF">2013-03-18T13:35:42Z</dcterms:created>
  <dcterms:modified xsi:type="dcterms:W3CDTF">2026-04-09T18:38:52Z</dcterms:modified>
</cp:coreProperties>
</file>