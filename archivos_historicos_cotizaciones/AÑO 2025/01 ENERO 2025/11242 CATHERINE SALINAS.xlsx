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04E2FD19-6905-48C2-BD2A-7239A2FC3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J30" i="1"/>
  <c r="J35" i="1"/>
  <c r="J36" i="1" s="1"/>
  <c r="N33" i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<sst xmlns="http://schemas.openxmlformats.org/spreadsheetml/2006/main" count="233" uniqueCount="178">
  <si>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</si>
  <si>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</si>
  <si>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</si>
  <si>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</si>
  <si>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</si>
  <si>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</si>
  <si>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</si>
  <si>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</si>
  <si>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</si>
  <si>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</si>
  <si>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</si>
  <si>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</si>
  <si>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</si>
  <si>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</si>
  <si>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</si>
  <si>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</si>
  <si>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</si>
  <si>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</si>
  <si>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</si>
  <si>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</si>
  <si>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</si>
  <si>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</si>
  <si>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</si>
  <si>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</si>
  <si>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</si>
  <si>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</si>
  <si>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</si>
  <si>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</si>
  <si>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</si>
  <si>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</si>
  <si>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</si>
  <si>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</si>
  <si>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</si>
  <si>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</si>
  <si>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</si>
  <si>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</si>
  <si>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</si>
  <si>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</si>
  <si>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</si>
  <si>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</si>
  <si>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</si>
  <si>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</si>
  <si>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</si>
  <si>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</si>
  <si>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</si>
  <si>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</si>
  <si>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</si>
  <si>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</si>
  <si>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</si>
  <si>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</si>
  <si>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</si>
  <si>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</si>
  <si>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</si>
  <si>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</si>
  <si>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</si>
  <si>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</si>
  <si>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</si>
  <si>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</si>
  <si>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</si>
  <si>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</si>
  <si>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</si>
  <si>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</si>
  <si>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</si>
  <si>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</si>
  <si>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</si>
  <si>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</si>
  <si>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</si>
  <si>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</si>
  <si>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</si>
  <si>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</si>
  <si>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</si>
  <si>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</si>
  <si>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</si>
  <si>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</si>
  <si>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</si>
  <si>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</si>
  <si>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</si>
  <si>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</si>
  <si>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</si>
  <si>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</si>
  <si>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</si>
  <si>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</si>
  <si>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</si>
  <si>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</si>
  <si>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</si>
  <si>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</si>
  <si>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</si>
  <si>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</si>
  <si>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</si>
  <si>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</si>
  <si>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</si>
  <si>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</si>
  <si>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</si>
  <si>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</si>
  <si>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</si>
  <si>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</si>
  <si>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</si>
  <si>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</si>
  <si>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</si>
  <si>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</si>
  <si>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</si>
  <si>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</si>
  <si>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</si>
  <si>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</si>
  <si>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</si>
  <si>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</si>
  <si>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</si>
  <si>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</si>
  <si>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</si>
  <si>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</si>
  <si>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</si>
  <si>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</si>
  <si>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</si>
  <si>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</si>
  <si>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</si>
  <si>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</si>
  <si>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</si>
  <si>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</si>
  <si>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</si>
  <si>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</si>
  <si>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</si>
  <si>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</si>
  <si>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</si>
  <si>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</si>
  <si>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</si>
  <si>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</si>
  <si>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</si>
  <si>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</si>
  <si>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</si>
  <si>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</si>
  <si>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</si>
  <si>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</si>
  <si>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</si>
  <si>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</si>
  <si>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</si>
  <si>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</si>
  <si>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</si>
  <si>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</si>
  <si>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</si>
  <si>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</si>
  <si>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</si>
  <si>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</si>
  <si>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</si>
  <si>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</si>
  <si>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</si>
  <si>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</si>
  <si>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</si>
  <si>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</si>
  <si>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</si>
  <si>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</si>
  <si>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</si>
  <si>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</si>
  <si>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</si>
  <si>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</si>
  <si>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</si>
  <si>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</si>
  <si>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</si>
  <si>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</si>
  <si>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</si>
  <si>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</si>
  <si>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</si>
  <si>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</si>
  <si>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</si>
  <si>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</si>
  <si>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</si>
  <si>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</si>
  <si>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</si>
  <si>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</si>
  <si>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CATHERINE SALINAS</t>
  </si>
  <si>
    <t>10 DIAS HABILES</t>
  </si>
  <si>
    <t>GRIS NUBE</t>
  </si>
  <si>
    <t>KING</t>
  </si>
  <si>
    <t>MDF 3MM</t>
  </si>
  <si>
    <t>152X244</t>
  </si>
  <si>
    <t>HUMO 2108 MT</t>
  </si>
  <si>
    <t xml:space="preserve">CUB MESA 2 LADOS R8MM  MDF 25MM </t>
  </si>
  <si>
    <t>LAMINA BALANCE</t>
  </si>
  <si>
    <t>N° 11242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</si>
</sst>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ENCHAPE COSTADOS</a:t>
          </a:r>
          <a:r>
            <a:rPr lang="es-CL" sz="1200" b="1" baseline="0"/>
            <a:t> CON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25MM , MAS REGRUESO PERIMETRALDE 25 X 3 CMS INTERIOR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TRASCARA CON LAMINA BALANCE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C2" sqref="C1:C2"/>
    </sheetView>
  </sheetViews>
  <sheetFormatPr baseColWidth="10" defaultRowHeight="14.4" x14ac:dyDescent="0.3"/>
  <cols>
    <col min="1" max="1" width="6" customWidth="1"/>
    <col min="2" max="2" width="10.5546875" customWidth="1"/>
    <col min="3" max="3" width="48.77734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168</v>
      </c>
      <c r="D10" s="243"/>
      <c r="E10" s="243"/>
      <c r="F10" s="244" t="s">
        <v>0</v>
      </c>
      <c r="G10" s="277">
        <v>45665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167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111921.40350877195</v>
      </c>
      <c r="Q20" s="258">
        <v>30000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175</v>
      </c>
      <c r="D21" s="327">
        <v>2.8</v>
      </c>
      <c r="E21" s="327">
        <v>1.2</v>
      </c>
      <c r="F21" s="326" t="s">
        <v>174</v>
      </c>
      <c r="G21" s="328">
        <v>412770</v>
      </c>
      <c r="H21" s="328">
        <f>G21*B21</f>
        <v>412770</v>
      </c>
      <c r="I21" s="265"/>
      <c r="J21" s="47"/>
      <c r="K21" s="330">
        <v>1</v>
      </c>
      <c r="L21" s="39">
        <f t="shared" ref="L21" si="1">D21+L$19</f>
        <v>2.8499999999999996</v>
      </c>
      <c r="M21" s="39">
        <f t="shared" ref="M21" si="2">E21+M$19</f>
        <v>1.2</v>
      </c>
      <c r="N21" s="261">
        <f t="shared" ref="N21" si="3">L21*M21</f>
        <v>3.4199999999999995</v>
      </c>
      <c r="O21" s="259">
        <f t="shared" ref="O21" si="4">N21*K21</f>
        <v>3.4199999999999995</v>
      </c>
      <c r="P21" s="252">
        <f t="shared" ref="P21" si="5">P$20*N21</f>
        <v>382771.20000000001</v>
      </c>
      <c r="Q21" s="329">
        <f t="shared" ref="Q21" si="6">P21+Q$20</f>
        <v>412771.2</v>
      </c>
      <c r="R21" s="298">
        <f>L21*K21*2</f>
        <v>5.6999999999999993</v>
      </c>
      <c r="S21" s="46">
        <f>M21*2*K21</f>
        <v>2.4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412770</v>
      </c>
      <c r="I24" s="265"/>
      <c r="J24" s="47"/>
      <c r="K24" s="47"/>
      <c r="L24" s="39">
        <f>SUM(L21:L23)</f>
        <v>2.8499999999999996</v>
      </c>
      <c r="M24" s="39"/>
      <c r="N24" s="261"/>
      <c r="O24" s="259"/>
      <c r="P24" s="252"/>
      <c r="Q24" s="258"/>
      <c r="R24" s="298"/>
      <c r="S24" s="46">
        <f>SUM(S21:S23)</f>
        <v>2.4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78426.3</v>
      </c>
      <c r="I25" s="265"/>
      <c r="J25" s="47"/>
      <c r="K25" s="47"/>
      <c r="L25" s="39"/>
      <c r="M25" s="12"/>
      <c r="N25" s="12"/>
      <c r="O25" s="253">
        <f>SUM(O21:O21)</f>
        <v>3.4199999999999995</v>
      </c>
      <c r="P25" s="14"/>
      <c r="Q25" s="12"/>
      <c r="R25" s="239"/>
      <c r="S25" s="46">
        <f>S24*20%</f>
        <v>0.48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491196.3</v>
      </c>
      <c r="I26" s="265"/>
      <c r="J26" s="47"/>
      <c r="K26" s="47"/>
      <c r="L26" s="39"/>
      <c r="M26" s="12"/>
      <c r="N26" s="12"/>
      <c r="O26" s="253">
        <f>O25</f>
        <v>3.4199999999999995</v>
      </c>
      <c r="P26" s="14"/>
      <c r="Q26" s="12"/>
      <c r="R26" s="239">
        <f>SUM(R21:R25)</f>
        <v>5.6999999999999993</v>
      </c>
      <c r="S26" s="46">
        <f>S24+S25</f>
        <v>2.88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147074</v>
      </c>
      <c r="K27" s="47"/>
      <c r="L27" s="14"/>
      <c r="M27" s="12"/>
      <c r="N27" s="12"/>
      <c r="O27" s="39">
        <f>O26*20%</f>
        <v>0.68399999999999994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>
        <v>33749</v>
      </c>
      <c r="K28" s="47"/>
      <c r="L28" s="14"/>
      <c r="M28" s="12"/>
      <c r="N28" s="12"/>
      <c r="O28" s="46">
        <f>O26+O27</f>
        <v>4.1039999999999992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>
        <v>94650</v>
      </c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>
        <f>SUM(J27:J29)</f>
        <v>275473</v>
      </c>
      <c r="K30" s="47"/>
      <c r="L30" s="39">
        <f>O28*2</f>
        <v>8.2079999999999984</v>
      </c>
      <c r="M30" s="12">
        <v>3500</v>
      </c>
      <c r="N30" s="12">
        <f t="shared" ref="N30:N35" si="7">L30*M30</f>
        <v>28727.999999999993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7"/>
        <v>45000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61860</v>
      </c>
      <c r="N32" s="12">
        <f t="shared" si="7"/>
        <v>61860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1</v>
      </c>
      <c r="M33" s="250">
        <v>23900</v>
      </c>
      <c r="N33" s="12">
        <f t="shared" si="7"/>
        <v>23900</v>
      </c>
      <c r="O33" s="14" t="s">
        <v>176</v>
      </c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J34" s="230">
        <v>27000</v>
      </c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J35" s="230">
        <f>J34*19%</f>
        <v>5130</v>
      </c>
      <c r="K35" s="250"/>
      <c r="L35" s="266"/>
      <c r="M35" s="12">
        <v>1500</v>
      </c>
      <c r="N35" s="12">
        <f t="shared" si="7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I36" s="230" t="s">
        <v>171</v>
      </c>
      <c r="J36" s="230">
        <f>J34+J35</f>
        <v>32130</v>
      </c>
      <c r="K36" s="250"/>
      <c r="L36" s="14"/>
      <c r="M36" s="12"/>
      <c r="N36" s="12">
        <f>SUM(N30:N35)</f>
        <v>159488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N36*2.4</f>
        <v>382771.20000000001</v>
      </c>
      <c r="O37" s="14" t="s">
        <v>141</v>
      </c>
      <c r="P37" s="14"/>
      <c r="Q37" s="40">
        <f>O28/Q36</f>
        <v>1.1065573770491801</v>
      </c>
      <c r="R37"/>
      <c r="S37" s="257"/>
    </row>
    <row r="38" spans="2:23" s="230" customFormat="1" ht="17.399999999999999" x14ac:dyDescent="0.35">
      <c r="G38"/>
      <c r="H38" s="260"/>
      <c r="I38" s="230" t="s">
        <v>170</v>
      </c>
      <c r="J38" s="230">
        <v>23560</v>
      </c>
      <c r="K38" s="250">
        <v>0</v>
      </c>
      <c r="L38" s="14"/>
      <c r="M38" s="12"/>
      <c r="N38" s="12">
        <f>N37/O26</f>
        <v>111921.40350877195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J39" s="230">
        <f>J38/1.19</f>
        <v>19798.319327731093</v>
      </c>
      <c r="K39" s="250"/>
      <c r="L39" s="13"/>
      <c r="M39" s="14"/>
      <c r="N39" s="17">
        <f>N37/N36</f>
        <v>2.4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I41" s="230" t="s">
        <v>172</v>
      </c>
      <c r="K41" s="12"/>
      <c r="S41" s="238"/>
      <c r="T41" s="59" t="s">
        <v>156</v>
      </c>
      <c r="U41" s="59">
        <v>474.45</v>
      </c>
    </row>
    <row r="42" spans="2:23" ht="14.4" customHeight="1" x14ac:dyDescent="0.3">
      <c r="I42" t="s">
        <v>173</v>
      </c>
      <c r="J42">
        <v>8990</v>
      </c>
      <c r="K42" s="12"/>
      <c r="T42" s="59"/>
      <c r="U42" s="59"/>
    </row>
    <row r="43" spans="2:23" x14ac:dyDescent="0.3">
      <c r="K43" s="250"/>
    </row>
    <row r="44" spans="2:23" x14ac:dyDescent="0.3">
      <c r="I44">
        <v>46850</v>
      </c>
      <c r="K44" s="250"/>
      <c r="S44" s="270"/>
    </row>
    <row r="45" spans="2:23" x14ac:dyDescent="0.3">
      <c r="K45" s="250"/>
    </row>
    <row r="46" spans="2:23" ht="15" customHeight="1" x14ac:dyDescent="0.3">
      <c r="I46">
        <f>I44/1.19</f>
        <v>39369.747899159665</v>
      </c>
    </row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45665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11242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-23303.925033454114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412770</v>
      </c>
      <c r="E11" s="132">
        <f>D11*0.19</f>
        <v>78426.3</v>
      </c>
      <c r="F11" s="131">
        <f>E11+D11</f>
        <v>491196.3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82686.074966545886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165422.09078743961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64686.074966545886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247347.90921256039</v>
      </c>
      <c r="E13" s="221">
        <f>(D11/D12)-1</f>
        <v>1.4952531916090459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55686.074966545886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16686.074966545886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272946.44979927532</v>
      </c>
      <c r="F15" s="216">
        <f>E15-D12</f>
        <v>107524.35901183571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16686.074966545886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56686.074966545886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61860</v>
      </c>
      <c r="E18" s="123">
        <f>D18*0.19</f>
        <v>11753.4</v>
      </c>
      <c r="F18" s="120">
        <f>SUM(D18:E18)</f>
        <v>73613.399999999994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28727.999999999993</v>
      </c>
      <c r="E20" s="121">
        <f>D20*0.19</f>
        <v>5458.3199999999988</v>
      </c>
      <c r="F20" s="120">
        <f>SUM(D20:E20)</f>
        <v>34186.319999999992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135588</v>
      </c>
      <c r="E21" s="116">
        <f>SUM(E18:E20)</f>
        <v>25761.72</v>
      </c>
      <c r="F21" s="115">
        <f>SUM(F18:F20)</f>
        <v>161349.71999999997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52664.58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412770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135588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247347.90921256039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247347.90921256039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2025-01-08T21:16:02Z</dcterms:modified>
</cp:coreProperties>
</file>