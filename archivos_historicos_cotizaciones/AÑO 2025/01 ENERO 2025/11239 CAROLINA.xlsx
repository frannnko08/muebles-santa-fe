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8FF53DE9-3923-4C41-999E-935A7812BD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K31" i="1" l="1"/>
  <c r="K33" i="1"/>
  <c r="N21" i="1"/>
  <c r="K34" i="1" l="1"/>
  <c r="K35" i="1" s="1"/>
  <c r="K36" i="1" s="1"/>
  <c r="M21" i="1"/>
  <c r="M25" i="1" s="1"/>
  <c r="T21" i="1" l="1"/>
  <c r="T24" i="1" s="1"/>
  <c r="S26" i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<sst xmlns="http://schemas.openxmlformats.org/spreadsheetml/2006/main" count="229" uniqueCount="173">
  <si>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</si>
  <si>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</si>
  <si>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</si>
  <si>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</si>
  <si>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</si>
  <si>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</si>
  <si>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</si>
  <si>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</si>
  <si>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</si>
  <si>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</si>
  <si>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</si>
  <si>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</si>
  <si>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</si>
  <si>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</si>
  <si>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</si>
  <si>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</si>
  <si>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</si>
  <si>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</si>
  <si>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</si>
  <si>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</si>
  <si>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</si>
  <si>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</si>
  <si>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</si>
  <si>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</si>
  <si>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</si>
  <si>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</si>
  <si>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</si>
  <si>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</si>
  <si>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</si>
  <si>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</si>
  <si>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</si>
  <si>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</si>
  <si>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</si>
  <si>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</si>
  <si>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</si>
  <si>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</si>
  <si>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</si>
  <si>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</si>
  <si>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</si>
  <si>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</si>
  <si>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</si>
  <si>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</si>
  <si>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</si>
  <si>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</si>
  <si>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</si>
  <si>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</si>
  <si>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</si>
  <si>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</si>
  <si>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</si>
  <si>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</si>
  <si>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</si>
  <si>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</si>
  <si>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</si>
  <si>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</si>
  <si>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</si>
  <si>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</si>
  <si>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</si>
  <si>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</si>
  <si>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</si>
  <si>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</si>
  <si>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</si>
  <si>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</si>
  <si>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</si>
  <si>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</si>
  <si>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</si>
  <si>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</si>
  <si>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</si>
  <si>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</si>
  <si>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</si>
  <si>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</si>
  <si>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</si>
  <si>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</si>
  <si>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</si>
  <si>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</si>
  <si>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</si>
  <si>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</si>
  <si>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</si>
  <si>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</si>
  <si>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</si>
  <si>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</si>
  <si>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</si>
  <si>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</si>
  <si>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</si>
  <si>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</si>
  <si>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</si>
  <si>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</si>
  <si>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</si>
  <si>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</si>
  <si>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</si>
  <si>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</si>
  <si>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</si>
  <si>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</si>
  <si>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</si>
  <si>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</si>
  <si>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</si>
  <si>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</si>
  <si>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</si>
  <si>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</si>
  <si>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</si>
  <si>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</si>
  <si>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</si>
  <si>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</si>
  <si>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</si>
  <si>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</si>
  <si>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</si>
  <si>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</si>
  <si>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</si>
  <si>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</si>
  <si>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</si>
  <si>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</si>
  <si>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</si>
  <si>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</si>
  <si>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</si>
  <si>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</si>
  <si>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</si>
  <si>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</si>
  <si>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</si>
  <si>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</si>
  <si>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</si>
  <si>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</si>
  <si>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</si>
  <si>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</si>
  <si>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</si>
  <si>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</si>
  <si>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</si>
  <si>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</si>
  <si>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</si>
  <si>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</si>
  <si>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</si>
  <si>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</si>
  <si>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</si>
  <si>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</si>
  <si>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</si>
  <si>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</si>
  <si>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</si>
  <si>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</si>
  <si>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</si>
  <si>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</si>
  <si>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</si>
  <si>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</si>
  <si>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</si>
  <si>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</si>
  <si>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</si>
  <si>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</si>
  <si>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</si>
  <si>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</si>
  <si>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</si>
  <si>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</si>
  <si>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</si>
  <si>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</si>
  <si>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</si>
  <si>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</si>
  <si>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</si>
  <si>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</si>
  <si>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</si>
  <si>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</si>
  <si>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</si>
  <si>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</si>
  <si>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</si>
  <si>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</si>
  <si>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</si>
  <si>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</si>
  <si>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</si>
  <si>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</si>
  <si>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</si>
  <si>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</si>
  <si>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</si>
  <si>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5 DIAS HABILES</t>
  </si>
  <si>
    <t>CUB CON RESPALDO Y FRENTE 90°</t>
  </si>
  <si>
    <t>ALMENDRA 920 MT</t>
  </si>
  <si>
    <t>CAROLINA</t>
  </si>
  <si>
    <t>+569 61939142</t>
  </si>
  <si>
    <t>N° 11239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</si>
</sst>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170</v>
      </c>
      <c r="D10" s="243"/>
      <c r="E10" s="243"/>
      <c r="F10" s="244" t="s">
        <v>0</v>
      </c>
      <c r="G10" s="276">
        <v>45664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106588.47926267283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168</v>
      </c>
      <c r="D21" s="331">
        <v>3.2</v>
      </c>
      <c r="E21" s="331">
        <v>0.6</v>
      </c>
      <c r="F21" s="330" t="s">
        <v>169</v>
      </c>
      <c r="G21" s="332">
        <v>215793</v>
      </c>
      <c r="H21" s="332">
        <f>G21*B21</f>
        <v>215793</v>
      </c>
      <c r="I21" s="320"/>
      <c r="J21" s="265"/>
      <c r="K21" s="47"/>
      <c r="L21" s="333">
        <f>B21</f>
        <v>1</v>
      </c>
      <c r="M21" s="39">
        <f>D21+M$19</f>
        <v>3.22</v>
      </c>
      <c r="N21" s="39">
        <f>E21+$N$19</f>
        <v>0.62</v>
      </c>
      <c r="O21" s="261">
        <f t="shared" ref="O21" si="1">M21*N21</f>
        <v>1.9964000000000002</v>
      </c>
      <c r="P21" s="259">
        <f t="shared" ref="P21" si="2">O21*L21</f>
        <v>1.9964000000000002</v>
      </c>
      <c r="Q21" s="252">
        <f t="shared" ref="Q21" si="3">Q$20*O21</f>
        <v>212793.24000000005</v>
      </c>
      <c r="R21" s="319">
        <f t="shared" ref="R21" si="4">Q21+R$20</f>
        <v>215793.24000000005</v>
      </c>
      <c r="S21" s="297"/>
      <c r="T21" s="46">
        <f>N21*2*L21*2</f>
        <v>2.48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215793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2.48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41000.67</v>
      </c>
      <c r="I25" s="322"/>
      <c r="J25" s="265"/>
      <c r="K25" s="47"/>
      <c r="L25" s="47"/>
      <c r="M25" s="39">
        <f>SUM(M21:M24)</f>
        <v>3.22</v>
      </c>
      <c r="N25" s="12"/>
      <c r="O25" s="12"/>
      <c r="P25" s="253">
        <f>SUM(P21:P23)</f>
        <v>1.9964000000000002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256793.66999999998</v>
      </c>
      <c r="I26" s="322"/>
      <c r="J26" s="265"/>
      <c r="K26" s="47"/>
      <c r="L26" s="47"/>
      <c r="M26" s="39"/>
      <c r="N26" s="12"/>
      <c r="O26" s="12"/>
      <c r="P26" s="253">
        <f>P25</f>
        <v>1.9964000000000002</v>
      </c>
      <c r="Q26" s="14"/>
      <c r="R26" s="12"/>
      <c r="S26" s="239">
        <f>SUM(S21:S25)</f>
        <v>0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0.39928000000000008</v>
      </c>
      <c r="Q27" s="39" t="s">
        <v>130</v>
      </c>
      <c r="R27" s="42"/>
      <c r="S27" s="240">
        <f>S26+T24</f>
        <v>2.48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2.3956800000000005</v>
      </c>
      <c r="Q28" s="14"/>
      <c r="R28" s="14"/>
      <c r="S28" s="238">
        <f>S27*20%</f>
        <v>0.496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2.976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P28*2.5</f>
        <v>5.9892000000000012</v>
      </c>
      <c r="N30" s="12">
        <v>3500</v>
      </c>
      <c r="O30" s="12">
        <f t="shared" ref="O30:O35" si="5">M30*N30</f>
        <v>20962.200000000004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>
        <f>23500*1.19</f>
        <v>27965</v>
      </c>
      <c r="L31" s="47"/>
      <c r="M31" s="249">
        <v>0.7</v>
      </c>
      <c r="N31" s="12">
        <v>25000</v>
      </c>
      <c r="O31" s="12">
        <f t="shared" si="5"/>
        <v>17500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>
        <v>1</v>
      </c>
      <c r="N32" s="250">
        <v>53462</v>
      </c>
      <c r="O32" s="12">
        <f t="shared" si="5"/>
        <v>53462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>
        <f>N33*1.19</f>
        <v>74259.569999999992</v>
      </c>
      <c r="L33" s="250"/>
      <c r="M33" s="14"/>
      <c r="N33" s="250">
        <v>62403</v>
      </c>
      <c r="O33" s="12">
        <f t="shared" si="5"/>
        <v>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SUM(K31:K33)</f>
        <v>102224.56999999999</v>
      </c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>
        <f>K34/1.19</f>
        <v>85903</v>
      </c>
      <c r="L35" s="250"/>
      <c r="M35" s="266">
        <v>3.2</v>
      </c>
      <c r="N35" s="12">
        <v>1500</v>
      </c>
      <c r="O35" s="12">
        <f t="shared" si="5"/>
        <v>4800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>
        <f>K34-K35</f>
        <v>16321.569999999992</v>
      </c>
      <c r="L36" s="250"/>
      <c r="M36" s="14"/>
      <c r="N36" s="12"/>
      <c r="O36" s="12">
        <f>SUM(O30:O35)</f>
        <v>96724.200000000012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212793.24000000005</v>
      </c>
      <c r="P37" s="14" t="s">
        <v>140</v>
      </c>
      <c r="Q37" s="14"/>
      <c r="R37" s="40">
        <f>P28/R36</f>
        <v>0.64594477998274391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63620</v>
      </c>
      <c r="L38" s="250"/>
      <c r="M38" s="14"/>
      <c r="N38" s="12"/>
      <c r="O38" s="12">
        <f>O37/P26</f>
        <v>106588.47926267283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53462.184873949584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45664</v>
      </c>
    </row>
    <row r="6" spans="2:31" ht="16.2" thickBot="1" x14ac:dyDescent="0.35">
      <c r="B6" s="140" t="s">
        <v>2</v>
      </c>
      <c r="C6" s="139" t="str">
        <f>'2229'!C10</f>
        <v>CAROLINA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11239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-2481.9700334541071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215793</v>
      </c>
      <c r="E11" s="132">
        <f>D11*0.19</f>
        <v>41000.67</v>
      </c>
      <c r="F11" s="131">
        <f>E11+D11</f>
        <v>256793.66999999998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103508.02996654589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121758.29078743962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85508.029966545888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94034.709212560381</v>
      </c>
      <c r="E13" s="221">
        <f>(D11/D12)-1</f>
        <v>0.77230641629753261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76508.029966545888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37508.029966545895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200901.17979927536</v>
      </c>
      <c r="F15" s="216">
        <f>E15-D12</f>
        <v>79142.889011835738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37508.029966545895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77508.029966545888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53462</v>
      </c>
      <c r="E18" s="123">
        <f>D18*0.19</f>
        <v>10157.780000000001</v>
      </c>
      <c r="F18" s="120">
        <f>SUM(D18:E18)</f>
        <v>63619.78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20962.200000000004</v>
      </c>
      <c r="E20" s="121">
        <f>D20*0.19</f>
        <v>3982.8180000000007</v>
      </c>
      <c r="F20" s="120">
        <f>SUM(D20:E20)</f>
        <v>24945.018000000004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91924.200000000012</v>
      </c>
      <c r="E21" s="116">
        <f>SUM(E18:E20)</f>
        <v>17465.598000000002</v>
      </c>
      <c r="F21" s="115">
        <f>SUM(F18:F20)</f>
        <v>109389.79800000001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23535.071999999996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215793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91924.200000000012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94034.709212560381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94034.709212560381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2025-01-03T13:27:38Z</cp:lastPrinted>
  <dcterms:created xsi:type="dcterms:W3CDTF">2013-03-18T13:35:42Z</dcterms:created>
  <dcterms:modified xsi:type="dcterms:W3CDTF">2025-01-07T21:17:08Z</dcterms:modified>
</cp:coreProperties>
</file>