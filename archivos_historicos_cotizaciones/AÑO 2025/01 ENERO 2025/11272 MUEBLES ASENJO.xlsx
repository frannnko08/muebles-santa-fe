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92D4DDDD-27FD-4C4F-B889-D4AE2D669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<sst xmlns="http://schemas.openxmlformats.org/spreadsheetml/2006/main" count="230" uniqueCount="174">
  <si>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</si>
  <si>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</si>
  <si>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</si>
  <si>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</si>
  <si>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</si>
  <si>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</si>
  <si>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</si>
  <si>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</si>
  <si>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</si>
  <si>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</si>
  <si>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</si>
  <si>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</si>
  <si>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</si>
  <si>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</si>
  <si>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</si>
  <si>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</si>
  <si>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</si>
  <si>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</si>
  <si>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</si>
  <si>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</si>
  <si>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</si>
  <si>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</si>
  <si>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</si>
  <si>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</si>
  <si>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</si>
  <si>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</si>
  <si>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</si>
  <si>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</si>
  <si>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</si>
  <si>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</si>
  <si>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</si>
  <si>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</si>
  <si>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</si>
  <si>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</si>
  <si>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</si>
  <si>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</si>
  <si>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</si>
  <si>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</si>
  <si>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</si>
  <si>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</si>
  <si>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</si>
  <si>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</si>
  <si>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</si>
  <si>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</si>
  <si>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</si>
  <si>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</si>
  <si>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</si>
  <si>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</si>
  <si>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</si>
  <si>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</si>
  <si>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</si>
  <si>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</si>
  <si>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</si>
  <si>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</si>
  <si>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</si>
  <si>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</si>
  <si>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</si>
  <si>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</si>
  <si>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</si>
  <si>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</si>
  <si>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</si>
  <si>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</si>
  <si>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</si>
  <si>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</si>
  <si>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</si>
  <si>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</si>
  <si>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</si>
  <si>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</si>
  <si>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</si>
  <si>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</si>
  <si>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</si>
  <si>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</si>
  <si>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</si>
  <si>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</si>
  <si>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</si>
  <si>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</si>
  <si>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</si>
  <si>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</si>
  <si>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</si>
  <si>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</si>
  <si>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</si>
  <si>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</si>
  <si>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</si>
  <si>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</si>
  <si>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</si>
  <si>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</si>
  <si>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</si>
  <si>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</si>
  <si>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</si>
  <si>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</si>
  <si>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</si>
  <si>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</si>
  <si>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</si>
  <si>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</si>
  <si>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</si>
  <si>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</si>
  <si>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</si>
  <si>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</si>
  <si>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</si>
  <si>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</si>
  <si>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</si>
  <si>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</si>
  <si>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</si>
  <si>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</si>
  <si>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</si>
  <si>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</si>
  <si>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</si>
  <si>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</si>
  <si>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</si>
  <si>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</si>
  <si>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</si>
  <si>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</si>
  <si>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</si>
  <si>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</si>
  <si>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</si>
  <si>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</si>
  <si>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</si>
  <si>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</si>
  <si>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</si>
  <si>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</si>
  <si>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</si>
  <si>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</si>
  <si>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</si>
  <si>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</si>
  <si>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</si>
  <si>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</si>
  <si>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</si>
  <si>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</si>
  <si>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</si>
  <si>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</si>
  <si>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</si>
  <si>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</si>
  <si>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</si>
  <si>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</si>
  <si>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</si>
  <si>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</si>
  <si>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</si>
  <si>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</si>
  <si>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</si>
  <si>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</si>
  <si>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</si>
  <si>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</si>
  <si>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</si>
  <si>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</si>
  <si>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</si>
  <si>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</si>
  <si>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</si>
  <si>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</si>
  <si>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</si>
  <si>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</si>
  <si>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</si>
  <si>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</si>
  <si>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</si>
  <si>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</si>
  <si>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</si>
  <si>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</si>
  <si>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</si>
  <si>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</si>
  <si>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</si>
  <si>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</si>
  <si>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</si>
  <si>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</si>
  <si>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</si>
  <si>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</si>
  <si>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</si>
  <si>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</si>
  <si>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</si>
  <si>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</si>
  <si>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</si>
  <si>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</si>
  <si>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CUB MESA 90° 2 LADOS</t>
  </si>
  <si>
    <t>BLANCO OPACO</t>
  </si>
  <si>
    <t>10 DIAS HABILES</t>
  </si>
  <si>
    <t>N° 11272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</si>
</sst>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2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45688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52854.487179487172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6</v>
      </c>
      <c r="C21" s="330" t="s">
        <v>170</v>
      </c>
      <c r="D21" s="331">
        <v>2</v>
      </c>
      <c r="E21" s="331">
        <v>0.9</v>
      </c>
      <c r="F21" s="330" t="s">
        <v>171</v>
      </c>
      <c r="G21" s="332">
        <v>98944</v>
      </c>
      <c r="H21" s="332">
        <f>G21*B21</f>
        <v>593664</v>
      </c>
      <c r="I21" s="320"/>
      <c r="J21" s="265"/>
      <c r="K21" s="47"/>
      <c r="L21" s="333">
        <f>B21</f>
        <v>6</v>
      </c>
      <c r="M21" s="39">
        <f>D21+M$19</f>
        <v>2.08</v>
      </c>
      <c r="N21" s="39">
        <f>E21+$N$19</f>
        <v>0.9</v>
      </c>
      <c r="O21" s="261">
        <f t="shared" ref="O21" si="1">M21*N21</f>
        <v>1.8720000000000001</v>
      </c>
      <c r="P21" s="259">
        <f t="shared" ref="P21" si="2">O21*L21</f>
        <v>11.232000000000001</v>
      </c>
      <c r="Q21" s="252">
        <f t="shared" ref="Q21" si="3">Q$20*O21</f>
        <v>98943.599999999991</v>
      </c>
      <c r="R21" s="319">
        <f t="shared" ref="R21" si="4">Q21+R$20</f>
        <v>101943.59999999999</v>
      </c>
      <c r="S21" s="297"/>
      <c r="T21" s="46">
        <f>N21*2*L21*2</f>
        <v>21.6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593664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21.6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112796.16</v>
      </c>
      <c r="I25" s="322"/>
      <c r="J25" s="265"/>
      <c r="K25" s="47"/>
      <c r="L25" s="47"/>
      <c r="M25" s="39">
        <f>SUM(M21:M24)</f>
        <v>2.08</v>
      </c>
      <c r="N25" s="12"/>
      <c r="O25" s="12"/>
      <c r="P25" s="253">
        <f>SUM(P21:P23)</f>
        <v>11.232000000000001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706460.16000000003</v>
      </c>
      <c r="I26" s="322"/>
      <c r="J26" s="265"/>
      <c r="K26" s="47"/>
      <c r="L26" s="47"/>
      <c r="M26" s="39"/>
      <c r="N26" s="12"/>
      <c r="O26" s="12"/>
      <c r="P26" s="253">
        <f>P25</f>
        <v>11.232000000000001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2.2464000000000004</v>
      </c>
      <c r="Q27" s="39" t="s">
        <v>130</v>
      </c>
      <c r="R27" s="42"/>
      <c r="S27" s="240">
        <f>S26+T24</f>
        <v>21.6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13.478400000000001</v>
      </c>
      <c r="Q28" s="14"/>
      <c r="R28" s="14"/>
      <c r="S28" s="238">
        <f>S27*20%</f>
        <v>4.32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25.92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13.478400000000001</v>
      </c>
      <c r="N30" s="12">
        <v>2500</v>
      </c>
      <c r="O30" s="12">
        <f t="shared" ref="O30:O35" si="5">M30*N30</f>
        <v>33696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6</v>
      </c>
      <c r="N31" s="12">
        <v>23500</v>
      </c>
      <c r="O31" s="12">
        <f t="shared" si="5"/>
        <v>141000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46893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21420</v>
      </c>
      <c r="L33" s="250"/>
      <c r="M33" s="14">
        <v>6</v>
      </c>
      <c r="N33" s="250">
        <v>18000</v>
      </c>
      <c r="O33" s="12">
        <f t="shared" si="5"/>
        <v>108000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49385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41500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7885</v>
      </c>
      <c r="L36" s="250"/>
      <c r="M36" s="14"/>
      <c r="N36" s="12"/>
      <c r="O36" s="12">
        <f>SUM(O30:O35)</f>
        <v>282696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593661.6</v>
      </c>
      <c r="P37" s="14" t="s">
        <v>140</v>
      </c>
      <c r="Q37" s="14"/>
      <c r="R37" s="40">
        <f>P28/R36</f>
        <v>3.634167385677308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52854.487179487172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11272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-42698.22503345411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593664</v>
      </c>
      <c r="E11" s="132">
        <f>D11*0.19</f>
        <v>112796.16</v>
      </c>
      <c r="F11" s="131">
        <f>E11+D11</f>
        <v>706460.16000000003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63291.77496654589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204530.09078743961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45291.77496654589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389133.90921256039</v>
      </c>
      <c r="E13" s="221">
        <f>(D11/D12)-1</f>
        <v>1.9025753507192862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36291.77496654589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-2708.2250334541095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337474.64979927533</v>
      </c>
      <c r="F15" s="216">
        <f>E15-D12</f>
        <v>132944.55901183572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-2708.2250334541095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37291.77496654589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33696</v>
      </c>
      <c r="E20" s="121">
        <f>D20*0.19</f>
        <v>6402.24</v>
      </c>
      <c r="F20" s="120">
        <f>SUM(D20:E20)</f>
        <v>40098.239999999998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174696</v>
      </c>
      <c r="E21" s="116">
        <f>SUM(E18:E20)</f>
        <v>33192.239999999998</v>
      </c>
      <c r="F21" s="115">
        <f>SUM(F18:F20)</f>
        <v>207888.24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79603.920000000013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593664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174696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389133.90921256039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389133.90921256039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2025-01-29T19:22:31Z</cp:lastPrinted>
  <dcterms:created xsi:type="dcterms:W3CDTF">2013-03-18T13:35:42Z</dcterms:created>
  <dcterms:modified xsi:type="dcterms:W3CDTF">2025-01-31T21:15:33Z</dcterms:modified>
</cp:coreProperties>
</file>