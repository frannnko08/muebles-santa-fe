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04E516D0-5641-42A2-9216-E8CAE0440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32" i="1"/>
  <c r="G33" i="1"/>
  <c r="G21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H39" i="1"/>
  <c r="H38" i="1"/>
  <c r="H37" i="1"/>
  <c r="H36" i="1"/>
  <c r="H35" i="1"/>
  <c r="H34" i="1"/>
  <c r="M39" i="1"/>
  <c r="N39" i="1" s="1"/>
  <c r="O39" i="1" s="1"/>
  <c r="M38" i="1"/>
  <c r="N38" i="1" s="1"/>
  <c r="O38" i="1" s="1"/>
  <c r="M37" i="1"/>
  <c r="N37" i="1" s="1"/>
  <c r="O37" i="1" s="1"/>
  <c r="M36" i="1"/>
  <c r="N36" i="1" s="1"/>
  <c r="O36" i="1" s="1"/>
  <c r="M35" i="1"/>
  <c r="N35" i="1" s="1"/>
  <c r="O35" i="1" s="1"/>
  <c r="M34" i="1"/>
  <c r="N34" i="1" s="1"/>
  <c r="O34" i="1" s="1"/>
  <c r="L39" i="1"/>
  <c r="L38" i="1"/>
  <c r="L37" i="1"/>
  <c r="L36" i="1"/>
  <c r="L35" i="1"/>
  <c r="L34" i="1"/>
  <c r="M33" i="1"/>
  <c r="M32" i="1"/>
  <c r="M31" i="1"/>
  <c r="M30" i="1"/>
  <c r="M29" i="1"/>
  <c r="L33" i="1"/>
  <c r="L32" i="1"/>
  <c r="L31" i="1"/>
  <c r="L30" i="1"/>
  <c r="L29" i="1"/>
  <c r="L26" i="1"/>
  <c r="M26" i="1"/>
  <c r="L27" i="1"/>
  <c r="M27" i="1"/>
  <c r="L28" i="1"/>
  <c r="M28" i="1"/>
  <c r="N31" i="1" l="1"/>
  <c r="O31" i="1" s="1"/>
  <c r="N30" i="1"/>
  <c r="O30" i="1" s="1"/>
  <c r="N29" i="1"/>
  <c r="O29" i="1" s="1"/>
  <c r="N32" i="1"/>
  <c r="O32" i="1" s="1"/>
  <c r="N33" i="1"/>
  <c r="O33" i="1" s="1"/>
  <c r="N26" i="1"/>
  <c r="O26" i="1" s="1"/>
  <c r="N28" i="1"/>
  <c r="O28" i="1" s="1"/>
  <c r="N27" i="1"/>
  <c r="O27" i="1" s="1"/>
  <c r="L22" i="1"/>
  <c r="M22" i="1"/>
  <c r="L23" i="1"/>
  <c r="M23" i="1"/>
  <c r="L24" i="1"/>
  <c r="M24" i="1"/>
  <c r="L25" i="1"/>
  <c r="M25" i="1"/>
  <c r="N51" i="1"/>
  <c r="N23" i="1" l="1"/>
  <c r="O23" i="1" s="1"/>
  <c r="N22" i="1"/>
  <c r="O22" i="1" s="1"/>
  <c r="N24" i="1"/>
  <c r="O24" i="1" s="1"/>
  <c r="N25" i="1"/>
  <c r="O25" i="1" s="1"/>
  <c r="N50" i="1"/>
  <c r="N52" i="1"/>
  <c r="N53" i="1"/>
  <c r="J57" i="1" l="1"/>
  <c r="L21" i="1"/>
  <c r="L42" i="1" s="1"/>
  <c r="M21" i="1"/>
  <c r="S21" i="1" l="1"/>
  <c r="S42" i="1" s="1"/>
  <c r="S43" i="1" s="1"/>
  <c r="S44" i="1" s="1"/>
  <c r="R21" i="1"/>
  <c r="R44" i="1" s="1"/>
  <c r="N21" i="1"/>
  <c r="O21" i="1" s="1"/>
  <c r="O43" i="1" s="1"/>
  <c r="U50" i="1"/>
  <c r="U51" i="1" s="1"/>
  <c r="N49" i="1" l="1"/>
  <c r="O44" i="1" l="1"/>
  <c r="O45" i="1" s="1"/>
  <c r="O46" i="1" s="1"/>
  <c r="L48" i="1" s="1"/>
  <c r="M20" i="1"/>
  <c r="K20" i="1"/>
  <c r="Q5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48" i="1" l="1"/>
  <c r="N54" i="1" s="1"/>
  <c r="N55" i="1" s="1"/>
  <c r="Q55" i="1"/>
  <c r="D20" i="3" l="1"/>
  <c r="E20" i="3" s="1"/>
  <c r="E21" i="3" s="1"/>
  <c r="N56" i="1" l="1"/>
  <c r="D21" i="3"/>
  <c r="M43" i="3" s="1"/>
  <c r="D12" i="3" s="1"/>
  <c r="F20" i="3"/>
  <c r="F21" i="3" s="1"/>
  <c r="N57" i="1" l="1"/>
  <c r="P20" i="1"/>
  <c r="P39" i="1" s="1"/>
  <c r="Q39" i="1" s="1"/>
  <c r="E15" i="3"/>
  <c r="P37" i="1" l="1"/>
  <c r="Q37" i="1" s="1"/>
  <c r="P38" i="1"/>
  <c r="Q38" i="1" s="1"/>
  <c r="P35" i="1"/>
  <c r="Q35" i="1" s="1"/>
  <c r="P36" i="1"/>
  <c r="Q36" i="1" s="1"/>
  <c r="P33" i="1"/>
  <c r="Q33" i="1" s="1"/>
  <c r="H33" i="1" s="1"/>
  <c r="P34" i="1"/>
  <c r="Q34" i="1" s="1"/>
  <c r="P31" i="1"/>
  <c r="Q31" i="1" s="1"/>
  <c r="H31" i="1" s="1"/>
  <c r="P32" i="1"/>
  <c r="Q32" i="1" s="1"/>
  <c r="H32" i="1" s="1"/>
  <c r="P29" i="1"/>
  <c r="Q29" i="1" s="1"/>
  <c r="H29" i="1" s="1"/>
  <c r="P30" i="1"/>
  <c r="Q30" i="1" s="1"/>
  <c r="H30" i="1" s="1"/>
  <c r="P27" i="1"/>
  <c r="Q27" i="1" s="1"/>
  <c r="H27" i="1" s="1"/>
  <c r="P26" i="1"/>
  <c r="Q26" i="1" s="1"/>
  <c r="H26" i="1" s="1"/>
  <c r="P28" i="1"/>
  <c r="Q28" i="1" s="1"/>
  <c r="H28" i="1" s="1"/>
  <c r="P24" i="1"/>
  <c r="Q24" i="1" s="1"/>
  <c r="H24" i="1" s="1"/>
  <c r="P22" i="1"/>
  <c r="Q22" i="1" s="1"/>
  <c r="H22" i="1" s="1"/>
  <c r="P25" i="1"/>
  <c r="Q25" i="1" s="1"/>
  <c r="H25" i="1" s="1"/>
  <c r="P23" i="1"/>
  <c r="Q23" i="1" s="1"/>
  <c r="H23" i="1" s="1"/>
  <c r="P21" i="1"/>
  <c r="F15" i="3"/>
  <c r="Q21" i="1" l="1"/>
  <c r="H21" i="1" l="1"/>
  <c r="H42" i="1" s="1"/>
  <c r="H43" i="1" s="1"/>
  <c r="H44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<sst xmlns="http://schemas.openxmlformats.org/spreadsheetml/2006/main" count="263" uniqueCount="174">
  <si>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</si>
  <si>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</si>
  <si>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</si>
  <si>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</si>
  <si>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</si>
  <si>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</si>
  <si>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</si>
  <si>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</si>
  <si>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</si>
  <si>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</si>
  <si>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</si>
  <si>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</si>
  <si>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</si>
  <si>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</si>
  <si>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</si>
  <si>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</si>
  <si>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</si>
  <si>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</si>
  <si>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</si>
  <si>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</si>
  <si>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</si>
  <si>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</si>
  <si>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</si>
  <si>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</si>
  <si>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</si>
  <si>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</si>
  <si>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</si>
  <si>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</si>
  <si>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</si>
  <si>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</si>
  <si>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</si>
  <si>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</si>
  <si>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</si>
  <si>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</si>
  <si>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</si>
  <si>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</si>
  <si>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</si>
  <si>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</si>
  <si>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</si>
  <si>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</si>
  <si>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</si>
  <si>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</si>
  <si>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</si>
  <si>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</si>
  <si>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</si>
  <si>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</si>
  <si>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</si>
  <si>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</si>
  <si>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</si>
  <si>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</si>
  <si>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</si>
  <si>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</si>
  <si>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</si>
  <si>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</si>
  <si>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</si>
  <si>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</si>
  <si>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</si>
  <si>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</si>
  <si>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</si>
  <si>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</si>
  <si>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</si>
  <si>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</si>
  <si>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</si>
  <si>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</si>
  <si>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</si>
  <si>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</si>
  <si>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</si>
  <si>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</si>
  <si>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</si>
  <si>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</si>
  <si>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</si>
  <si>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</si>
  <si>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</si>
  <si>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</si>
  <si>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</si>
  <si>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</si>
  <si>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</si>
  <si>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</si>
  <si>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</si>
  <si>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</si>
  <si>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</si>
  <si>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</si>
  <si>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</si>
  <si>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</si>
  <si>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</si>
  <si>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</si>
  <si>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</si>
  <si>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</si>
  <si>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</si>
  <si>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</si>
  <si>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</si>
  <si>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</si>
  <si>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</si>
  <si>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</si>
  <si>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</si>
  <si>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</si>
  <si>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</si>
  <si>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</si>
  <si>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</si>
  <si>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</si>
  <si>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</si>
  <si>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</si>
  <si>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</si>
  <si>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</si>
  <si>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</si>
  <si>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</si>
  <si>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</si>
  <si>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</si>
  <si>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</si>
  <si>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</si>
  <si>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</si>
  <si>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</si>
  <si>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</si>
  <si>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</si>
  <si>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</si>
  <si>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</si>
  <si>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</si>
  <si>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</si>
  <si>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</si>
  <si>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</si>
  <si>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</si>
  <si>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</si>
  <si>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</si>
  <si>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</si>
  <si>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</si>
  <si>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</si>
  <si>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</si>
  <si>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</si>
  <si>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</si>
  <si>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</si>
  <si>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</si>
  <si>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</si>
  <si>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</si>
  <si>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</si>
  <si>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</si>
  <si>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</si>
  <si>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</si>
  <si>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</si>
  <si>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</si>
  <si>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</si>
  <si>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</si>
  <si>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</si>
  <si>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</si>
  <si>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</si>
  <si>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</si>
  <si>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</si>
  <si>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</si>
  <si>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</si>
  <si>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</si>
  <si>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</si>
  <si>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</si>
  <si>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</si>
  <si>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</si>
  <si>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</si>
  <si>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</si>
  <si>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</si>
  <si>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</si>
  <si>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</si>
  <si>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</si>
  <si>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</si>
  <si>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</si>
  <si>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</si>
  <si>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</si>
  <si>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</si>
  <si>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</si>
  <si>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</si>
  <si>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10 DIAS HABILES</t>
  </si>
  <si>
    <t>N° 11248</t>
  </si>
  <si>
    <t>VICTOR RIVEROS</t>
  </si>
  <si>
    <t>+569 5878 8293</t>
  </si>
  <si>
    <t>PR2</t>
  </si>
  <si>
    <t>FASHION WHITE 2125 MT</t>
  </si>
  <si>
    <t>PP-7915 NOGAL MT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</si>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</sst>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7" fontId="0" fillId="0" borderId="0" xfId="2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46</xdr:row>
      <xdr:rowOff>26670</xdr:rowOff>
    </xdr:from>
    <xdr:to>
      <xdr:col>7</xdr:col>
      <xdr:colOff>1034435</xdr:colOff>
      <xdr:row>49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48</xdr:row>
      <xdr:rowOff>154305</xdr:rowOff>
    </xdr:from>
    <xdr:to>
      <xdr:col>7</xdr:col>
      <xdr:colOff>853440</xdr:colOff>
      <xdr:row>48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46</xdr:row>
      <xdr:rowOff>9525</xdr:rowOff>
    </xdr:from>
    <xdr:to>
      <xdr:col>5</xdr:col>
      <xdr:colOff>1714500</xdr:colOff>
      <xdr:row>49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40</xdr:row>
      <xdr:rowOff>206170</xdr:rowOff>
    </xdr:from>
    <xdr:to>
      <xdr:col>5</xdr:col>
      <xdr:colOff>1643259</xdr:colOff>
      <xdr:row>44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ENCHAPADAS CON TAPACANTO PVC 0,4MM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 TRASCARA BLANCA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9"/>
  <sheetViews>
    <sheetView tabSelected="1" topLeftCell="A3" zoomScale="93" zoomScaleNormal="93" workbookViewId="0">
      <selection activeCell="I33" sqref="I3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167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168</v>
      </c>
      <c r="D10" s="242"/>
      <c r="E10" s="242"/>
      <c r="F10" s="243" t="s">
        <v>0</v>
      </c>
      <c r="G10" s="276">
        <v>45670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166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165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169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1" t="s">
        <v>163</v>
      </c>
      <c r="G17" s="331"/>
      <c r="H17" s="332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146</v>
      </c>
      <c r="C19" s="334"/>
      <c r="D19" s="334"/>
      <c r="E19" s="334"/>
      <c r="F19" s="334"/>
      <c r="G19" s="334"/>
      <c r="H19" s="335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N56</f>
        <v>77765.590504884865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170</v>
      </c>
      <c r="D21" s="330">
        <v>0.39500000000000002</v>
      </c>
      <c r="E21" s="330">
        <v>0.6</v>
      </c>
      <c r="F21" s="325" t="s">
        <v>173</v>
      </c>
      <c r="G21" s="326">
        <f>Q21</f>
        <v>23763.412664804262</v>
      </c>
      <c r="H21" s="326">
        <f>G21*B21</f>
        <v>23763.412664804262</v>
      </c>
      <c r="I21" s="264"/>
      <c r="J21" s="47"/>
      <c r="K21" s="328">
        <f t="shared" ref="K21:K34" si="1">B21</f>
        <v>1</v>
      </c>
      <c r="L21" s="39">
        <f t="shared" ref="L21" si="2">D21+L$19</f>
        <v>0.44500000000000001</v>
      </c>
      <c r="M21" s="39">
        <f t="shared" ref="M21" si="3">E21+M$19</f>
        <v>0.6</v>
      </c>
      <c r="N21" s="260">
        <f t="shared" ref="N21" si="4">L21*M21</f>
        <v>0.26700000000000002</v>
      </c>
      <c r="O21" s="258">
        <f t="shared" ref="O21" si="5">N21*K21</f>
        <v>0.26700000000000002</v>
      </c>
      <c r="P21" s="251">
        <f t="shared" ref="P21" si="6">P$20*N21</f>
        <v>20763.412664804262</v>
      </c>
      <c r="Q21" s="327">
        <f t="shared" ref="Q21" si="7">P21+Q$20</f>
        <v>23763.412664804262</v>
      </c>
      <c r="R21" s="297">
        <f>L21*K21*2</f>
        <v>0.89</v>
      </c>
      <c r="S21" s="46">
        <f>M21*2*K21</f>
        <v>1.2</v>
      </c>
      <c r="T21" s="9"/>
      <c r="W21" s="4"/>
    </row>
    <row r="22" spans="2:24" ht="17.399999999999999" x14ac:dyDescent="0.3">
      <c r="B22" s="325">
        <v>2</v>
      </c>
      <c r="C22" s="325" t="s">
        <v>170</v>
      </c>
      <c r="D22" s="330">
        <v>0.37</v>
      </c>
      <c r="E22" s="330">
        <v>0.6</v>
      </c>
      <c r="F22" s="325" t="s">
        <v>173</v>
      </c>
      <c r="G22" s="326">
        <f t="shared" ref="G22:G33" si="8">Q22</f>
        <v>22596.928807230986</v>
      </c>
      <c r="H22" s="326">
        <f t="shared" ref="H22:H26" si="9">G22*B22</f>
        <v>45193.857614461973</v>
      </c>
      <c r="I22" s="264"/>
      <c r="J22" s="47"/>
      <c r="K22" s="328">
        <f t="shared" si="1"/>
        <v>2</v>
      </c>
      <c r="L22" s="39">
        <f t="shared" ref="L22:L25" si="10">D22+L$19</f>
        <v>0.42</v>
      </c>
      <c r="M22" s="39">
        <f t="shared" ref="M22:M25" si="11">E22+M$19</f>
        <v>0.6</v>
      </c>
      <c r="N22" s="260">
        <f t="shared" ref="N22:N25" si="12">L22*M22</f>
        <v>0.252</v>
      </c>
      <c r="O22" s="258">
        <f t="shared" ref="O22:O25" si="13">N22*K22</f>
        <v>0.504</v>
      </c>
      <c r="P22" s="251">
        <f t="shared" ref="P22:P25" si="14">P$20*N22</f>
        <v>19596.928807230986</v>
      </c>
      <c r="Q22" s="327">
        <f t="shared" ref="Q22:Q25" si="15">P22+Q$20</f>
        <v>22596.928807230986</v>
      </c>
      <c r="R22" s="297"/>
      <c r="S22" s="46"/>
      <c r="T22" s="9"/>
      <c r="W22" s="4"/>
    </row>
    <row r="23" spans="2:24" ht="17.399999999999999" x14ac:dyDescent="0.3">
      <c r="B23" s="343">
        <v>1</v>
      </c>
      <c r="C23" s="343" t="s">
        <v>170</v>
      </c>
      <c r="D23" s="344">
        <v>0.77</v>
      </c>
      <c r="E23" s="344">
        <v>0.16900000000000001</v>
      </c>
      <c r="F23" s="325" t="s">
        <v>173</v>
      </c>
      <c r="G23" s="326">
        <f t="shared" si="8"/>
        <v>13776.755532166946</v>
      </c>
      <c r="H23" s="326">
        <f t="shared" si="9"/>
        <v>13776.755532166946</v>
      </c>
      <c r="I23" s="264"/>
      <c r="J23" s="47"/>
      <c r="K23" s="328">
        <f t="shared" si="1"/>
        <v>1</v>
      </c>
      <c r="L23" s="39">
        <f t="shared" si="10"/>
        <v>0.82000000000000006</v>
      </c>
      <c r="M23" s="39">
        <f t="shared" si="11"/>
        <v>0.16900000000000001</v>
      </c>
      <c r="N23" s="260">
        <f t="shared" si="12"/>
        <v>0.13858000000000001</v>
      </c>
      <c r="O23" s="258">
        <f t="shared" si="13"/>
        <v>0.13858000000000001</v>
      </c>
      <c r="P23" s="251">
        <f t="shared" si="14"/>
        <v>10776.755532166946</v>
      </c>
      <c r="Q23" s="327">
        <f t="shared" si="15"/>
        <v>13776.755532166946</v>
      </c>
      <c r="R23" s="297"/>
      <c r="S23" s="46"/>
      <c r="T23" s="9"/>
      <c r="W23" s="4"/>
    </row>
    <row r="24" spans="2:24" ht="17.399999999999999" x14ac:dyDescent="0.3">
      <c r="B24" s="343">
        <v>5</v>
      </c>
      <c r="C24" s="343" t="s">
        <v>170</v>
      </c>
      <c r="D24" s="344">
        <v>0.77</v>
      </c>
      <c r="E24" s="344">
        <v>0.44600000000000001</v>
      </c>
      <c r="F24" s="325" t="s">
        <v>173</v>
      </c>
      <c r="G24" s="326">
        <f t="shared" si="8"/>
        <v>31440.431759446496</v>
      </c>
      <c r="H24" s="326">
        <f t="shared" si="9"/>
        <v>157202.15879723249</v>
      </c>
      <c r="I24" s="264"/>
      <c r="J24" s="47"/>
      <c r="K24" s="328">
        <f t="shared" si="1"/>
        <v>5</v>
      </c>
      <c r="L24" s="39">
        <f t="shared" si="10"/>
        <v>0.82000000000000006</v>
      </c>
      <c r="M24" s="39">
        <f t="shared" si="11"/>
        <v>0.44600000000000001</v>
      </c>
      <c r="N24" s="260">
        <f t="shared" si="12"/>
        <v>0.36572000000000005</v>
      </c>
      <c r="O24" s="258">
        <f t="shared" si="13"/>
        <v>1.8286000000000002</v>
      </c>
      <c r="P24" s="251">
        <f t="shared" si="14"/>
        <v>28440.431759446496</v>
      </c>
      <c r="Q24" s="327">
        <f t="shared" si="15"/>
        <v>31440.431759446496</v>
      </c>
      <c r="R24" s="297"/>
      <c r="S24" s="46"/>
      <c r="T24" s="9"/>
      <c r="W24" s="4"/>
    </row>
    <row r="25" spans="2:24" ht="17.399999999999999" x14ac:dyDescent="0.3">
      <c r="B25" s="343">
        <v>2</v>
      </c>
      <c r="C25" s="343" t="s">
        <v>170</v>
      </c>
      <c r="D25" s="344">
        <v>0.183</v>
      </c>
      <c r="E25" s="344">
        <v>0.74099999999999999</v>
      </c>
      <c r="F25" s="325" t="s">
        <v>173</v>
      </c>
      <c r="G25" s="326">
        <f t="shared" si="8"/>
        <v>16426.462497439883</v>
      </c>
      <c r="H25" s="326">
        <f t="shared" si="9"/>
        <v>32852.924994879766</v>
      </c>
      <c r="I25" s="264"/>
      <c r="J25" s="47"/>
      <c r="K25" s="328">
        <f t="shared" si="1"/>
        <v>2</v>
      </c>
      <c r="L25" s="39">
        <f t="shared" si="10"/>
        <v>0.23299999999999998</v>
      </c>
      <c r="M25" s="39">
        <f t="shared" si="11"/>
        <v>0.74099999999999999</v>
      </c>
      <c r="N25" s="260">
        <f t="shared" si="12"/>
        <v>0.17265299999999997</v>
      </c>
      <c r="O25" s="258">
        <f t="shared" si="13"/>
        <v>0.34530599999999995</v>
      </c>
      <c r="P25" s="251">
        <f t="shared" si="14"/>
        <v>13426.462497439885</v>
      </c>
      <c r="Q25" s="327">
        <f t="shared" si="15"/>
        <v>16426.462497439883</v>
      </c>
      <c r="R25" s="297"/>
      <c r="S25" s="46"/>
      <c r="T25" s="9"/>
      <c r="W25" s="4"/>
    </row>
    <row r="26" spans="2:24" ht="17.399999999999999" x14ac:dyDescent="0.3">
      <c r="B26" s="343">
        <v>1</v>
      </c>
      <c r="C26" s="343" t="s">
        <v>170</v>
      </c>
      <c r="D26" s="344">
        <v>0.37</v>
      </c>
      <c r="E26" s="344">
        <v>0.74099999999999999</v>
      </c>
      <c r="F26" s="325" t="s">
        <v>173</v>
      </c>
      <c r="G26" s="326">
        <f t="shared" si="8"/>
        <v>27202.207076930266</v>
      </c>
      <c r="H26" s="326">
        <f t="shared" si="9"/>
        <v>27202.207076930266</v>
      </c>
      <c r="I26" s="264"/>
      <c r="J26" s="47"/>
      <c r="K26" s="328">
        <f t="shared" si="1"/>
        <v>1</v>
      </c>
      <c r="L26" s="39">
        <f t="shared" ref="L26:L39" si="16">D26+L$19</f>
        <v>0.42</v>
      </c>
      <c r="M26" s="39">
        <f t="shared" ref="M26:M39" si="17">E26+M$19</f>
        <v>0.74099999999999999</v>
      </c>
      <c r="N26" s="260">
        <f t="shared" ref="N26:N39" si="18">L26*M26</f>
        <v>0.31122</v>
      </c>
      <c r="O26" s="258">
        <f t="shared" ref="O26:O39" si="19">N26*K26</f>
        <v>0.31122</v>
      </c>
      <c r="P26" s="251">
        <f t="shared" ref="P26:P39" si="20">P$20*N26</f>
        <v>24202.207076930266</v>
      </c>
      <c r="Q26" s="327">
        <f t="shared" ref="Q26:Q39" si="21">P26+Q$20</f>
        <v>27202.207076930266</v>
      </c>
      <c r="R26" s="297"/>
      <c r="S26" s="46"/>
      <c r="T26" s="9"/>
      <c r="W26" s="4"/>
    </row>
    <row r="27" spans="2:24" ht="17.399999999999999" x14ac:dyDescent="0.3">
      <c r="B27" s="343">
        <v>1</v>
      </c>
      <c r="C27" s="343" t="s">
        <v>170</v>
      </c>
      <c r="D27" s="344">
        <v>0.77</v>
      </c>
      <c r="E27" s="344">
        <v>0.35099999999999998</v>
      </c>
      <c r="F27" s="325" t="s">
        <v>173</v>
      </c>
      <c r="G27" s="326">
        <f t="shared" si="8"/>
        <v>25382.492259115963</v>
      </c>
      <c r="H27" s="326">
        <f t="shared" ref="H27:H39" si="22">G27*B27</f>
        <v>25382.492259115963</v>
      </c>
      <c r="I27" s="264"/>
      <c r="J27" s="47"/>
      <c r="K27" s="328">
        <f t="shared" si="1"/>
        <v>1</v>
      </c>
      <c r="L27" s="39">
        <f t="shared" si="16"/>
        <v>0.82000000000000006</v>
      </c>
      <c r="M27" s="39">
        <f t="shared" si="17"/>
        <v>0.35099999999999998</v>
      </c>
      <c r="N27" s="260">
        <f t="shared" si="18"/>
        <v>0.28782000000000002</v>
      </c>
      <c r="O27" s="258">
        <f t="shared" si="19"/>
        <v>0.28782000000000002</v>
      </c>
      <c r="P27" s="251">
        <f t="shared" si="20"/>
        <v>22382.492259115963</v>
      </c>
      <c r="Q27" s="327">
        <f t="shared" si="21"/>
        <v>25382.492259115963</v>
      </c>
      <c r="R27" s="297"/>
      <c r="S27" s="46"/>
      <c r="T27" s="9"/>
      <c r="W27" s="4"/>
    </row>
    <row r="28" spans="2:24" ht="17.399999999999999" x14ac:dyDescent="0.3">
      <c r="B28" s="343">
        <v>2</v>
      </c>
      <c r="C28" s="343" t="s">
        <v>170</v>
      </c>
      <c r="D28" s="344">
        <v>0.77</v>
      </c>
      <c r="E28" s="344">
        <v>0.44600000000000001</v>
      </c>
      <c r="F28" s="325" t="s">
        <v>173</v>
      </c>
      <c r="G28" s="326">
        <f t="shared" si="8"/>
        <v>31440.431759446496</v>
      </c>
      <c r="H28" s="326">
        <f t="shared" si="22"/>
        <v>62880.863518892991</v>
      </c>
      <c r="I28" s="264"/>
      <c r="J28" s="47"/>
      <c r="K28" s="328">
        <f t="shared" si="1"/>
        <v>2</v>
      </c>
      <c r="L28" s="39">
        <f t="shared" si="16"/>
        <v>0.82000000000000006</v>
      </c>
      <c r="M28" s="39">
        <f t="shared" si="17"/>
        <v>0.44600000000000001</v>
      </c>
      <c r="N28" s="260">
        <f t="shared" si="18"/>
        <v>0.36572000000000005</v>
      </c>
      <c r="O28" s="258">
        <f t="shared" si="19"/>
        <v>0.73144000000000009</v>
      </c>
      <c r="P28" s="251">
        <f t="shared" si="20"/>
        <v>28440.431759446496</v>
      </c>
      <c r="Q28" s="327">
        <f t="shared" si="21"/>
        <v>31440.431759446496</v>
      </c>
      <c r="R28" s="297"/>
      <c r="S28" s="46"/>
      <c r="T28" s="9"/>
      <c r="W28" s="4"/>
    </row>
    <row r="29" spans="2:24" ht="17.399999999999999" x14ac:dyDescent="0.3">
      <c r="B29" s="343">
        <v>1</v>
      </c>
      <c r="C29" s="343" t="s">
        <v>170</v>
      </c>
      <c r="D29" s="344">
        <v>0.77</v>
      </c>
      <c r="E29" s="344">
        <v>0.39</v>
      </c>
      <c r="F29" s="325" t="s">
        <v>173</v>
      </c>
      <c r="G29" s="326">
        <f t="shared" si="8"/>
        <v>27869.435843462183</v>
      </c>
      <c r="H29" s="326">
        <f t="shared" si="22"/>
        <v>27869.435843462183</v>
      </c>
      <c r="I29" s="264"/>
      <c r="J29" s="47"/>
      <c r="K29" s="328">
        <f t="shared" si="1"/>
        <v>1</v>
      </c>
      <c r="L29" s="39">
        <f t="shared" si="16"/>
        <v>0.82000000000000006</v>
      </c>
      <c r="M29" s="39">
        <f t="shared" si="17"/>
        <v>0.39</v>
      </c>
      <c r="N29" s="260">
        <f t="shared" si="18"/>
        <v>0.31980000000000003</v>
      </c>
      <c r="O29" s="258">
        <f t="shared" si="19"/>
        <v>0.31980000000000003</v>
      </c>
      <c r="P29" s="251">
        <f t="shared" si="20"/>
        <v>24869.435843462183</v>
      </c>
      <c r="Q29" s="327">
        <f t="shared" si="21"/>
        <v>27869.435843462183</v>
      </c>
      <c r="R29" s="297"/>
      <c r="S29" s="46"/>
      <c r="T29" s="9"/>
      <c r="W29" s="4"/>
    </row>
    <row r="30" spans="2:24" ht="17.399999999999999" x14ac:dyDescent="0.3">
      <c r="B30" s="343">
        <v>5</v>
      </c>
      <c r="C30" s="343" t="s">
        <v>170</v>
      </c>
      <c r="D30" s="344">
        <v>0.77</v>
      </c>
      <c r="E30" s="344">
        <v>0.44600000000000001</v>
      </c>
      <c r="F30" s="325" t="s">
        <v>173</v>
      </c>
      <c r="G30" s="326">
        <f t="shared" si="8"/>
        <v>31440.431759446496</v>
      </c>
      <c r="H30" s="326">
        <f t="shared" si="22"/>
        <v>157202.15879723249</v>
      </c>
      <c r="I30" s="264"/>
      <c r="J30" s="47"/>
      <c r="K30" s="328">
        <f t="shared" si="1"/>
        <v>5</v>
      </c>
      <c r="L30" s="39">
        <f t="shared" si="16"/>
        <v>0.82000000000000006</v>
      </c>
      <c r="M30" s="39">
        <f t="shared" si="17"/>
        <v>0.44600000000000001</v>
      </c>
      <c r="N30" s="260">
        <f t="shared" si="18"/>
        <v>0.36572000000000005</v>
      </c>
      <c r="O30" s="258">
        <f t="shared" si="19"/>
        <v>1.8286000000000002</v>
      </c>
      <c r="P30" s="251">
        <f t="shared" si="20"/>
        <v>28440.431759446496</v>
      </c>
      <c r="Q30" s="327">
        <f t="shared" si="21"/>
        <v>31440.431759446496</v>
      </c>
      <c r="R30" s="297"/>
      <c r="S30" s="46"/>
      <c r="T30" s="9"/>
      <c r="W30" s="4"/>
    </row>
    <row r="31" spans="2:24" ht="17.399999999999999" x14ac:dyDescent="0.3">
      <c r="B31" s="343">
        <v>2</v>
      </c>
      <c r="C31" s="343" t="s">
        <v>170</v>
      </c>
      <c r="D31" s="344">
        <v>0.79</v>
      </c>
      <c r="E31" s="344">
        <v>0.32500000000000001</v>
      </c>
      <c r="F31" s="325" t="s">
        <v>173</v>
      </c>
      <c r="G31" s="326">
        <f t="shared" si="8"/>
        <v>24230.006207833569</v>
      </c>
      <c r="H31" s="326">
        <f t="shared" si="22"/>
        <v>48460.012415667137</v>
      </c>
      <c r="I31" s="264"/>
      <c r="J31" s="47"/>
      <c r="K31" s="328">
        <f t="shared" si="1"/>
        <v>2</v>
      </c>
      <c r="L31" s="39">
        <f t="shared" si="16"/>
        <v>0.84000000000000008</v>
      </c>
      <c r="M31" s="39">
        <f t="shared" si="17"/>
        <v>0.32500000000000001</v>
      </c>
      <c r="N31" s="260">
        <f t="shared" si="18"/>
        <v>0.27300000000000002</v>
      </c>
      <c r="O31" s="258">
        <f t="shared" si="19"/>
        <v>0.54600000000000004</v>
      </c>
      <c r="P31" s="251">
        <f t="shared" si="20"/>
        <v>21230.006207833569</v>
      </c>
      <c r="Q31" s="327">
        <f t="shared" si="21"/>
        <v>24230.006207833569</v>
      </c>
      <c r="R31" s="297"/>
      <c r="S31" s="46"/>
      <c r="T31" s="9"/>
      <c r="W31" s="4"/>
    </row>
    <row r="32" spans="2:24" ht="17.399999999999999" x14ac:dyDescent="0.3">
      <c r="B32" s="343">
        <v>1</v>
      </c>
      <c r="C32" s="343" t="s">
        <v>170</v>
      </c>
      <c r="D32" s="344">
        <v>2.34</v>
      </c>
      <c r="E32" s="344">
        <v>0.625</v>
      </c>
      <c r="F32" s="325" t="s">
        <v>173</v>
      </c>
      <c r="G32" s="326">
        <f t="shared" si="8"/>
        <v>119162.35081667177</v>
      </c>
      <c r="H32" s="326">
        <f t="shared" si="22"/>
        <v>119162.35081667177</v>
      </c>
      <c r="I32" s="264"/>
      <c r="J32" s="47"/>
      <c r="K32" s="328">
        <f t="shared" si="1"/>
        <v>1</v>
      </c>
      <c r="L32" s="39">
        <f t="shared" si="16"/>
        <v>2.3899999999999997</v>
      </c>
      <c r="M32" s="39">
        <f t="shared" si="17"/>
        <v>0.625</v>
      </c>
      <c r="N32" s="260">
        <f t="shared" si="18"/>
        <v>1.4937499999999999</v>
      </c>
      <c r="O32" s="258">
        <f t="shared" si="19"/>
        <v>1.4937499999999999</v>
      </c>
      <c r="P32" s="251">
        <f t="shared" si="20"/>
        <v>116162.35081667177</v>
      </c>
      <c r="Q32" s="327">
        <f t="shared" si="21"/>
        <v>119162.35081667177</v>
      </c>
      <c r="R32" s="297"/>
      <c r="S32" s="46"/>
      <c r="T32" s="9"/>
      <c r="W32" s="4"/>
    </row>
    <row r="33" spans="2:23" ht="17.399999999999999" x14ac:dyDescent="0.3">
      <c r="B33" s="343">
        <v>1</v>
      </c>
      <c r="C33" s="343" t="s">
        <v>170</v>
      </c>
      <c r="D33" s="344">
        <v>0.77</v>
      </c>
      <c r="E33" s="344">
        <v>0.32</v>
      </c>
      <c r="F33" s="325" t="s">
        <v>173</v>
      </c>
      <c r="G33" s="326">
        <f t="shared" si="8"/>
        <v>23405.690948481792</v>
      </c>
      <c r="H33" s="326">
        <f t="shared" si="22"/>
        <v>23405.690948481792</v>
      </c>
      <c r="I33" s="264"/>
      <c r="J33" s="47"/>
      <c r="K33" s="328">
        <f t="shared" si="1"/>
        <v>1</v>
      </c>
      <c r="L33" s="39">
        <f t="shared" si="16"/>
        <v>0.82000000000000006</v>
      </c>
      <c r="M33" s="39">
        <f t="shared" si="17"/>
        <v>0.32</v>
      </c>
      <c r="N33" s="260">
        <f t="shared" si="18"/>
        <v>0.26240000000000002</v>
      </c>
      <c r="O33" s="258">
        <f t="shared" si="19"/>
        <v>0.26240000000000002</v>
      </c>
      <c r="P33" s="251">
        <f t="shared" si="20"/>
        <v>20405.690948481792</v>
      </c>
      <c r="Q33" s="327">
        <f t="shared" si="21"/>
        <v>23405.690948481792</v>
      </c>
      <c r="R33" s="297"/>
      <c r="S33" s="46"/>
      <c r="T33" s="9"/>
      <c r="W33" s="4"/>
    </row>
    <row r="34" spans="2:23" ht="17.399999999999999" x14ac:dyDescent="0.3">
      <c r="B34" s="343">
        <v>1</v>
      </c>
      <c r="C34" s="343" t="s">
        <v>170</v>
      </c>
      <c r="D34" s="344">
        <v>0.79</v>
      </c>
      <c r="E34" s="344">
        <v>0.16900000000000001</v>
      </c>
      <c r="F34" s="325" t="s">
        <v>172</v>
      </c>
      <c r="G34" s="326">
        <v>14809</v>
      </c>
      <c r="H34" s="326">
        <f t="shared" si="22"/>
        <v>14809</v>
      </c>
      <c r="I34" s="264"/>
      <c r="J34" s="47"/>
      <c r="K34" s="328"/>
      <c r="L34" s="39">
        <f t="shared" si="16"/>
        <v>0.84000000000000008</v>
      </c>
      <c r="M34" s="39">
        <f t="shared" si="17"/>
        <v>0.16900000000000001</v>
      </c>
      <c r="N34" s="260">
        <f t="shared" si="18"/>
        <v>0.14196000000000003</v>
      </c>
      <c r="O34" s="258">
        <f t="shared" si="19"/>
        <v>0</v>
      </c>
      <c r="P34" s="251">
        <f t="shared" si="20"/>
        <v>11039.603228073458</v>
      </c>
      <c r="Q34" s="327">
        <f t="shared" si="21"/>
        <v>14039.603228073458</v>
      </c>
      <c r="R34" s="297"/>
      <c r="S34" s="46"/>
      <c r="T34" s="9"/>
      <c r="W34" s="4"/>
    </row>
    <row r="35" spans="2:23" ht="17.399999999999999" x14ac:dyDescent="0.3">
      <c r="B35" s="343">
        <v>5</v>
      </c>
      <c r="C35" s="343" t="s">
        <v>170</v>
      </c>
      <c r="D35" s="344">
        <v>0.79</v>
      </c>
      <c r="E35" s="344">
        <v>0.44600000000000001</v>
      </c>
      <c r="F35" s="325" t="s">
        <v>172</v>
      </c>
      <c r="G35" s="326">
        <v>34164</v>
      </c>
      <c r="H35" s="326">
        <f t="shared" si="22"/>
        <v>170820</v>
      </c>
      <c r="I35" s="264"/>
      <c r="J35" s="47"/>
      <c r="K35" s="328"/>
      <c r="L35" s="39">
        <f t="shared" si="16"/>
        <v>0.84000000000000008</v>
      </c>
      <c r="M35" s="39">
        <f t="shared" si="17"/>
        <v>0.44600000000000001</v>
      </c>
      <c r="N35" s="260">
        <f t="shared" si="18"/>
        <v>0.37464000000000003</v>
      </c>
      <c r="O35" s="258">
        <f t="shared" si="19"/>
        <v>0</v>
      </c>
      <c r="P35" s="251">
        <f t="shared" si="20"/>
        <v>29134.100826750069</v>
      </c>
      <c r="Q35" s="327">
        <f t="shared" si="21"/>
        <v>32134.100826750069</v>
      </c>
      <c r="R35" s="297"/>
      <c r="S35" s="46"/>
      <c r="T35" s="9"/>
      <c r="W35" s="4"/>
    </row>
    <row r="36" spans="2:23" ht="17.399999999999999" x14ac:dyDescent="0.3">
      <c r="B36" s="343">
        <v>2</v>
      </c>
      <c r="C36" s="343" t="s">
        <v>170</v>
      </c>
      <c r="D36" s="344">
        <v>0.36399999999999999</v>
      </c>
      <c r="E36" s="344">
        <v>0.59399999999999997</v>
      </c>
      <c r="F36" s="325" t="s">
        <v>172</v>
      </c>
      <c r="G36" s="326">
        <v>23456</v>
      </c>
      <c r="H36" s="326">
        <f t="shared" si="22"/>
        <v>46912</v>
      </c>
      <c r="I36" s="264"/>
      <c r="J36" s="47"/>
      <c r="K36" s="328"/>
      <c r="L36" s="39">
        <f t="shared" si="16"/>
        <v>0.41399999999999998</v>
      </c>
      <c r="M36" s="39">
        <f t="shared" si="17"/>
        <v>0.59399999999999997</v>
      </c>
      <c r="N36" s="260">
        <f t="shared" si="18"/>
        <v>0.24591599999999997</v>
      </c>
      <c r="O36" s="258">
        <f t="shared" si="19"/>
        <v>0</v>
      </c>
      <c r="P36" s="251">
        <f t="shared" si="20"/>
        <v>19123.802954599265</v>
      </c>
      <c r="Q36" s="327">
        <f t="shared" si="21"/>
        <v>22123.802954599265</v>
      </c>
      <c r="R36" s="297"/>
      <c r="S36" s="46"/>
      <c r="T36" s="9"/>
      <c r="W36" s="4"/>
    </row>
    <row r="37" spans="2:23" ht="17.399999999999999" x14ac:dyDescent="0.3">
      <c r="B37" s="343">
        <v>1</v>
      </c>
      <c r="C37" s="343" t="s">
        <v>170</v>
      </c>
      <c r="D37" s="344">
        <v>0.79</v>
      </c>
      <c r="E37" s="344">
        <v>0.13800000000000001</v>
      </c>
      <c r="F37" s="325" t="s">
        <v>172</v>
      </c>
      <c r="G37" s="326">
        <v>12643</v>
      </c>
      <c r="H37" s="326">
        <f t="shared" si="22"/>
        <v>12643</v>
      </c>
      <c r="I37" s="264"/>
      <c r="J37" s="47"/>
      <c r="K37" s="328"/>
      <c r="L37" s="39">
        <f t="shared" si="16"/>
        <v>0.84000000000000008</v>
      </c>
      <c r="M37" s="39">
        <f t="shared" si="17"/>
        <v>0.13800000000000001</v>
      </c>
      <c r="N37" s="260">
        <f t="shared" si="18"/>
        <v>0.11592000000000002</v>
      </c>
      <c r="O37" s="258">
        <f t="shared" si="19"/>
        <v>0</v>
      </c>
      <c r="P37" s="251">
        <f t="shared" si="20"/>
        <v>9014.5872513262548</v>
      </c>
      <c r="Q37" s="327">
        <f t="shared" si="21"/>
        <v>12014.587251326255</v>
      </c>
      <c r="R37" s="297"/>
      <c r="S37" s="46"/>
      <c r="T37" s="9"/>
      <c r="W37" s="4"/>
    </row>
    <row r="38" spans="2:23" ht="17.399999999999999" x14ac:dyDescent="0.3">
      <c r="B38" s="343">
        <v>1</v>
      </c>
      <c r="C38" s="343" t="s">
        <v>170</v>
      </c>
      <c r="D38" s="344">
        <v>0.79</v>
      </c>
      <c r="E38" s="344">
        <v>0.41</v>
      </c>
      <c r="F38" s="325" t="s">
        <v>172</v>
      </c>
      <c r="G38" s="326">
        <v>31648</v>
      </c>
      <c r="H38" s="326">
        <f t="shared" si="22"/>
        <v>31648</v>
      </c>
      <c r="I38" s="264"/>
      <c r="J38" s="47"/>
      <c r="K38" s="328"/>
      <c r="L38" s="39">
        <f t="shared" si="16"/>
        <v>0.84000000000000008</v>
      </c>
      <c r="M38" s="39">
        <f t="shared" si="17"/>
        <v>0.41</v>
      </c>
      <c r="N38" s="260">
        <f t="shared" si="18"/>
        <v>0.34440000000000004</v>
      </c>
      <c r="O38" s="258">
        <f t="shared" si="19"/>
        <v>0</v>
      </c>
      <c r="P38" s="251">
        <f t="shared" si="20"/>
        <v>26782.46936988235</v>
      </c>
      <c r="Q38" s="327">
        <f t="shared" si="21"/>
        <v>29782.46936988235</v>
      </c>
      <c r="R38" s="297"/>
      <c r="S38" s="46"/>
      <c r="T38" s="9"/>
      <c r="W38" s="4"/>
    </row>
    <row r="39" spans="2:23" ht="17.399999999999999" x14ac:dyDescent="0.3">
      <c r="B39" s="343">
        <v>5</v>
      </c>
      <c r="C39" s="343" t="s">
        <v>170</v>
      </c>
      <c r="D39" s="344">
        <v>0.79</v>
      </c>
      <c r="E39" s="344">
        <v>0.46600000000000003</v>
      </c>
      <c r="F39" s="325" t="s">
        <v>172</v>
      </c>
      <c r="G39" s="326">
        <v>35561</v>
      </c>
      <c r="H39" s="326">
        <f t="shared" si="22"/>
        <v>177805</v>
      </c>
      <c r="I39" s="264"/>
      <c r="J39" s="47"/>
      <c r="K39" s="328"/>
      <c r="L39" s="39">
        <f t="shared" si="16"/>
        <v>0.84000000000000008</v>
      </c>
      <c r="M39" s="39">
        <f t="shared" si="17"/>
        <v>0.46600000000000003</v>
      </c>
      <c r="N39" s="260">
        <f t="shared" si="18"/>
        <v>0.39144000000000007</v>
      </c>
      <c r="O39" s="258">
        <f t="shared" si="19"/>
        <v>0</v>
      </c>
      <c r="P39" s="251">
        <f t="shared" si="20"/>
        <v>30440.562747232136</v>
      </c>
      <c r="Q39" s="327">
        <f t="shared" si="21"/>
        <v>33440.562747232136</v>
      </c>
      <c r="R39" s="297"/>
      <c r="S39" s="46"/>
      <c r="T39" s="9"/>
      <c r="W39" s="4"/>
    </row>
    <row r="40" spans="2:23" ht="17.399999999999999" x14ac:dyDescent="0.3">
      <c r="B40" s="285"/>
      <c r="C40" s="285"/>
      <c r="D40" s="286"/>
      <c r="E40" s="286"/>
      <c r="F40" s="285"/>
      <c r="G40" s="329"/>
      <c r="H40" s="329"/>
      <c r="I40" s="264"/>
      <c r="J40" s="47"/>
      <c r="K40" s="328"/>
      <c r="L40" s="39"/>
      <c r="M40" s="39"/>
      <c r="N40" s="260"/>
      <c r="O40" s="258"/>
      <c r="P40" s="251"/>
      <c r="Q40" s="327"/>
      <c r="R40" s="297"/>
      <c r="S40" s="46"/>
      <c r="T40" s="9"/>
      <c r="W40" s="4"/>
    </row>
    <row r="41" spans="2:23" ht="18" thickBot="1" x14ac:dyDescent="0.35">
      <c r="B41" s="285"/>
      <c r="C41" s="285"/>
      <c r="D41" s="286"/>
      <c r="E41" s="286"/>
      <c r="F41" s="285"/>
      <c r="G41" s="264"/>
      <c r="H41" s="232"/>
      <c r="I41" s="232"/>
      <c r="J41" s="47"/>
      <c r="K41" s="47"/>
      <c r="L41" s="39"/>
      <c r="M41" s="39"/>
      <c r="N41" s="260">
        <v>0</v>
      </c>
      <c r="O41" s="258"/>
      <c r="P41" s="251"/>
      <c r="Q41" s="257"/>
      <c r="R41" s="297"/>
      <c r="S41" s="14"/>
      <c r="T41" s="9"/>
      <c r="W41" s="4"/>
    </row>
    <row r="42" spans="2:23" ht="17.399999999999999" x14ac:dyDescent="0.3">
      <c r="B42" s="285"/>
      <c r="C42" s="285"/>
      <c r="D42" s="286"/>
      <c r="E42" s="286"/>
      <c r="F42" s="285"/>
      <c r="G42" s="298" t="s">
        <v>28</v>
      </c>
      <c r="H42" s="299">
        <f>SUM(H21:H41)</f>
        <v>1218991.32128</v>
      </c>
      <c r="I42" s="264"/>
      <c r="J42" s="47"/>
      <c r="K42" s="47"/>
      <c r="L42" s="39">
        <f>SUM(L21:L41)</f>
        <v>15.101999999999999</v>
      </c>
      <c r="M42" s="39"/>
      <c r="N42" s="260"/>
      <c r="O42" s="258"/>
      <c r="P42" s="251"/>
      <c r="Q42" s="257"/>
      <c r="R42" s="297"/>
      <c r="S42" s="46">
        <f>SUM(S21:S41)</f>
        <v>1.2</v>
      </c>
      <c r="T42" s="9"/>
      <c r="W42" s="4"/>
    </row>
    <row r="43" spans="2:23" ht="17.399999999999999" x14ac:dyDescent="0.3">
      <c r="B43" s="279"/>
      <c r="C43" s="282"/>
      <c r="D43" s="283"/>
      <c r="E43" s="283"/>
      <c r="F43" s="284"/>
      <c r="G43" s="296" t="s">
        <v>51</v>
      </c>
      <c r="H43" s="294">
        <f>H42*19%</f>
        <v>231608.3510432</v>
      </c>
      <c r="I43" s="264"/>
      <c r="J43" s="47"/>
      <c r="K43" s="47"/>
      <c r="L43" s="39"/>
      <c r="M43" s="12"/>
      <c r="N43" s="12"/>
      <c r="O43" s="252">
        <f>SUM(O21:O40)</f>
        <v>8.8645160000000001</v>
      </c>
      <c r="P43" s="14"/>
      <c r="Q43" s="12"/>
      <c r="R43" s="238"/>
      <c r="S43" s="46">
        <f>S42*20%</f>
        <v>0.24</v>
      </c>
      <c r="T43" s="9"/>
      <c r="W43" s="4"/>
    </row>
    <row r="44" spans="2:23" ht="18" thickBot="1" x14ac:dyDescent="0.35">
      <c r="B44" s="275"/>
      <c r="C44" s="281"/>
      <c r="D44" s="271"/>
      <c r="E44" s="271"/>
      <c r="F44" s="272"/>
      <c r="G44" s="280" t="s">
        <v>6</v>
      </c>
      <c r="H44" s="295">
        <f>H42+H43</f>
        <v>1450599.6723231999</v>
      </c>
      <c r="I44" s="264"/>
      <c r="J44" s="47"/>
      <c r="K44" s="47"/>
      <c r="L44" s="39"/>
      <c r="M44" s="12"/>
      <c r="N44" s="12"/>
      <c r="O44" s="252">
        <f>O43</f>
        <v>8.8645160000000001</v>
      </c>
      <c r="P44" s="14"/>
      <c r="Q44" s="12"/>
      <c r="R44" s="238">
        <f>SUM(R21:R43)</f>
        <v>0.89</v>
      </c>
      <c r="S44" s="46">
        <f>S42+S43</f>
        <v>1.44</v>
      </c>
      <c r="T44" s="9"/>
      <c r="W44" s="4"/>
    </row>
    <row r="45" spans="2:23" ht="17.399999999999999" x14ac:dyDescent="0.3">
      <c r="B45" s="275"/>
      <c r="C45" s="270"/>
      <c r="D45" s="271"/>
      <c r="E45" s="271"/>
      <c r="F45" s="272"/>
      <c r="I45" s="264"/>
      <c r="J45" s="47"/>
      <c r="K45" s="47"/>
      <c r="L45" s="14"/>
      <c r="M45" s="12"/>
      <c r="N45" s="12"/>
      <c r="O45" s="39">
        <f>O44*20%</f>
        <v>1.7729032</v>
      </c>
      <c r="P45" s="39" t="s">
        <v>130</v>
      </c>
      <c r="Q45" s="42"/>
      <c r="R45" s="239"/>
      <c r="S45" s="14"/>
      <c r="T45" s="9"/>
      <c r="W45" s="4"/>
    </row>
    <row r="46" spans="2:23" ht="17.399999999999999" x14ac:dyDescent="0.3">
      <c r="B46" s="270"/>
      <c r="C46" s="270"/>
      <c r="D46" s="271"/>
      <c r="E46" s="271"/>
      <c r="F46" s="272"/>
      <c r="G46" s="273"/>
      <c r="H46" s="274"/>
      <c r="I46" s="264"/>
      <c r="J46" s="47"/>
      <c r="K46" s="47"/>
      <c r="L46" s="14"/>
      <c r="M46" s="12"/>
      <c r="N46" s="12"/>
      <c r="O46" s="46">
        <f>O44+O45</f>
        <v>10.6374192</v>
      </c>
      <c r="P46" s="14"/>
      <c r="Q46" s="14"/>
      <c r="R46" s="237">
        <v>40</v>
      </c>
      <c r="S46" s="14"/>
      <c r="T46" s="9"/>
      <c r="W46" s="4"/>
    </row>
    <row r="47" spans="2:23" ht="17.399999999999999" x14ac:dyDescent="0.35">
      <c r="B47" s="268"/>
      <c r="C47" s="229"/>
      <c r="D47" s="229"/>
      <c r="E47" s="232"/>
      <c r="F47" s="233"/>
      <c r="G47" s="229"/>
      <c r="H47" s="274"/>
      <c r="I47" s="264"/>
      <c r="J47" s="47"/>
      <c r="K47" s="47"/>
      <c r="L47" s="14"/>
      <c r="M47" s="14"/>
      <c r="N47" s="14"/>
      <c r="O47" s="14"/>
      <c r="P47" s="14"/>
      <c r="Q47" s="14"/>
      <c r="R47" s="237"/>
      <c r="S47" s="14"/>
      <c r="T47" s="304" t="s">
        <v>22</v>
      </c>
      <c r="U47" s="301" t="s">
        <v>151</v>
      </c>
      <c r="V47" s="305">
        <v>44971</v>
      </c>
      <c r="W47" s="306"/>
    </row>
    <row r="48" spans="2:23" ht="17.399999999999999" x14ac:dyDescent="0.35">
      <c r="B48" s="234"/>
      <c r="C48" s="235"/>
      <c r="D48" s="236"/>
      <c r="E48" s="234"/>
      <c r="F48" s="229"/>
      <c r="G48" s="229"/>
      <c r="I48" s="264"/>
      <c r="J48" s="47"/>
      <c r="K48" s="47"/>
      <c r="L48" s="39">
        <f>O46</f>
        <v>10.6374192</v>
      </c>
      <c r="M48" s="12">
        <v>3500</v>
      </c>
      <c r="N48" s="12">
        <f t="shared" ref="N48:N53" si="23">L48*M48</f>
        <v>37230.967199999999</v>
      </c>
      <c r="O48" s="14" t="s">
        <v>22</v>
      </c>
      <c r="P48" s="14"/>
      <c r="Q48" s="14"/>
      <c r="R48" s="240"/>
      <c r="S48" s="14"/>
      <c r="T48" s="304" t="s">
        <v>152</v>
      </c>
      <c r="U48" s="301">
        <v>3625</v>
      </c>
      <c r="V48" s="58" t="s">
        <v>153</v>
      </c>
      <c r="W48" s="306"/>
    </row>
    <row r="49" spans="2:23" ht="17.399999999999999" x14ac:dyDescent="0.35">
      <c r="B49" s="229"/>
      <c r="C49" s="229"/>
      <c r="D49" s="229"/>
      <c r="E49" s="229"/>
      <c r="F49" s="229"/>
      <c r="G49" s="229"/>
      <c r="I49" s="264"/>
      <c r="J49" s="47"/>
      <c r="K49" s="47"/>
      <c r="L49" s="248">
        <v>3</v>
      </c>
      <c r="M49" s="12">
        <v>45000</v>
      </c>
      <c r="N49" s="12">
        <f t="shared" si="23"/>
        <v>135000</v>
      </c>
      <c r="O49" s="39" t="s">
        <v>31</v>
      </c>
      <c r="P49" s="42"/>
      <c r="Q49" s="14"/>
      <c r="R49" s="239"/>
      <c r="S49" s="14"/>
      <c r="T49" s="304"/>
      <c r="U49" s="58">
        <v>906.25</v>
      </c>
      <c r="V49" s="58" t="s">
        <v>154</v>
      </c>
      <c r="W49" s="306"/>
    </row>
    <row r="50" spans="2:23" s="229" customFormat="1" ht="17.399999999999999" x14ac:dyDescent="0.35">
      <c r="I50" s="261"/>
      <c r="J50" s="231"/>
      <c r="K50" s="249"/>
      <c r="L50" s="14"/>
      <c r="M50" s="249">
        <v>40000</v>
      </c>
      <c r="N50" s="12">
        <f t="shared" si="23"/>
        <v>0</v>
      </c>
      <c r="O50" s="39" t="s">
        <v>30</v>
      </c>
      <c r="P50" s="42"/>
      <c r="R50" s="239"/>
      <c r="S50" s="255"/>
      <c r="T50" s="58"/>
      <c r="U50" s="58">
        <f>U49*20%</f>
        <v>181.25</v>
      </c>
      <c r="V50" s="306" t="s">
        <v>155</v>
      </c>
      <c r="W50" s="58"/>
    </row>
    <row r="51" spans="2:23" s="229" customFormat="1" ht="17.399999999999999" x14ac:dyDescent="0.35">
      <c r="B51" s="24" t="s">
        <v>150</v>
      </c>
      <c r="I51" s="261"/>
      <c r="J51" s="231"/>
      <c r="K51" s="249"/>
      <c r="L51" s="14">
        <v>5</v>
      </c>
      <c r="M51" s="249">
        <v>23000</v>
      </c>
      <c r="N51" s="12">
        <f t="shared" si="23"/>
        <v>115000</v>
      </c>
      <c r="O51" s="14"/>
      <c r="P51" s="17"/>
      <c r="R51" s="237"/>
      <c r="S51" s="255"/>
      <c r="T51" s="58"/>
      <c r="U51" s="58">
        <f>U49+U50</f>
        <v>1087.5</v>
      </c>
      <c r="V51" s="306" t="s">
        <v>156</v>
      </c>
      <c r="W51" s="58"/>
    </row>
    <row r="52" spans="2:23" s="229" customFormat="1" ht="17.399999999999999" x14ac:dyDescent="0.35">
      <c r="B52" s="24" t="s">
        <v>143</v>
      </c>
      <c r="C52"/>
      <c r="D52"/>
      <c r="E52"/>
      <c r="F52"/>
      <c r="I52" s="261"/>
      <c r="K52" s="249"/>
      <c r="L52" s="248"/>
      <c r="M52" s="249">
        <v>300</v>
      </c>
      <c r="N52" s="12">
        <f t="shared" si="23"/>
        <v>0</v>
      </c>
      <c r="O52" s="14" t="s">
        <v>32</v>
      </c>
      <c r="P52" s="14"/>
      <c r="Q52" s="229">
        <v>1.52</v>
      </c>
      <c r="R52" s="237"/>
      <c r="S52" s="237"/>
    </row>
    <row r="53" spans="2:23" s="229" customFormat="1" ht="17.399999999999999" x14ac:dyDescent="0.35">
      <c r="B53" s="29" t="s">
        <v>125</v>
      </c>
      <c r="C53"/>
      <c r="D53"/>
      <c r="E53"/>
      <c r="F53" s="228" t="s">
        <v>16</v>
      </c>
      <c r="I53" s="293"/>
      <c r="K53" s="249"/>
      <c r="L53" s="265"/>
      <c r="M53" s="12">
        <v>1500</v>
      </c>
      <c r="N53" s="12">
        <f t="shared" si="23"/>
        <v>0</v>
      </c>
      <c r="O53" s="14" t="s">
        <v>23</v>
      </c>
      <c r="P53" s="14"/>
      <c r="Q53">
        <v>2.44</v>
      </c>
      <c r="R53"/>
      <c r="S53" s="237"/>
      <c r="W53" s="230"/>
    </row>
    <row r="54" spans="2:23" s="229" customFormat="1" ht="17.399999999999999" x14ac:dyDescent="0.35">
      <c r="K54" s="249"/>
      <c r="L54" s="14"/>
      <c r="M54" s="12"/>
      <c r="N54" s="12">
        <f>SUM(N48:N53)</f>
        <v>287230.96720000001</v>
      </c>
      <c r="O54" s="39" t="s">
        <v>24</v>
      </c>
      <c r="P54" s="14"/>
      <c r="Q54">
        <f>Q52*Q53</f>
        <v>3.7088000000000001</v>
      </c>
      <c r="R54"/>
      <c r="S54" s="237"/>
      <c r="W54" s="230"/>
    </row>
    <row r="55" spans="2:23" s="229" customFormat="1" ht="17.399999999999999" x14ac:dyDescent="0.35">
      <c r="K55" s="249"/>
      <c r="L55" s="253" t="s">
        <v>33</v>
      </c>
      <c r="M55" s="12"/>
      <c r="N55" s="254">
        <f>N54*2.4</f>
        <v>689354.32128000003</v>
      </c>
      <c r="O55" s="14" t="s">
        <v>140</v>
      </c>
      <c r="P55" s="14"/>
      <c r="Q55" s="40">
        <f>O46/Q54</f>
        <v>2.8681566005176875</v>
      </c>
      <c r="R55"/>
      <c r="S55" s="256"/>
    </row>
    <row r="56" spans="2:23" s="229" customFormat="1" ht="17.399999999999999" x14ac:dyDescent="0.35">
      <c r="G56"/>
      <c r="H56" s="259"/>
      <c r="J56" s="229">
        <v>23560</v>
      </c>
      <c r="K56" s="249">
        <v>0</v>
      </c>
      <c r="L56" s="14"/>
      <c r="M56" s="12"/>
      <c r="N56" s="12">
        <f>N55/O44</f>
        <v>77765.590504884865</v>
      </c>
      <c r="O56" s="45" t="s">
        <v>25</v>
      </c>
      <c r="P56" s="14"/>
      <c r="Q56" s="14"/>
      <c r="R56"/>
      <c r="S56" s="237"/>
      <c r="T56" s="58" t="s">
        <v>157</v>
      </c>
      <c r="U56" s="301">
        <v>43650</v>
      </c>
    </row>
    <row r="57" spans="2:23" s="229" customFormat="1" ht="17.399999999999999" x14ac:dyDescent="0.35">
      <c r="G57"/>
      <c r="J57" s="229">
        <f>J56/1.19</f>
        <v>19798.319327731093</v>
      </c>
      <c r="K57" s="249"/>
      <c r="L57" s="13"/>
      <c r="M57" s="14"/>
      <c r="N57" s="17">
        <f>N55/N54</f>
        <v>2.4</v>
      </c>
      <c r="O57" s="15"/>
      <c r="P57"/>
      <c r="Q57"/>
      <c r="R57"/>
      <c r="S57" s="237"/>
      <c r="T57" s="58" t="s">
        <v>159</v>
      </c>
      <c r="U57" s="302" t="s">
        <v>158</v>
      </c>
      <c r="V57" s="58">
        <v>2.4</v>
      </c>
    </row>
    <row r="58" spans="2:23" s="229" customFormat="1" ht="17.399999999999999" x14ac:dyDescent="0.35">
      <c r="G58" s="23"/>
      <c r="K58" s="12"/>
      <c r="S58" s="237"/>
      <c r="T58" s="58" t="s">
        <v>160</v>
      </c>
      <c r="U58" s="303">
        <v>395.37</v>
      </c>
    </row>
    <row r="59" spans="2:23" s="229" customFormat="1" ht="17.399999999999999" x14ac:dyDescent="0.35">
      <c r="B59"/>
      <c r="C59" s="227"/>
      <c r="D59" s="22"/>
      <c r="E59" s="22"/>
      <c r="F59" s="21"/>
      <c r="G59" s="23"/>
      <c r="K59" s="12"/>
      <c r="S59" s="237"/>
      <c r="T59" s="58" t="s">
        <v>155</v>
      </c>
      <c r="U59" s="58">
        <v>474.45</v>
      </c>
    </row>
    <row r="60" spans="2:23" ht="14.4" customHeight="1" x14ac:dyDescent="0.3">
      <c r="K60" s="12"/>
      <c r="T60" s="58"/>
      <c r="U60" s="58"/>
    </row>
    <row r="61" spans="2:23" x14ac:dyDescent="0.3">
      <c r="K61" s="249"/>
    </row>
    <row r="62" spans="2:23" x14ac:dyDescent="0.3">
      <c r="I62">
        <v>5</v>
      </c>
      <c r="J62" t="s">
        <v>171</v>
      </c>
      <c r="K62" s="249"/>
      <c r="S62" s="269"/>
    </row>
    <row r="63" spans="2:23" x14ac:dyDescent="0.3">
      <c r="K63" s="249"/>
    </row>
    <row r="64" spans="2:23" ht="15" customHeight="1" x14ac:dyDescent="0.3">
      <c r="I64" s="345"/>
      <c r="J64" s="345"/>
      <c r="K64" s="346"/>
      <c r="L64" s="345"/>
      <c r="M64" s="345"/>
      <c r="N64" s="345"/>
      <c r="O64" s="345"/>
      <c r="P64" s="345"/>
      <c r="Q64" s="345"/>
      <c r="R64" s="345"/>
    </row>
    <row r="65" spans="9:19" x14ac:dyDescent="0.3">
      <c r="I65" s="345"/>
      <c r="J65" s="345"/>
      <c r="K65" s="346"/>
      <c r="L65" s="345"/>
      <c r="M65" s="345"/>
      <c r="N65" s="345"/>
      <c r="O65" s="345"/>
      <c r="P65" s="345"/>
      <c r="Q65" s="345"/>
      <c r="R65" s="345"/>
    </row>
    <row r="66" spans="9:19" x14ac:dyDescent="0.3">
      <c r="I66" s="345"/>
      <c r="J66" s="345"/>
      <c r="K66" s="346"/>
      <c r="L66" s="345"/>
      <c r="M66" s="345"/>
      <c r="N66" s="345"/>
      <c r="O66" s="345"/>
      <c r="P66" s="345"/>
      <c r="Q66" s="345"/>
      <c r="R66" s="345"/>
    </row>
    <row r="67" spans="9:19" x14ac:dyDescent="0.3">
      <c r="I67" s="345"/>
      <c r="J67" s="345"/>
      <c r="K67" s="346"/>
      <c r="L67" s="345"/>
      <c r="M67" s="345"/>
      <c r="N67" s="345"/>
      <c r="O67" s="345"/>
      <c r="P67" s="345"/>
      <c r="Q67" s="345"/>
      <c r="R67" s="345"/>
    </row>
    <row r="68" spans="9:19" x14ac:dyDescent="0.3">
      <c r="I68" s="345"/>
      <c r="J68" s="345"/>
      <c r="K68" s="346"/>
      <c r="L68" s="345"/>
      <c r="M68" s="345"/>
      <c r="N68" s="345"/>
      <c r="O68" s="345"/>
      <c r="P68" s="345"/>
      <c r="Q68" s="345"/>
      <c r="R68" s="345"/>
    </row>
    <row r="69" spans="9:19" x14ac:dyDescent="0.3">
      <c r="I69" s="345"/>
      <c r="J69" s="345"/>
      <c r="K69" s="346"/>
      <c r="L69" s="345"/>
      <c r="M69" s="345"/>
      <c r="N69" s="345"/>
      <c r="O69" s="345"/>
      <c r="P69" s="345"/>
      <c r="Q69" s="345"/>
      <c r="R69" s="346"/>
      <c r="S69" s="18"/>
    </row>
    <row r="70" spans="9:19" x14ac:dyDescent="0.3">
      <c r="I70" s="345"/>
      <c r="J70" s="345"/>
      <c r="K70" s="346"/>
      <c r="L70" s="345"/>
      <c r="M70" s="345"/>
      <c r="N70" s="345"/>
      <c r="O70" s="345"/>
      <c r="P70" s="345"/>
      <c r="Q70" s="345"/>
      <c r="R70" s="346"/>
      <c r="S70" s="18"/>
    </row>
    <row r="71" spans="9:19" x14ac:dyDescent="0.3">
      <c r="R71" s="18"/>
      <c r="S71" s="18"/>
    </row>
    <row r="72" spans="9:19" x14ac:dyDescent="0.3">
      <c r="R72" s="18"/>
      <c r="S72" s="18"/>
    </row>
    <row r="73" spans="9:19" x14ac:dyDescent="0.3">
      <c r="R73" s="18"/>
      <c r="S73" s="18"/>
    </row>
    <row r="74" spans="9:19" x14ac:dyDescent="0.3">
      <c r="R74" s="18"/>
      <c r="S74" s="18"/>
    </row>
    <row r="75" spans="9:19" x14ac:dyDescent="0.3">
      <c r="R75" s="18"/>
      <c r="S75" s="18"/>
    </row>
    <row r="76" spans="9:19" x14ac:dyDescent="0.3">
      <c r="R76" s="18"/>
      <c r="S76" s="18"/>
    </row>
    <row r="77" spans="9:19" x14ac:dyDescent="0.3">
      <c r="R77" s="18"/>
      <c r="S77" s="18"/>
    </row>
    <row r="80" spans="9:19" x14ac:dyDescent="0.3">
      <c r="N80" s="43"/>
    </row>
    <row r="81" spans="3:14" x14ac:dyDescent="0.3">
      <c r="N81" s="43"/>
    </row>
    <row r="82" spans="3:14" x14ac:dyDescent="0.3">
      <c r="N82" s="6"/>
    </row>
    <row r="83" spans="3:14" x14ac:dyDescent="0.3">
      <c r="N83" s="6"/>
    </row>
    <row r="91" spans="3:14" x14ac:dyDescent="0.3">
      <c r="C91" t="s">
        <v>147</v>
      </c>
    </row>
    <row r="92" spans="3:14" x14ac:dyDescent="0.3">
      <c r="C92" t="s">
        <v>146</v>
      </c>
    </row>
    <row r="95" spans="3:14" x14ac:dyDescent="0.3">
      <c r="C95" t="s">
        <v>146</v>
      </c>
    </row>
    <row r="172" spans="3:3" x14ac:dyDescent="0.3">
      <c r="C172" t="s">
        <v>146</v>
      </c>
    </row>
    <row r="173" spans="3:3" x14ac:dyDescent="0.3">
      <c r="C173" t="s">
        <v>148</v>
      </c>
    </row>
    <row r="174" spans="3:3" x14ac:dyDescent="0.3">
      <c r="C174" t="s">
        <v>149</v>
      </c>
    </row>
    <row r="599" spans="3:3" x14ac:dyDescent="0.3">
      <c r="C599" t="s">
        <v>146</v>
      </c>
    </row>
  </sheetData>
  <mergeCells count="2">
    <mergeCell ref="F17:H17"/>
    <mergeCell ref="B19:H19"/>
  </mergeCells>
  <phoneticPr fontId="34" type="noConversion"/>
  <hyperlinks>
    <hyperlink ref="F5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45670</v>
      </c>
    </row>
    <row r="6" spans="2:31" ht="16.2" thickBot="1" x14ac:dyDescent="0.35">
      <c r="B6" s="139" t="s">
        <v>2</v>
      </c>
      <c r="C6" s="138" t="str">
        <f>'2229'!C10</f>
        <v>VICTOR RIVEROS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7" t="s">
        <v>98</v>
      </c>
      <c r="I7" s="338"/>
      <c r="J7" s="338"/>
      <c r="K7" s="339"/>
      <c r="N7" s="74"/>
      <c r="O7" s="336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11248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6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-147597.32926678745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'2229'!H42</f>
        <v>1218991.32128</v>
      </c>
      <c r="E11" s="131">
        <f>D11*0.19</f>
        <v>231608.3510432</v>
      </c>
      <c r="F11" s="130">
        <f>E11+D11</f>
        <v>1450599.6723231999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-41607.329266787448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202065.05798743962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-59607.329266787448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1016926.2632925604</v>
      </c>
      <c r="E13" s="220">
        <f>(D11/D12)-1</f>
        <v>5.0326675646997447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-68607.329266787448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-107607.32926678745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333407.34567927534</v>
      </c>
      <c r="F15" s="215">
        <f>E15-D12</f>
        <v>131342.28769183572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-107607.32926678745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-67607.329266787448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'2229'!N50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'2229'!N49</f>
        <v>135000</v>
      </c>
      <c r="E19" s="122">
        <f>D19*0.19</f>
        <v>25650</v>
      </c>
      <c r="F19" s="119">
        <f>SUM(D19:E19)</f>
        <v>160650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'2229'!N48</f>
        <v>37230.967199999999</v>
      </c>
      <c r="E20" s="120">
        <f>D20*0.19</f>
        <v>7073.8837679999997</v>
      </c>
      <c r="F20" s="119">
        <f>SUM(D20:E20)</f>
        <v>44304.850967999999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172230.96720000001</v>
      </c>
      <c r="E21" s="115">
        <f>SUM(E18:E20)</f>
        <v>32723.883768</v>
      </c>
      <c r="F21" s="114">
        <f>SUM(F18:F20)</f>
        <v>204954.85096800001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198884.4672752</v>
      </c>
    </row>
    <row r="41" spans="2:16" ht="15" thickBot="1" x14ac:dyDescent="0.35">
      <c r="H41" s="340" t="s">
        <v>60</v>
      </c>
      <c r="I41" s="341"/>
      <c r="J41" s="341"/>
      <c r="K41" s="341"/>
      <c r="L41" s="341"/>
      <c r="M41" s="342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1218991.32128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172230.96720000001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1016926.2632925604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1016926.2632925604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2025-01-14T00:16:36Z</dcterms:modified>
</cp:coreProperties>
</file>