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92805FF3-C58C-4BF8-89A5-8BA43F778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O26" i="1"/>
  <c r="K22" i="1"/>
  <c r="L22" i="1"/>
  <c r="M22" i="1"/>
  <c r="N22" i="1" s="1"/>
  <c r="R22" i="1"/>
  <c r="K15" i="1"/>
  <c r="K21" i="1"/>
  <c r="I47" i="1"/>
  <c r="J31" i="1"/>
  <c r="J36" i="1"/>
  <c r="J37" i="1" s="1"/>
  <c r="N34" i="1"/>
  <c r="O22" i="1" l="1"/>
  <c r="N33" i="1"/>
  <c r="N35" i="1"/>
  <c r="N36" i="1"/>
  <c r="J40" i="1" l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U33" i="1"/>
  <c r="U34" i="1" s="1"/>
  <c r="N32" i="1" l="1"/>
  <c r="O27" i="1" l="1"/>
  <c r="O28" i="1" s="1"/>
  <c r="O29" i="1" s="1"/>
  <c r="L31" i="1" s="1"/>
  <c r="M20" i="1"/>
  <c r="K20" i="1"/>
  <c r="Q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P22" i="1" s="1"/>
  <c r="Q22" i="1" s="1"/>
  <c r="E15" i="3"/>
  <c r="P21" i="1" l="1"/>
  <c r="F15" i="3"/>
  <c r="Q21" i="1" l="1"/>
  <c r="H21" i="1" l="1"/>
  <c r="H25" i="1" s="1"/>
  <c r="H26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<sst xmlns="http://schemas.openxmlformats.org/spreadsheetml/2006/main" count="235" uniqueCount="178">
  <si>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</si>
  <si>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</si>
  <si>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</si>
  <si>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</si>
  <si>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</si>
  <si>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</si>
  <si>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</si>
  <si>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</si>
  <si>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</si>
  <si>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</si>
  <si>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</si>
  <si>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</si>
  <si>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</si>
  <si>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</si>
  <si>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</si>
  <si>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</si>
  <si>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</si>
  <si>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</si>
  <si>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</si>
  <si>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</si>
  <si>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</si>
  <si>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</si>
  <si>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</si>
  <si>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</si>
  <si>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</si>
  <si>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</si>
  <si>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</si>
  <si>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</si>
  <si>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</si>
  <si>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</si>
  <si>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</si>
  <si>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</si>
  <si>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</si>
  <si>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</si>
  <si>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</si>
  <si>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</si>
  <si>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</si>
  <si>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</si>
  <si>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</si>
  <si>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</si>
  <si>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</si>
  <si>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</si>
  <si>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</si>
  <si>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</si>
  <si>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</si>
  <si>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</si>
  <si>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</si>
  <si>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</si>
  <si>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</si>
  <si>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</si>
  <si>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</si>
  <si>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</si>
  <si>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</si>
  <si>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</si>
  <si>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</si>
  <si>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</si>
  <si>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</si>
  <si>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</si>
  <si>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</si>
  <si>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</si>
  <si>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</si>
  <si>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</si>
  <si>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</si>
  <si>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</si>
  <si>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</si>
  <si>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</si>
  <si>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</si>
  <si>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</si>
  <si>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</si>
  <si>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</si>
  <si>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</si>
  <si>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</si>
  <si>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</si>
  <si>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</si>
  <si>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</si>
  <si>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</si>
  <si>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</si>
  <si>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</si>
  <si>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</si>
  <si>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</si>
  <si>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</si>
  <si>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</si>
  <si>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</si>
  <si>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</si>
  <si>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</si>
  <si>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</si>
  <si>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</si>
  <si>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</si>
  <si>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</si>
  <si>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</si>
  <si>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</si>
  <si>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</si>
  <si>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</si>
  <si>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</si>
  <si>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</si>
  <si>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</si>
  <si>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</si>
  <si>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</si>
  <si>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</si>
  <si>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</si>
  <si>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</si>
  <si>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</si>
  <si>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</si>
  <si>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</si>
  <si>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</si>
  <si>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</si>
  <si>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</si>
  <si>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</si>
  <si>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</si>
  <si>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</si>
  <si>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</si>
  <si>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</si>
  <si>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</si>
  <si>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</si>
  <si>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</si>
  <si>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</si>
  <si>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</si>
  <si>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</si>
  <si>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</si>
  <si>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</si>
  <si>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</si>
  <si>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</si>
  <si>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</si>
  <si>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</si>
  <si>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</si>
  <si>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</si>
  <si>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</si>
  <si>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</si>
  <si>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</si>
  <si>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</si>
  <si>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</si>
  <si>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</si>
  <si>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</si>
  <si>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</si>
  <si>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</si>
  <si>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</si>
  <si>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</si>
  <si>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</si>
  <si>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</si>
  <si>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</si>
  <si>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</si>
  <si>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</si>
  <si>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</si>
  <si>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</si>
  <si>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</si>
  <si>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</si>
  <si>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</si>
  <si>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</si>
  <si>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</si>
  <si>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</si>
  <si>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</si>
  <si>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</si>
  <si>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</si>
  <si>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</si>
  <si>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</si>
  <si>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</si>
  <si>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</si>
  <si>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</si>
  <si>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</si>
  <si>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</si>
  <si>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</si>
  <si>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</si>
  <si>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</si>
  <si>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</si>
  <si>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</si>
  <si>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GRIS NUBE</t>
  </si>
  <si>
    <t>KING</t>
  </si>
  <si>
    <t>MDF 3MM</t>
  </si>
  <si>
    <t>152X244</t>
  </si>
  <si>
    <t>N° 11269</t>
  </si>
  <si>
    <t>UNO DESARROLLOS CONSTRUCTIVOS SPA</t>
  </si>
  <si>
    <t>DIEGO UTRERAS</t>
  </si>
  <si>
    <t>+569 9159 2758</t>
  </si>
  <si>
    <t>TALCA</t>
  </si>
  <si>
    <t>5 DIAS HABILES</t>
  </si>
  <si>
    <t>DESPACHO POR TRANSPORTES</t>
  </si>
  <si>
    <t>CUB S/R R5 MDF 30MM</t>
  </si>
  <si>
    <t>GRIS NUBE 2189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</si>
</sst>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5" fontId="0" fillId="0" borderId="0" xfId="2" applyNumberFormat="1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23</xdr:row>
      <xdr:rowOff>206170</xdr:rowOff>
    </xdr:from>
    <xdr:to>
      <xdr:col>5</xdr:col>
      <xdr:colOff>1643259</xdr:colOff>
      <xdr:row>27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CUBIERTA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SUTRATO MDF 30MM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3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170</v>
      </c>
      <c r="D10" s="243"/>
      <c r="E10" s="243"/>
      <c r="F10" s="244" t="s">
        <v>0</v>
      </c>
      <c r="G10" s="277">
        <v>45685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174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C13" t="s">
        <v>171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K14" s="18">
        <v>5.9</v>
      </c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172</v>
      </c>
      <c r="D15" s="316"/>
      <c r="F15" t="s">
        <v>135</v>
      </c>
      <c r="G15" s="314" t="s">
        <v>175</v>
      </c>
      <c r="H15" s="290"/>
      <c r="K15" s="345">
        <f>K14/2</f>
        <v>2.95</v>
      </c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173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80622.97872340426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3</v>
      </c>
      <c r="C21" s="326" t="s">
        <v>176</v>
      </c>
      <c r="D21" s="327">
        <v>2.5499999999999998</v>
      </c>
      <c r="E21" s="327">
        <v>0.6</v>
      </c>
      <c r="F21" s="326" t="s">
        <v>177</v>
      </c>
      <c r="G21" s="328">
        <v>128772</v>
      </c>
      <c r="H21" s="328">
        <f>G21*B21</f>
        <v>386316</v>
      </c>
      <c r="I21" s="265"/>
      <c r="J21" s="47"/>
      <c r="K21" s="331">
        <f>B21</f>
        <v>3</v>
      </c>
      <c r="L21" s="332">
        <f t="shared" ref="L21" si="1">D21+L$19</f>
        <v>2.5999999999999996</v>
      </c>
      <c r="M21" s="332">
        <f t="shared" ref="M21" si="2">E21+M$19</f>
        <v>0.6</v>
      </c>
      <c r="N21" s="261">
        <f t="shared" ref="N21" si="3">L21*M21</f>
        <v>1.5599999999999998</v>
      </c>
      <c r="O21" s="259">
        <f t="shared" ref="O21" si="4">N21*K21</f>
        <v>4.68</v>
      </c>
      <c r="P21" s="252">
        <f t="shared" ref="P21" si="5">P$20*N21</f>
        <v>125771.84680851063</v>
      </c>
      <c r="Q21" s="329">
        <f t="shared" ref="Q21" si="6">P21+Q$20</f>
        <v>128771.84680851063</v>
      </c>
      <c r="R21" s="298">
        <f>L21*K21*2</f>
        <v>15.599999999999998</v>
      </c>
      <c r="S21" s="46">
        <f>M21*2*K21</f>
        <v>3.5999999999999996</v>
      </c>
      <c r="T21" s="9"/>
      <c r="W21" s="4"/>
    </row>
    <row r="22" spans="2:24" ht="17.399999999999999" x14ac:dyDescent="0.3">
      <c r="B22" s="326">
        <v>2</v>
      </c>
      <c r="C22" s="326" t="s">
        <v>176</v>
      </c>
      <c r="D22" s="327">
        <v>2.95</v>
      </c>
      <c r="E22" s="327">
        <v>1.1000000000000001</v>
      </c>
      <c r="F22" s="326" t="s">
        <v>177</v>
      </c>
      <c r="G22" s="328">
        <v>269056</v>
      </c>
      <c r="H22" s="328">
        <f>G22*B22</f>
        <v>538112</v>
      </c>
      <c r="I22" s="265"/>
      <c r="J22" s="47"/>
      <c r="K22" s="331">
        <f>B22</f>
        <v>2</v>
      </c>
      <c r="L22" s="332">
        <f t="shared" ref="L22" si="7">D22+L$19</f>
        <v>3</v>
      </c>
      <c r="M22" s="332">
        <f t="shared" ref="M22" si="8">E22+M$19</f>
        <v>1.1000000000000001</v>
      </c>
      <c r="N22" s="261">
        <f t="shared" ref="N22" si="9">L22*M22</f>
        <v>3.3000000000000003</v>
      </c>
      <c r="O22" s="259">
        <f t="shared" ref="O22" si="10">N22*K22</f>
        <v>6.6000000000000005</v>
      </c>
      <c r="P22" s="252">
        <f t="shared" ref="P22" si="11">P$20*N22</f>
        <v>266055.82978723408</v>
      </c>
      <c r="Q22" s="329">
        <f t="shared" ref="Q22" si="12">P22+Q$20</f>
        <v>269055.82978723408</v>
      </c>
      <c r="R22" s="298">
        <f>L22*K22*2</f>
        <v>12</v>
      </c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0"/>
      <c r="H23" s="330"/>
      <c r="I23" s="265"/>
      <c r="J23" s="47"/>
      <c r="K23" s="47"/>
      <c r="L23" s="39"/>
      <c r="M23" s="39"/>
      <c r="N23" s="261"/>
      <c r="O23" s="259"/>
      <c r="P23" s="252"/>
      <c r="Q23" s="329"/>
      <c r="R23" s="29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>
        <v>0</v>
      </c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>
        <f>SUM(H21:H24)</f>
        <v>924428</v>
      </c>
      <c r="I25" s="265"/>
      <c r="J25" s="47"/>
      <c r="K25" s="47"/>
      <c r="L25" s="39">
        <f>SUM(L21:L24)</f>
        <v>5.6</v>
      </c>
      <c r="M25" s="39"/>
      <c r="N25" s="261"/>
      <c r="O25" s="259"/>
      <c r="P25" s="252"/>
      <c r="Q25" s="258"/>
      <c r="R25" s="298"/>
      <c r="S25" s="46">
        <f>SUM(S21:S24)</f>
        <v>3.5999999999999996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>
        <f>H25*19%</f>
        <v>175641.32</v>
      </c>
      <c r="I26" s="265"/>
      <c r="J26" s="47"/>
      <c r="K26" s="47"/>
      <c r="L26" s="39"/>
      <c r="M26" s="12"/>
      <c r="N26" s="12"/>
      <c r="O26" s="253">
        <f>SUM(O21:O22)</f>
        <v>11.280000000000001</v>
      </c>
      <c r="P26" s="14"/>
      <c r="Q26" s="12"/>
      <c r="R26" s="239"/>
      <c r="S26" s="46">
        <f>S25*20%</f>
        <v>0.72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1100069.32</v>
      </c>
      <c r="I27" s="265"/>
      <c r="J27" s="47"/>
      <c r="K27" s="47"/>
      <c r="L27" s="39"/>
      <c r="M27" s="12"/>
      <c r="N27" s="12"/>
      <c r="O27" s="253">
        <f>O26</f>
        <v>11.280000000000001</v>
      </c>
      <c r="P27" s="14"/>
      <c r="Q27" s="12"/>
      <c r="R27" s="239">
        <f>SUM(R21:R26)</f>
        <v>27.599999999999998</v>
      </c>
      <c r="S27" s="46">
        <f>S25+S26</f>
        <v>4.3199999999999994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>
        <v>147074</v>
      </c>
      <c r="K28" s="47"/>
      <c r="L28" s="14"/>
      <c r="M28" s="12"/>
      <c r="N28" s="12"/>
      <c r="O28" s="39">
        <f>O27*20%</f>
        <v>2.2560000000000002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>
        <v>33749</v>
      </c>
      <c r="K29" s="47"/>
      <c r="L29" s="14"/>
      <c r="M29" s="12"/>
      <c r="N29" s="12"/>
      <c r="O29" s="46">
        <f>O27+O28</f>
        <v>13.536000000000001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>
        <v>94650</v>
      </c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152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>
        <f>SUM(J28:J30)</f>
        <v>275473</v>
      </c>
      <c r="K31" s="47"/>
      <c r="L31" s="39">
        <f>O29</f>
        <v>13.536000000000001</v>
      </c>
      <c r="M31" s="12">
        <v>3500</v>
      </c>
      <c r="N31" s="12">
        <f t="shared" ref="N31:N36" si="13">L31*M31</f>
        <v>47376.000000000007</v>
      </c>
      <c r="O31" s="14" t="s">
        <v>22</v>
      </c>
      <c r="P31" s="14"/>
      <c r="Q31" s="14"/>
      <c r="R31" s="241"/>
      <c r="S31" s="14"/>
      <c r="T31" s="305" t="s">
        <v>153</v>
      </c>
      <c r="U31" s="302">
        <v>3625</v>
      </c>
      <c r="V31" s="59" t="s">
        <v>154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4</v>
      </c>
      <c r="M32" s="12">
        <v>45000</v>
      </c>
      <c r="N32" s="12">
        <f t="shared" si="13"/>
        <v>180000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155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40000</v>
      </c>
      <c r="N33" s="12">
        <f t="shared" si="13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156</v>
      </c>
      <c r="W33" s="59"/>
    </row>
    <row r="34" spans="2:23" s="230" customFormat="1" ht="17.399999999999999" x14ac:dyDescent="0.35">
      <c r="B34" s="24" t="s">
        <v>151</v>
      </c>
      <c r="I34" s="262"/>
      <c r="J34" s="232"/>
      <c r="K34" s="250"/>
      <c r="L34" s="14">
        <v>5</v>
      </c>
      <c r="M34" s="250">
        <v>37200</v>
      </c>
      <c r="N34" s="12">
        <f t="shared" si="13"/>
        <v>186000</v>
      </c>
      <c r="O34" s="14"/>
      <c r="P34" s="17"/>
      <c r="R34" s="238"/>
      <c r="S34" s="256"/>
      <c r="T34" s="59"/>
      <c r="U34" s="59">
        <f>U32+U33</f>
        <v>1087.5</v>
      </c>
      <c r="V34" s="307" t="s">
        <v>157</v>
      </c>
      <c r="W34" s="59"/>
    </row>
    <row r="35" spans="2:23" s="230" customFormat="1" ht="17.399999999999999" x14ac:dyDescent="0.35">
      <c r="B35" s="24" t="s">
        <v>144</v>
      </c>
      <c r="C35"/>
      <c r="D35"/>
      <c r="E35"/>
      <c r="F35"/>
      <c r="I35" s="262"/>
      <c r="J35" s="230">
        <v>27000</v>
      </c>
      <c r="K35" s="250"/>
      <c r="L35" s="249"/>
      <c r="M35" s="250">
        <v>300</v>
      </c>
      <c r="N35" s="12">
        <f t="shared" si="13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J36" s="230">
        <f>J35*19%</f>
        <v>5130</v>
      </c>
      <c r="K36" s="250"/>
      <c r="L36" s="266"/>
      <c r="M36" s="12">
        <v>1500</v>
      </c>
      <c r="N36" s="12">
        <f t="shared" si="13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I37" s="230" t="s">
        <v>166</v>
      </c>
      <c r="J37" s="230">
        <f>J35+J36</f>
        <v>32130</v>
      </c>
      <c r="K37" s="250"/>
      <c r="L37" s="14"/>
      <c r="M37" s="12"/>
      <c r="N37" s="12">
        <f>SUM(N31:N36)</f>
        <v>413376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909427.20000000007</v>
      </c>
      <c r="O38" s="14" t="s">
        <v>141</v>
      </c>
      <c r="P38" s="14"/>
      <c r="Q38" s="40">
        <f>O29/Q37</f>
        <v>3.64969801553063</v>
      </c>
      <c r="R38"/>
      <c r="S38" s="257"/>
    </row>
    <row r="39" spans="2:23" s="230" customFormat="1" ht="17.399999999999999" x14ac:dyDescent="0.35">
      <c r="G39"/>
      <c r="H39" s="260"/>
      <c r="I39" s="230" t="s">
        <v>165</v>
      </c>
      <c r="J39" s="230">
        <v>44240</v>
      </c>
      <c r="K39" s="250">
        <v>0</v>
      </c>
      <c r="L39" s="14"/>
      <c r="M39" s="12"/>
      <c r="N39" s="12">
        <f>N38/O27</f>
        <v>80622.97872340426</v>
      </c>
      <c r="O39" s="45" t="s">
        <v>25</v>
      </c>
      <c r="P39" s="14"/>
      <c r="Q39" s="14"/>
      <c r="R39"/>
      <c r="S39" s="238"/>
      <c r="T39" s="59" t="s">
        <v>158</v>
      </c>
      <c r="U39" s="302">
        <v>43650</v>
      </c>
    </row>
    <row r="40" spans="2:23" s="230" customFormat="1" ht="17.399999999999999" x14ac:dyDescent="0.35">
      <c r="G40"/>
      <c r="J40" s="230">
        <f>J39/1.19</f>
        <v>37176.470588235294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160</v>
      </c>
      <c r="U40" s="303" t="s">
        <v>159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161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I42" s="230" t="s">
        <v>167</v>
      </c>
      <c r="K42" s="12"/>
      <c r="S42" s="238"/>
      <c r="T42" s="59" t="s">
        <v>156</v>
      </c>
      <c r="U42" s="59">
        <v>474.45</v>
      </c>
    </row>
    <row r="43" spans="2:23" ht="14.4" customHeight="1" x14ac:dyDescent="0.3">
      <c r="I43" t="s">
        <v>168</v>
      </c>
      <c r="J43">
        <v>8990</v>
      </c>
      <c r="K43" s="12"/>
      <c r="T43" s="59"/>
      <c r="U43" s="59"/>
    </row>
    <row r="44" spans="2:23" x14ac:dyDescent="0.3">
      <c r="K44" s="250"/>
    </row>
    <row r="45" spans="2:23" x14ac:dyDescent="0.3">
      <c r="I45">
        <v>46850</v>
      </c>
      <c r="K45" s="250"/>
      <c r="S45" s="270"/>
    </row>
    <row r="46" spans="2:23" x14ac:dyDescent="0.3">
      <c r="K46" s="250"/>
    </row>
    <row r="47" spans="2:23" ht="15" customHeight="1" x14ac:dyDescent="0.3">
      <c r="I47">
        <f>I45/1.19</f>
        <v>39369.747899159665</v>
      </c>
    </row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148</v>
      </c>
    </row>
    <row r="75" spans="3:14" x14ac:dyDescent="0.3">
      <c r="C75" t="s">
        <v>147</v>
      </c>
    </row>
    <row r="78" spans="3:14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45685</v>
      </c>
    </row>
    <row r="6" spans="2:31" ht="16.2" thickBot="1" x14ac:dyDescent="0.35">
      <c r="B6" s="140" t="s">
        <v>2</v>
      </c>
      <c r="C6" s="139" t="str">
        <f>'2229'!C10</f>
        <v>UNO DESARROLLOS CONSTRUCTIVOS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11269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-83338.558366787445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924428</v>
      </c>
      <c r="E11" s="132">
        <f>D11*0.19</f>
        <v>175641.32</v>
      </c>
      <c r="F11" s="131">
        <f>E11+D11</f>
        <v>1100069.32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22651.441633212555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257210.09078743961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4651.4416332125547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667217.90921256039</v>
      </c>
      <c r="E13" s="221">
        <f>(D11/D12)-1</f>
        <v>2.5940580603579599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-4348.5583667874453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-43348.558366787445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424396.64979927533</v>
      </c>
      <c r="F15" s="216">
        <f>E15-D12</f>
        <v>167186.55901183572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-43348.558366787445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-3348.5583667874453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180000</v>
      </c>
      <c r="E19" s="123">
        <f>D19*0.19</f>
        <v>34200</v>
      </c>
      <c r="F19" s="120">
        <f>SUM(D19:E19)</f>
        <v>214200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47376.000000000007</v>
      </c>
      <c r="E20" s="121">
        <f>D20*0.19</f>
        <v>9001.4400000000023</v>
      </c>
      <c r="F20" s="120">
        <f>SUM(D20:E20)</f>
        <v>56377.44000000001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227376</v>
      </c>
      <c r="E21" s="116">
        <f>SUM(E18:E20)</f>
        <v>43201.440000000002</v>
      </c>
      <c r="F21" s="115">
        <f>SUM(F18:F20)</f>
        <v>270577.44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132439.88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924428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227376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667217.90921256039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667217.90921256039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2024-07-09T14:32:16Z</cp:lastPrinted>
  <dcterms:created xsi:type="dcterms:W3CDTF">2013-03-18T13:35:42Z</dcterms:created>
  <dcterms:modified xsi:type="dcterms:W3CDTF">2025-01-28T21:20:28Z</dcterms:modified>
</cp:coreProperties>
</file>