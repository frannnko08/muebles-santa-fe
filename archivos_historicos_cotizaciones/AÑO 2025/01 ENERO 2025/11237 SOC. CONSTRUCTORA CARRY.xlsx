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1 ENERO 2025\"/>
    </mc:Choice>
  </mc:AlternateContent>
  <xr:revisionPtr revIDLastSave="0" documentId="13_ncr:1_{3E1D9752-0D38-40AB-A6FE-DA52C5797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7" i="1" l="1"/>
  <c r="L21" i="1"/>
  <c r="K31" i="1" l="1"/>
  <c r="K33" i="1"/>
  <c r="N21" i="1"/>
  <c r="K34" i="1" l="1"/>
  <c r="K35" i="1" s="1"/>
  <c r="K36" i="1" s="1"/>
  <c r="M21" i="1"/>
  <c r="M25" i="1" s="1"/>
  <c r="T21" i="1" l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<sst xmlns="http://schemas.openxmlformats.org/spreadsheetml/2006/main" count="231" uniqueCount="175">
  <si>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</si>
  <si>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</si>
  <si>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</si>
  <si>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</si>
  <si>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</si>
  <si>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</si>
  <si>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</si>
  <si>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</si>
  <si>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</si>
  <si>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</si>
  <si>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</si>
  <si>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</si>
  <si>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</si>
  <si>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</si>
  <si>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</si>
  <si>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</si>
  <si>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</si>
  <si>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</si>
  <si>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</si>
  <si>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</si>
  <si>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</si>
  <si>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</si>
  <si>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</si>
  <si>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</si>
  <si>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</si>
  <si>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</si>
  <si>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</si>
  <si>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</si>
  <si>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</si>
  <si>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</si>
  <si>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</si>
  <si>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</si>
  <si>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</si>
  <si>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</si>
  <si>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</si>
  <si>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</si>
  <si>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</si>
  <si>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</si>
  <si>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</si>
  <si>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</si>
  <si>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</si>
  <si>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</si>
  <si>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</si>
  <si>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</si>
  <si>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</si>
  <si>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</si>
  <si>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</si>
  <si>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</si>
  <si>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</si>
  <si>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</si>
  <si>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</si>
  <si>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</si>
  <si>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</si>
  <si>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</si>
  <si>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</si>
  <si>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</si>
  <si>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</si>
  <si>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</si>
  <si>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</si>
  <si>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</si>
  <si>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</si>
  <si>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</si>
  <si>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</si>
  <si>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</si>
  <si>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</si>
  <si>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</si>
  <si>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</si>
  <si>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</si>
  <si>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</si>
  <si>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</si>
  <si>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</si>
  <si>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</si>
  <si>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</si>
  <si>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</si>
  <si>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</si>
  <si>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</si>
  <si>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</si>
  <si>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</si>
  <si>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</si>
  <si>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</si>
  <si>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</si>
  <si>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</si>
  <si>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</si>
  <si>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</si>
  <si>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</si>
  <si>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</si>
  <si>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</si>
  <si>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</si>
  <si>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</si>
  <si>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</si>
  <si>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</si>
  <si>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</si>
  <si>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</si>
  <si>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</si>
  <si>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</si>
  <si>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</si>
  <si>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</si>
  <si>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</si>
  <si>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</si>
  <si>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</si>
  <si>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</si>
  <si>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</si>
  <si>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</si>
  <si>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</si>
  <si>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</si>
  <si>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</si>
  <si>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</si>
  <si>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</si>
  <si>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</si>
  <si>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</si>
  <si>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</si>
  <si>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</si>
  <si>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</si>
  <si>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</si>
  <si>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</si>
  <si>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</si>
  <si>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</si>
  <si>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</si>
  <si>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</si>
  <si>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</si>
  <si>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</si>
  <si>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</si>
  <si>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</si>
  <si>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</si>
  <si>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</si>
  <si>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</si>
  <si>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</si>
  <si>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</si>
  <si>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</si>
  <si>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</si>
  <si>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</si>
  <si>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</si>
  <si>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</si>
  <si>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</si>
  <si>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</si>
  <si>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</si>
  <si>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</si>
  <si>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</si>
  <si>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</si>
  <si>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</si>
  <si>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</si>
  <si>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</si>
  <si>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</si>
  <si>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</si>
  <si>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</si>
  <si>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</si>
  <si>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</si>
  <si>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</si>
  <si>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</si>
  <si>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</si>
  <si>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</si>
  <si>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</si>
  <si>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</si>
  <si>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</si>
  <si>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</si>
  <si>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</si>
  <si>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</si>
  <si>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</si>
  <si>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</si>
  <si>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</si>
  <si>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</si>
  <si>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</si>
  <si>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</si>
  <si>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</si>
  <si>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</si>
  <si>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</si>
  <si>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</si>
  <si>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N° 11236</t>
  </si>
  <si>
    <t>MARCO DE PUERTA</t>
  </si>
  <si>
    <t>ONTARIO OAK 1540 MT</t>
  </si>
  <si>
    <t>SOC. CONSTRUCTORA CHERRY</t>
  </si>
  <si>
    <t>76.335.353-2</t>
  </si>
  <si>
    <t>NICOLAS</t>
  </si>
  <si>
    <t>+569 6879 0023</t>
  </si>
  <si>
    <t>15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</si>
</sst>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MDF25mm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G22" sqref="G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45664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 t="s">
        <v>171</v>
      </c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C13" t="s">
        <v>172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173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84451.577092511012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250</v>
      </c>
      <c r="C21" s="330" t="s">
        <v>168</v>
      </c>
      <c r="D21" s="331">
        <v>2.25</v>
      </c>
      <c r="E21" s="331">
        <v>0.09</v>
      </c>
      <c r="F21" s="330" t="s">
        <v>169</v>
      </c>
      <c r="G21" s="332">
        <v>27088</v>
      </c>
      <c r="H21" s="332">
        <f>G21*B21</f>
        <v>6772000</v>
      </c>
      <c r="I21" s="320"/>
      <c r="J21" s="265"/>
      <c r="K21" s="47"/>
      <c r="L21" s="333">
        <f>B21</f>
        <v>250</v>
      </c>
      <c r="M21" s="39">
        <f>D21+M$19</f>
        <v>2.27</v>
      </c>
      <c r="N21" s="39">
        <f>E21+$N$19</f>
        <v>0.11</v>
      </c>
      <c r="O21" s="261">
        <f t="shared" ref="O21" si="1">M21*N21</f>
        <v>0.24970000000000001</v>
      </c>
      <c r="P21" s="259">
        <f t="shared" ref="P21" si="2">O21*L21</f>
        <v>62.425000000000004</v>
      </c>
      <c r="Q21" s="252">
        <f t="shared" ref="Q21" si="3">Q$20*O21</f>
        <v>21087.558799999999</v>
      </c>
      <c r="R21" s="319">
        <f t="shared" ref="R21" si="4">Q21+R$20</f>
        <v>24087.558799999999</v>
      </c>
      <c r="S21" s="297"/>
      <c r="T21" s="46">
        <f>N21*2*L21*2</f>
        <v>110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6772000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110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1286680</v>
      </c>
      <c r="I25" s="322"/>
      <c r="J25" s="265"/>
      <c r="K25" s="47"/>
      <c r="L25" s="47"/>
      <c r="M25" s="39">
        <f>SUM(M21:M24)</f>
        <v>2.27</v>
      </c>
      <c r="N25" s="12"/>
      <c r="O25" s="12"/>
      <c r="P25" s="253">
        <f>SUM(P21:P23)</f>
        <v>62.425000000000004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8058680</v>
      </c>
      <c r="I26" s="322"/>
      <c r="J26" s="265"/>
      <c r="K26" s="47"/>
      <c r="L26" s="47"/>
      <c r="M26" s="39"/>
      <c r="N26" s="12"/>
      <c r="O26" s="12"/>
      <c r="P26" s="253">
        <f>P25</f>
        <v>62.425000000000004</v>
      </c>
      <c r="Q26" s="14"/>
      <c r="R26" s="12"/>
      <c r="S26" s="239">
        <f>SUM(S21:S25)</f>
        <v>0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12.485000000000001</v>
      </c>
      <c r="Q27" s="39" t="s">
        <v>130</v>
      </c>
      <c r="R27" s="42"/>
      <c r="S27" s="240">
        <f>S26+T24</f>
        <v>110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74.910000000000011</v>
      </c>
      <c r="Q28" s="14"/>
      <c r="R28" s="14"/>
      <c r="S28" s="238">
        <f>S27*20%</f>
        <v>22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132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P28*2.5</f>
        <v>187.27500000000003</v>
      </c>
      <c r="N30" s="12">
        <v>3500</v>
      </c>
      <c r="O30" s="12">
        <f t="shared" ref="O30:O35" si="5">M30*N30</f>
        <v>655462.50000000012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16</v>
      </c>
      <c r="N31" s="12">
        <v>42500</v>
      </c>
      <c r="O31" s="12">
        <f t="shared" si="5"/>
        <v>680000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34989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74259.569999999992</v>
      </c>
      <c r="L33" s="250"/>
      <c r="M33" s="14">
        <v>17</v>
      </c>
      <c r="N33" s="250">
        <v>62403</v>
      </c>
      <c r="O33" s="12">
        <f t="shared" si="5"/>
        <v>1060851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102224.56999999999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85903</v>
      </c>
      <c r="L35" s="250"/>
      <c r="M35" s="266"/>
      <c r="N35" s="12">
        <v>1500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16321.569999999992</v>
      </c>
      <c r="L36" s="250"/>
      <c r="M36" s="14"/>
      <c r="N36" s="12"/>
      <c r="O36" s="12">
        <f>SUM(O30:O35)</f>
        <v>2396313.5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5271889.7</v>
      </c>
      <c r="P37" s="14" t="s">
        <v>140</v>
      </c>
      <c r="Q37" s="14"/>
      <c r="R37" s="40">
        <f>P28/R36</f>
        <v>20.197907679033651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74260</v>
      </c>
      <c r="L38" s="250"/>
      <c r="M38" s="14"/>
      <c r="N38" s="12"/>
      <c r="O38" s="12">
        <f>O37/P26</f>
        <v>84451.577092511012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62403.361344537821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45664</v>
      </c>
    </row>
    <row r="6" spans="2:31" ht="16.2" thickBot="1" x14ac:dyDescent="0.35">
      <c r="B6" s="140" t="s">
        <v>2</v>
      </c>
      <c r="C6" s="139" t="str">
        <f>'2229'!C10</f>
        <v>SOC. CONSTRUCTORA CHERRY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11236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-753210.10420012067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6772000</v>
      </c>
      <c r="E11" s="132">
        <f>D11*0.19</f>
        <v>1286680</v>
      </c>
      <c r="F11" s="131">
        <f>E11+D11</f>
        <v>8058680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-647220.10420012067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1365296.5907874396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-665220.10420012067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5406703.4092125604</v>
      </c>
      <c r="E13" s="221">
        <f>(D11/D12)-1</f>
        <v>3.9600944188209137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-674220.10420012067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-713220.10420012067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2252739.3747992753</v>
      </c>
      <c r="F15" s="216">
        <f>E15-D12</f>
        <v>887442.7840118357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-713220.10420012067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-673220.10420012067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680000</v>
      </c>
      <c r="E19" s="123">
        <f>D19*0.19</f>
        <v>129200</v>
      </c>
      <c r="F19" s="120">
        <f>SUM(D19:E19)</f>
        <v>809200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655462.50000000012</v>
      </c>
      <c r="E20" s="121">
        <f>D20*0.19</f>
        <v>124537.87500000003</v>
      </c>
      <c r="F20" s="120">
        <f>SUM(D20:E20)</f>
        <v>780000.37500000012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1335462.5</v>
      </c>
      <c r="E21" s="116">
        <f>SUM(E18:E20)</f>
        <v>253737.87500000003</v>
      </c>
      <c r="F21" s="115">
        <f>SUM(F18:F20)</f>
        <v>1589200.375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1032942.125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6772000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1335462.5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5406703.4092125604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5406703.4092125604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2025-01-03T13:27:38Z</cp:lastPrinted>
  <dcterms:created xsi:type="dcterms:W3CDTF">2013-03-18T13:35:42Z</dcterms:created>
  <dcterms:modified xsi:type="dcterms:W3CDTF">2025-01-07T16:51:00Z</dcterms:modified>
</cp:coreProperties>
</file>