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D3A9DC1D-1123-46C3-AE5B-CFE16396E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L21" i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<sst xmlns="http://schemas.openxmlformats.org/spreadsheetml/2006/main" count="230" uniqueCount="175">
  <si>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</si>
  <si>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</si>
  <si>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</si>
  <si>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</si>
  <si>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</si>
  <si>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</si>
  <si>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</si>
  <si>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</si>
  <si>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</si>
  <si>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</si>
  <si>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</si>
  <si>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</si>
  <si>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</si>
  <si>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</si>
  <si>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</si>
  <si>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</si>
  <si>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</si>
  <si>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</si>
  <si>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</si>
  <si>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</si>
  <si>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</si>
  <si>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</si>
  <si>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</si>
  <si>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</si>
  <si>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</si>
  <si>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</si>
  <si>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</si>
  <si>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</si>
  <si>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</si>
  <si>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</si>
  <si>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</si>
  <si>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</si>
  <si>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</si>
  <si>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</si>
  <si>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</si>
  <si>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</si>
  <si>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</si>
  <si>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</si>
  <si>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</si>
  <si>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</si>
  <si>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</si>
  <si>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</si>
  <si>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</si>
  <si>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</si>
  <si>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</si>
  <si>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</si>
  <si>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</si>
  <si>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</si>
  <si>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</si>
  <si>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</si>
  <si>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</si>
  <si>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</si>
  <si>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</si>
  <si>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</si>
  <si>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</si>
  <si>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</si>
  <si>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</si>
  <si>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</si>
  <si>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</si>
  <si>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</si>
  <si>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</si>
  <si>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</si>
  <si>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</si>
  <si>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</si>
  <si>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</si>
  <si>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</si>
  <si>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</si>
  <si>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</si>
  <si>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</si>
  <si>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</si>
  <si>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</si>
  <si>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</si>
  <si>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</si>
  <si>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</si>
  <si>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</si>
  <si>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</si>
  <si>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</si>
  <si>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</si>
  <si>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</si>
  <si>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</si>
  <si>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</si>
  <si>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</si>
  <si>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</si>
  <si>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</si>
  <si>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</si>
  <si>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</si>
  <si>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</si>
  <si>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</si>
  <si>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</si>
  <si>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</si>
  <si>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</si>
  <si>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</si>
  <si>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</si>
  <si>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</si>
  <si>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</si>
  <si>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</si>
  <si>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</si>
  <si>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</si>
  <si>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</si>
  <si>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</si>
  <si>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</si>
  <si>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</si>
  <si>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</si>
  <si>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</si>
  <si>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</si>
  <si>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</si>
  <si>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</si>
  <si>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</si>
  <si>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</si>
  <si>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</si>
  <si>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</si>
  <si>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</si>
  <si>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</si>
  <si>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</si>
  <si>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</si>
  <si>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</si>
  <si>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</si>
  <si>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</si>
  <si>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</si>
  <si>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</si>
  <si>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</si>
  <si>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</si>
  <si>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</si>
  <si>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</si>
  <si>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</si>
  <si>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</si>
  <si>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</si>
  <si>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</si>
  <si>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</si>
  <si>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</si>
  <si>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</si>
  <si>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</si>
  <si>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</si>
  <si>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</si>
  <si>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</si>
  <si>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</si>
  <si>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</si>
  <si>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</si>
  <si>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</si>
  <si>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</si>
  <si>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</si>
  <si>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</si>
  <si>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</si>
  <si>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</si>
  <si>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</si>
  <si>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</si>
  <si>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</si>
  <si>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</si>
  <si>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</si>
  <si>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</si>
  <si>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</si>
  <si>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</si>
  <si>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</si>
  <si>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</si>
  <si>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</si>
  <si>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</si>
  <si>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</si>
  <si>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</si>
  <si>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</si>
  <si>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</si>
  <si>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</si>
  <si>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</si>
  <si>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</si>
  <si>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</si>
  <si>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</si>
  <si>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</si>
  <si>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</si>
  <si>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</si>
  <si>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</si>
  <si>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+569 9884 4786</t>
  </si>
  <si>
    <t>CUB C/R 90°</t>
  </si>
  <si>
    <t>SI</t>
  </si>
  <si>
    <t>GRANITINO NEGRO 3014 BR</t>
  </si>
  <si>
    <t>URGENTE</t>
  </si>
  <si>
    <t>N° 11235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</si>
</sst>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K29" sqref="K29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45667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171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75022.854387656713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0.6</v>
      </c>
      <c r="E21" s="331">
        <v>0.61</v>
      </c>
      <c r="F21" s="330" t="s">
        <v>172</v>
      </c>
      <c r="G21" s="332">
        <v>34119</v>
      </c>
      <c r="H21" s="332">
        <f>G21*B21</f>
        <v>34119</v>
      </c>
      <c r="I21" s="320"/>
      <c r="J21" s="265"/>
      <c r="K21" s="47"/>
      <c r="L21" s="333">
        <f>B21</f>
        <v>1</v>
      </c>
      <c r="M21" s="39">
        <f>D21+M$19</f>
        <v>0.67999999999999994</v>
      </c>
      <c r="N21" s="39">
        <f>E21+$N$19</f>
        <v>0.61</v>
      </c>
      <c r="O21" s="261">
        <f t="shared" ref="O21" si="1">M21*N21</f>
        <v>0.41479999999999995</v>
      </c>
      <c r="P21" s="259">
        <f t="shared" ref="P21" si="2">O21*L21</f>
        <v>0.41479999999999995</v>
      </c>
      <c r="Q21" s="252">
        <f t="shared" ref="Q21" si="3">Q$20*O21</f>
        <v>31119.48</v>
      </c>
      <c r="R21" s="319">
        <f t="shared" ref="R21" si="4">Q21+R$20</f>
        <v>34119.479999999996</v>
      </c>
      <c r="S21" s="297"/>
      <c r="T21" s="46">
        <f>N21*2*L21*2</f>
        <v>2.44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34119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6482.61</v>
      </c>
      <c r="I25" s="322"/>
      <c r="J25" s="265"/>
      <c r="K25" s="47"/>
      <c r="L25" s="47"/>
      <c r="M25" s="39">
        <f>SUM(M21:M24)</f>
        <v>0.67999999999999994</v>
      </c>
      <c r="N25" s="12"/>
      <c r="O25" s="12"/>
      <c r="P25" s="253">
        <f>SUM(P21:P23)</f>
        <v>0.41479999999999995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40601.61</v>
      </c>
      <c r="I26" s="322"/>
      <c r="J26" s="265"/>
      <c r="K26" s="47">
        <v>70</v>
      </c>
      <c r="L26" s="47"/>
      <c r="M26" s="39"/>
      <c r="N26" s="12"/>
      <c r="O26" s="12"/>
      <c r="P26" s="253">
        <f>P25</f>
        <v>0.41479999999999995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>
        <v>12</v>
      </c>
      <c r="L27" s="47"/>
      <c r="M27" s="14"/>
      <c r="N27" s="12"/>
      <c r="O27" s="12"/>
      <c r="P27" s="39">
        <f>P26*20%</f>
        <v>8.2959999999999992E-2</v>
      </c>
      <c r="Q27" s="39" t="s">
        <v>130</v>
      </c>
      <c r="R27" s="42"/>
      <c r="S27" s="240">
        <f>S26+T24</f>
        <v>2.44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>
        <f>K26-K27</f>
        <v>58</v>
      </c>
      <c r="L28" s="47"/>
      <c r="M28" s="14"/>
      <c r="N28" s="12"/>
      <c r="O28" s="12"/>
      <c r="P28" s="46">
        <f>P26+P27</f>
        <v>0.49775999999999992</v>
      </c>
      <c r="Q28" s="14"/>
      <c r="R28" s="14"/>
      <c r="S28" s="238">
        <f>S27*20%</f>
        <v>0.48799999999999999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2.9279999999999999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0.49775999999999992</v>
      </c>
      <c r="N30" s="12">
        <v>2500</v>
      </c>
      <c r="O30" s="12">
        <f t="shared" ref="O30:O35" si="5">M30*N30</f>
        <v>1244.3999999999999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0.2</v>
      </c>
      <c r="N31" s="12">
        <v>23500</v>
      </c>
      <c r="O31" s="12">
        <f t="shared" si="5"/>
        <v>4700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34989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33853.119999999995</v>
      </c>
      <c r="L33" s="250"/>
      <c r="M33" s="14">
        <v>0.3</v>
      </c>
      <c r="N33" s="250">
        <v>28448</v>
      </c>
      <c r="O33" s="12">
        <f t="shared" si="5"/>
        <v>8534.4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61818.119999999995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51948</v>
      </c>
      <c r="L35" s="250"/>
      <c r="M35" s="266">
        <v>0.68</v>
      </c>
      <c r="N35" s="12">
        <v>500</v>
      </c>
      <c r="O35" s="12">
        <f t="shared" si="5"/>
        <v>340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9870.1199999999953</v>
      </c>
      <c r="L36" s="250"/>
      <c r="M36" s="14"/>
      <c r="N36" s="12"/>
      <c r="O36" s="12">
        <f>SUM(O30:O35)</f>
        <v>14818.8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31119.48</v>
      </c>
      <c r="P37" s="14" t="s">
        <v>140</v>
      </c>
      <c r="Q37" s="14"/>
      <c r="R37" s="40">
        <f>P28/R36</f>
        <v>0.13421052631578945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75022.854387656713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45667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4152.5849665458945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34119</v>
      </c>
      <c r="E11" s="132">
        <f>D11*0.19</f>
        <v>6482.61</v>
      </c>
      <c r="F11" s="131">
        <f>E11+D11</f>
        <v>40601.61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110142.5849665459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35778.490787439616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92142.584966545895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-1659.4907874396158</v>
      </c>
      <c r="E13" s="221">
        <f>(D11/D12)-1</f>
        <v>-4.6382358532076395E-2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83142.584966545895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44142.584966545895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59034.509799275365</v>
      </c>
      <c r="F15" s="216">
        <f>E15-D12</f>
        <v>23256.01901183575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44142.584966545895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84142.584966545895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4700</v>
      </c>
      <c r="E19" s="123">
        <f>D19*0.19</f>
        <v>893</v>
      </c>
      <c r="F19" s="120">
        <f>SUM(D19:E19)</f>
        <v>5593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1244.3999999999999</v>
      </c>
      <c r="E20" s="121">
        <f>D20*0.19</f>
        <v>236.43599999999998</v>
      </c>
      <c r="F20" s="120">
        <f>SUM(D20:E20)</f>
        <v>1480.8359999999998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5944.4</v>
      </c>
      <c r="E21" s="116">
        <f>SUM(E18:E20)</f>
        <v>1129.4359999999999</v>
      </c>
      <c r="F21" s="115">
        <f>SUM(F18:F20)</f>
        <v>7073.8359999999993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5353.174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34119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5944.4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-1659.4907874396158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-1659.4907874396158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2025-01-10T15:43:55Z</dcterms:modified>
</cp:coreProperties>
</file>