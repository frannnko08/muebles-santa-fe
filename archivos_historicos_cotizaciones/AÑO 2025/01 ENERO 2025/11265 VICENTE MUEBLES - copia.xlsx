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1 ENERO 2025\"/>
    </mc:Choice>
  </mc:AlternateContent>
  <xr:revisionPtr revIDLastSave="0" documentId="13_ncr:1_{97647579-16A8-47D3-A264-B6F3E8BAE4E3}" xr6:coauthVersionLast="47" xr6:coauthVersionMax="47" xr10:uidLastSave="{00000000-0000-0000-0000-000000000000}"/>
  <bookViews>
    <workbookView minimized="1" xWindow="3276" yWindow="3276" windowWidth="17280" windowHeight="888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5" i="1" l="1"/>
  <c r="G22" i="1"/>
  <c r="G23" i="1"/>
  <c r="G24" i="1"/>
  <c r="H24" i="1" s="1"/>
  <c r="G25" i="1"/>
  <c r="H25" i="1" s="1"/>
  <c r="G26" i="1"/>
  <c r="G27" i="1"/>
  <c r="G28" i="1"/>
  <c r="H28" i="1" s="1"/>
  <c r="G29" i="1"/>
  <c r="H29" i="1" s="1"/>
  <c r="G30" i="1"/>
  <c r="G21" i="1"/>
  <c r="H22" i="1"/>
  <c r="H23" i="1"/>
  <c r="H26" i="1"/>
  <c r="H27" i="1"/>
  <c r="H30" i="1"/>
  <c r="L27" i="1"/>
  <c r="M27" i="1"/>
  <c r="N27" i="1"/>
  <c r="O27" i="1"/>
  <c r="P27" i="1" s="1"/>
  <c r="S27" i="1"/>
  <c r="L28" i="1"/>
  <c r="M28" i="1"/>
  <c r="N28" i="1"/>
  <c r="O28" i="1"/>
  <c r="P28" i="1" s="1"/>
  <c r="S28" i="1"/>
  <c r="L29" i="1"/>
  <c r="M29" i="1"/>
  <c r="N29" i="1"/>
  <c r="O29" i="1"/>
  <c r="P29" i="1" s="1"/>
  <c r="S29" i="1"/>
  <c r="L30" i="1"/>
  <c r="M30" i="1"/>
  <c r="N30" i="1"/>
  <c r="O30" i="1"/>
  <c r="P30" i="1" s="1"/>
  <c r="S30" i="1"/>
  <c r="N26" i="1" l="1"/>
  <c r="O26" i="1"/>
  <c r="P26" i="1" s="1"/>
  <c r="M26" i="1"/>
  <c r="S26" i="1" s="1"/>
  <c r="L26" i="1"/>
  <c r="L23" i="1" l="1"/>
  <c r="M23" i="1"/>
  <c r="N23" i="1"/>
  <c r="L24" i="1"/>
  <c r="M24" i="1"/>
  <c r="N24" i="1"/>
  <c r="L25" i="1"/>
  <c r="M25" i="1"/>
  <c r="N25" i="1"/>
  <c r="N22" i="1"/>
  <c r="L22" i="1"/>
  <c r="M22" i="1"/>
  <c r="L21" i="1"/>
  <c r="N21" i="1"/>
  <c r="S23" i="1" l="1"/>
  <c r="O24" i="1"/>
  <c r="P24" i="1" s="1"/>
  <c r="S24" i="1"/>
  <c r="O25" i="1"/>
  <c r="P25" i="1" s="1"/>
  <c r="O23" i="1"/>
  <c r="P23" i="1" s="1"/>
  <c r="S25" i="1"/>
  <c r="S22" i="1"/>
  <c r="O22" i="1"/>
  <c r="P22" i="1" s="1"/>
  <c r="M21" i="1"/>
  <c r="M33" i="1" s="1"/>
  <c r="S21" i="1" l="1"/>
  <c r="S34" i="1" s="1"/>
  <c r="T21" i="1"/>
  <c r="T32" i="1" s="1"/>
  <c r="O21" i="1"/>
  <c r="P21" i="1" s="1"/>
  <c r="P33" i="1" s="1"/>
  <c r="K47" i="1"/>
  <c r="S35" i="1" l="1"/>
  <c r="S36" i="1" s="1"/>
  <c r="S37" i="1" s="1"/>
  <c r="V40" i="1"/>
  <c r="V41" i="1" s="1"/>
  <c r="O39" i="1" l="1"/>
  <c r="P34" i="1" l="1"/>
  <c r="N20" i="1"/>
  <c r="L20" i="1"/>
  <c r="P35" i="1" l="1"/>
  <c r="P36" i="1" s="1"/>
  <c r="M38" i="1" s="1"/>
  <c r="O40" i="1"/>
  <c r="R44" i="1"/>
  <c r="R45" i="1" l="1"/>
  <c r="O41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3" i="1"/>
  <c r="O42" i="1"/>
  <c r="F18" i="3" l="1"/>
  <c r="O38" i="1" l="1"/>
  <c r="O44" i="1" s="1"/>
  <c r="D20" i="3" l="1"/>
  <c r="E20" i="3" s="1"/>
  <c r="E21" i="3" s="1"/>
  <c r="O46" i="1" l="1"/>
  <c r="Q20" i="1" s="1"/>
  <c r="D21" i="3"/>
  <c r="M43" i="3" s="1"/>
  <c r="D12" i="3" s="1"/>
  <c r="F20" i="3"/>
  <c r="F21" i="3" s="1"/>
  <c r="Q26" i="1" l="1"/>
  <c r="R26" i="1" s="1"/>
  <c r="Q27" i="1"/>
  <c r="R27" i="1" s="1"/>
  <c r="Q28" i="1"/>
  <c r="R28" i="1" s="1"/>
  <c r="Q29" i="1"/>
  <c r="R29" i="1" s="1"/>
  <c r="Q30" i="1"/>
  <c r="R30" i="1" s="1"/>
  <c r="Q22" i="1"/>
  <c r="R22" i="1" s="1"/>
  <c r="Q24" i="1"/>
  <c r="R24" i="1" s="1"/>
  <c r="Q25" i="1"/>
  <c r="R25" i="1" s="1"/>
  <c r="Q23" i="1"/>
  <c r="R23" i="1" s="1"/>
  <c r="O47" i="1"/>
  <c r="E15" i="3"/>
  <c r="Q21" i="1" l="1"/>
  <c r="F15" i="3"/>
  <c r="R21" i="1" l="1"/>
  <c r="H21" i="1" l="1"/>
  <c r="H32" i="1" s="1"/>
  <c r="H33" i="1" l="1"/>
  <c r="H34" i="1" s="1"/>
  <c r="D11" i="3" l="1"/>
  <c r="X9" i="3" s="1"/>
  <c r="X15" i="3" s="1"/>
  <c r="E11" i="3" l="1"/>
  <c r="D40" i="3" s="1"/>
  <c r="X14" i="3"/>
  <c r="M42" i="3"/>
  <c r="M46" i="3" s="1"/>
  <c r="M49" i="3" s="1"/>
  <c r="X11" i="3"/>
  <c r="X12" i="3"/>
  <c r="E13" i="3"/>
  <c r="D13" i="3"/>
  <c r="X13" i="3"/>
  <c r="X16" i="3"/>
  <c r="F11" i="3" l="1"/>
</calcChain>
</file>

<file path=xl/sharedStrings.xml><?xml version="1.0" encoding="utf-8"?>
<sst xmlns="http://schemas.openxmlformats.org/spreadsheetml/2006/main" count="249" uniqueCount="175">
  <si>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</si>
  <si>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</si>
  <si>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</si>
  <si>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</si>
  <si>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</si>
  <si>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</si>
  <si>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</si>
  <si>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</si>
  <si>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</si>
  <si>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</si>
  <si>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</si>
  <si>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</si>
  <si>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</si>
  <si>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</si>
  <si>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</si>
  <si>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</si>
  <si>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</si>
  <si>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</si>
  <si>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</si>
  <si>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</si>
  <si>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</si>
  <si>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</si>
  <si>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</si>
  <si>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</si>
  <si>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</si>
  <si>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</si>
  <si>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</si>
  <si>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</si>
  <si>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</si>
  <si>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</si>
  <si>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</si>
  <si>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</si>
  <si>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</si>
  <si>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</si>
  <si>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</si>
  <si>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</si>
  <si>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</si>
  <si>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</si>
  <si>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</si>
  <si>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</si>
  <si>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</si>
  <si>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</si>
  <si>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</si>
  <si>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</si>
  <si>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</si>
  <si>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</si>
  <si>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</si>
  <si>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</si>
  <si>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</si>
  <si>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</si>
  <si>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</si>
  <si>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</si>
  <si>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</si>
  <si>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</si>
  <si>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</si>
  <si>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</si>
  <si>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</si>
  <si>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</si>
  <si>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</si>
  <si>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</si>
  <si>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</si>
  <si>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</si>
  <si>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</si>
  <si>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</si>
  <si>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</si>
  <si>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</si>
  <si>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</si>
  <si>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</si>
  <si>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</si>
  <si>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</si>
  <si>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</si>
  <si>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</si>
  <si>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</si>
  <si>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</si>
  <si>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</si>
  <si>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</si>
  <si>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</si>
  <si>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</si>
  <si>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</si>
  <si>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</si>
  <si>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</si>
  <si>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</si>
  <si>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</si>
  <si>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</si>
  <si>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</si>
  <si>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</si>
  <si>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</si>
  <si>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</si>
  <si>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</si>
  <si>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</si>
  <si>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</si>
  <si>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</si>
  <si>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</si>
  <si>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</si>
  <si>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</si>
  <si>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</si>
  <si>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</si>
  <si>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</si>
  <si>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</si>
  <si>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</si>
  <si>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</si>
  <si>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</si>
  <si>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</si>
  <si>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</si>
  <si>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</si>
  <si>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</si>
  <si>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</si>
  <si>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</si>
  <si>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</si>
  <si>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</si>
  <si>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</si>
  <si>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</si>
  <si>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</si>
  <si>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</si>
  <si>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</si>
  <si>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</si>
  <si>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</si>
  <si>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</si>
  <si>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</si>
  <si>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</si>
  <si>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</si>
  <si>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</si>
  <si>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</si>
  <si>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</si>
  <si>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</si>
  <si>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</si>
  <si>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</si>
  <si>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</si>
  <si>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</si>
  <si>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</si>
  <si>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</si>
  <si>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</si>
  <si>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</si>
  <si>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</si>
  <si>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</si>
  <si>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</si>
  <si>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</si>
  <si>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</si>
  <si>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</si>
  <si>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</si>
  <si>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</si>
  <si>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</si>
  <si>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</si>
  <si>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</si>
  <si>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</si>
  <si>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</si>
  <si>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</si>
  <si>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</si>
  <si>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</si>
  <si>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</si>
  <si>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</si>
  <si>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</si>
  <si>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</si>
  <si>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</si>
  <si>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</si>
  <si>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</si>
  <si>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</si>
  <si>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</si>
  <si>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</si>
  <si>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</si>
  <si>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</si>
  <si>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</si>
  <si>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</si>
  <si>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</si>
  <si>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</si>
  <si>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BALANCE</t>
  </si>
  <si>
    <t>LAMINA 153X366</t>
  </si>
  <si>
    <t>alternativa 2</t>
  </si>
  <si>
    <t>19 de 153x366</t>
  </si>
  <si>
    <t>10 DIAS HABILES</t>
  </si>
  <si>
    <t>N° 11265</t>
  </si>
  <si>
    <t>+569 8150 1779</t>
  </si>
  <si>
    <t>CUB S/R R2</t>
  </si>
  <si>
    <t>MINERAL STEEL 3166</t>
  </si>
  <si>
    <t xml:space="preserve">FRANCISCO BAEZA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</si>
</sst>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35</xdr:row>
      <xdr:rowOff>8194</xdr:rowOff>
    </xdr:from>
    <xdr:to>
      <xdr:col>8</xdr:col>
      <xdr:colOff>8193</xdr:colOff>
      <xdr:row>38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37</xdr:row>
      <xdr:rowOff>154305</xdr:rowOff>
    </xdr:from>
    <xdr:to>
      <xdr:col>7</xdr:col>
      <xdr:colOff>853440</xdr:colOff>
      <xdr:row>37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35</xdr:row>
      <xdr:rowOff>9525</xdr:rowOff>
    </xdr:from>
    <xdr:to>
      <xdr:col>5</xdr:col>
      <xdr:colOff>1745226</xdr:colOff>
      <xdr:row>38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31</xdr:row>
      <xdr:rowOff>9525</xdr:rowOff>
    </xdr:from>
    <xdr:to>
      <xdr:col>5</xdr:col>
      <xdr:colOff>1728839</xdr:colOff>
      <xdr:row>34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CORTADAS A LA MEDIDA Y ENCHAPADAS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9"/>
  <sheetViews>
    <sheetView tabSelected="1" topLeftCell="D19" zoomScale="93" zoomScaleNormal="93" workbookViewId="0">
      <selection activeCell="J38" sqref="J38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174</v>
      </c>
      <c r="D10" s="243"/>
      <c r="E10" s="243"/>
      <c r="F10" s="244" t="s">
        <v>0</v>
      </c>
      <c r="G10" s="276">
        <v>45679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2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>
        <v>0.3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O46</f>
        <v>71035.979553868441</v>
      </c>
      <c r="R20" s="258">
        <v>3000</v>
      </c>
      <c r="S20" s="38"/>
      <c r="T20" s="14" t="s">
        <v>127</v>
      </c>
      <c r="U20" s="9"/>
      <c r="X20" s="4"/>
    </row>
    <row r="21" spans="2:25" ht="17.399999999999999" x14ac:dyDescent="0.3">
      <c r="B21" s="345">
        <v>1</v>
      </c>
      <c r="C21" s="346" t="s">
        <v>172</v>
      </c>
      <c r="D21" s="347">
        <v>1.79</v>
      </c>
      <c r="E21" s="347">
        <v>0.61</v>
      </c>
      <c r="F21" s="346" t="s">
        <v>173</v>
      </c>
      <c r="G21" s="348">
        <f>R21</f>
        <v>123881.92640681793</v>
      </c>
      <c r="H21" s="349">
        <f>G21*B21</f>
        <v>123881.92640681793</v>
      </c>
      <c r="I21" s="320"/>
      <c r="J21" s="265"/>
      <c r="K21" s="47"/>
      <c r="L21" s="47">
        <f>B21</f>
        <v>1</v>
      </c>
      <c r="M21" s="39">
        <f>D21+M$19</f>
        <v>1.87</v>
      </c>
      <c r="N21" s="39">
        <f>E21+$N$19</f>
        <v>0.90999999999999992</v>
      </c>
      <c r="O21" s="261">
        <f t="shared" ref="O21" si="1">M21*N21</f>
        <v>1.7017</v>
      </c>
      <c r="P21" s="259">
        <f t="shared" ref="P21" si="2">O21*L21</f>
        <v>1.7017</v>
      </c>
      <c r="Q21" s="252">
        <f t="shared" ref="Q21" si="3">Q$20*O21</f>
        <v>120881.92640681793</v>
      </c>
      <c r="R21" s="319">
        <f t="shared" ref="R21" si="4">Q21+R$20</f>
        <v>123881.92640681793</v>
      </c>
      <c r="S21" s="297">
        <f t="shared" ref="S21" si="5">L21*M21*2</f>
        <v>3.74</v>
      </c>
      <c r="T21" s="46">
        <f>N21*2*L21*2</f>
        <v>3.6399999999999997</v>
      </c>
      <c r="U21" s="9"/>
      <c r="X21" s="4"/>
    </row>
    <row r="22" spans="2:25" ht="17.399999999999999" x14ac:dyDescent="0.3">
      <c r="B22" s="350">
        <v>1</v>
      </c>
      <c r="C22" s="330" t="s">
        <v>172</v>
      </c>
      <c r="D22" s="332">
        <v>0.43</v>
      </c>
      <c r="E22" s="332">
        <v>0.61</v>
      </c>
      <c r="F22" s="330" t="s">
        <v>173</v>
      </c>
      <c r="G22" s="331">
        <f t="shared" ref="G22:G30" si="6">R22</f>
        <v>25099.293239208469</v>
      </c>
      <c r="H22" s="351">
        <f t="shared" ref="H22:H30" si="7">G22*B22</f>
        <v>25099.293239208469</v>
      </c>
      <c r="I22" s="320"/>
      <c r="J22" s="265"/>
      <c r="K22" s="47"/>
      <c r="L22" s="47">
        <f>B22</f>
        <v>1</v>
      </c>
      <c r="M22" s="39">
        <f>D22+M$19</f>
        <v>0.51</v>
      </c>
      <c r="N22" s="39">
        <f>E22</f>
        <v>0.61</v>
      </c>
      <c r="O22" s="261">
        <f t="shared" ref="O22" si="8">M22*N22</f>
        <v>0.31109999999999999</v>
      </c>
      <c r="P22" s="259">
        <f t="shared" ref="P22" si="9">O22*L22</f>
        <v>0.31109999999999999</v>
      </c>
      <c r="Q22" s="252">
        <f t="shared" ref="Q22" si="10">Q$20*O22</f>
        <v>22099.293239208469</v>
      </c>
      <c r="R22" s="319">
        <f t="shared" ref="R22" si="11">Q22+R$20</f>
        <v>25099.293239208469</v>
      </c>
      <c r="S22" s="297">
        <f t="shared" ref="S22" si="12">L22*M22*2</f>
        <v>1.02</v>
      </c>
      <c r="T22" s="46"/>
      <c r="U22" s="9"/>
      <c r="X22" s="4"/>
    </row>
    <row r="23" spans="2:25" ht="17.399999999999999" x14ac:dyDescent="0.3">
      <c r="B23" s="350">
        <v>1</v>
      </c>
      <c r="C23" s="330" t="s">
        <v>172</v>
      </c>
      <c r="D23" s="332">
        <v>2.9249999999999998</v>
      </c>
      <c r="E23" s="332">
        <v>0.61</v>
      </c>
      <c r="F23" s="330" t="s">
        <v>173</v>
      </c>
      <c r="G23" s="331">
        <f t="shared" si="6"/>
        <v>133212.50232121855</v>
      </c>
      <c r="H23" s="351">
        <f t="shared" si="7"/>
        <v>133212.50232121855</v>
      </c>
      <c r="I23" s="320"/>
      <c r="J23" s="265"/>
      <c r="K23" s="47"/>
      <c r="L23" s="47">
        <f t="shared" ref="L23:L30" si="13">B23</f>
        <v>1</v>
      </c>
      <c r="M23" s="39">
        <f t="shared" ref="M23:M30" si="14">D23+M$19</f>
        <v>3.0049999999999999</v>
      </c>
      <c r="N23" s="39">
        <f t="shared" ref="N23:N26" si="15">E23</f>
        <v>0.61</v>
      </c>
      <c r="O23" s="261">
        <f t="shared" ref="O23:O26" si="16">M23*N23</f>
        <v>1.8330499999999998</v>
      </c>
      <c r="P23" s="259">
        <f t="shared" ref="P23:P26" si="17">O23*L23</f>
        <v>1.8330499999999998</v>
      </c>
      <c r="Q23" s="252">
        <f t="shared" ref="Q23:Q26" si="18">Q$20*O23</f>
        <v>130212.50232121853</v>
      </c>
      <c r="R23" s="319">
        <f t="shared" ref="R23:R26" si="19">Q23+R$20</f>
        <v>133212.50232121855</v>
      </c>
      <c r="S23" s="297">
        <f t="shared" ref="S23:S30" si="20">L23*M23*2</f>
        <v>6.01</v>
      </c>
      <c r="T23" s="46"/>
      <c r="U23" s="9"/>
      <c r="X23" s="4"/>
    </row>
    <row r="24" spans="2:25" ht="17.399999999999999" x14ac:dyDescent="0.3">
      <c r="B24" s="350">
        <v>1</v>
      </c>
      <c r="C24" s="330" t="s">
        <v>172</v>
      </c>
      <c r="D24" s="332">
        <v>1.4650000000000001</v>
      </c>
      <c r="E24" s="332">
        <v>0.52</v>
      </c>
      <c r="F24" s="330" t="s">
        <v>173</v>
      </c>
      <c r="G24" s="331">
        <f t="shared" si="6"/>
        <v>60070.305973577917</v>
      </c>
      <c r="H24" s="351">
        <f t="shared" si="7"/>
        <v>60070.305973577917</v>
      </c>
      <c r="I24" s="320"/>
      <c r="J24" s="265"/>
      <c r="K24" s="47"/>
      <c r="L24" s="47">
        <f t="shared" si="13"/>
        <v>1</v>
      </c>
      <c r="M24" s="39">
        <f t="shared" si="14"/>
        <v>1.5450000000000002</v>
      </c>
      <c r="N24" s="39">
        <f t="shared" si="15"/>
        <v>0.52</v>
      </c>
      <c r="O24" s="261">
        <f t="shared" si="16"/>
        <v>0.80340000000000011</v>
      </c>
      <c r="P24" s="259">
        <f t="shared" si="17"/>
        <v>0.80340000000000011</v>
      </c>
      <c r="Q24" s="252">
        <f t="shared" si="18"/>
        <v>57070.305973577917</v>
      </c>
      <c r="R24" s="319">
        <f t="shared" si="19"/>
        <v>60070.305973577917</v>
      </c>
      <c r="S24" s="297">
        <f t="shared" si="20"/>
        <v>3.0900000000000003</v>
      </c>
      <c r="T24" s="46"/>
      <c r="U24" s="9"/>
      <c r="X24" s="4"/>
    </row>
    <row r="25" spans="2:25" ht="17.399999999999999" x14ac:dyDescent="0.3">
      <c r="B25" s="350">
        <v>1</v>
      </c>
      <c r="C25" s="330" t="s">
        <v>172</v>
      </c>
      <c r="D25" s="332">
        <v>0.54500000000000004</v>
      </c>
      <c r="E25" s="332">
        <v>0.35</v>
      </c>
      <c r="F25" s="330" t="s">
        <v>173</v>
      </c>
      <c r="G25" s="331">
        <f t="shared" si="6"/>
        <v>18539.120527408722</v>
      </c>
      <c r="H25" s="351">
        <f t="shared" si="7"/>
        <v>18539.120527408722</v>
      </c>
      <c r="I25" s="320"/>
      <c r="J25" s="265"/>
      <c r="K25" s="47"/>
      <c r="L25" s="47">
        <f t="shared" si="13"/>
        <v>1</v>
      </c>
      <c r="M25" s="39">
        <f t="shared" si="14"/>
        <v>0.625</v>
      </c>
      <c r="N25" s="39">
        <f t="shared" si="15"/>
        <v>0.35</v>
      </c>
      <c r="O25" s="261">
        <f t="shared" si="16"/>
        <v>0.21875</v>
      </c>
      <c r="P25" s="259">
        <f t="shared" si="17"/>
        <v>0.21875</v>
      </c>
      <c r="Q25" s="252">
        <f t="shared" si="18"/>
        <v>15539.120527408722</v>
      </c>
      <c r="R25" s="319">
        <f t="shared" si="19"/>
        <v>18539.120527408722</v>
      </c>
      <c r="S25" s="297">
        <f t="shared" si="20"/>
        <v>1.25</v>
      </c>
      <c r="T25" s="46"/>
      <c r="U25" s="9"/>
      <c r="X25" s="4"/>
    </row>
    <row r="26" spans="2:25" ht="17.399999999999999" x14ac:dyDescent="0.3">
      <c r="B26" s="350">
        <v>1</v>
      </c>
      <c r="C26" s="330" t="s">
        <v>31</v>
      </c>
      <c r="D26" s="332">
        <v>1.79</v>
      </c>
      <c r="E26" s="332">
        <v>0.06</v>
      </c>
      <c r="F26" s="330" t="s">
        <v>173</v>
      </c>
      <c r="G26" s="331">
        <f t="shared" si="6"/>
        <v>10970.236905944039</v>
      </c>
      <c r="H26" s="351">
        <f t="shared" si="7"/>
        <v>10970.236905944039</v>
      </c>
      <c r="I26" s="320"/>
      <c r="J26" s="265"/>
      <c r="K26" s="47"/>
      <c r="L26" s="47">
        <f t="shared" si="13"/>
        <v>1</v>
      </c>
      <c r="M26" s="39">
        <f t="shared" si="14"/>
        <v>1.87</v>
      </c>
      <c r="N26" s="39">
        <f t="shared" si="15"/>
        <v>0.06</v>
      </c>
      <c r="O26" s="261">
        <f t="shared" si="16"/>
        <v>0.11220000000000001</v>
      </c>
      <c r="P26" s="259">
        <f t="shared" si="17"/>
        <v>0.11220000000000001</v>
      </c>
      <c r="Q26" s="252">
        <f t="shared" si="18"/>
        <v>7970.2369059440398</v>
      </c>
      <c r="R26" s="319">
        <f t="shared" si="19"/>
        <v>10970.236905944039</v>
      </c>
      <c r="S26" s="297">
        <f t="shared" si="20"/>
        <v>3.74</v>
      </c>
      <c r="T26" s="46"/>
      <c r="U26" s="9"/>
      <c r="X26" s="4"/>
    </row>
    <row r="27" spans="2:25" ht="17.399999999999999" x14ac:dyDescent="0.3">
      <c r="B27" s="350">
        <v>1</v>
      </c>
      <c r="C27" s="330" t="s">
        <v>31</v>
      </c>
      <c r="D27" s="332">
        <v>0.43</v>
      </c>
      <c r="E27" s="332">
        <v>0.06</v>
      </c>
      <c r="F27" s="330" t="s">
        <v>173</v>
      </c>
      <c r="G27" s="331">
        <f t="shared" si="6"/>
        <v>5173.7009743483741</v>
      </c>
      <c r="H27" s="351">
        <f t="shared" si="7"/>
        <v>5173.7009743483741</v>
      </c>
      <c r="I27" s="320"/>
      <c r="J27" s="265"/>
      <c r="K27" s="47"/>
      <c r="L27" s="47">
        <f t="shared" ref="L27:L30" si="21">B27</f>
        <v>1</v>
      </c>
      <c r="M27" s="39">
        <f t="shared" ref="M27:M30" si="22">D27+M$19</f>
        <v>0.51</v>
      </c>
      <c r="N27" s="39">
        <f t="shared" ref="N27:N30" si="23">E27</f>
        <v>0.06</v>
      </c>
      <c r="O27" s="261">
        <f t="shared" ref="O27:O30" si="24">M27*N27</f>
        <v>3.0599999999999999E-2</v>
      </c>
      <c r="P27" s="259">
        <f t="shared" ref="P27:P30" si="25">O27*L27</f>
        <v>3.0599999999999999E-2</v>
      </c>
      <c r="Q27" s="252">
        <f t="shared" ref="Q27:Q30" si="26">Q$20*O27</f>
        <v>2173.7009743483741</v>
      </c>
      <c r="R27" s="319">
        <f t="shared" ref="R27:R30" si="27">Q27+R$20</f>
        <v>5173.7009743483741</v>
      </c>
      <c r="S27" s="297">
        <f t="shared" ref="S27:S30" si="28">L27*M27*2</f>
        <v>1.02</v>
      </c>
      <c r="T27" s="46"/>
      <c r="U27" s="9"/>
      <c r="X27" s="4"/>
    </row>
    <row r="28" spans="2:25" ht="17.399999999999999" x14ac:dyDescent="0.3">
      <c r="B28" s="350">
        <v>1</v>
      </c>
      <c r="C28" s="330" t="s">
        <v>31</v>
      </c>
      <c r="D28" s="332">
        <v>2.9249999999999998</v>
      </c>
      <c r="E28" s="332">
        <v>0.06</v>
      </c>
      <c r="F28" s="330" t="s">
        <v>173</v>
      </c>
      <c r="G28" s="331">
        <f t="shared" si="6"/>
        <v>15807.787113562479</v>
      </c>
      <c r="H28" s="351">
        <f t="shared" si="7"/>
        <v>15807.787113562479</v>
      </c>
      <c r="I28" s="320"/>
      <c r="J28" s="265"/>
      <c r="K28" s="47"/>
      <c r="L28" s="47">
        <f t="shared" si="21"/>
        <v>1</v>
      </c>
      <c r="M28" s="39">
        <f t="shared" si="22"/>
        <v>3.0049999999999999</v>
      </c>
      <c r="N28" s="39">
        <f t="shared" si="23"/>
        <v>0.06</v>
      </c>
      <c r="O28" s="261">
        <f t="shared" si="24"/>
        <v>0.18029999999999999</v>
      </c>
      <c r="P28" s="259">
        <f t="shared" si="25"/>
        <v>0.18029999999999999</v>
      </c>
      <c r="Q28" s="252">
        <f t="shared" si="26"/>
        <v>12807.787113562479</v>
      </c>
      <c r="R28" s="319">
        <f t="shared" si="27"/>
        <v>15807.787113562479</v>
      </c>
      <c r="S28" s="297">
        <f t="shared" si="28"/>
        <v>6.01</v>
      </c>
      <c r="T28" s="46"/>
      <c r="U28" s="9"/>
      <c r="X28" s="4"/>
    </row>
    <row r="29" spans="2:25" ht="17.399999999999999" x14ac:dyDescent="0.3">
      <c r="B29" s="350">
        <v>1</v>
      </c>
      <c r="C29" s="330" t="s">
        <v>31</v>
      </c>
      <c r="D29" s="332">
        <v>1.4650000000000001</v>
      </c>
      <c r="E29" s="332">
        <v>0.06</v>
      </c>
      <c r="F29" s="330" t="s">
        <v>173</v>
      </c>
      <c r="G29" s="331">
        <f t="shared" si="6"/>
        <v>9585.0353046436048</v>
      </c>
      <c r="H29" s="351">
        <f t="shared" si="7"/>
        <v>9585.0353046436048</v>
      </c>
      <c r="I29" s="320"/>
      <c r="J29" s="265"/>
      <c r="K29" s="47"/>
      <c r="L29" s="47">
        <f t="shared" si="21"/>
        <v>1</v>
      </c>
      <c r="M29" s="39">
        <f t="shared" si="22"/>
        <v>1.5450000000000002</v>
      </c>
      <c r="N29" s="39">
        <f t="shared" si="23"/>
        <v>0.06</v>
      </c>
      <c r="O29" s="261">
        <f t="shared" si="24"/>
        <v>9.2700000000000005E-2</v>
      </c>
      <c r="P29" s="259">
        <f t="shared" si="25"/>
        <v>9.2700000000000005E-2</v>
      </c>
      <c r="Q29" s="252">
        <f t="shared" si="26"/>
        <v>6585.0353046436048</v>
      </c>
      <c r="R29" s="319">
        <f t="shared" si="27"/>
        <v>9585.0353046436048</v>
      </c>
      <c r="S29" s="297">
        <f t="shared" si="28"/>
        <v>3.0900000000000003</v>
      </c>
      <c r="T29" s="46"/>
      <c r="U29" s="9"/>
      <c r="X29" s="4"/>
    </row>
    <row r="30" spans="2:25" ht="18" thickBot="1" x14ac:dyDescent="0.35">
      <c r="B30" s="352">
        <v>1</v>
      </c>
      <c r="C30" s="353" t="s">
        <v>31</v>
      </c>
      <c r="D30" s="354">
        <v>0.54500000000000004</v>
      </c>
      <c r="E30" s="354">
        <v>0.06</v>
      </c>
      <c r="F30" s="353" t="s">
        <v>173</v>
      </c>
      <c r="G30" s="355">
        <f t="shared" si="6"/>
        <v>5663.8492332700662</v>
      </c>
      <c r="H30" s="356">
        <f t="shared" si="7"/>
        <v>5663.8492332700662</v>
      </c>
      <c r="I30" s="320"/>
      <c r="J30" s="265"/>
      <c r="K30" s="47"/>
      <c r="L30" s="47">
        <f t="shared" si="21"/>
        <v>1</v>
      </c>
      <c r="M30" s="39">
        <f t="shared" si="22"/>
        <v>0.625</v>
      </c>
      <c r="N30" s="39">
        <f t="shared" si="23"/>
        <v>0.06</v>
      </c>
      <c r="O30" s="261">
        <f t="shared" si="24"/>
        <v>3.7499999999999999E-2</v>
      </c>
      <c r="P30" s="259">
        <f t="shared" si="25"/>
        <v>3.7499999999999999E-2</v>
      </c>
      <c r="Q30" s="252">
        <f t="shared" si="26"/>
        <v>2663.8492332700666</v>
      </c>
      <c r="R30" s="319">
        <f t="shared" si="27"/>
        <v>5663.8492332700662</v>
      </c>
      <c r="S30" s="297">
        <f t="shared" si="28"/>
        <v>1.25</v>
      </c>
      <c r="T30" s="46"/>
      <c r="U30" s="9"/>
      <c r="X30" s="4"/>
    </row>
    <row r="31" spans="2:25" ht="18" thickBot="1" x14ac:dyDescent="0.35">
      <c r="B31" s="285"/>
      <c r="C31" s="285"/>
      <c r="D31" s="286"/>
      <c r="E31" s="286"/>
      <c r="F31" s="285"/>
      <c r="G31" s="265"/>
      <c r="H31" s="321"/>
      <c r="I31" s="323"/>
      <c r="J31" s="233"/>
      <c r="K31" s="47"/>
      <c r="L31" s="47"/>
      <c r="M31" s="39"/>
      <c r="N31" s="39"/>
      <c r="O31" s="261"/>
      <c r="P31" s="259"/>
      <c r="Q31" s="252"/>
      <c r="R31" s="258"/>
      <c r="S31" s="297"/>
      <c r="T31" s="14"/>
      <c r="U31" s="9"/>
      <c r="X31" s="4"/>
    </row>
    <row r="32" spans="2:25" ht="17.399999999999999" x14ac:dyDescent="0.3">
      <c r="B32" s="285"/>
      <c r="C32" s="285"/>
      <c r="D32" s="286"/>
      <c r="E32" s="286"/>
      <c r="F32" s="285"/>
      <c r="G32" s="324" t="s">
        <v>28</v>
      </c>
      <c r="H32" s="325">
        <f>SUM(H21:H31)</f>
        <v>408003.75800000009</v>
      </c>
      <c r="I32" s="322"/>
      <c r="J32" s="265"/>
      <c r="K32" s="47">
        <v>2600000</v>
      </c>
      <c r="L32" s="47"/>
      <c r="M32" s="39"/>
      <c r="N32" s="39"/>
      <c r="O32" s="261"/>
      <c r="P32" s="259"/>
      <c r="Q32" s="252"/>
      <c r="R32" s="258"/>
      <c r="S32" s="297"/>
      <c r="T32" s="46">
        <f>SUM(T21:T31)</f>
        <v>3.6399999999999997</v>
      </c>
      <c r="U32" s="9"/>
      <c r="X32" s="4"/>
    </row>
    <row r="33" spans="1:24" ht="17.399999999999999" x14ac:dyDescent="0.3">
      <c r="B33" s="279"/>
      <c r="C33" s="282"/>
      <c r="D33" s="283"/>
      <c r="E33" s="283"/>
      <c r="F33" s="284"/>
      <c r="G33" s="296" t="s">
        <v>50</v>
      </c>
      <c r="H33" s="294">
        <f>H32*19%</f>
        <v>77520.714020000014</v>
      </c>
      <c r="I33" s="322"/>
      <c r="J33" s="265"/>
      <c r="K33" s="47"/>
      <c r="L33" s="47"/>
      <c r="M33" s="39">
        <f>SUM(M21:M32)</f>
        <v>15.110000000000001</v>
      </c>
      <c r="N33" s="12"/>
      <c r="O33" s="12"/>
      <c r="P33" s="253">
        <f>SUM(P21:P31)</f>
        <v>5.3212999999999981</v>
      </c>
      <c r="Q33" s="14"/>
      <c r="R33" s="12"/>
      <c r="S33" s="239"/>
      <c r="T33" s="46"/>
      <c r="U33" s="9"/>
      <c r="X33" s="4"/>
    </row>
    <row r="34" spans="1:24" ht="18" thickBot="1" x14ac:dyDescent="0.35">
      <c r="B34" s="275"/>
      <c r="C34" s="281"/>
      <c r="D34" s="272"/>
      <c r="E34" s="272"/>
      <c r="F34" s="273"/>
      <c r="G34" s="280" t="s">
        <v>6</v>
      </c>
      <c r="H34" s="295">
        <f>H32+H33</f>
        <v>485524.4720200001</v>
      </c>
      <c r="I34" s="322"/>
      <c r="J34" s="265"/>
      <c r="K34" s="47"/>
      <c r="L34" s="47"/>
      <c r="M34" s="39"/>
      <c r="N34" s="12"/>
      <c r="O34" s="12"/>
      <c r="P34" s="253">
        <f>P33</f>
        <v>5.3212999999999981</v>
      </c>
      <c r="Q34" s="14"/>
      <c r="R34" s="12"/>
      <c r="S34" s="239">
        <f>SUM(S21:S33)</f>
        <v>30.220000000000002</v>
      </c>
      <c r="T34" s="46"/>
      <c r="U34" s="9"/>
      <c r="X34" s="4"/>
    </row>
    <row r="35" spans="1:24" ht="17.399999999999999" x14ac:dyDescent="0.3">
      <c r="B35" s="275"/>
      <c r="C35" s="271"/>
      <c r="D35" s="272"/>
      <c r="E35" s="272"/>
      <c r="F35" s="273"/>
      <c r="J35" s="265"/>
      <c r="K35" s="47"/>
      <c r="L35" s="47"/>
      <c r="M35" s="14"/>
      <c r="N35" s="12"/>
      <c r="O35" s="12"/>
      <c r="P35" s="39">
        <f>P34*20%</f>
        <v>1.0642599999999998</v>
      </c>
      <c r="Q35" s="39" t="s">
        <v>129</v>
      </c>
      <c r="R35" s="42"/>
      <c r="S35" s="240">
        <f>S34+T32</f>
        <v>33.86</v>
      </c>
      <c r="T35" s="14"/>
      <c r="U35" s="9"/>
      <c r="X35" s="4"/>
    </row>
    <row r="36" spans="1:24" ht="17.399999999999999" x14ac:dyDescent="0.35">
      <c r="B36" s="269"/>
      <c r="C36" s="230"/>
      <c r="D36" s="230"/>
      <c r="E36" s="233"/>
      <c r="F36" s="234"/>
      <c r="G36" s="230"/>
      <c r="H36" s="274"/>
      <c r="I36" s="274"/>
      <c r="J36" s="265"/>
      <c r="K36" s="47"/>
      <c r="L36" s="47"/>
      <c r="M36" s="14"/>
      <c r="N36" s="12"/>
      <c r="O36" s="12"/>
      <c r="P36" s="46">
        <f>P34+P35</f>
        <v>6.3855599999999981</v>
      </c>
      <c r="Q36" s="14"/>
      <c r="R36" s="14"/>
      <c r="S36" s="238">
        <f>S35*20%</f>
        <v>6.7720000000000002</v>
      </c>
      <c r="T36" s="14"/>
      <c r="U36" s="9"/>
      <c r="X36" s="4"/>
    </row>
    <row r="37" spans="1:24" ht="17.399999999999999" x14ac:dyDescent="0.35">
      <c r="B37" s="235"/>
      <c r="C37" s="236"/>
      <c r="D37" s="237"/>
      <c r="E37" s="235"/>
      <c r="F37" s="230"/>
      <c r="G37" s="230"/>
      <c r="I37" s="274"/>
      <c r="J37" s="265"/>
      <c r="K37" s="47"/>
      <c r="L37" s="47"/>
      <c r="M37" s="14"/>
      <c r="N37" s="14"/>
      <c r="O37" s="14"/>
      <c r="P37" s="14"/>
      <c r="Q37" s="14"/>
      <c r="R37" s="14"/>
      <c r="S37" s="240">
        <f>S35+S36</f>
        <v>40.631999999999998</v>
      </c>
      <c r="T37" s="14"/>
      <c r="U37" s="302" t="s">
        <v>21</v>
      </c>
      <c r="V37" s="299" t="s">
        <v>150</v>
      </c>
      <c r="W37" s="303">
        <v>44971</v>
      </c>
      <c r="X37" s="304"/>
    </row>
    <row r="38" spans="1:24" ht="17.399999999999999" x14ac:dyDescent="0.35">
      <c r="B38" s="230"/>
      <c r="C38" s="230"/>
      <c r="D38" s="230"/>
      <c r="E38" s="230"/>
      <c r="F38" s="230"/>
      <c r="G38" s="230"/>
      <c r="J38" s="265"/>
      <c r="K38" s="47"/>
      <c r="L38" s="47"/>
      <c r="M38" s="39">
        <f>P36</f>
        <v>6.3855599999999981</v>
      </c>
      <c r="N38" s="12">
        <v>3500</v>
      </c>
      <c r="O38" s="12">
        <f t="shared" ref="O38:O40" si="29">M38*N38</f>
        <v>22349.459999999992</v>
      </c>
      <c r="P38" s="14" t="s">
        <v>21</v>
      </c>
      <c r="Q38" s="14"/>
      <c r="R38" s="14"/>
      <c r="S38" s="241"/>
      <c r="T38" s="14"/>
      <c r="U38" s="302" t="s">
        <v>151</v>
      </c>
      <c r="V38" s="299">
        <v>3625</v>
      </c>
      <c r="W38" s="59" t="s">
        <v>152</v>
      </c>
      <c r="X38" s="304"/>
    </row>
    <row r="39" spans="1:24" ht="17.399999999999999" x14ac:dyDescent="0.35">
      <c r="A39" s="230"/>
      <c r="B39" s="230"/>
      <c r="C39" s="230"/>
      <c r="D39" s="230"/>
      <c r="E39" s="230"/>
      <c r="F39" s="230"/>
      <c r="G39" s="230"/>
      <c r="H39" s="230"/>
      <c r="J39" s="265"/>
      <c r="K39" s="47"/>
      <c r="L39" s="47"/>
      <c r="M39" s="249">
        <v>1.3</v>
      </c>
      <c r="N39" s="12">
        <v>25000</v>
      </c>
      <c r="O39" s="12">
        <f t="shared" si="29"/>
        <v>32500</v>
      </c>
      <c r="P39" s="39" t="s">
        <v>30</v>
      </c>
      <c r="Q39" s="42"/>
      <c r="R39" s="14"/>
      <c r="S39" s="240"/>
      <c r="T39" s="14"/>
      <c r="U39" s="302"/>
      <c r="V39" s="59">
        <v>906.25</v>
      </c>
      <c r="W39" s="59" t="s">
        <v>153</v>
      </c>
      <c r="X39" s="304"/>
    </row>
    <row r="40" spans="1:24" s="230" customFormat="1" ht="17.399999999999999" x14ac:dyDescent="0.35">
      <c r="B40" s="24" t="s">
        <v>149</v>
      </c>
      <c r="J40" s="262"/>
      <c r="K40" s="232"/>
      <c r="L40" s="250"/>
      <c r="M40" s="14"/>
      <c r="N40" s="250">
        <v>15041</v>
      </c>
      <c r="O40" s="12">
        <f t="shared" si="29"/>
        <v>0</v>
      </c>
      <c r="P40" s="39" t="s">
        <v>165</v>
      </c>
      <c r="Q40" s="42"/>
      <c r="S40" s="240"/>
      <c r="T40" s="256"/>
      <c r="U40" s="59"/>
      <c r="V40" s="59">
        <f>V39*20%</f>
        <v>181.25</v>
      </c>
      <c r="W40" s="304" t="s">
        <v>154</v>
      </c>
      <c r="X40" s="59"/>
    </row>
    <row r="41" spans="1:24" s="230" customFormat="1" ht="17.399999999999999" x14ac:dyDescent="0.35">
      <c r="B41" s="24" t="s">
        <v>142</v>
      </c>
      <c r="C41"/>
      <c r="D41"/>
      <c r="E41"/>
      <c r="F41"/>
      <c r="J41" s="262"/>
      <c r="K41" s="232"/>
      <c r="L41" s="250"/>
      <c r="M41" s="14">
        <v>3</v>
      </c>
      <c r="N41" s="250">
        <v>36500</v>
      </c>
      <c r="O41" s="12">
        <f>M41*N41</f>
        <v>109500</v>
      </c>
      <c r="P41" s="14" t="s">
        <v>166</v>
      </c>
      <c r="S41" s="238"/>
      <c r="T41" s="256"/>
      <c r="U41" s="59"/>
      <c r="V41" s="59">
        <f>V39+V40</f>
        <v>1087.5</v>
      </c>
      <c r="W41" s="304" t="s">
        <v>155</v>
      </c>
      <c r="X41" s="59"/>
    </row>
    <row r="42" spans="1:24" s="230" customFormat="1" ht="17.399999999999999" x14ac:dyDescent="0.35">
      <c r="B42" s="29" t="s">
        <v>124</v>
      </c>
      <c r="C42"/>
      <c r="D42"/>
      <c r="E42"/>
      <c r="F42" s="229" t="s">
        <v>15</v>
      </c>
      <c r="I42" s="230" t="s">
        <v>167</v>
      </c>
      <c r="J42" s="262"/>
      <c r="K42" s="260"/>
      <c r="L42" s="250"/>
      <c r="M42" s="249"/>
      <c r="N42" s="250">
        <v>900</v>
      </c>
      <c r="O42" s="12">
        <f>M42*N42</f>
        <v>0</v>
      </c>
      <c r="P42" s="14" t="s">
        <v>31</v>
      </c>
      <c r="Q42" s="17"/>
      <c r="R42" s="230">
        <v>2.12</v>
      </c>
      <c r="S42" s="238"/>
      <c r="T42" s="238"/>
    </row>
    <row r="43" spans="1:24" s="230" customFormat="1" ht="17.399999999999999" x14ac:dyDescent="0.35">
      <c r="I43" s="230" t="s">
        <v>168</v>
      </c>
      <c r="J43" s="293"/>
      <c r="K43" s="260"/>
      <c r="L43" s="250"/>
      <c r="M43" s="266"/>
      <c r="N43" s="12">
        <v>1500</v>
      </c>
      <c r="O43" s="12">
        <f>M43*N43</f>
        <v>0</v>
      </c>
      <c r="P43" s="14" t="s">
        <v>22</v>
      </c>
      <c r="Q43" s="14"/>
      <c r="R43">
        <v>2.44</v>
      </c>
      <c r="S43"/>
      <c r="T43" s="238"/>
      <c r="X43" s="231"/>
    </row>
    <row r="44" spans="1:24" s="230" customFormat="1" ht="17.399999999999999" x14ac:dyDescent="0.35">
      <c r="K44" s="260"/>
      <c r="L44" s="250"/>
      <c r="M44" s="14"/>
      <c r="N44" s="12"/>
      <c r="O44" s="12">
        <f>SUM(O38:O43)</f>
        <v>164349.46</v>
      </c>
      <c r="P44" s="39" t="s">
        <v>23</v>
      </c>
      <c r="Q44" s="14"/>
      <c r="R44">
        <f>R42*R43</f>
        <v>5.1728000000000005</v>
      </c>
      <c r="S44"/>
      <c r="T44" s="238"/>
      <c r="X44" s="231"/>
    </row>
    <row r="45" spans="1:24" s="230" customFormat="1" ht="17.399999999999999" x14ac:dyDescent="0.35">
      <c r="L45" s="250"/>
      <c r="M45" s="254" t="s">
        <v>32</v>
      </c>
      <c r="N45" s="12"/>
      <c r="O45" s="255">
        <f>O44*2.3</f>
        <v>378003.75799999997</v>
      </c>
      <c r="P45" s="14" t="s">
        <v>139</v>
      </c>
      <c r="Q45" s="14"/>
      <c r="R45" s="40">
        <f>P36/R44</f>
        <v>1.2344494277760589</v>
      </c>
      <c r="S45"/>
      <c r="T45" s="257"/>
    </row>
    <row r="46" spans="1:24" s="230" customFormat="1" ht="17.399999999999999" x14ac:dyDescent="0.35">
      <c r="G46"/>
      <c r="H46" s="260"/>
      <c r="I46" s="260"/>
      <c r="J46" s="260"/>
      <c r="K46" s="230">
        <v>74260</v>
      </c>
      <c r="L46" s="250"/>
      <c r="M46" s="14"/>
      <c r="N46" s="12"/>
      <c r="O46" s="12">
        <f>O45/P34</f>
        <v>71035.979553868441</v>
      </c>
      <c r="P46" s="45" t="s">
        <v>24</v>
      </c>
      <c r="Q46" s="14"/>
      <c r="R46" s="14"/>
      <c r="S46"/>
      <c r="T46" s="238"/>
      <c r="U46" s="59" t="s">
        <v>156</v>
      </c>
      <c r="V46" s="299">
        <v>43650</v>
      </c>
    </row>
    <row r="47" spans="1:24" s="230" customFormat="1" ht="17.399999999999999" x14ac:dyDescent="0.35">
      <c r="G47"/>
      <c r="K47" s="230">
        <f>K46/1.19</f>
        <v>62403.361344537821</v>
      </c>
      <c r="L47" s="250"/>
      <c r="M47" s="13"/>
      <c r="N47" s="14"/>
      <c r="O47" s="17">
        <f>O45/O44</f>
        <v>2.2999999999999998</v>
      </c>
      <c r="P47" s="15"/>
      <c r="Q47" s="14"/>
      <c r="R47"/>
      <c r="S47"/>
      <c r="T47" s="238"/>
      <c r="U47" s="59" t="s">
        <v>158</v>
      </c>
      <c r="V47" s="300" t="s">
        <v>157</v>
      </c>
      <c r="W47" s="59">
        <v>2.4</v>
      </c>
    </row>
    <row r="48" spans="1:24" s="230" customFormat="1" ht="17.399999999999999" x14ac:dyDescent="0.35">
      <c r="G48" s="23"/>
      <c r="L48" s="12"/>
      <c r="Q48"/>
      <c r="T48" s="238"/>
      <c r="U48" s="59" t="s">
        <v>159</v>
      </c>
      <c r="V48" s="301">
        <v>395.37</v>
      </c>
    </row>
    <row r="49" spans="2:22" s="230" customFormat="1" ht="17.399999999999999" x14ac:dyDescent="0.35">
      <c r="B49"/>
      <c r="C49" s="228"/>
      <c r="D49" s="22"/>
      <c r="E49" s="22"/>
      <c r="F49" s="21"/>
      <c r="G49" s="23"/>
      <c r="L49" s="12"/>
      <c r="T49" s="238"/>
      <c r="U49" s="59" t="s">
        <v>154</v>
      </c>
      <c r="V49" s="59">
        <v>474.45</v>
      </c>
    </row>
    <row r="50" spans="2:22" ht="14.4" customHeight="1" x14ac:dyDescent="0.3">
      <c r="L50" s="12"/>
      <c r="U50" s="59"/>
      <c r="V50" s="59"/>
    </row>
    <row r="51" spans="2:22" x14ac:dyDescent="0.3">
      <c r="L51" s="250"/>
    </row>
    <row r="52" spans="2:22" x14ac:dyDescent="0.3">
      <c r="L52" s="250"/>
      <c r="T52" s="270"/>
    </row>
    <row r="53" spans="2:22" x14ac:dyDescent="0.3">
      <c r="L53" s="250"/>
    </row>
    <row r="54" spans="2:22" ht="15" customHeight="1" x14ac:dyDescent="0.3"/>
    <row r="56" spans="2:22" x14ac:dyDescent="0.3">
      <c r="O56">
        <v>40935</v>
      </c>
      <c r="P56" t="s">
        <v>16</v>
      </c>
      <c r="Q56" t="s">
        <v>26</v>
      </c>
    </row>
    <row r="58" spans="2:22" x14ac:dyDescent="0.3">
      <c r="O58" s="54"/>
      <c r="P58" s="54"/>
    </row>
    <row r="59" spans="2:22" x14ac:dyDescent="0.3">
      <c r="S59" s="18"/>
      <c r="T59" s="18"/>
    </row>
    <row r="60" spans="2:22" x14ac:dyDescent="0.3">
      <c r="S60" s="18"/>
      <c r="T60" s="18"/>
    </row>
    <row r="61" spans="2:22" x14ac:dyDescent="0.3">
      <c r="S61" s="18"/>
      <c r="T61" s="18"/>
    </row>
    <row r="62" spans="2:22" x14ac:dyDescent="0.3">
      <c r="S62" s="18"/>
      <c r="T62" s="18"/>
    </row>
    <row r="63" spans="2:22" x14ac:dyDescent="0.3">
      <c r="S63" s="18"/>
      <c r="T63" s="18"/>
    </row>
    <row r="64" spans="2:22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70" spans="15:20" x14ac:dyDescent="0.3">
      <c r="O70" s="43"/>
    </row>
    <row r="71" spans="15:20" x14ac:dyDescent="0.3">
      <c r="O71" s="43"/>
    </row>
    <row r="72" spans="15:20" x14ac:dyDescent="0.3">
      <c r="O72" s="6"/>
    </row>
    <row r="73" spans="15:20" x14ac:dyDescent="0.3">
      <c r="O73" s="6"/>
    </row>
    <row r="81" spans="3:3" x14ac:dyDescent="0.3">
      <c r="C81" t="s">
        <v>146</v>
      </c>
    </row>
    <row r="82" spans="3:3" x14ac:dyDescent="0.3">
      <c r="C82" t="s">
        <v>145</v>
      </c>
    </row>
    <row r="85" spans="3:3" x14ac:dyDescent="0.3">
      <c r="C85" t="s">
        <v>145</v>
      </c>
    </row>
    <row r="162" spans="3:3" x14ac:dyDescent="0.3">
      <c r="C162" t="s">
        <v>145</v>
      </c>
    </row>
    <row r="163" spans="3:3" x14ac:dyDescent="0.3">
      <c r="C163" t="s">
        <v>147</v>
      </c>
    </row>
    <row r="164" spans="3:3" x14ac:dyDescent="0.3">
      <c r="C164" t="s">
        <v>148</v>
      </c>
    </row>
    <row r="589" spans="3:3" x14ac:dyDescent="0.3">
      <c r="C589" t="s">
        <v>145</v>
      </c>
    </row>
  </sheetData>
  <mergeCells count="2">
    <mergeCell ref="F17:H17"/>
    <mergeCell ref="B19:H19"/>
  </mergeCells>
  <phoneticPr fontId="34" type="noConversion"/>
  <hyperlinks>
    <hyperlink ref="F42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45679</v>
      </c>
    </row>
    <row r="6" spans="2:31" ht="16.2" thickBot="1" x14ac:dyDescent="0.35">
      <c r="B6" s="140" t="s">
        <v>2</v>
      </c>
      <c r="C6" s="139" t="str">
        <f>'2229'!C10</f>
        <v xml:space="preserve">FRANCISCO BAEZA 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11265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-44712.649866787462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'2229'!H32</f>
        <v>408003.75800000009</v>
      </c>
      <c r="E11" s="132">
        <f>D11*0.19</f>
        <v>77520.714020000014</v>
      </c>
      <c r="F11" s="131">
        <f>E11+D11</f>
        <v>485524.4720200001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61277.350133212538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84683.550787439599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43277.350133212538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323320.20721256046</v>
      </c>
      <c r="E13" s="221">
        <f>(D11/D12)-1</f>
        <v>3.817981227831508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34277.350133212538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-4722.6498667874621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139727.85879927533</v>
      </c>
      <c r="F15" s="216">
        <f>E15-D12</f>
        <v>55044.308011835732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-4722.6498667874621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35277.350133212538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'2229'!O40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'2229'!O39</f>
        <v>32500</v>
      </c>
      <c r="E19" s="123">
        <f>D19*0.19</f>
        <v>6175</v>
      </c>
      <c r="F19" s="120">
        <f>SUM(D19:E19)</f>
        <v>38675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'2229'!O38</f>
        <v>22349.459999999992</v>
      </c>
      <c r="E20" s="121">
        <f>D20*0.19</f>
        <v>4246.3973999999989</v>
      </c>
      <c r="F20" s="120">
        <f>SUM(D20:E20)</f>
        <v>26595.85739999999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54849.459999999992</v>
      </c>
      <c r="E21" s="116">
        <f>SUM(E18:E20)</f>
        <v>10421.397399999998</v>
      </c>
      <c r="F21" s="115">
        <f>SUM(F18:F20)</f>
        <v>65270.857399999994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67099.316620000012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408003.75800000009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54849.459999999992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323320.20721256046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323320.20721256046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2025-01-03T15:29:49Z</cp:lastPrinted>
  <dcterms:created xsi:type="dcterms:W3CDTF">2013-03-18T13:35:42Z</dcterms:created>
  <dcterms:modified xsi:type="dcterms:W3CDTF">2025-02-06T16:14:48Z</dcterms:modified>
</cp:coreProperties>
</file>