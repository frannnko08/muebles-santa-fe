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CA682C06-BF83-463A-B400-A7C27A666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<sst xmlns="http://schemas.openxmlformats.org/spreadsheetml/2006/main" count="228" uniqueCount="172">
  <si>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</si>
  <si>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</si>
  <si>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</si>
  <si>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</si>
  <si>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</si>
  <si>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</si>
  <si>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</si>
  <si>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</si>
  <si>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</si>
  <si>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</si>
  <si>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</si>
  <si>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</si>
  <si>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</si>
  <si>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</si>
  <si>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</si>
  <si>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</si>
  <si>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</si>
  <si>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</si>
  <si>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</si>
  <si>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</si>
  <si>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</si>
  <si>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</si>
  <si>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</si>
  <si>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</si>
  <si>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</si>
  <si>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</si>
  <si>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</si>
  <si>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</si>
  <si>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</si>
  <si>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</si>
  <si>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</si>
  <si>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</si>
  <si>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</si>
  <si>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</si>
  <si>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</si>
  <si>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</si>
  <si>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</si>
  <si>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</si>
  <si>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</si>
  <si>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</si>
  <si>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</si>
  <si>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</si>
  <si>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</si>
  <si>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</si>
  <si>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</si>
  <si>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</si>
  <si>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</si>
  <si>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</si>
  <si>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</si>
  <si>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</si>
  <si>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</si>
  <si>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</si>
  <si>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</si>
  <si>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</si>
  <si>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</si>
  <si>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</si>
  <si>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</si>
  <si>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</si>
  <si>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</si>
  <si>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</si>
  <si>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</si>
  <si>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</si>
  <si>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</si>
  <si>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</si>
  <si>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</si>
  <si>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</si>
  <si>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</si>
  <si>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</si>
  <si>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</si>
  <si>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</si>
  <si>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</si>
  <si>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</si>
  <si>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</si>
  <si>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</si>
  <si>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</si>
  <si>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</si>
  <si>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</si>
  <si>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</si>
  <si>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</si>
  <si>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</si>
  <si>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</si>
  <si>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</si>
  <si>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</si>
  <si>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</si>
  <si>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</si>
  <si>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</si>
  <si>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</si>
  <si>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</si>
  <si>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</si>
  <si>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</si>
  <si>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</si>
  <si>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</si>
  <si>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</si>
  <si>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</si>
  <si>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</si>
  <si>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</si>
  <si>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</si>
  <si>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</si>
  <si>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</si>
  <si>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</si>
  <si>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</si>
  <si>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</si>
  <si>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</si>
  <si>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</si>
  <si>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</si>
  <si>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</si>
  <si>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</si>
  <si>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</si>
  <si>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</si>
  <si>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</si>
  <si>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</si>
  <si>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</si>
  <si>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</si>
  <si>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</si>
  <si>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</si>
  <si>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</si>
  <si>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</si>
  <si>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</si>
  <si>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</si>
  <si>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</si>
  <si>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</si>
  <si>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</si>
  <si>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</si>
  <si>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</si>
  <si>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</si>
  <si>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</si>
  <si>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</si>
  <si>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</si>
  <si>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</si>
  <si>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</si>
  <si>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</si>
  <si>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</si>
  <si>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</si>
  <si>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</si>
  <si>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</si>
  <si>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</si>
  <si>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</si>
  <si>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</si>
  <si>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</si>
  <si>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</si>
  <si>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</si>
  <si>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</si>
  <si>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</si>
  <si>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</si>
  <si>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</si>
  <si>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</si>
  <si>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</si>
  <si>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</si>
  <si>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</si>
  <si>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</si>
  <si>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</si>
  <si>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</si>
  <si>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</si>
  <si>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</si>
  <si>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</si>
  <si>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</si>
  <si>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</si>
  <si>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</si>
  <si>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</si>
  <si>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</si>
  <si>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</si>
  <si>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</si>
  <si>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</si>
  <si>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</si>
  <si>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</si>
  <si>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</si>
  <si>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</si>
  <si>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11235</t>
  </si>
  <si>
    <t>CUB C/R 90° R8</t>
  </si>
  <si>
    <t>MAPLE CLARO 1322 MT</t>
  </si>
  <si>
    <t>+569 88044946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</si>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</sst>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4.5546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/>
      <c r="D10" s="243"/>
      <c r="E10" s="243"/>
      <c r="F10" s="244" t="s">
        <v>0</v>
      </c>
      <c r="G10" s="276">
        <v>45664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91396.614500159689</v>
      </c>
      <c r="R20" s="258">
        <v>15000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168</v>
      </c>
      <c r="D21" s="331">
        <v>2</v>
      </c>
      <c r="E21" s="331">
        <v>0.6</v>
      </c>
      <c r="F21" s="330" t="s">
        <v>169</v>
      </c>
      <c r="G21" s="332">
        <v>114465</v>
      </c>
      <c r="H21" s="332">
        <f>G21*B21</f>
        <v>228930</v>
      </c>
      <c r="I21" s="320"/>
      <c r="J21" s="265"/>
      <c r="K21" s="47"/>
      <c r="L21" s="333">
        <f>B21</f>
        <v>2</v>
      </c>
      <c r="M21" s="39">
        <f>D21+M$19</f>
        <v>2.02</v>
      </c>
      <c r="N21" s="39">
        <f>E21+$N$19</f>
        <v>0.62</v>
      </c>
      <c r="O21" s="261">
        <f t="shared" ref="O21" si="1">M21*N21</f>
        <v>1.2524</v>
      </c>
      <c r="P21" s="259">
        <f t="shared" ref="P21" si="2">O21*L21</f>
        <v>2.5047999999999999</v>
      </c>
      <c r="Q21" s="252">
        <f t="shared" ref="Q21" si="3">Q$20*O21</f>
        <v>114465.12</v>
      </c>
      <c r="R21" s="319">
        <f t="shared" ref="R21" si="4">Q21+R$20</f>
        <v>129465.12</v>
      </c>
      <c r="S21" s="297"/>
      <c r="T21" s="46">
        <f>N21*2*L21*2</f>
        <v>4.96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228930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4.96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43496.7</v>
      </c>
      <c r="I25" s="322"/>
      <c r="J25" s="265"/>
      <c r="K25" s="47"/>
      <c r="L25" s="47"/>
      <c r="M25" s="39">
        <f>SUM(M21:M24)</f>
        <v>2.02</v>
      </c>
      <c r="N25" s="12"/>
      <c r="O25" s="12"/>
      <c r="P25" s="253">
        <f>SUM(P21:P23)</f>
        <v>2.5047999999999999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272426.7</v>
      </c>
      <c r="I26" s="322"/>
      <c r="J26" s="265"/>
      <c r="K26" s="47"/>
      <c r="L26" s="47"/>
      <c r="M26" s="39"/>
      <c r="N26" s="12"/>
      <c r="O26" s="12"/>
      <c r="P26" s="253">
        <f>P25</f>
        <v>2.5047999999999999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0.50095999999999996</v>
      </c>
      <c r="Q27" s="39" t="s">
        <v>130</v>
      </c>
      <c r="R27" s="42"/>
      <c r="S27" s="240">
        <f>S26+T24</f>
        <v>4.96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3.00576</v>
      </c>
      <c r="Q28" s="14"/>
      <c r="R28" s="14"/>
      <c r="S28" s="238">
        <f>S27*20%</f>
        <v>0.99199999999999999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5.952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3.00576</v>
      </c>
      <c r="N30" s="12">
        <v>2500</v>
      </c>
      <c r="O30" s="12">
        <f t="shared" ref="O30:O35" si="5">M30*N30</f>
        <v>7514.4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1</v>
      </c>
      <c r="N31" s="12">
        <v>23500</v>
      </c>
      <c r="O31" s="12">
        <f t="shared" si="5"/>
        <v>23500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34989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46410</v>
      </c>
      <c r="L33" s="250"/>
      <c r="M33" s="14">
        <v>2</v>
      </c>
      <c r="N33" s="250">
        <v>39000</v>
      </c>
      <c r="O33" s="12">
        <f t="shared" si="5"/>
        <v>78000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74375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62500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11875</v>
      </c>
      <c r="L36" s="250"/>
      <c r="M36" s="14"/>
      <c r="N36" s="12"/>
      <c r="O36" s="12">
        <f>SUM(O30:O35)</f>
        <v>109014.39999999999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228930.24</v>
      </c>
      <c r="P37" s="14" t="s">
        <v>140</v>
      </c>
      <c r="Q37" s="14"/>
      <c r="R37" s="40">
        <f>P28/R36</f>
        <v>0.81044003451251079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91396.614500159689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45664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-21421.665033454108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228930</v>
      </c>
      <c r="E11" s="132">
        <f>D11*0.19</f>
        <v>43496.7</v>
      </c>
      <c r="F11" s="131">
        <f>E11+D11</f>
        <v>272426.7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84568.334966545895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60848.490787439616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66568.334966545895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168081.50921256037</v>
      </c>
      <c r="E13" s="221">
        <f>(D11/D12)-1</f>
        <v>2.762295449524212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57568.334966545895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18568.334966545892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100400.00979927536</v>
      </c>
      <c r="F15" s="216">
        <f>E15-D12</f>
        <v>39551.519011835742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18568.334966545892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58568.334966545895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7514.4</v>
      </c>
      <c r="E20" s="121">
        <f>D20*0.19</f>
        <v>1427.7359999999999</v>
      </c>
      <c r="F20" s="120">
        <f>SUM(D20:E20)</f>
        <v>8942.1359999999986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31014.400000000001</v>
      </c>
      <c r="E21" s="116">
        <f>SUM(E18:E20)</f>
        <v>5892.7359999999999</v>
      </c>
      <c r="F21" s="115">
        <f>SUM(F18:F20)</f>
        <v>36907.135999999999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37603.964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228930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31014.400000000001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168081.50921256037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168081.50921256037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2025-01-07T12:44:29Z</dcterms:modified>
</cp:coreProperties>
</file>