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1 ENERO 2025\"/>
    </mc:Choice>
  </mc:AlternateContent>
  <xr:revisionPtr revIDLastSave="0" documentId="13_ncr:1_{805E975E-1C28-4ED6-8C9D-8CE0E1B50E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N21" i="1" l="1"/>
  <c r="M21" i="1" l="1"/>
  <c r="M25" i="1" s="1"/>
  <c r="T21" i="1" l="1"/>
  <c r="T24" i="1" s="1"/>
  <c r="S26" i="1"/>
  <c r="O21" i="1"/>
  <c r="P21" i="1" s="1"/>
  <c r="P25" i="1" s="1"/>
  <c r="K39" i="1"/>
  <c r="S27" i="1" l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5" i="1" s="1"/>
  <c r="H2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<sst xmlns="http://schemas.openxmlformats.org/spreadsheetml/2006/main" count="231" uniqueCount="175">
  <si>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</si>
  <si>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</si>
  <si>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</si>
  <si>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</si>
  <si>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</si>
  <si>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</si>
  <si>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</si>
  <si>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</si>
  <si>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</si>
  <si>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</si>
  <si>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</si>
  <si>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</si>
  <si>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</si>
  <si>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</si>
  <si>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</si>
  <si>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</si>
  <si>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</si>
  <si>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</si>
  <si>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</si>
  <si>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</si>
  <si>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</si>
  <si>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</si>
  <si>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</si>
  <si>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</si>
  <si>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</si>
  <si>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</si>
  <si>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</si>
  <si>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</si>
  <si>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</si>
  <si>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</si>
  <si>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</si>
  <si>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</si>
  <si>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</si>
  <si>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</si>
  <si>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</si>
  <si>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</si>
  <si>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</si>
  <si>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</si>
  <si>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</si>
  <si>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</si>
  <si>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</si>
  <si>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</si>
  <si>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</si>
  <si>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</si>
  <si>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</si>
  <si>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</si>
  <si>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</si>
  <si>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</si>
  <si>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</si>
  <si>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</si>
  <si>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</si>
  <si>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</si>
  <si>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</si>
  <si>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</si>
  <si>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</si>
  <si>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</si>
  <si>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</si>
  <si>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</si>
  <si>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</si>
  <si>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</si>
  <si>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</si>
  <si>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</si>
  <si>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</si>
  <si>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</si>
  <si>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</si>
  <si>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</si>
  <si>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</si>
  <si>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</si>
  <si>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</si>
  <si>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</si>
  <si>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</si>
  <si>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</si>
  <si>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</si>
  <si>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</si>
  <si>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</si>
  <si>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</si>
  <si>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</si>
  <si>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</si>
  <si>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</si>
  <si>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</si>
  <si>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</si>
  <si>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</si>
  <si>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</si>
  <si>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</si>
  <si>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</si>
  <si>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</si>
  <si>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</si>
  <si>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</si>
  <si>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</si>
  <si>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</si>
  <si>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</si>
  <si>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</si>
  <si>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</si>
  <si>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</si>
  <si>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</si>
  <si>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</si>
  <si>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</si>
  <si>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</si>
  <si>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</si>
  <si>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</si>
  <si>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</si>
  <si>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</si>
  <si>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</si>
  <si>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</si>
  <si>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</si>
  <si>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</si>
  <si>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</si>
  <si>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</si>
  <si>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</si>
  <si>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</si>
  <si>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</si>
  <si>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</si>
  <si>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</si>
  <si>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</si>
  <si>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</si>
  <si>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</si>
  <si>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</si>
  <si>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</si>
  <si>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</si>
  <si>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</si>
  <si>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</si>
  <si>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</si>
  <si>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</si>
  <si>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</si>
  <si>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</si>
  <si>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</si>
  <si>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</si>
  <si>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</si>
  <si>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</si>
  <si>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</si>
  <si>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</si>
  <si>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</si>
  <si>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</si>
  <si>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</si>
  <si>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</si>
  <si>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</si>
  <si>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</si>
  <si>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</si>
  <si>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</si>
  <si>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</si>
  <si>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</si>
  <si>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</si>
  <si>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</si>
  <si>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</si>
  <si>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</si>
  <si>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</si>
  <si>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</si>
  <si>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</si>
  <si>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</si>
  <si>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</si>
  <si>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</si>
  <si>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</si>
  <si>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</si>
  <si>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</si>
  <si>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</si>
  <si>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</si>
  <si>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</si>
  <si>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</si>
  <si>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</si>
  <si>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</si>
  <si>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</si>
  <si>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</si>
  <si>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</si>
  <si>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</si>
  <si>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</si>
  <si>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</si>
  <si>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</si>
  <si>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MARCO DE PUERTA</t>
  </si>
  <si>
    <t>SOC. CONSTRUCTORA CHERRY</t>
  </si>
  <si>
    <t>76.335.353-2</t>
  </si>
  <si>
    <t>NICOLAS</t>
  </si>
  <si>
    <t>+569 6879 0023</t>
  </si>
  <si>
    <t>15 DIAS HABILES</t>
  </si>
  <si>
    <t>NATURAL RECON 7996-38</t>
  </si>
  <si>
    <t>N° 11240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</si>
</sst>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MDF25mm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33.218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174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168</v>
      </c>
      <c r="D10" s="243"/>
      <c r="E10" s="243"/>
      <c r="F10" s="244" t="s">
        <v>0</v>
      </c>
      <c r="G10" s="276">
        <v>45665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 t="s">
        <v>169</v>
      </c>
      <c r="F11" t="s">
        <v>123</v>
      </c>
      <c r="G11" s="288" t="s">
        <v>172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C13" t="s">
        <v>170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171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0.02</v>
      </c>
      <c r="N19" s="14">
        <v>0.02</v>
      </c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72766.960352422902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250</v>
      </c>
      <c r="C21" s="330" t="s">
        <v>167</v>
      </c>
      <c r="D21" s="331">
        <v>2.25</v>
      </c>
      <c r="E21" s="331">
        <v>0.09</v>
      </c>
      <c r="F21" s="330" t="s">
        <v>173</v>
      </c>
      <c r="G21" s="332">
        <v>21170</v>
      </c>
      <c r="H21" s="332">
        <f>G21*B21</f>
        <v>5292500</v>
      </c>
      <c r="I21" s="320"/>
      <c r="J21" s="265"/>
      <c r="K21" s="47"/>
      <c r="L21" s="333">
        <f>B21</f>
        <v>250</v>
      </c>
      <c r="M21" s="39">
        <f>D21+M$19</f>
        <v>2.27</v>
      </c>
      <c r="N21" s="39">
        <f>E21+$N$19</f>
        <v>0.11</v>
      </c>
      <c r="O21" s="261">
        <f t="shared" ref="O21" si="1">M21*N21</f>
        <v>0.24970000000000001</v>
      </c>
      <c r="P21" s="259">
        <f t="shared" ref="P21" si="2">O21*L21</f>
        <v>62.425000000000004</v>
      </c>
      <c r="Q21" s="252">
        <f t="shared" ref="Q21" si="3">Q$20*O21</f>
        <v>18169.91</v>
      </c>
      <c r="R21" s="319">
        <f t="shared" ref="R21" si="4">Q21+R$20</f>
        <v>21169.91</v>
      </c>
      <c r="S21" s="297"/>
      <c r="T21" s="46">
        <f>N21*2*L21*2</f>
        <v>110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5292500</v>
      </c>
      <c r="I24" s="322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110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1005575</v>
      </c>
      <c r="I25" s="322"/>
      <c r="J25" s="265"/>
      <c r="K25" s="47"/>
      <c r="L25" s="47"/>
      <c r="M25" s="39">
        <f>SUM(M21:M24)</f>
        <v>2.27</v>
      </c>
      <c r="N25" s="12"/>
      <c r="O25" s="12"/>
      <c r="P25" s="253">
        <f>SUM(P21:P23)</f>
        <v>62.425000000000004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6298075</v>
      </c>
      <c r="I26" s="322"/>
      <c r="J26" s="265"/>
      <c r="K26" s="47"/>
      <c r="L26" s="47"/>
      <c r="M26" s="39"/>
      <c r="N26" s="12"/>
      <c r="O26" s="12"/>
      <c r="P26" s="253">
        <f>P25</f>
        <v>62.425000000000004</v>
      </c>
      <c r="Q26" s="14"/>
      <c r="R26" s="12"/>
      <c r="S26" s="239">
        <f>SUM(S21:S25)</f>
        <v>0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12.485000000000001</v>
      </c>
      <c r="Q27" s="39" t="s">
        <v>130</v>
      </c>
      <c r="R27" s="42"/>
      <c r="S27" s="240">
        <f>S26+T24</f>
        <v>110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74.910000000000011</v>
      </c>
      <c r="Q28" s="14"/>
      <c r="R28" s="14"/>
      <c r="S28" s="238">
        <f>S27*20%</f>
        <v>22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132</v>
      </c>
      <c r="T29" s="14"/>
      <c r="U29" s="302" t="s">
        <v>21</v>
      </c>
      <c r="V29" s="299" t="s">
        <v>152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P28*2.5</f>
        <v>187.27500000000003</v>
      </c>
      <c r="N30" s="12">
        <v>3500</v>
      </c>
      <c r="O30" s="12">
        <f t="shared" ref="O30:O35" si="5">M30*N30</f>
        <v>655462.50000000012</v>
      </c>
      <c r="P30" s="14" t="s">
        <v>21</v>
      </c>
      <c r="Q30" s="14"/>
      <c r="R30" s="14"/>
      <c r="S30" s="241"/>
      <c r="T30" s="14"/>
      <c r="U30" s="302" t="s">
        <v>153</v>
      </c>
      <c r="V30" s="299">
        <v>3625</v>
      </c>
      <c r="W30" s="59" t="s">
        <v>154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16</v>
      </c>
      <c r="N31" s="12">
        <v>42500</v>
      </c>
      <c r="O31" s="12">
        <f t="shared" si="5"/>
        <v>680000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155</v>
      </c>
      <c r="X31" s="304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/>
      <c r="N32" s="250">
        <v>34989</v>
      </c>
      <c r="O32" s="12">
        <f t="shared" si="5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/>
      <c r="L33" s="250"/>
      <c r="M33" s="14">
        <v>17</v>
      </c>
      <c r="N33" s="250">
        <v>42900</v>
      </c>
      <c r="O33" s="12">
        <f t="shared" si="5"/>
        <v>729300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/>
      <c r="L35" s="250"/>
      <c r="M35" s="266"/>
      <c r="N35" s="12">
        <v>1500</v>
      </c>
      <c r="O35" s="12">
        <f t="shared" si="5"/>
        <v>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2064762.5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O36*2.2</f>
        <v>4542477.5</v>
      </c>
      <c r="P37" s="14" t="s">
        <v>140</v>
      </c>
      <c r="Q37" s="14"/>
      <c r="R37" s="40">
        <f>P28/R36</f>
        <v>20.197907679033651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51000</v>
      </c>
      <c r="L38" s="250"/>
      <c r="M38" s="14"/>
      <c r="N38" s="12"/>
      <c r="O38" s="12">
        <f>O37/P26</f>
        <v>72766.960352422902</v>
      </c>
      <c r="P38" s="45" t="s">
        <v>24</v>
      </c>
      <c r="Q38" s="14"/>
      <c r="R38" s="14"/>
      <c r="S38"/>
      <c r="T38" s="238"/>
      <c r="U38" s="59" t="s">
        <v>158</v>
      </c>
      <c r="V38" s="299">
        <v>43650</v>
      </c>
    </row>
    <row r="39" spans="2:24" s="230" customFormat="1" ht="17.399999999999999" x14ac:dyDescent="0.35">
      <c r="G39"/>
      <c r="K39" s="230">
        <f>K38/1.19</f>
        <v>42857.142857142862</v>
      </c>
      <c r="L39" s="250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160</v>
      </c>
      <c r="V39" s="300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45665</v>
      </c>
    </row>
    <row r="6" spans="2:31" ht="16.2" thickBot="1" x14ac:dyDescent="0.35">
      <c r="B6" s="140" t="s">
        <v>2</v>
      </c>
      <c r="C6" s="139" t="str">
        <f>'2229'!C10</f>
        <v>SOC. CONSTRUCTORA CHERRY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11240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-506626.77086678747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5292500</v>
      </c>
      <c r="E11" s="132">
        <f>D11*0.19</f>
        <v>1005575</v>
      </c>
      <c r="F11" s="131">
        <f>E11+D11</f>
        <v>6298075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-400636.77086678747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1365296.5907874396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-418636.77086678747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3927203.4092125604</v>
      </c>
      <c r="E13" s="221">
        <f>(D11/D12)-1</f>
        <v>2.8764470926771537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-427636.77086678747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-466636.77086678747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2252739.3747992753</v>
      </c>
      <c r="F15" s="216">
        <f>E15-D12</f>
        <v>887442.7840118357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-466636.77086678747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-426636.77086678747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680000</v>
      </c>
      <c r="E19" s="123">
        <f>D19*0.19</f>
        <v>129200</v>
      </c>
      <c r="F19" s="120">
        <f>SUM(D19:E19)</f>
        <v>809200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655462.50000000012</v>
      </c>
      <c r="E20" s="121">
        <f>D20*0.19</f>
        <v>124537.87500000003</v>
      </c>
      <c r="F20" s="120">
        <f>SUM(D20:E20)</f>
        <v>780000.37500000012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1335462.5</v>
      </c>
      <c r="E21" s="116">
        <f>SUM(E18:E20)</f>
        <v>253737.87500000003</v>
      </c>
      <c r="F21" s="115">
        <f>SUM(F18:F20)</f>
        <v>1589200.375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751837.125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5292500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1335462.5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3927203.4092125604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3927203.4092125604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2025-01-03T13:27:38Z</cp:lastPrinted>
  <dcterms:created xsi:type="dcterms:W3CDTF">2013-03-18T13:35:42Z</dcterms:created>
  <dcterms:modified xsi:type="dcterms:W3CDTF">2025-01-08T12:32:29Z</dcterms:modified>
</cp:coreProperties>
</file>