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83B39EB1-932E-4FFA-B0F3-0642FED89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2" i="1"/>
  <c r="M22" i="1"/>
  <c r="O22" i="1" s="1"/>
  <c r="P22" i="1" s="1"/>
  <c r="N22" i="1"/>
  <c r="L23" i="1"/>
  <c r="M23" i="1"/>
  <c r="O23" i="1" s="1"/>
  <c r="P23" i="1" s="1"/>
  <c r="N23" i="1"/>
  <c r="H22" i="1"/>
  <c r="H23" i="1"/>
  <c r="L21" i="1"/>
  <c r="N21" i="1"/>
  <c r="M21" i="1" l="1"/>
  <c r="M27" i="1" l="1"/>
  <c r="S21" i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6" i="1" l="1"/>
  <c r="D11" i="3" l="1"/>
  <c r="X9" i="3" s="1"/>
  <c r="X15" i="3" s="1"/>
  <c r="H28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<sst xmlns="http://schemas.openxmlformats.org/spreadsheetml/2006/main" count="232" uniqueCount="172">
  <si>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</si>
  <si>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</si>
  <si>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</si>
  <si>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</si>
  <si>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</si>
  <si>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</si>
  <si>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</si>
  <si>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</si>
  <si>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</si>
  <si>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</si>
  <si>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</si>
  <si>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</si>
  <si>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</si>
  <si>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</si>
  <si>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</si>
  <si>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</si>
  <si>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</si>
  <si>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</si>
  <si>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</si>
  <si>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</si>
  <si>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</si>
  <si>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</si>
  <si>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</si>
  <si>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</si>
  <si>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</si>
  <si>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</si>
  <si>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</si>
  <si>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</si>
  <si>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</si>
  <si>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</si>
  <si>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</si>
  <si>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</si>
  <si>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</si>
  <si>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</si>
  <si>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</si>
  <si>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</si>
  <si>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</si>
  <si>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</si>
  <si>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</si>
  <si>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</si>
  <si>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</si>
  <si>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</si>
  <si>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</si>
  <si>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</si>
  <si>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</si>
  <si>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</si>
  <si>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</si>
  <si>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</si>
  <si>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</si>
  <si>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</si>
  <si>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</si>
  <si>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</si>
  <si>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</si>
  <si>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</si>
  <si>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</si>
  <si>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</si>
  <si>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</si>
  <si>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</si>
  <si>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</si>
  <si>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</si>
  <si>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</si>
  <si>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</si>
  <si>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</si>
  <si>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</si>
  <si>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</si>
  <si>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</si>
  <si>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</si>
  <si>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</si>
  <si>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</si>
  <si>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</si>
  <si>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</si>
  <si>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</si>
  <si>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</si>
  <si>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</si>
  <si>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</si>
  <si>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</si>
  <si>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</si>
  <si>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</si>
  <si>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</si>
  <si>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</si>
  <si>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</si>
  <si>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</si>
  <si>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</si>
  <si>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</si>
  <si>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</si>
  <si>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</si>
  <si>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</si>
  <si>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</si>
  <si>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</si>
  <si>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</si>
  <si>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</si>
  <si>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</si>
  <si>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</si>
  <si>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</si>
  <si>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</si>
  <si>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</si>
  <si>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</si>
  <si>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</si>
  <si>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</si>
  <si>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</si>
  <si>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</si>
  <si>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</si>
  <si>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</si>
  <si>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</si>
  <si>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</si>
  <si>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</si>
  <si>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</si>
  <si>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</si>
  <si>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</si>
  <si>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</si>
  <si>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</si>
  <si>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</si>
  <si>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</si>
  <si>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</si>
  <si>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</si>
  <si>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</si>
  <si>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</si>
  <si>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</si>
  <si>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</si>
  <si>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</si>
  <si>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</si>
  <si>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</si>
  <si>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</si>
  <si>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</si>
  <si>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</si>
  <si>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</si>
  <si>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</si>
  <si>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</si>
  <si>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</si>
  <si>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</si>
  <si>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</si>
  <si>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</si>
  <si>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</si>
  <si>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</si>
  <si>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</si>
  <si>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</si>
  <si>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</si>
  <si>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</si>
  <si>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</si>
  <si>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</si>
  <si>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</si>
  <si>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</si>
  <si>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</si>
  <si>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</si>
  <si>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</si>
  <si>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</si>
  <si>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</si>
  <si>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</si>
  <si>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</si>
  <si>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</si>
  <si>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</si>
  <si>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</si>
  <si>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</si>
  <si>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</si>
  <si>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</si>
  <si>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</si>
  <si>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</si>
  <si>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</si>
  <si>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</si>
  <si>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</si>
  <si>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</si>
  <si>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</si>
  <si>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</si>
  <si>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</si>
  <si>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</si>
  <si>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</si>
  <si>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</si>
  <si>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11230</t>
  </si>
  <si>
    <t>CUB C/R FRENTE 90° R8</t>
  </si>
  <si>
    <t>OSCAR ALMARZA</t>
  </si>
  <si>
    <t>+569 4577 9682</t>
  </si>
  <si>
    <t>BLACK PEARL 7409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</si>
</sst>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45660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>
        <v>45665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119291.49122807018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168</v>
      </c>
      <c r="D21" s="331">
        <v>1.52</v>
      </c>
      <c r="E21" s="331">
        <v>0.6</v>
      </c>
      <c r="F21" s="330" t="s">
        <v>171</v>
      </c>
      <c r="G21" s="332">
        <v>114520</v>
      </c>
      <c r="H21" s="332">
        <f t="shared" ref="H21:H23" si="1">G21*B21</f>
        <v>114520</v>
      </c>
      <c r="I21" s="320"/>
      <c r="J21" s="265"/>
      <c r="K21" s="47"/>
      <c r="L21" s="47">
        <f>B21</f>
        <v>1</v>
      </c>
      <c r="M21" s="39">
        <f>D21+M$19</f>
        <v>1.6</v>
      </c>
      <c r="N21" s="39">
        <f>E21+$N$19</f>
        <v>0.6</v>
      </c>
      <c r="O21" s="261">
        <f t="shared" ref="O21" si="2">M21*N21</f>
        <v>0.96</v>
      </c>
      <c r="P21" s="259">
        <f t="shared" ref="P21" si="3">O21*L21</f>
        <v>0.96</v>
      </c>
      <c r="Q21" s="252">
        <f t="shared" ref="Q21" si="4">Q$20*O21</f>
        <v>114519.83157894737</v>
      </c>
      <c r="R21" s="319">
        <f t="shared" ref="R21" si="5">Q21+R$20</f>
        <v>117519.83157894737</v>
      </c>
      <c r="S21" s="297">
        <f>M21*L21</f>
        <v>1.6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168</v>
      </c>
      <c r="D22" s="331">
        <v>0.72</v>
      </c>
      <c r="E22" s="331">
        <v>0.6</v>
      </c>
      <c r="F22" s="330" t="s">
        <v>171</v>
      </c>
      <c r="G22" s="332">
        <v>57260</v>
      </c>
      <c r="H22" s="332">
        <f t="shared" si="1"/>
        <v>57260</v>
      </c>
      <c r="I22" s="320"/>
      <c r="J22" s="265"/>
      <c r="K22" s="47"/>
      <c r="L22" s="47">
        <f t="shared" ref="L22:L23" si="6">B22</f>
        <v>1</v>
      </c>
      <c r="M22" s="39">
        <f t="shared" ref="M22:M23" si="7">D22+M$19</f>
        <v>0.79999999999999993</v>
      </c>
      <c r="N22" s="39">
        <f t="shared" ref="N22:N23" si="8">E22+$N$19</f>
        <v>0.6</v>
      </c>
      <c r="O22" s="261">
        <f t="shared" ref="O22:O23" si="9">M22*N22</f>
        <v>0.47999999999999993</v>
      </c>
      <c r="P22" s="259">
        <f t="shared" ref="P22:P23" si="10">O22*L22</f>
        <v>0.47999999999999993</v>
      </c>
      <c r="Q22" s="252">
        <f t="shared" ref="Q22:Q23" si="11">Q$20*O22</f>
        <v>57259.915789473678</v>
      </c>
      <c r="R22" s="319">
        <f t="shared" ref="R22:R23" si="12">Q22+R$20</f>
        <v>60259.915789473678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168</v>
      </c>
      <c r="D23" s="331">
        <v>1</v>
      </c>
      <c r="E23" s="331">
        <v>0.44</v>
      </c>
      <c r="F23" s="330" t="s">
        <v>171</v>
      </c>
      <c r="G23" s="332">
        <v>56687</v>
      </c>
      <c r="H23" s="332">
        <f t="shared" si="1"/>
        <v>56687</v>
      </c>
      <c r="I23" s="320"/>
      <c r="J23" s="265"/>
      <c r="K23" s="47"/>
      <c r="L23" s="47">
        <f t="shared" si="6"/>
        <v>1</v>
      </c>
      <c r="M23" s="39">
        <f t="shared" si="7"/>
        <v>1.08</v>
      </c>
      <c r="N23" s="39">
        <f t="shared" si="8"/>
        <v>0.44</v>
      </c>
      <c r="O23" s="261">
        <f t="shared" si="9"/>
        <v>0.47520000000000001</v>
      </c>
      <c r="P23" s="259">
        <f t="shared" si="10"/>
        <v>0.47520000000000001</v>
      </c>
      <c r="Q23" s="252">
        <f t="shared" si="11"/>
        <v>56687.316631578949</v>
      </c>
      <c r="R23" s="319">
        <f t="shared" si="12"/>
        <v>59687.316631578949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228467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/>
      <c r="I27" s="322"/>
      <c r="J27" s="265"/>
      <c r="K27" s="47"/>
      <c r="L27" s="47"/>
      <c r="M27" s="39">
        <f>SUM(M21:M26)</f>
        <v>3.48</v>
      </c>
      <c r="N27" s="12"/>
      <c r="O27" s="12"/>
      <c r="P27" s="253">
        <f>SUM(P21:P25)</f>
        <v>1.9152</v>
      </c>
      <c r="Q27" s="14"/>
      <c r="R27" s="12"/>
      <c r="S27" s="239">
        <f>SUM(S21:S26)</f>
        <v>1.6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228467</v>
      </c>
      <c r="I28" s="322"/>
      <c r="J28" s="265"/>
      <c r="K28" s="47"/>
      <c r="L28" s="47"/>
      <c r="M28" s="39"/>
      <c r="N28" s="12"/>
      <c r="O28" s="12"/>
      <c r="P28" s="253">
        <f>P27</f>
        <v>1.9152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0.38304000000000005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2.2982399999999998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2.2982399999999998</v>
      </c>
      <c r="N32" s="12">
        <v>3500</v>
      </c>
      <c r="O32" s="12">
        <f t="shared" ref="O32:O37" si="13">M32*N32</f>
        <v>8043.8399999999992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0.65</v>
      </c>
      <c r="N33" s="12">
        <v>25000</v>
      </c>
      <c r="O33" s="12">
        <f t="shared" si="13"/>
        <v>16250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13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2</v>
      </c>
      <c r="N35" s="250">
        <v>40000</v>
      </c>
      <c r="O35" s="12">
        <f t="shared" si="13"/>
        <v>80000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</v>
      </c>
      <c r="N37" s="12">
        <v>1500</v>
      </c>
      <c r="O37" s="12">
        <f t="shared" si="13"/>
        <v>4500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108793.84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O38*2.1</f>
        <v>228467.06400000001</v>
      </c>
      <c r="P39" s="14" t="s">
        <v>140</v>
      </c>
      <c r="Q39" s="14"/>
      <c r="R39" s="40">
        <f>P30/R38</f>
        <v>0.61967213114754094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85000</v>
      </c>
      <c r="L40" s="250"/>
      <c r="M40" s="14"/>
      <c r="N40" s="12"/>
      <c r="O40" s="12">
        <f>O39/P28</f>
        <v>119291.49122807018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71428.571428571435</v>
      </c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45660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-23192.652366787439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228467</v>
      </c>
      <c r="E11" s="132">
        <f>D11*0.19</f>
        <v>43408.73</v>
      </c>
      <c r="F11" s="131">
        <f>E11+D11</f>
        <v>271875.73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82797.347633212557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54127.930787439618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64797.347633212557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174339.06921256037</v>
      </c>
      <c r="E13" s="221">
        <f>(D11/D12)-1</f>
        <v>3.2208707533489482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55797.347633212557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16797.347633212561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89311.085799275359</v>
      </c>
      <c r="F15" s="216">
        <f>E15-D12</f>
        <v>35183.155011835741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16797.347633212561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56797.347633212557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16250</v>
      </c>
      <c r="E19" s="123">
        <f>D19*0.19</f>
        <v>3087.5</v>
      </c>
      <c r="F19" s="120">
        <f>SUM(D19:E19)</f>
        <v>19337.5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8043.8399999999992</v>
      </c>
      <c r="E20" s="121">
        <f>D20*0.19</f>
        <v>1528.3295999999998</v>
      </c>
      <c r="F20" s="120">
        <f>SUM(D20:E20)</f>
        <v>9572.1695999999993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24293.84</v>
      </c>
      <c r="E21" s="116">
        <f>SUM(E18:E20)</f>
        <v>4615.8296</v>
      </c>
      <c r="F21" s="115">
        <f>SUM(F18:F20)</f>
        <v>28909.669600000001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38792.900400000006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228467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24293.84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174339.06921256037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174339.06921256037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2025-01-03T15:03:30Z</cp:lastPrinted>
  <dcterms:created xsi:type="dcterms:W3CDTF">2013-03-18T13:35:42Z</dcterms:created>
  <dcterms:modified xsi:type="dcterms:W3CDTF">2025-01-04T19:59:55Z</dcterms:modified>
</cp:coreProperties>
</file>