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AFE8B196-AC19-4E5C-8255-058185981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<sst xmlns="http://schemas.openxmlformats.org/spreadsheetml/2006/main" count="231" uniqueCount="176">
  <si>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</si>
  <si>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</si>
  <si>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</si>
  <si>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</si>
  <si>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</si>
  <si>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</si>
  <si>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</si>
  <si>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</si>
  <si>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</si>
  <si>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</si>
  <si>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</si>
  <si>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</si>
  <si>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</si>
  <si>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</si>
  <si>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</si>
  <si>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</si>
  <si>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</si>
  <si>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</si>
  <si>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</si>
  <si>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</si>
  <si>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</si>
  <si>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</si>
  <si>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</si>
  <si>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</si>
  <si>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</si>
  <si>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</si>
  <si>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</si>
  <si>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</si>
  <si>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</si>
  <si>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</si>
  <si>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</si>
  <si>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</si>
  <si>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</si>
  <si>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</si>
  <si>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</si>
  <si>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</si>
  <si>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</si>
  <si>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</si>
  <si>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</si>
  <si>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</si>
  <si>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</si>
  <si>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</si>
  <si>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</si>
  <si>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</si>
  <si>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</si>
  <si>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</si>
  <si>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</si>
  <si>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</si>
  <si>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</si>
  <si>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</si>
  <si>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</si>
  <si>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</si>
  <si>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</si>
  <si>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</si>
  <si>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</si>
  <si>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</si>
  <si>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</si>
  <si>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</si>
  <si>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</si>
  <si>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</si>
  <si>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</si>
  <si>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</si>
  <si>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</si>
  <si>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</si>
  <si>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</si>
  <si>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</si>
  <si>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</si>
  <si>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</si>
  <si>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</si>
  <si>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</si>
  <si>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</si>
  <si>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</si>
  <si>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</si>
  <si>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</si>
  <si>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</si>
  <si>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</si>
  <si>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</si>
  <si>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</si>
  <si>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</si>
  <si>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</si>
  <si>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</si>
  <si>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</si>
  <si>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</si>
  <si>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</si>
  <si>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</si>
  <si>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</si>
  <si>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</si>
  <si>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</si>
  <si>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</si>
  <si>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</si>
  <si>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</si>
  <si>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</si>
  <si>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</si>
  <si>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</si>
  <si>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</si>
  <si>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</si>
  <si>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</si>
  <si>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</si>
  <si>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</si>
  <si>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</si>
  <si>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</si>
  <si>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</si>
  <si>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</si>
  <si>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</si>
  <si>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</si>
  <si>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</si>
  <si>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</si>
  <si>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</si>
  <si>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</si>
  <si>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</si>
  <si>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</si>
  <si>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</si>
  <si>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</si>
  <si>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</si>
  <si>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</si>
  <si>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</si>
  <si>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</si>
  <si>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</si>
  <si>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</si>
  <si>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</si>
  <si>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</si>
  <si>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</si>
  <si>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</si>
  <si>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</si>
  <si>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</si>
  <si>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</si>
  <si>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</si>
  <si>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</si>
  <si>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</si>
  <si>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</si>
  <si>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</si>
  <si>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</si>
  <si>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</si>
  <si>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</si>
  <si>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</si>
  <si>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</si>
  <si>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</si>
  <si>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</si>
  <si>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</si>
  <si>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</si>
  <si>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</si>
  <si>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</si>
  <si>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</si>
  <si>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</si>
  <si>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</si>
  <si>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</si>
  <si>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</si>
  <si>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</si>
  <si>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</si>
  <si>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</si>
  <si>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</si>
  <si>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</si>
  <si>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</si>
  <si>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</si>
  <si>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</si>
  <si>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</si>
  <si>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</si>
  <si>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</si>
  <si>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</si>
  <si>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</si>
  <si>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</si>
  <si>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</si>
  <si>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</si>
  <si>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</si>
  <si>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</si>
  <si>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</si>
  <si>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</si>
  <si>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BLANCO MERINO OPACO</t>
  </si>
  <si>
    <t>SI</t>
  </si>
  <si>
    <t>N° 11234</t>
  </si>
  <si>
    <t>MUEBLES ME</t>
  </si>
  <si>
    <t>CHRISTIAN</t>
  </si>
  <si>
    <t>+569 5015 6493</t>
  </si>
  <si>
    <t>10 DIAS HABILES</t>
  </si>
  <si>
    <t>ENCHAPE RECTO 1 CARA 4 CANTOS</t>
  </si>
  <si>
    <t>REGRUESO INTERIOR 4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</si>
</sst>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CORTADAS A LA MEDIA Y ENCHAPADAS EN SUS 4 CANTOS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0" sqref="A20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4.5546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171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168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96708.264746227709</v>
      </c>
      <c r="R20" s="258">
        <v>15000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12</v>
      </c>
      <c r="C21" s="330" t="s">
        <v>174</v>
      </c>
      <c r="D21" s="331">
        <v>1.6</v>
      </c>
      <c r="E21" s="331">
        <v>0.7</v>
      </c>
      <c r="F21" s="330" t="s">
        <v>167</v>
      </c>
      <c r="G21" s="332">
        <v>127801</v>
      </c>
      <c r="H21" s="332">
        <f>G21*B21</f>
        <v>1533612</v>
      </c>
      <c r="I21" s="320"/>
      <c r="J21" s="265"/>
      <c r="K21" s="47"/>
      <c r="L21" s="333">
        <f>B21</f>
        <v>12</v>
      </c>
      <c r="M21" s="39">
        <f>D21+M$19</f>
        <v>1.62</v>
      </c>
      <c r="N21" s="39">
        <f>E21+$N$19</f>
        <v>0.72</v>
      </c>
      <c r="O21" s="261">
        <f t="shared" ref="O21" si="1">M21*N21</f>
        <v>1.1664000000000001</v>
      </c>
      <c r="P21" s="259">
        <f t="shared" ref="P21" si="2">O21*L21</f>
        <v>13.9968</v>
      </c>
      <c r="Q21" s="252">
        <f t="shared" ref="Q21" si="3">Q$20*O21</f>
        <v>112800.52</v>
      </c>
      <c r="R21" s="319">
        <f t="shared" ref="R21" si="4">Q21+R$20</f>
        <v>127800.52</v>
      </c>
      <c r="S21" s="297"/>
      <c r="T21" s="46">
        <f>N21*2*L21*2</f>
        <v>34.56</v>
      </c>
      <c r="U21" s="9"/>
      <c r="X21" s="4"/>
    </row>
    <row r="22" spans="1:25" ht="17.399999999999999" x14ac:dyDescent="0.3">
      <c r="B22" s="285"/>
      <c r="C22" s="285" t="s">
        <v>175</v>
      </c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1533612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34.56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291386.28000000003</v>
      </c>
      <c r="I25" s="322"/>
      <c r="J25" s="265"/>
      <c r="K25" s="47"/>
      <c r="L25" s="47"/>
      <c r="M25" s="39">
        <f>SUM(M21:M24)</f>
        <v>1.62</v>
      </c>
      <c r="N25" s="12"/>
      <c r="O25" s="12"/>
      <c r="P25" s="253">
        <f>SUM(P21:P23)</f>
        <v>13.9968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1824998.28</v>
      </c>
      <c r="I26" s="322"/>
      <c r="J26" s="265"/>
      <c r="K26" s="47"/>
      <c r="L26" s="47"/>
      <c r="M26" s="39"/>
      <c r="N26" s="12"/>
      <c r="O26" s="12"/>
      <c r="P26" s="253">
        <f>P25</f>
        <v>13.9968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2.7993600000000001</v>
      </c>
      <c r="Q27" s="39" t="s">
        <v>130</v>
      </c>
      <c r="R27" s="42"/>
      <c r="S27" s="240">
        <f>S26+T24</f>
        <v>34.56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16.79616</v>
      </c>
      <c r="Q28" s="14"/>
      <c r="R28" s="14"/>
      <c r="S28" s="238">
        <f>S27*20%</f>
        <v>6.9120000000000008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41.472000000000001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16.79616</v>
      </c>
      <c r="N30" s="12">
        <v>2500</v>
      </c>
      <c r="O30" s="12">
        <f t="shared" ref="O30:O35" si="5">M30*N30</f>
        <v>41990.400000000001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4</v>
      </c>
      <c r="N31" s="12">
        <v>23500</v>
      </c>
      <c r="O31" s="12">
        <f t="shared" si="5"/>
        <v>94000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50434.579999999994</v>
      </c>
      <c r="L33" s="250"/>
      <c r="M33" s="14">
        <v>12</v>
      </c>
      <c r="N33" s="250">
        <v>42382</v>
      </c>
      <c r="O33" s="12">
        <f t="shared" si="5"/>
        <v>508584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78399.579999999987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65881.999999999985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12517.580000000002</v>
      </c>
      <c r="L36" s="250"/>
      <c r="M36" s="14"/>
      <c r="N36" s="12"/>
      <c r="O36" s="12">
        <f>SUM(O30:O35)</f>
        <v>644574.4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1353606.24</v>
      </c>
      <c r="P37" s="14" t="s">
        <v>140</v>
      </c>
      <c r="Q37" s="14"/>
      <c r="R37" s="40">
        <f>P28/R36</f>
        <v>4.5287316652286451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96708.264746227709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45663</v>
      </c>
    </row>
    <row r="6" spans="2:31" ht="16.2" thickBot="1" x14ac:dyDescent="0.35">
      <c r="B6" s="140" t="s">
        <v>2</v>
      </c>
      <c r="C6" s="139" t="str">
        <f>'2229'!C10</f>
        <v>MUEBLES ME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-210000.26503345408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1533612</v>
      </c>
      <c r="E11" s="132">
        <f>D11*0.19</f>
        <v>291386.28000000003</v>
      </c>
      <c r="F11" s="131">
        <f>E11+D11</f>
        <v>1824998.28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-104010.26503345408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165824.4907874396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-122010.26503345408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1367787.5092125605</v>
      </c>
      <c r="E13" s="221">
        <f>(D11/D12)-1</f>
        <v>8.2484047001588241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-131010.26503345408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-170010.26503345408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273610.40979927534</v>
      </c>
      <c r="F15" s="216">
        <f>E15-D12</f>
        <v>107785.91901183574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-170010.26503345408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-130010.26503345408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94000</v>
      </c>
      <c r="E19" s="123">
        <f>D19*0.19</f>
        <v>17860</v>
      </c>
      <c r="F19" s="120">
        <f>SUM(D19:E19)</f>
        <v>111860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41990.400000000001</v>
      </c>
      <c r="E20" s="121">
        <f>D20*0.19</f>
        <v>7978.1760000000004</v>
      </c>
      <c r="F20" s="120">
        <f>SUM(D20:E20)</f>
        <v>49968.576000000001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135990.39999999999</v>
      </c>
      <c r="E21" s="116">
        <f>SUM(E18:E20)</f>
        <v>25838.175999999999</v>
      </c>
      <c r="F21" s="115">
        <f>SUM(F18:F20)</f>
        <v>161828.576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265548.10400000005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1533612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135990.39999999999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1367787.5092125605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1367787.5092125605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2025-01-06T16:24:41Z</dcterms:modified>
</cp:coreProperties>
</file>