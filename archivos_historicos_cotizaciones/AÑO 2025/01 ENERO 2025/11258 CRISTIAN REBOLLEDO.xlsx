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D8FC529E-4C9B-406A-9A9E-C70216BC7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L24" i="1"/>
  <c r="M24" i="1"/>
  <c r="N24" i="1"/>
  <c r="O24" i="1"/>
  <c r="P24" i="1" s="1"/>
  <c r="L23" i="1"/>
  <c r="M23" i="1"/>
  <c r="N23" i="1"/>
  <c r="H23" i="1"/>
  <c r="H24" i="1"/>
  <c r="O23" i="1" l="1"/>
  <c r="P23" i="1" s="1"/>
  <c r="L22" i="1"/>
  <c r="M22" i="1"/>
  <c r="N22" i="1"/>
  <c r="H22" i="1"/>
  <c r="L21" i="1"/>
  <c r="N21" i="1"/>
  <c r="S22" i="1" l="1"/>
  <c r="O22" i="1"/>
  <c r="P22" i="1" s="1"/>
  <c r="M21" i="1"/>
  <c r="M28" i="1" l="1"/>
  <c r="S21" i="1"/>
  <c r="S28" i="1" s="1"/>
  <c r="T21" i="1"/>
  <c r="T27" i="1" s="1"/>
  <c r="O21" i="1"/>
  <c r="P21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3" i="1" l="1"/>
  <c r="R23" i="1" s="1"/>
  <c r="Q24" i="1"/>
  <c r="R24" i="1" s="1"/>
  <c r="Q22" i="1"/>
  <c r="R22" i="1" s="1"/>
  <c r="O42" i="1"/>
  <c r="E15" i="3"/>
  <c r="Q21" i="1" l="1"/>
  <c r="F15" i="3"/>
  <c r="R21" i="1" l="1"/>
  <c r="H21" i="1" l="1"/>
  <c r="H27" i="1" l="1"/>
  <c r="D11" i="3" l="1"/>
  <c r="X9" i="3" s="1"/>
  <c r="X15" i="3" s="1"/>
  <c r="H29" i="1"/>
  <c r="D13" i="3"/>
  <c r="E13" i="3"/>
  <c r="X16" i="3"/>
  <c r="M42" i="3"/>
  <c r="M46" i="3" s="1"/>
  <c r="M49" i="3" s="1"/>
  <c r="X12" i="3" l="1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<sst xmlns="http://schemas.openxmlformats.org/spreadsheetml/2006/main" count="235" uniqueCount="173">
  <si>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</si>
  <si>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</si>
  <si>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</si>
  <si>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</si>
  <si>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</si>
  <si>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</si>
  <si>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</si>
  <si>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</si>
  <si>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</si>
  <si>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</si>
  <si>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</si>
  <si>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</si>
  <si>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</si>
  <si>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</si>
  <si>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</si>
  <si>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</si>
  <si>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</si>
  <si>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</si>
  <si>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</si>
  <si>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</si>
  <si>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</si>
  <si>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</si>
  <si>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</si>
  <si>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</si>
  <si>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</si>
  <si>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</si>
  <si>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</si>
  <si>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</si>
  <si>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</si>
  <si>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</si>
  <si>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</si>
  <si>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</si>
  <si>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</si>
  <si>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</si>
  <si>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</si>
  <si>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</si>
  <si>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</si>
  <si>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</si>
  <si>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</si>
  <si>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</si>
  <si>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</si>
  <si>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</si>
  <si>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</si>
  <si>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</si>
  <si>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</si>
  <si>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</si>
  <si>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</si>
  <si>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</si>
  <si>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</si>
  <si>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</si>
  <si>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</si>
  <si>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</si>
  <si>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</si>
  <si>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</si>
  <si>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</si>
  <si>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</si>
  <si>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</si>
  <si>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</si>
  <si>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</si>
  <si>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</si>
  <si>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</si>
  <si>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</si>
  <si>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</si>
  <si>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</si>
  <si>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</si>
  <si>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</si>
  <si>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</si>
  <si>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</si>
  <si>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</si>
  <si>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</si>
  <si>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</si>
  <si>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</si>
  <si>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</si>
  <si>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</si>
  <si>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</si>
  <si>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</si>
  <si>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</si>
  <si>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</si>
  <si>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</si>
  <si>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</si>
  <si>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</si>
  <si>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</si>
  <si>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</si>
  <si>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</si>
  <si>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</si>
  <si>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</si>
  <si>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</si>
  <si>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</si>
  <si>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</si>
  <si>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</si>
  <si>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</si>
  <si>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</si>
  <si>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</si>
  <si>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</si>
  <si>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</si>
  <si>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</si>
  <si>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</si>
  <si>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</si>
  <si>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</si>
  <si>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</si>
  <si>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</si>
  <si>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</si>
  <si>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</si>
  <si>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</si>
  <si>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</si>
  <si>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</si>
  <si>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</si>
  <si>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</si>
  <si>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</si>
  <si>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</si>
  <si>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</si>
  <si>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</si>
  <si>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</si>
  <si>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</si>
  <si>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</si>
  <si>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</si>
  <si>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</si>
  <si>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</si>
  <si>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</si>
  <si>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</si>
  <si>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</si>
  <si>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</si>
  <si>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</si>
  <si>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</si>
  <si>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</si>
  <si>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</si>
  <si>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</si>
  <si>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</si>
  <si>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</si>
  <si>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</si>
  <si>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</si>
  <si>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</si>
  <si>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</si>
  <si>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</si>
  <si>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</si>
  <si>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</si>
  <si>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</si>
  <si>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</si>
  <si>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</si>
  <si>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</si>
  <si>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</si>
  <si>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</si>
  <si>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</si>
  <si>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</si>
  <si>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</si>
  <si>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</si>
  <si>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</si>
  <si>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</si>
  <si>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</si>
  <si>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</si>
  <si>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</si>
  <si>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</si>
  <si>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</si>
  <si>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</si>
  <si>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</si>
  <si>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</si>
  <si>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</si>
  <si>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</si>
  <si>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</si>
  <si>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</si>
  <si>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</si>
  <si>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</si>
  <si>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</si>
  <si>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</si>
  <si>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</si>
  <si>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</si>
  <si>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</si>
  <si>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CRISTIAN REBOLLEDO</t>
  </si>
  <si>
    <t>+569 4977 4632</t>
  </si>
  <si>
    <t>3 DIAS HABILES</t>
  </si>
  <si>
    <t>CLOUD TERRAZO 4001 GLT</t>
  </si>
  <si>
    <t>CUB C/R FRENTE 90° R6</t>
  </si>
  <si>
    <t>N° 11258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</si>
</sst>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45674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103762.91970802922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1">
        <v>1.49</v>
      </c>
      <c r="E21" s="331">
        <v>0.52</v>
      </c>
      <c r="F21" s="330" t="s">
        <v>170</v>
      </c>
      <c r="G21" s="332">
        <v>84712</v>
      </c>
      <c r="H21" s="332">
        <f>G21*B21</f>
        <v>84712</v>
      </c>
      <c r="I21" s="320"/>
      <c r="J21" s="265"/>
      <c r="K21" s="47"/>
      <c r="L21" s="47">
        <f>B21</f>
        <v>1</v>
      </c>
      <c r="M21" s="39">
        <f>D21+M$19</f>
        <v>1.57</v>
      </c>
      <c r="N21" s="39">
        <f>E21+$N$19</f>
        <v>0.52</v>
      </c>
      <c r="O21" s="261">
        <f t="shared" ref="O21" si="1">M21*N21</f>
        <v>0.81640000000000001</v>
      </c>
      <c r="P21" s="259">
        <f t="shared" ref="P21" si="2">O21*L21</f>
        <v>0.81640000000000001</v>
      </c>
      <c r="Q21" s="252">
        <f t="shared" ref="Q21" si="3">Q$20*O21</f>
        <v>84712.04764963506</v>
      </c>
      <c r="R21" s="319">
        <f t="shared" ref="R21" si="4">Q21+R$20</f>
        <v>87712.04764963506</v>
      </c>
      <c r="S21" s="297">
        <f>M21*L21</f>
        <v>1.57</v>
      </c>
      <c r="T21" s="46">
        <f>N21*2*L21*2</f>
        <v>2.08</v>
      </c>
      <c r="U21" s="9"/>
      <c r="X21" s="4"/>
    </row>
    <row r="22" spans="2:25" ht="17.399999999999999" x14ac:dyDescent="0.3">
      <c r="B22" s="330">
        <v>1</v>
      </c>
      <c r="C22" s="330" t="s">
        <v>171</v>
      </c>
      <c r="D22" s="331">
        <v>0.82</v>
      </c>
      <c r="E22" s="331">
        <v>0.6</v>
      </c>
      <c r="F22" s="330" t="s">
        <v>170</v>
      </c>
      <c r="G22" s="332">
        <v>56032</v>
      </c>
      <c r="H22" s="332">
        <f t="shared" ref="H22:H24" si="5">G22*B22</f>
        <v>56032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0.89999999999999991</v>
      </c>
      <c r="N22" s="39">
        <f t="shared" ref="N22" si="8">E22+$N$19</f>
        <v>0.6</v>
      </c>
      <c r="O22" s="261">
        <f t="shared" ref="O22" si="9">M22*N22</f>
        <v>0.53999999999999992</v>
      </c>
      <c r="P22" s="259">
        <f t="shared" ref="P22" si="10">O22*L22</f>
        <v>0.53999999999999992</v>
      </c>
      <c r="Q22" s="252">
        <f t="shared" ref="Q22" si="11">Q$20*O22</f>
        <v>56031.976642335772</v>
      </c>
      <c r="R22" s="319">
        <f t="shared" ref="R22" si="12">Q22+R$20</f>
        <v>59031.976642335772</v>
      </c>
      <c r="S22" s="297">
        <f>M22*L22</f>
        <v>0.89999999999999991</v>
      </c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1">
        <v>2.02</v>
      </c>
      <c r="E23" s="331">
        <v>0.57999999999999996</v>
      </c>
      <c r="F23" s="330" t="s">
        <v>170</v>
      </c>
      <c r="G23" s="332">
        <v>126383</v>
      </c>
      <c r="H23" s="332">
        <f t="shared" si="5"/>
        <v>126383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2.1</v>
      </c>
      <c r="N23" s="39">
        <f t="shared" ref="N23" si="15">E23+$N$19</f>
        <v>0.57999999999999996</v>
      </c>
      <c r="O23" s="261">
        <f t="shared" ref="O23" si="16">M23*N23</f>
        <v>1.218</v>
      </c>
      <c r="P23" s="259">
        <f t="shared" ref="P23" si="17">O23*L23</f>
        <v>1.218</v>
      </c>
      <c r="Q23" s="252">
        <f t="shared" ref="Q23" si="18">Q$20*O23</f>
        <v>126383.23620437959</v>
      </c>
      <c r="R23" s="319">
        <f t="shared" ref="R23" si="19">Q23+R$20</f>
        <v>129383.23620437959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171</v>
      </c>
      <c r="D24" s="331">
        <v>2.0299999999999998</v>
      </c>
      <c r="E24" s="331">
        <v>0.52</v>
      </c>
      <c r="F24" s="330" t="s">
        <v>170</v>
      </c>
      <c r="G24" s="332">
        <v>113849</v>
      </c>
      <c r="H24" s="332">
        <f t="shared" si="5"/>
        <v>113849</v>
      </c>
      <c r="I24" s="320"/>
      <c r="J24" s="265"/>
      <c r="K24" s="47"/>
      <c r="L24" s="47">
        <f t="shared" ref="L24" si="20">B24</f>
        <v>1</v>
      </c>
      <c r="M24" s="39">
        <f t="shared" ref="M24" si="21">D24+M$19</f>
        <v>2.11</v>
      </c>
      <c r="N24" s="39">
        <f t="shared" ref="N24" si="22">E24+$N$19</f>
        <v>0.52</v>
      </c>
      <c r="O24" s="261">
        <f t="shared" ref="O24" si="23">M24*N24</f>
        <v>1.0972</v>
      </c>
      <c r="P24" s="259">
        <f t="shared" ref="P24" si="24">O24*L24</f>
        <v>1.0972</v>
      </c>
      <c r="Q24" s="252">
        <f t="shared" ref="Q24" si="25">Q$20*O24</f>
        <v>113848.67550364966</v>
      </c>
      <c r="R24" s="319">
        <f t="shared" ref="R24" si="26">Q24+R$20</f>
        <v>116848.67550364966</v>
      </c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380976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2.08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/>
      <c r="I28" s="322"/>
      <c r="J28" s="265"/>
      <c r="K28" s="47"/>
      <c r="L28" s="47"/>
      <c r="M28" s="39">
        <f>SUM(M21:M27)</f>
        <v>6.68</v>
      </c>
      <c r="N28" s="12"/>
      <c r="O28" s="12"/>
      <c r="P28" s="253">
        <f>SUM(P21:P26)</f>
        <v>3.6715999999999998</v>
      </c>
      <c r="Q28" s="14"/>
      <c r="R28" s="12"/>
      <c r="S28" s="239">
        <f>SUM(S21:S27)</f>
        <v>2.4699999999999998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380976</v>
      </c>
      <c r="I29" s="322"/>
      <c r="J29" s="265"/>
      <c r="K29" s="47"/>
      <c r="L29" s="47"/>
      <c r="M29" s="39"/>
      <c r="N29" s="12"/>
      <c r="O29" s="12"/>
      <c r="P29" s="253">
        <f>P28</f>
        <v>3.6715999999999998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0.73431999999999997</v>
      </c>
      <c r="Q30" s="39" t="s">
        <v>130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4.4059200000000001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4.4059200000000001</v>
      </c>
      <c r="N33" s="12">
        <v>1500</v>
      </c>
      <c r="O33" s="12">
        <f t="shared" ref="O33:O38" si="27">M33*N33</f>
        <v>6608.88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25000</v>
      </c>
      <c r="O34" s="12">
        <f t="shared" si="27"/>
        <v>25000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61840</v>
      </c>
      <c r="O35" s="12">
        <f t="shared" si="27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3</v>
      </c>
      <c r="N36" s="250">
        <v>46074</v>
      </c>
      <c r="O36" s="12">
        <f t="shared" si="27"/>
        <v>138222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27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6.68</v>
      </c>
      <c r="N38" s="12">
        <v>500</v>
      </c>
      <c r="O38" s="12">
        <f t="shared" si="27"/>
        <v>3340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173170.88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380975.93600000005</v>
      </c>
      <c r="P40" s="14" t="s">
        <v>140</v>
      </c>
      <c r="Q40" s="14"/>
      <c r="R40" s="40">
        <f>P31/R39</f>
        <v>1.1879637618636756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60910</v>
      </c>
      <c r="L41" s="250"/>
      <c r="M41" s="14"/>
      <c r="N41" s="12"/>
      <c r="O41" s="12">
        <f>O40/P29</f>
        <v>103762.91970802922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K42" s="230">
        <f>K41/1.19</f>
        <v>51184.873949579836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45674</v>
      </c>
    </row>
    <row r="6" spans="2:31" ht="16.2" thickBot="1" x14ac:dyDescent="0.35">
      <c r="B6" s="140" t="s">
        <v>2</v>
      </c>
      <c r="C6" s="139" t="str">
        <f>'2229'!C10</f>
        <v>CRISTIAN REBOLLEDO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11258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-46599.183033454108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380976</v>
      </c>
      <c r="E11" s="132">
        <f>D11*0.19</f>
        <v>72385.440000000002</v>
      </c>
      <c r="F11" s="131">
        <f>E11+D11</f>
        <v>453361.44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59390.816966545892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61442.970787439612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41390.816966545892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319533.02921256039</v>
      </c>
      <c r="E13" s="221">
        <f>(D11/D12)-1</f>
        <v>5.2004814402281543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32390.816966545892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-6609.1830334541082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101380.90179927535</v>
      </c>
      <c r="F15" s="216">
        <f>E15-D12</f>
        <v>39937.931011835739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-6609.1830334541082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33390.816966545892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6608.88</v>
      </c>
      <c r="E20" s="121">
        <f>D20*0.19</f>
        <v>1255.6872000000001</v>
      </c>
      <c r="F20" s="120">
        <f>SUM(D20:E20)</f>
        <v>7864.5672000000004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31608.880000000001</v>
      </c>
      <c r="E21" s="116">
        <f>SUM(E18:E20)</f>
        <v>6005.6872000000003</v>
      </c>
      <c r="F21" s="115">
        <f>SUM(F18:F20)</f>
        <v>37614.567199999998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66379.752800000002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380976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31608.880000000001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319533.02921256039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319533.02921256039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2025-01-17T16:24:23Z</dcterms:modified>
</cp:coreProperties>
</file>