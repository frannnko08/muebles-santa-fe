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AÑOS ANTERIORES\01 ENERO 2025\"/>
    </mc:Choice>
  </mc:AlternateContent>
  <xr:revisionPtr revIDLastSave="0" documentId="13_ncr:1_{D5457015-7B4A-461B-8B76-0275E07AF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9" i="1"/>
  <c r="L21" i="1"/>
  <c r="M21" i="1"/>
  <c r="H24" i="1" l="1"/>
  <c r="L24" i="1"/>
  <c r="S21" i="1"/>
  <c r="R21" i="1"/>
  <c r="N21" i="1"/>
  <c r="O21" i="1" s="1"/>
  <c r="U32" i="1"/>
  <c r="U33" i="1" s="1"/>
  <c r="R26" i="1" l="1"/>
  <c r="O25" i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<sst xmlns="http://schemas.openxmlformats.org/spreadsheetml/2006/main" count="232" uniqueCount="177">
  <si>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</si>
  <si>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</si>
  <si>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</si>
  <si>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</si>
  <si>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</si>
  <si>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</si>
  <si>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</si>
  <si>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</si>
  <si>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</si>
  <si>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</si>
  <si>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</si>
  <si>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</si>
  <si>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</si>
  <si>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</si>
  <si>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</si>
  <si>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</si>
  <si>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</si>
  <si>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</si>
  <si>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</si>
  <si>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</si>
  <si>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</si>
  <si>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</si>
  <si>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</si>
  <si>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</si>
  <si>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</si>
  <si>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</si>
  <si>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</si>
  <si>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</si>
  <si>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</si>
  <si>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</si>
  <si>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</si>
  <si>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</si>
  <si>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</si>
  <si>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</si>
  <si>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</si>
  <si>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</si>
  <si>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</si>
  <si>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</si>
  <si>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</si>
  <si>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</si>
  <si>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</si>
  <si>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</si>
  <si>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</si>
  <si>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</si>
  <si>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</si>
  <si>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</si>
  <si>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</si>
  <si>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</si>
  <si>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</si>
  <si>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</si>
  <si>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</si>
  <si>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</si>
  <si>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</si>
  <si>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</si>
  <si>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</si>
  <si>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</si>
  <si>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</si>
  <si>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</si>
  <si>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</si>
  <si>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</si>
  <si>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</si>
  <si>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</si>
  <si>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</si>
  <si>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</si>
  <si>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</si>
  <si>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</si>
  <si>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</si>
  <si>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</si>
  <si>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</si>
  <si>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</si>
  <si>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</si>
  <si>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</si>
  <si>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</si>
  <si>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</si>
  <si>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</si>
  <si>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</si>
  <si>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</si>
  <si>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</si>
  <si>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</si>
  <si>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</si>
  <si>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</si>
  <si>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</si>
  <si>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</si>
  <si>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</si>
  <si>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</si>
  <si>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</si>
  <si>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</si>
  <si>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</si>
  <si>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</si>
  <si>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</si>
  <si>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</si>
  <si>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</si>
  <si>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</si>
  <si>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</si>
  <si>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</si>
  <si>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</si>
  <si>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</si>
  <si>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</si>
  <si>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</si>
  <si>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</si>
  <si>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</si>
  <si>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</si>
  <si>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</si>
  <si>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</si>
  <si>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</si>
  <si>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</si>
  <si>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</si>
  <si>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</si>
  <si>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</si>
  <si>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</si>
  <si>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</si>
  <si>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</si>
  <si>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</si>
  <si>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</si>
  <si>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</si>
  <si>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</si>
  <si>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</si>
  <si>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</si>
  <si>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</si>
  <si>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</si>
  <si>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</si>
  <si>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</si>
  <si>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</si>
  <si>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</si>
  <si>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</si>
  <si>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</si>
  <si>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</si>
  <si>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</si>
  <si>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</si>
  <si>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</si>
  <si>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</si>
  <si>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</si>
  <si>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</si>
  <si>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</si>
  <si>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</si>
  <si>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</si>
  <si>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</si>
  <si>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</si>
  <si>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</si>
  <si>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</si>
  <si>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</si>
  <si>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</si>
  <si>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</si>
  <si>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</si>
  <si>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</si>
  <si>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</si>
  <si>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</si>
  <si>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</si>
  <si>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</si>
  <si>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</si>
  <si>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</si>
  <si>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</si>
  <si>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</si>
  <si>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</si>
  <si>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</si>
  <si>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</si>
  <si>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</si>
  <si>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</si>
  <si>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</si>
  <si>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</si>
  <si>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</si>
  <si>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</si>
  <si>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</si>
  <si>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</si>
  <si>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</si>
  <si>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</si>
  <si>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</si>
  <si>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</si>
  <si>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SI</t>
  </si>
  <si>
    <t>CUB REDONDAS CON REGRUESO</t>
  </si>
  <si>
    <t>FRENCH WALNUT 1510 UP</t>
  </si>
  <si>
    <t>7 DIA HABILES</t>
  </si>
  <si>
    <t>ESR SERVICIOS LIMITADA</t>
  </si>
  <si>
    <t>79.965.630-9</t>
  </si>
  <si>
    <t>ANDRES</t>
  </si>
  <si>
    <t>569 6135 4324</t>
  </si>
  <si>
    <t>N° 11233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</si>
</sst>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ENCHAPADAS EN SU CONTORNO CON LA MISMA LAMINA.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CON REGRUESO MISMO SUSTRATO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32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172</v>
      </c>
      <c r="D10" s="243"/>
      <c r="E10" s="243"/>
      <c r="F10" s="244" t="s">
        <v>0</v>
      </c>
      <c r="G10" s="277">
        <v>45664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173</v>
      </c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174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175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100120.9523809524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2">
        <v>4</v>
      </c>
      <c r="C21" s="323" t="s">
        <v>169</v>
      </c>
      <c r="D21" s="324">
        <v>1</v>
      </c>
      <c r="E21" s="324">
        <v>1</v>
      </c>
      <c r="F21" s="323" t="s">
        <v>170</v>
      </c>
      <c r="G21" s="325">
        <v>115127</v>
      </c>
      <c r="H21" s="326">
        <f t="shared" ref="H21" si="1">G21*B21</f>
        <v>460508</v>
      </c>
      <c r="I21" s="265"/>
      <c r="J21" s="47"/>
      <c r="K21" s="330">
        <f>B21</f>
        <v>4</v>
      </c>
      <c r="L21" s="331">
        <f t="shared" ref="L21" si="2">D21+L$19</f>
        <v>1.05</v>
      </c>
      <c r="M21" s="331">
        <f t="shared" ref="M21" si="3">E21+M$19</f>
        <v>1</v>
      </c>
      <c r="N21" s="261">
        <f t="shared" ref="N21" si="4">L21*M21</f>
        <v>1.05</v>
      </c>
      <c r="O21" s="259">
        <f t="shared" ref="O21" si="5">N21*K21</f>
        <v>4.2</v>
      </c>
      <c r="P21" s="252">
        <f>P$20*N21</f>
        <v>105127.00000000001</v>
      </c>
      <c r="Q21" s="258">
        <f t="shared" ref="Q21" si="6">P21+Q$20</f>
        <v>115127.00000000001</v>
      </c>
      <c r="R21" s="308">
        <f>L21*K21*2</f>
        <v>8.4</v>
      </c>
      <c r="S21" s="46">
        <f>M21*K21*2</f>
        <v>8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9"/>
      <c r="H22" s="329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460508</v>
      </c>
      <c r="I24" s="265"/>
      <c r="J24" s="47"/>
      <c r="K24" s="47"/>
      <c r="L24" s="39">
        <f>SUM(L21:L23)</f>
        <v>1.05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87496.52</v>
      </c>
      <c r="I25" s="265"/>
      <c r="J25" s="47"/>
      <c r="K25" s="47"/>
      <c r="L25" s="39"/>
      <c r="M25" s="12"/>
      <c r="N25" s="12"/>
      <c r="O25" s="253">
        <f>SUM(O21:O21)</f>
        <v>4.2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548004.52</v>
      </c>
      <c r="I26" s="265"/>
      <c r="J26" s="47"/>
      <c r="K26" s="47"/>
      <c r="L26" s="39"/>
      <c r="M26" s="12"/>
      <c r="N26" s="12"/>
      <c r="O26" s="253">
        <f>O25</f>
        <v>4.2</v>
      </c>
      <c r="P26" s="14"/>
      <c r="Q26" s="12"/>
      <c r="R26" s="239">
        <f>SUM(R21:R25)</f>
        <v>8.4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0.84000000000000008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5.04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5.04</v>
      </c>
      <c r="M30" s="12">
        <v>3500</v>
      </c>
      <c r="N30" s="12">
        <f t="shared" ref="N30:N35" si="7">L30*M30</f>
        <v>17640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2</v>
      </c>
      <c r="M31" s="12">
        <v>25000</v>
      </c>
      <c r="N31" s="12">
        <f t="shared" si="7"/>
        <v>50000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7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2</v>
      </c>
      <c r="M33" s="250">
        <v>61750</v>
      </c>
      <c r="N33" s="12">
        <f t="shared" si="7"/>
        <v>123500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/>
      <c r="M35" s="12">
        <v>1500</v>
      </c>
      <c r="N35" s="12">
        <f t="shared" si="7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191140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420508.00000000006</v>
      </c>
      <c r="O37" s="14" t="s">
        <v>141</v>
      </c>
      <c r="P37" s="14"/>
      <c r="Q37" s="40">
        <f>O28/Q36</f>
        <v>1.3589301121656601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73476</v>
      </c>
      <c r="K38" s="250"/>
      <c r="L38" s="14"/>
      <c r="M38" s="12"/>
      <c r="N38" s="12">
        <f>N37/O26</f>
        <v>100120.9523809524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61744.537815126052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 t="str">
        <f>'2229'!C10</f>
        <v>ESR SERVICIOS LIMITADA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11233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-49945.958366787447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460508</v>
      </c>
      <c r="E11" s="132">
        <f>D11*0.19</f>
        <v>87496.52</v>
      </c>
      <c r="F11" s="131">
        <f>E11+D11</f>
        <v>548004.52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56044.041633212553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97474.090787439607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38044.041633212553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363033.90921256039</v>
      </c>
      <c r="E13" s="221">
        <f>(D11/D12)-1</f>
        <v>3.7244144190503237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29044.041633212553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-9955.9583667874467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160832.24979927533</v>
      </c>
      <c r="F15" s="216">
        <f>E15-D12</f>
        <v>63358.159011835727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-9955.9583667874467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30044.041633212553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17640</v>
      </c>
      <c r="E20" s="121">
        <f>D20*0.19</f>
        <v>3351.6</v>
      </c>
      <c r="F20" s="120">
        <f>SUM(D20:E20)</f>
        <v>20991.599999999999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67640</v>
      </c>
      <c r="E21" s="116">
        <f>SUM(E18:E20)</f>
        <v>12851.6</v>
      </c>
      <c r="F21" s="115">
        <f>SUM(F18:F20)</f>
        <v>80491.600000000006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74644.92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460508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67640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363033.90921256039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363033.90921256039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2025-01-07T20:53:04Z</dcterms:modified>
</cp:coreProperties>
</file>