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01 ENERO 2025\"/>
    </mc:Choice>
  </mc:AlternateContent>
  <xr:revisionPtr revIDLastSave="0" documentId="13_ncr:1_{A3624F47-9333-407D-9314-0F64E56F1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<sst xmlns="http://schemas.openxmlformats.org/spreadsheetml/2006/main" count="228" uniqueCount="172">
  <si>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</si>
  <si>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</si>
  <si>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</si>
  <si>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</si>
  <si>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</si>
  <si>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</si>
  <si>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</si>
  <si>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</si>
  <si>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</si>
  <si>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</si>
  <si>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</si>
  <si>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</si>
  <si>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</si>
  <si>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</si>
  <si>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</si>
  <si>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</si>
  <si>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</si>
  <si>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</si>
  <si>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</si>
  <si>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</si>
  <si>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</si>
  <si>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</si>
  <si>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</si>
  <si>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</si>
  <si>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</si>
  <si>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</si>
  <si>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</si>
  <si>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</si>
  <si>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</si>
  <si>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</si>
  <si>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</si>
  <si>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</si>
  <si>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</si>
  <si>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</si>
  <si>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</si>
  <si>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</si>
  <si>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</si>
  <si>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</si>
  <si>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</si>
  <si>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</si>
  <si>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</si>
  <si>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</si>
  <si>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</si>
  <si>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</si>
  <si>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</si>
  <si>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</si>
  <si>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</si>
  <si>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</si>
  <si>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</si>
  <si>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</si>
  <si>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</si>
  <si>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</si>
  <si>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</si>
  <si>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</si>
  <si>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</si>
  <si>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</si>
  <si>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</si>
  <si>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</si>
  <si>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</si>
  <si>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</si>
  <si>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</si>
  <si>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</si>
  <si>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</si>
  <si>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</si>
  <si>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</si>
  <si>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</si>
  <si>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</si>
  <si>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</si>
  <si>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</si>
  <si>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</si>
  <si>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</si>
  <si>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</si>
  <si>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</si>
  <si>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</si>
  <si>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</si>
  <si>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</si>
  <si>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</si>
  <si>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</si>
  <si>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</si>
  <si>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</si>
  <si>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</si>
  <si>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</si>
  <si>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</si>
  <si>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</si>
  <si>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</si>
  <si>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</si>
  <si>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</si>
  <si>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</si>
  <si>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</si>
  <si>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</si>
  <si>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</si>
  <si>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</si>
  <si>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</si>
  <si>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</si>
  <si>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</si>
  <si>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</si>
  <si>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</si>
  <si>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</si>
  <si>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</si>
  <si>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</si>
  <si>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</si>
  <si>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</si>
  <si>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</si>
  <si>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</si>
  <si>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</si>
  <si>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</si>
  <si>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</si>
  <si>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</si>
  <si>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</si>
  <si>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</si>
  <si>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</si>
  <si>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</si>
  <si>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</si>
  <si>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</si>
  <si>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</si>
  <si>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</si>
  <si>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</si>
  <si>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</si>
  <si>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</si>
  <si>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</si>
  <si>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</si>
  <si>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</si>
  <si>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</si>
  <si>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</si>
  <si>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</si>
  <si>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</si>
  <si>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</si>
  <si>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</si>
  <si>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</si>
  <si>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</si>
  <si>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</si>
  <si>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</si>
  <si>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</si>
  <si>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</si>
  <si>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</si>
  <si>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</si>
  <si>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</si>
  <si>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</si>
  <si>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</si>
  <si>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</si>
  <si>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</si>
  <si>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</si>
  <si>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</si>
  <si>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</si>
  <si>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</si>
  <si>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</si>
  <si>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</si>
  <si>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</si>
  <si>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</si>
  <si>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</si>
  <si>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</si>
  <si>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</si>
  <si>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</si>
  <si>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</si>
  <si>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</si>
  <si>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</si>
  <si>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</si>
  <si>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</si>
  <si>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</si>
  <si>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</si>
  <si>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</si>
  <si>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</si>
  <si>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</si>
  <si>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</si>
  <si>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</si>
  <si>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</si>
  <si>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</si>
  <si>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11230</t>
  </si>
  <si>
    <t>MANUEL CACERES</t>
  </si>
  <si>
    <t>+569 63063399</t>
  </si>
  <si>
    <t>CUB C/R FRENTE 90° R8</t>
  </si>
  <si>
    <t>GRANITINO NEGRO  3014 BR PF8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</si>
</sst>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CORTADAS EN LAS ESQUINAS Y ENCHAPADAS CON LA MISMA LAMINA.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4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45660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>
        <v>45665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/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62522.222222222219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3</v>
      </c>
      <c r="E21" s="331">
        <v>0.63</v>
      </c>
      <c r="F21" s="330" t="s">
        <v>171</v>
      </c>
      <c r="G21" s="332">
        <v>118167</v>
      </c>
      <c r="H21" s="332">
        <f>G21*B21</f>
        <v>118167</v>
      </c>
      <c r="I21" s="320"/>
      <c r="J21" s="265"/>
      <c r="K21" s="47"/>
      <c r="L21" s="47">
        <f>B21</f>
        <v>1</v>
      </c>
      <c r="M21" s="39">
        <f>D21+M$19</f>
        <v>3</v>
      </c>
      <c r="N21" s="39">
        <f>E21+$N$19</f>
        <v>0.63</v>
      </c>
      <c r="O21" s="261">
        <f t="shared" ref="O21" si="1">M21*N21</f>
        <v>1.8900000000000001</v>
      </c>
      <c r="P21" s="259">
        <f t="shared" ref="P21" si="2">O21*L21</f>
        <v>1.8900000000000001</v>
      </c>
      <c r="Q21" s="252">
        <f t="shared" ref="Q21" si="3">Q$20*O21</f>
        <v>118167</v>
      </c>
      <c r="R21" s="319">
        <f t="shared" ref="R21" si="4">Q21+R$20</f>
        <v>121167</v>
      </c>
      <c r="S21" s="297">
        <f>M21*L21</f>
        <v>3</v>
      </c>
      <c r="T21" s="46">
        <f>N21*2*L21*2</f>
        <v>2.52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118167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2.52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22451.73</v>
      </c>
      <c r="I25" s="322"/>
      <c r="J25" s="265"/>
      <c r="K25" s="47"/>
      <c r="L25" s="47"/>
      <c r="M25" s="39">
        <f>SUM(M21:M24)</f>
        <v>3</v>
      </c>
      <c r="N25" s="12"/>
      <c r="O25" s="12"/>
      <c r="P25" s="253">
        <f>SUM(P21:P23)</f>
        <v>1.8900000000000001</v>
      </c>
      <c r="Q25" s="14"/>
      <c r="R25" s="12"/>
      <c r="S25" s="239">
        <f>SUM(S21:S24)</f>
        <v>3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140618.73000000001</v>
      </c>
      <c r="I26" s="322"/>
      <c r="J26" s="265"/>
      <c r="K26" s="47"/>
      <c r="L26" s="47"/>
      <c r="M26" s="39"/>
      <c r="N26" s="12"/>
      <c r="O26" s="12"/>
      <c r="P26" s="253">
        <f>P25</f>
        <v>1.8900000000000001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0.37800000000000006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2.2680000000000002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2.2680000000000002</v>
      </c>
      <c r="N30" s="12">
        <v>2500</v>
      </c>
      <c r="O30" s="12">
        <f t="shared" ref="O30:O35" si="5">M30*N30</f>
        <v>5670.0000000000009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23500</v>
      </c>
      <c r="O31" s="12">
        <f t="shared" si="5"/>
        <v>14100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35000</v>
      </c>
      <c r="O33" s="12">
        <f t="shared" si="5"/>
        <v>35000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</v>
      </c>
      <c r="N35" s="12">
        <v>500</v>
      </c>
      <c r="O35" s="12">
        <f t="shared" si="5"/>
        <v>1500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56270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118167</v>
      </c>
      <c r="P37" s="14" t="s">
        <v>140</v>
      </c>
      <c r="Q37" s="14"/>
      <c r="R37" s="40">
        <f>P28/R36</f>
        <v>0.61151855047454706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62522.222222222219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45660</v>
      </c>
    </row>
    <row r="6" spans="2:31" ht="16.2" thickBot="1" x14ac:dyDescent="0.35">
      <c r="B6" s="140" t="s">
        <v>2</v>
      </c>
      <c r="C6" s="139" t="str">
        <f>'2229'!C10</f>
        <v>MANUEL CACERES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-6053.3750334541064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118167</v>
      </c>
      <c r="E11" s="132">
        <f>D11*0.19</f>
        <v>22451.73</v>
      </c>
      <c r="F11" s="131">
        <f>E11+D11</f>
        <v>140618.73000000001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99936.624966545889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49604.090787439614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81936.624966545889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68562.909212560393</v>
      </c>
      <c r="E13" s="221">
        <f>(D11/D12)-1</f>
        <v>1.3822027200611724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72936.624966545889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33936.624966545896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81846.749799275363</v>
      </c>
      <c r="F15" s="216">
        <f>E15-D12</f>
        <v>32242.659011835749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33936.624966545896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73936.624966545889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5670.0000000000009</v>
      </c>
      <c r="E20" s="121">
        <f>D20*0.19</f>
        <v>1077.3000000000002</v>
      </c>
      <c r="F20" s="120">
        <f>SUM(D20:E20)</f>
        <v>6747.3000000000011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19770</v>
      </c>
      <c r="E21" s="116">
        <f>SUM(E18:E20)</f>
        <v>3756.3</v>
      </c>
      <c r="F21" s="115">
        <f>SUM(F18:F20)</f>
        <v>23526.300000000003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18695.43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118167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19770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68562.909212560393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68562.909212560393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2025-01-03T15:03:30Z</cp:lastPrinted>
  <dcterms:created xsi:type="dcterms:W3CDTF">2013-03-18T13:35:42Z</dcterms:created>
  <dcterms:modified xsi:type="dcterms:W3CDTF">2025-01-03T15:10:06Z</dcterms:modified>
</cp:coreProperties>
</file>