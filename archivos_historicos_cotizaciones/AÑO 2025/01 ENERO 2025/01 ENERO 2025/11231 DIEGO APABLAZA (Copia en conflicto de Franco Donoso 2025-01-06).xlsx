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AÑOS ANTERIORES\01 ENERO 2025\"/>
    </mc:Choice>
  </mc:AlternateContent>
  <xr:revisionPtr revIDLastSave="0" documentId="13_ncr:1_{A7DE0E33-3A9B-42F4-82A6-52D0D5D6D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31" i="1" l="1"/>
  <c r="S21" i="1"/>
  <c r="S31" i="1" s="1"/>
  <c r="T21" i="1"/>
  <c r="T30" i="1" s="1"/>
  <c r="O21" i="1"/>
  <c r="P21" i="1" s="1"/>
  <c r="P31" i="1" s="1"/>
  <c r="K45" i="1"/>
  <c r="V38" i="1" l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D20" i="3" l="1"/>
  <c r="E20" i="3" s="1"/>
  <c r="E21" i="3" s="1"/>
  <c r="O44" i="1" l="1"/>
  <c r="Q20" i="1" s="1"/>
  <c r="D21" i="3"/>
  <c r="M43" i="3" s="1"/>
  <c r="D12" i="3" s="1"/>
  <c r="F20" i="3"/>
  <c r="F21" i="3" s="1"/>
  <c r="O45" i="1" l="1"/>
  <c r="E15" i="3"/>
  <c r="Q21" i="1" l="1"/>
  <c r="G21" i="1" s="1"/>
  <c r="F15" i="3"/>
  <c r="R21" i="1" l="1"/>
  <c r="H21" i="1" l="1"/>
  <c r="H30" i="1" l="1"/>
  <c r="H31" i="1" s="1"/>
  <c r="D11" i="3" l="1"/>
  <c r="X9" i="3" s="1"/>
  <c r="X15" i="3" s="1"/>
  <c r="H32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<sst xmlns="http://schemas.openxmlformats.org/spreadsheetml/2006/main" count="241" uniqueCount="175">
  <si>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</si>
  <si>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</si>
  <si>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</si>
  <si>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</si>
  <si>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</si>
  <si>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</si>
  <si>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</si>
  <si>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</si>
  <si>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</si>
  <si>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</si>
  <si>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</si>
  <si>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</si>
  <si>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</si>
  <si>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</si>
  <si>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</si>
  <si>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</si>
  <si>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</si>
  <si>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</si>
  <si>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</si>
  <si>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</si>
  <si>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</si>
  <si>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</si>
  <si>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</si>
  <si>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</si>
  <si>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</si>
  <si>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</si>
  <si>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</si>
  <si>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</si>
  <si>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</si>
  <si>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</si>
  <si>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</si>
  <si>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</si>
  <si>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</si>
  <si>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</si>
  <si>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</si>
  <si>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</si>
  <si>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</si>
  <si>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</si>
  <si>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</si>
  <si>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</si>
  <si>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</si>
  <si>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</si>
  <si>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</si>
  <si>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</si>
  <si>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</si>
  <si>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</si>
  <si>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</si>
  <si>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</si>
  <si>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</si>
  <si>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</si>
  <si>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</si>
  <si>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</si>
  <si>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</si>
  <si>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</si>
  <si>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</si>
  <si>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</si>
  <si>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</si>
  <si>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</si>
  <si>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</si>
  <si>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</si>
  <si>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</si>
  <si>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</si>
  <si>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</si>
  <si>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</si>
  <si>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</si>
  <si>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</si>
  <si>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</si>
  <si>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</si>
  <si>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</si>
  <si>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</si>
  <si>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</si>
  <si>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</si>
  <si>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</si>
  <si>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</si>
  <si>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</si>
  <si>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</si>
  <si>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</si>
  <si>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</si>
  <si>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</si>
  <si>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</si>
  <si>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</si>
  <si>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</si>
  <si>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</si>
  <si>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</si>
  <si>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</si>
  <si>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</si>
  <si>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</si>
  <si>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</si>
  <si>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</si>
  <si>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</si>
  <si>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</si>
  <si>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</si>
  <si>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</si>
  <si>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</si>
  <si>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</si>
  <si>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</si>
  <si>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</si>
  <si>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</si>
  <si>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</si>
  <si>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</si>
  <si>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</si>
  <si>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</si>
  <si>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</si>
  <si>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</si>
  <si>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</si>
  <si>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</si>
  <si>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</si>
  <si>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</si>
  <si>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</si>
  <si>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</si>
  <si>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</si>
  <si>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</si>
  <si>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</si>
  <si>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</si>
  <si>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</si>
  <si>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</si>
  <si>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</si>
  <si>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</si>
  <si>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</si>
  <si>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</si>
  <si>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</si>
  <si>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</si>
  <si>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</si>
  <si>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</si>
  <si>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</si>
  <si>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</si>
  <si>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</si>
  <si>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</si>
  <si>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</si>
  <si>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</si>
  <si>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</si>
  <si>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</si>
  <si>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</si>
  <si>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</si>
  <si>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</si>
  <si>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</si>
  <si>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</si>
  <si>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</si>
  <si>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</si>
  <si>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</si>
  <si>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</si>
  <si>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</si>
  <si>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</si>
  <si>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</si>
  <si>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</si>
  <si>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</si>
  <si>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</si>
  <si>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</si>
  <si>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</si>
  <si>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</si>
  <si>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</si>
  <si>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</si>
  <si>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</si>
  <si>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</si>
  <si>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</si>
  <si>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</si>
  <si>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</si>
  <si>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</si>
  <si>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</si>
  <si>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</si>
  <si>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</si>
  <si>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</si>
  <si>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</si>
  <si>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</si>
  <si>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</si>
  <si>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</si>
  <si>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</si>
  <si>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</si>
  <si>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ENCHAPE RECTO / TAPACANTO AL LARGO</t>
  </si>
  <si>
    <t>ENCHAPE RECTO</t>
  </si>
  <si>
    <t>ENCHAPE RECTO / TAPACANTO 4 LADOS</t>
  </si>
  <si>
    <t>MELAMINA BCO</t>
  </si>
  <si>
    <t>DIEGO APABLAZA</t>
  </si>
  <si>
    <t>+56 9 5104 8364</t>
  </si>
  <si>
    <t>N° 11231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</si>
</sst>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SOBREMEDIDAS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172</v>
      </c>
      <c r="D10" s="243"/>
      <c r="E10" s="243"/>
      <c r="F10" s="244" t="s">
        <v>0</v>
      </c>
      <c r="G10" s="276">
        <v>45660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O44</f>
        <v>154550.89783281734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3</v>
      </c>
      <c r="C21" s="330" t="s">
        <v>168</v>
      </c>
      <c r="D21" s="331">
        <v>0.77</v>
      </c>
      <c r="E21" s="331">
        <v>0.38</v>
      </c>
      <c r="F21" s="330" t="s">
        <v>171</v>
      </c>
      <c r="G21" s="332">
        <f>Q21</f>
        <v>49919.94</v>
      </c>
      <c r="H21" s="332">
        <f>G21*B21</f>
        <v>149759.82</v>
      </c>
      <c r="I21" s="320"/>
      <c r="J21" s="265"/>
      <c r="K21" s="47"/>
      <c r="L21" s="47">
        <f>B21</f>
        <v>3</v>
      </c>
      <c r="M21" s="39">
        <f>D21+M$19</f>
        <v>0.85</v>
      </c>
      <c r="N21" s="39">
        <f>E21+$N$19</f>
        <v>0.38</v>
      </c>
      <c r="O21" s="261">
        <f t="shared" ref="O21" si="1">M21*N21</f>
        <v>0.32300000000000001</v>
      </c>
      <c r="P21" s="259">
        <f t="shared" ref="P21" si="2">O21*L21</f>
        <v>0.96900000000000008</v>
      </c>
      <c r="Q21" s="252">
        <f t="shared" ref="Q21" si="3">Q$20*O21</f>
        <v>49919.94</v>
      </c>
      <c r="R21" s="319">
        <f t="shared" ref="R21" si="4">Q21+R$20</f>
        <v>52919.94</v>
      </c>
      <c r="S21" s="297">
        <f>M21*L21</f>
        <v>2.5499999999999998</v>
      </c>
      <c r="T21" s="46">
        <f>N21*2*L21*2</f>
        <v>4.5600000000000005</v>
      </c>
      <c r="U21" s="9"/>
      <c r="X21" s="4"/>
    </row>
    <row r="22" spans="2:25" ht="17.399999999999999" x14ac:dyDescent="0.3">
      <c r="B22" s="330">
        <v>2</v>
      </c>
      <c r="C22" s="330" t="s">
        <v>168</v>
      </c>
      <c r="D22" s="331">
        <v>0.77</v>
      </c>
      <c r="E22" s="331">
        <v>0.45</v>
      </c>
      <c r="F22" s="330" t="s">
        <v>171</v>
      </c>
      <c r="G22" s="332"/>
      <c r="H22" s="332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2:25" ht="17.399999999999999" x14ac:dyDescent="0.3">
      <c r="B23" s="330">
        <v>3</v>
      </c>
      <c r="C23" s="330" t="s">
        <v>169</v>
      </c>
      <c r="D23" s="331">
        <v>0.77</v>
      </c>
      <c r="E23" s="331">
        <v>0.7</v>
      </c>
      <c r="F23" s="330" t="s">
        <v>171</v>
      </c>
      <c r="G23" s="332"/>
      <c r="H23" s="332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170</v>
      </c>
      <c r="D24" s="331">
        <v>0.31</v>
      </c>
      <c r="E24" s="331">
        <v>0.66700000000000004</v>
      </c>
      <c r="F24" s="330" t="s">
        <v>171</v>
      </c>
      <c r="G24" s="332"/>
      <c r="H24" s="332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170</v>
      </c>
      <c r="D25" s="331">
        <v>0.32</v>
      </c>
      <c r="E25" s="331">
        <v>0.66700000000000004</v>
      </c>
      <c r="F25" s="330" t="s">
        <v>171</v>
      </c>
      <c r="G25" s="332"/>
      <c r="H25" s="332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170</v>
      </c>
      <c r="D26" s="331">
        <v>0.38</v>
      </c>
      <c r="E26" s="331">
        <v>0.59699999999999998</v>
      </c>
      <c r="F26" s="330" t="s">
        <v>171</v>
      </c>
      <c r="G26" s="332"/>
      <c r="H26" s="332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7.399999999999999" x14ac:dyDescent="0.3">
      <c r="B27" s="330">
        <v>1</v>
      </c>
      <c r="C27" s="330" t="s">
        <v>170</v>
      </c>
      <c r="D27" s="331">
        <v>0.39</v>
      </c>
      <c r="E27" s="331">
        <v>0.59699999999999998</v>
      </c>
      <c r="F27" s="330" t="s">
        <v>171</v>
      </c>
      <c r="G27" s="345"/>
      <c r="H27" s="346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8" thickBot="1" x14ac:dyDescent="0.35">
      <c r="B29" s="285"/>
      <c r="C29" s="285"/>
      <c r="D29" s="286"/>
      <c r="E29" s="286"/>
      <c r="F29" s="285"/>
      <c r="G29" s="265"/>
      <c r="H29" s="321"/>
      <c r="I29" s="323"/>
      <c r="J29" s="233"/>
      <c r="K29" s="47"/>
      <c r="L29" s="47"/>
      <c r="M29" s="39"/>
      <c r="N29" s="39"/>
      <c r="O29" s="261"/>
      <c r="P29" s="259"/>
      <c r="Q29" s="252"/>
      <c r="R29" s="258"/>
      <c r="S29" s="297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4" t="s">
        <v>28</v>
      </c>
      <c r="H30" s="325">
        <f>SUM(H21:H27)</f>
        <v>149759.82</v>
      </c>
      <c r="I30" s="322"/>
      <c r="J30" s="265"/>
      <c r="K30" s="47">
        <v>2600000</v>
      </c>
      <c r="L30" s="47"/>
      <c r="M30" s="39"/>
      <c r="N30" s="39"/>
      <c r="O30" s="261"/>
      <c r="P30" s="259"/>
      <c r="Q30" s="252"/>
      <c r="R30" s="258"/>
      <c r="S30" s="297"/>
      <c r="T30" s="46">
        <f>SUM(T21:T27)</f>
        <v>4.5600000000000005</v>
      </c>
      <c r="U30" s="9"/>
      <c r="X30" s="4"/>
    </row>
    <row r="31" spans="2:25" ht="17.399999999999999" x14ac:dyDescent="0.3">
      <c r="B31" s="279"/>
      <c r="C31" s="282"/>
      <c r="D31" s="283"/>
      <c r="E31" s="283"/>
      <c r="F31" s="284"/>
      <c r="G31" s="296" t="s">
        <v>51</v>
      </c>
      <c r="H31" s="294">
        <f>H30*19%</f>
        <v>28454.365800000003</v>
      </c>
      <c r="I31" s="322"/>
      <c r="J31" s="265"/>
      <c r="K31" s="47"/>
      <c r="L31" s="47"/>
      <c r="M31" s="39">
        <f>SUM(M21:M30)</f>
        <v>0.85</v>
      </c>
      <c r="N31" s="12"/>
      <c r="O31" s="12"/>
      <c r="P31" s="253">
        <f>SUM(P21:P27)</f>
        <v>0.96900000000000008</v>
      </c>
      <c r="Q31" s="14"/>
      <c r="R31" s="12"/>
      <c r="S31" s="239">
        <f>SUM(S21:S30)</f>
        <v>2.5499999999999998</v>
      </c>
      <c r="T31" s="46"/>
      <c r="U31" s="9"/>
      <c r="X31" s="4"/>
    </row>
    <row r="32" spans="2:25" ht="18" thickBot="1" x14ac:dyDescent="0.35">
      <c r="B32" s="275"/>
      <c r="C32" s="281"/>
      <c r="D32" s="272"/>
      <c r="E32" s="272"/>
      <c r="F32" s="273"/>
      <c r="G32" s="280" t="s">
        <v>6</v>
      </c>
      <c r="H32" s="295">
        <f>H30+H31</f>
        <v>178214.18580000001</v>
      </c>
      <c r="I32" s="322"/>
      <c r="J32" s="265"/>
      <c r="K32" s="47"/>
      <c r="L32" s="47"/>
      <c r="M32" s="39"/>
      <c r="N32" s="12"/>
      <c r="O32" s="12"/>
      <c r="P32" s="253">
        <f>P31</f>
        <v>0.96900000000000008</v>
      </c>
      <c r="Q32" s="14"/>
      <c r="R32" s="12"/>
      <c r="S32" s="239"/>
      <c r="T32" s="46"/>
      <c r="U32" s="9"/>
      <c r="X32" s="4"/>
    </row>
    <row r="33" spans="1:24" ht="17.399999999999999" x14ac:dyDescent="0.3">
      <c r="B33" s="275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0.19380000000000003</v>
      </c>
      <c r="Q33" s="39" t="s">
        <v>130</v>
      </c>
      <c r="R33" s="42"/>
      <c r="S33" s="240"/>
      <c r="T33" s="14"/>
      <c r="U33" s="9"/>
      <c r="X33" s="4"/>
    </row>
    <row r="34" spans="1:24" ht="17.399999999999999" x14ac:dyDescent="0.35">
      <c r="B34" s="269"/>
      <c r="C34" s="230"/>
      <c r="D34" s="230"/>
      <c r="E34" s="233"/>
      <c r="F34" s="234"/>
      <c r="G34" s="230"/>
      <c r="H34" s="274"/>
      <c r="I34" s="274"/>
      <c r="J34" s="265"/>
      <c r="K34" s="47"/>
      <c r="L34" s="47"/>
      <c r="M34" s="14"/>
      <c r="N34" s="12"/>
      <c r="O34" s="12"/>
      <c r="P34" s="46">
        <f>P32+P33</f>
        <v>1.1628000000000001</v>
      </c>
      <c r="Q34" s="14"/>
      <c r="R34" s="14"/>
      <c r="S34" s="238"/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4"/>
      <c r="J35" s="265"/>
      <c r="K35" s="47"/>
      <c r="L35" s="47"/>
      <c r="M35" s="14"/>
      <c r="N35" s="14"/>
      <c r="O35" s="14"/>
      <c r="P35" s="14"/>
      <c r="Q35" s="14"/>
      <c r="R35" s="14"/>
      <c r="S35" s="240"/>
      <c r="T35" s="14"/>
      <c r="U35" s="302" t="s">
        <v>21</v>
      </c>
      <c r="V35" s="299" t="s">
        <v>152</v>
      </c>
      <c r="W35" s="303">
        <v>44971</v>
      </c>
      <c r="X35" s="304"/>
    </row>
    <row r="36" spans="1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39">
        <f>P34</f>
        <v>1.1628000000000001</v>
      </c>
      <c r="N36" s="12">
        <v>1500</v>
      </c>
      <c r="O36" s="12">
        <f t="shared" ref="O36:O41" si="5">M36*N36</f>
        <v>1744.2</v>
      </c>
      <c r="P36" s="14" t="s">
        <v>21</v>
      </c>
      <c r="Q36" s="14"/>
      <c r="R36" s="14"/>
      <c r="S36" s="241"/>
      <c r="T36" s="14"/>
      <c r="U36" s="302" t="s">
        <v>153</v>
      </c>
      <c r="V36" s="299">
        <v>3625</v>
      </c>
      <c r="W36" s="59" t="s">
        <v>154</v>
      </c>
      <c r="X36" s="304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>
        <v>0.8</v>
      </c>
      <c r="N37" s="12">
        <v>25000</v>
      </c>
      <c r="O37" s="12">
        <f t="shared" si="5"/>
        <v>20000</v>
      </c>
      <c r="P37" s="39" t="s">
        <v>31</v>
      </c>
      <c r="Q37" s="42"/>
      <c r="R37" s="14"/>
      <c r="S37" s="240"/>
      <c r="T37" s="14"/>
      <c r="U37" s="302"/>
      <c r="V37" s="59">
        <v>906.25</v>
      </c>
      <c r="W37" s="59" t="s">
        <v>155</v>
      </c>
      <c r="X37" s="304"/>
    </row>
    <row r="38" spans="1:24" s="230" customFormat="1" ht="17.399999999999999" x14ac:dyDescent="0.35">
      <c r="B38" s="24" t="s">
        <v>151</v>
      </c>
      <c r="J38" s="262"/>
      <c r="K38" s="232"/>
      <c r="L38" s="250"/>
      <c r="M38" s="14"/>
      <c r="N38" s="250">
        <v>61840</v>
      </c>
      <c r="O38" s="12">
        <f t="shared" si="5"/>
        <v>0</v>
      </c>
      <c r="P38" s="39" t="s">
        <v>30</v>
      </c>
      <c r="Q38" s="42"/>
      <c r="S38" s="240"/>
      <c r="T38" s="256"/>
      <c r="U38" s="59"/>
      <c r="V38" s="59">
        <f>V37*20%</f>
        <v>181.25</v>
      </c>
      <c r="W38" s="304" t="s">
        <v>156</v>
      </c>
      <c r="X38" s="59"/>
    </row>
    <row r="39" spans="1:24" s="230" customFormat="1" ht="17.399999999999999" x14ac:dyDescent="0.35">
      <c r="B39" s="24" t="s">
        <v>144</v>
      </c>
      <c r="C39"/>
      <c r="D39"/>
      <c r="E39"/>
      <c r="F39"/>
      <c r="J39" s="262"/>
      <c r="K39" s="232"/>
      <c r="L39" s="250"/>
      <c r="M39" s="14">
        <v>1</v>
      </c>
      <c r="N39" s="250">
        <v>46570</v>
      </c>
      <c r="O39" s="12">
        <f t="shared" si="5"/>
        <v>46570</v>
      </c>
      <c r="P39" s="14" t="s">
        <v>141</v>
      </c>
      <c r="Q39" s="17"/>
      <c r="S39" s="238"/>
      <c r="T39" s="256"/>
      <c r="U39" s="59"/>
      <c r="V39" s="59">
        <f>V37+V38</f>
        <v>1087.5</v>
      </c>
      <c r="W39" s="304" t="s">
        <v>157</v>
      </c>
      <c r="X39" s="59"/>
    </row>
    <row r="40" spans="1:24" s="230" customFormat="1" ht="17.399999999999999" x14ac:dyDescent="0.35">
      <c r="B40" s="29" t="s">
        <v>125</v>
      </c>
      <c r="C40"/>
      <c r="D40"/>
      <c r="E40"/>
      <c r="F40" s="229" t="s">
        <v>15</v>
      </c>
      <c r="J40" s="262"/>
      <c r="K40" s="260"/>
      <c r="L40" s="250"/>
      <c r="M40" s="249"/>
      <c r="N40" s="250">
        <v>900</v>
      </c>
      <c r="O40" s="12">
        <f t="shared" si="5"/>
        <v>0</v>
      </c>
      <c r="P40" s="14" t="s">
        <v>32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93"/>
      <c r="K41" s="260"/>
      <c r="L41" s="250"/>
      <c r="M41" s="266">
        <v>2</v>
      </c>
      <c r="N41" s="12">
        <v>1500</v>
      </c>
      <c r="O41" s="12">
        <f t="shared" si="5"/>
        <v>3000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60"/>
      <c r="L42" s="250"/>
      <c r="M42" s="14"/>
      <c r="N42" s="12"/>
      <c r="O42" s="12">
        <f>SUM(O36:O41)</f>
        <v>71314.2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50"/>
      <c r="M43" s="254" t="s">
        <v>33</v>
      </c>
      <c r="N43" s="12"/>
      <c r="O43" s="255">
        <f>O42*2.1</f>
        <v>149759.82</v>
      </c>
      <c r="P43" s="14" t="s">
        <v>140</v>
      </c>
      <c r="Q43" s="14"/>
      <c r="R43" s="40">
        <f>P34/R42</f>
        <v>0.31352459016393441</v>
      </c>
      <c r="S43"/>
      <c r="T43" s="257"/>
    </row>
    <row r="44" spans="1:24" s="230" customFormat="1" ht="17.399999999999999" x14ac:dyDescent="0.35">
      <c r="G44"/>
      <c r="H44" s="260"/>
      <c r="I44" s="260"/>
      <c r="J44" s="260"/>
      <c r="K44" s="230">
        <v>60910</v>
      </c>
      <c r="L44" s="250"/>
      <c r="M44" s="14"/>
      <c r="N44" s="12"/>
      <c r="O44" s="12">
        <f>O43/P32</f>
        <v>154550.89783281734</v>
      </c>
      <c r="P44" s="45" t="s">
        <v>24</v>
      </c>
      <c r="Q44" s="14"/>
      <c r="R44" s="14"/>
      <c r="S44"/>
      <c r="T44" s="238"/>
      <c r="U44" s="59" t="s">
        <v>158</v>
      </c>
      <c r="V44" s="299">
        <v>43650</v>
      </c>
    </row>
    <row r="45" spans="1:24" s="230" customFormat="1" ht="17.399999999999999" x14ac:dyDescent="0.35">
      <c r="G45"/>
      <c r="K45" s="230">
        <f>K44/1.19</f>
        <v>51184.873949579836</v>
      </c>
      <c r="L45" s="250"/>
      <c r="M45" s="13"/>
      <c r="N45" s="14"/>
      <c r="O45" s="17">
        <f>O43/O42</f>
        <v>2.1</v>
      </c>
      <c r="P45" s="15"/>
      <c r="Q45"/>
      <c r="R45"/>
      <c r="S45"/>
      <c r="T45" s="238"/>
      <c r="U45" s="59" t="s">
        <v>160</v>
      </c>
      <c r="V45" s="300" t="s">
        <v>159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161</v>
      </c>
      <c r="V46" s="301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156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148</v>
      </c>
    </row>
    <row r="80" spans="3:20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45660</v>
      </c>
    </row>
    <row r="6" spans="2:31" ht="16.2" thickBot="1" x14ac:dyDescent="0.35">
      <c r="B6" s="140" t="s">
        <v>2</v>
      </c>
      <c r="C6" s="139" t="str">
        <f>'2229'!C10</f>
        <v>DIEGO APABLAZA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-10775.940033454106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149759.82</v>
      </c>
      <c r="E11" s="132">
        <f>D11*0.19</f>
        <v>28454.365800000003</v>
      </c>
      <c r="F11" s="131">
        <f>E11+D11</f>
        <v>178214.18580000001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95214.059966545901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51578.290787439619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77214.059966545901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98181.529212560388</v>
      </c>
      <c r="E13" s="221">
        <f>(D11/D12)-1</f>
        <v>1.9035436753260857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68214.059966545901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29214.059966545894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85104.179799275371</v>
      </c>
      <c r="F15" s="216">
        <f>E15-D12</f>
        <v>33525.889011835752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29214.059966545894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69214.059966545901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1744.2</v>
      </c>
      <c r="E20" s="121">
        <f>D20*0.19</f>
        <v>331.39800000000002</v>
      </c>
      <c r="F20" s="120">
        <f>SUM(D20:E20)</f>
        <v>2075.598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21744.2</v>
      </c>
      <c r="E21" s="116">
        <f>SUM(E18:E20)</f>
        <v>4131.3980000000001</v>
      </c>
      <c r="F21" s="115">
        <f>SUM(F18:F20)</f>
        <v>25875.597999999998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24322.967800000002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149759.82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21744.2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98181.529212560388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98181.529212560388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2025-01-03T17:48:29Z</dcterms:modified>
</cp:coreProperties>
</file>