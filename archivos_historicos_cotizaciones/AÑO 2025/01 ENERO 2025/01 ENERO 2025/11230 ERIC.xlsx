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AÑOS ANTERIORES\01 ENERO 2025\"/>
    </mc:Choice>
  </mc:AlternateContent>
  <xr:revisionPtr revIDLastSave="0" documentId="13_ncr:1_{891548DF-9B21-4F76-AE08-0E0AE7D3B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l="1"/>
  <c r="S21" i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l="1"/>
  <c r="H25" i="1" s="1"/>
  <c r="D11" i="3" l="1"/>
  <c r="X9" i="3" s="1"/>
  <c r="X15" i="3" s="1"/>
  <c r="H26" i="1"/>
  <c r="X16" i="3" l="1"/>
  <c r="M42" i="3"/>
  <c r="M46" i="3" s="1"/>
  <c r="M49" i="3" s="1"/>
  <c r="E13" i="3"/>
  <c r="D13" i="3"/>
  <c r="E11" i="3"/>
  <c r="D40" i="3" s="1"/>
  <c r="X12" i="3"/>
  <c r="X13" i="3"/>
  <c r="X14" i="3"/>
  <c r="X11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<sst xmlns="http://schemas.openxmlformats.org/spreadsheetml/2006/main" count="229" uniqueCount="173">
  <si>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</si>
  <si>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</si>
  <si>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</si>
  <si>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</si>
  <si>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</si>
  <si>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</si>
  <si>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</si>
  <si>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</si>
  <si>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</si>
  <si>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</si>
  <si>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</si>
  <si>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</si>
  <si>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</si>
  <si>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</si>
  <si>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</si>
  <si>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</si>
  <si>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</si>
  <si>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</si>
  <si>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</si>
  <si>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</si>
  <si>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</si>
  <si>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</si>
  <si>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</si>
  <si>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</si>
  <si>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</si>
  <si>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</si>
  <si>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</si>
  <si>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</si>
  <si>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</si>
  <si>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</si>
  <si>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</si>
  <si>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</si>
  <si>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</si>
  <si>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</si>
  <si>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</si>
  <si>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</si>
  <si>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</si>
  <si>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</si>
  <si>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</si>
  <si>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</si>
  <si>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</si>
  <si>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</si>
  <si>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</si>
  <si>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</si>
  <si>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</si>
  <si>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</si>
  <si>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</si>
  <si>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</si>
  <si>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</si>
  <si>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</si>
  <si>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</si>
  <si>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</si>
  <si>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</si>
  <si>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</si>
  <si>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</si>
  <si>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</si>
  <si>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</si>
  <si>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</si>
  <si>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</si>
  <si>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</si>
  <si>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</si>
  <si>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</si>
  <si>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</si>
  <si>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</si>
  <si>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</si>
  <si>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</si>
  <si>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</si>
  <si>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</si>
  <si>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</si>
  <si>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</si>
  <si>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</si>
  <si>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</si>
  <si>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</si>
  <si>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</si>
  <si>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</si>
  <si>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</si>
  <si>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</si>
  <si>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</si>
  <si>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</si>
  <si>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</si>
  <si>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</si>
  <si>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</si>
  <si>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</si>
  <si>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</si>
  <si>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</si>
  <si>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</si>
  <si>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</si>
  <si>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</si>
  <si>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</si>
  <si>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</si>
  <si>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</si>
  <si>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</si>
  <si>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</si>
  <si>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</si>
  <si>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</si>
  <si>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</si>
  <si>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</si>
  <si>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</si>
  <si>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</si>
  <si>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</si>
  <si>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</si>
  <si>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</si>
  <si>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</si>
  <si>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</si>
  <si>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</si>
  <si>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</si>
  <si>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</si>
  <si>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</si>
  <si>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</si>
  <si>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</si>
  <si>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</si>
  <si>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</si>
  <si>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</si>
  <si>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</si>
  <si>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</si>
  <si>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</si>
  <si>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</si>
  <si>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</si>
  <si>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</si>
  <si>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</si>
  <si>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</si>
  <si>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</si>
  <si>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</si>
  <si>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</si>
  <si>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</si>
  <si>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</si>
  <si>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</si>
  <si>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</si>
  <si>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</si>
  <si>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</si>
  <si>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</si>
  <si>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</si>
  <si>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</si>
  <si>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</si>
  <si>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</si>
  <si>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</si>
  <si>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</si>
  <si>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</si>
  <si>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</si>
  <si>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</si>
  <si>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</si>
  <si>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</si>
  <si>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</si>
  <si>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</si>
  <si>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</si>
  <si>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</si>
  <si>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</si>
  <si>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</si>
  <si>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</si>
  <si>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</si>
  <si>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</si>
  <si>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</si>
  <si>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</si>
  <si>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</si>
  <si>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</si>
  <si>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</si>
  <si>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</si>
  <si>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</si>
  <si>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</si>
  <si>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</si>
  <si>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</si>
  <si>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</si>
  <si>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</si>
  <si>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</si>
  <si>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</si>
  <si>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</si>
  <si>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</si>
  <si>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</si>
  <si>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CUB MESA 4 LADOS</t>
  </si>
  <si>
    <t>NEGRO MT</t>
  </si>
  <si>
    <t>N° 11230</t>
  </si>
  <si>
    <t>ERIC</t>
  </si>
  <si>
    <t>+56 9 5660 0038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</si>
</sst>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SOBREMEDIDAS EN EL LARGO.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171</v>
      </c>
      <c r="D10" s="243"/>
      <c r="E10" s="243"/>
      <c r="F10" s="244" t="s">
        <v>0</v>
      </c>
      <c r="G10" s="276">
        <v>45660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67633.583916083895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</v>
      </c>
      <c r="C21" s="330" t="s">
        <v>168</v>
      </c>
      <c r="D21" s="331">
        <v>2</v>
      </c>
      <c r="E21" s="331">
        <v>0.55000000000000004</v>
      </c>
      <c r="F21" s="330" t="s">
        <v>169</v>
      </c>
      <c r="G21" s="332">
        <f>Q21</f>
        <v>77372.819999999978</v>
      </c>
      <c r="H21" s="332">
        <f>G21*B21</f>
        <v>154745.63999999996</v>
      </c>
      <c r="I21" s="320"/>
      <c r="J21" s="265"/>
      <c r="K21" s="47"/>
      <c r="L21" s="47">
        <f>B21</f>
        <v>2</v>
      </c>
      <c r="M21" s="39">
        <f>D21+M$19</f>
        <v>2.08</v>
      </c>
      <c r="N21" s="39">
        <f>E21+$N$19</f>
        <v>0.55000000000000004</v>
      </c>
      <c r="O21" s="261">
        <f t="shared" ref="O21" si="1">M21*N21</f>
        <v>1.1440000000000001</v>
      </c>
      <c r="P21" s="259">
        <f t="shared" ref="P21" si="2">O21*L21</f>
        <v>2.2880000000000003</v>
      </c>
      <c r="Q21" s="252">
        <f t="shared" ref="Q21" si="3">Q$20*O21</f>
        <v>77372.819999999978</v>
      </c>
      <c r="R21" s="319">
        <f t="shared" ref="R21" si="4">Q21+R$20</f>
        <v>80372.819999999978</v>
      </c>
      <c r="S21" s="297">
        <f>M21*L21</f>
        <v>4.16</v>
      </c>
      <c r="T21" s="46">
        <f>N21*2*L21*2</f>
        <v>4.4000000000000004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154745.63999999996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4.4000000000000004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29401.671599999991</v>
      </c>
      <c r="I25" s="322"/>
      <c r="J25" s="265"/>
      <c r="K25" s="47"/>
      <c r="L25" s="47"/>
      <c r="M25" s="39">
        <f>SUM(M21:M24)</f>
        <v>2.08</v>
      </c>
      <c r="N25" s="12"/>
      <c r="O25" s="12"/>
      <c r="P25" s="253">
        <f>SUM(P21:P23)</f>
        <v>2.2880000000000003</v>
      </c>
      <c r="Q25" s="14"/>
      <c r="R25" s="12"/>
      <c r="S25" s="239">
        <f>SUM(S21:S24)</f>
        <v>4.16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184147.31159999996</v>
      </c>
      <c r="I26" s="322"/>
      <c r="J26" s="265"/>
      <c r="K26" s="47"/>
      <c r="L26" s="47"/>
      <c r="M26" s="39"/>
      <c r="N26" s="12"/>
      <c r="O26" s="12"/>
      <c r="P26" s="253">
        <f>P25</f>
        <v>2.2880000000000003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0.45760000000000006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2.7456000000000005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2.7456000000000005</v>
      </c>
      <c r="N30" s="12">
        <v>1500</v>
      </c>
      <c r="O30" s="12">
        <f t="shared" ref="O30:O35" si="5">M30*N30</f>
        <v>4118.4000000000005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0.8</v>
      </c>
      <c r="N31" s="12">
        <v>25000</v>
      </c>
      <c r="O31" s="12">
        <f t="shared" si="5"/>
        <v>20000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46570</v>
      </c>
      <c r="O33" s="12">
        <f t="shared" si="5"/>
        <v>46570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2</v>
      </c>
      <c r="N35" s="12">
        <v>1500</v>
      </c>
      <c r="O35" s="12">
        <f t="shared" si="5"/>
        <v>3000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73688.399999999994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154745.63999999998</v>
      </c>
      <c r="P37" s="14" t="s">
        <v>140</v>
      </c>
      <c r="Q37" s="14"/>
      <c r="R37" s="40">
        <f>P28/R36</f>
        <v>0.74029335634167392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60910</v>
      </c>
      <c r="L38" s="250"/>
      <c r="M38" s="14"/>
      <c r="N38" s="12"/>
      <c r="O38" s="12">
        <f>O37/P26</f>
        <v>67633.583916083895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51184.873949579836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45660</v>
      </c>
    </row>
    <row r="6" spans="2:31" ht="16.2" thickBot="1" x14ac:dyDescent="0.35">
      <c r="B6" s="140" t="s">
        <v>2</v>
      </c>
      <c r="C6" s="139" t="str">
        <f>'2229'!C10</f>
        <v>ERIC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-10954.005033454099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154745.63999999996</v>
      </c>
      <c r="E11" s="132">
        <f>D11*0.19</f>
        <v>29401.671599999991</v>
      </c>
      <c r="F11" s="131">
        <f>E11+D11</f>
        <v>184147.31159999996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95035.994966545899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53952.490787439616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77035.994966545899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100793.14921256034</v>
      </c>
      <c r="E13" s="221">
        <f>(D11/D12)-1</f>
        <v>1.8681834284474861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68035.994966545899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29035.994966545899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89021.609799275364</v>
      </c>
      <c r="F15" s="216">
        <f>E15-D12</f>
        <v>35069.119011835748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29035.994966545899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69035.994966545899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4118.4000000000005</v>
      </c>
      <c r="E20" s="121">
        <f>D20*0.19</f>
        <v>782.49600000000009</v>
      </c>
      <c r="F20" s="120">
        <f>SUM(D20:E20)</f>
        <v>4900.8960000000006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24118.400000000001</v>
      </c>
      <c r="E21" s="116">
        <f>SUM(E18:E20)</f>
        <v>4582.4960000000001</v>
      </c>
      <c r="F21" s="115">
        <f>SUM(F18:F20)</f>
        <v>28700.896000000001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24819.175599999991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154745.63999999996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24118.400000000001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100793.14921256034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100793.14921256034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2024-11-15T12:18:00Z</cp:lastPrinted>
  <dcterms:created xsi:type="dcterms:W3CDTF">2013-03-18T13:35:42Z</dcterms:created>
  <dcterms:modified xsi:type="dcterms:W3CDTF">2025-01-03T17:28:14Z</dcterms:modified>
</cp:coreProperties>
</file>