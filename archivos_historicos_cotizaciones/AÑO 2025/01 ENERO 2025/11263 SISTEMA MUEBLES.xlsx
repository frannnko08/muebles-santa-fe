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46B46002-E61F-4802-A648-FE8C970754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O38" i="1"/>
  <c r="N22" i="1"/>
  <c r="O22" i="1" s="1"/>
  <c r="P22" i="1" s="1"/>
  <c r="L22" i="1"/>
  <c r="M22" i="1"/>
  <c r="S22" i="1"/>
  <c r="L21" i="1"/>
  <c r="N21" i="1"/>
  <c r="M21" i="1" l="1"/>
  <c r="M26" i="1" s="1"/>
  <c r="S21" i="1" l="1"/>
  <c r="S27" i="1" s="1"/>
  <c r="T21" i="1"/>
  <c r="T25" i="1" s="1"/>
  <c r="O21" i="1"/>
  <c r="P21" i="1" s="1"/>
  <c r="P26" i="1" s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D20" i="3" l="1"/>
  <c r="E20" i="3" s="1"/>
  <c r="E21" i="3" s="1"/>
  <c r="O39" i="1" l="1"/>
  <c r="Q20" i="1" s="1"/>
  <c r="Q22" i="1" s="1"/>
  <c r="R22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<sst xmlns="http://schemas.openxmlformats.org/spreadsheetml/2006/main" count="234" uniqueCount="177">
  <si>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</si>
  <si>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</si>
  <si>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</si>
  <si>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</si>
  <si>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</si>
  <si>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</si>
  <si>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</si>
  <si>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</si>
  <si>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</si>
  <si>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</si>
  <si>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</si>
  <si>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</si>
  <si>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</si>
  <si>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</si>
  <si>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</si>
  <si>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</si>
  <si>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</si>
  <si>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</si>
  <si>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</si>
  <si>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</si>
  <si>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</si>
  <si>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</si>
  <si>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</si>
  <si>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</si>
  <si>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</si>
  <si>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</si>
  <si>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</si>
  <si>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</si>
  <si>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</si>
  <si>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</si>
  <si>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</si>
  <si>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</si>
  <si>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</si>
  <si>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</si>
  <si>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</si>
  <si>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</si>
  <si>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</si>
  <si>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</si>
  <si>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</si>
  <si>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</si>
  <si>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</si>
  <si>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</si>
  <si>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</si>
  <si>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</si>
  <si>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</si>
  <si>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</si>
  <si>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</si>
  <si>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</si>
  <si>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</si>
  <si>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</si>
  <si>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</si>
  <si>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</si>
  <si>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</si>
  <si>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</si>
  <si>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</si>
  <si>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</si>
  <si>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</si>
  <si>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</si>
  <si>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</si>
  <si>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</si>
  <si>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</si>
  <si>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</si>
  <si>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</si>
  <si>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</si>
  <si>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</si>
  <si>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</si>
  <si>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</si>
  <si>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</si>
  <si>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</si>
  <si>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</si>
  <si>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</si>
  <si>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</si>
  <si>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</si>
  <si>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</si>
  <si>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</si>
  <si>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</si>
  <si>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</si>
  <si>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</si>
  <si>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</si>
  <si>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</si>
  <si>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</si>
  <si>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</si>
  <si>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</si>
  <si>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</si>
  <si>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</si>
  <si>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</si>
  <si>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</si>
  <si>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</si>
  <si>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</si>
  <si>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</si>
  <si>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</si>
  <si>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</si>
  <si>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</si>
  <si>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</si>
  <si>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</si>
  <si>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</si>
  <si>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</si>
  <si>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</si>
  <si>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</si>
  <si>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</si>
  <si>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</si>
  <si>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</si>
  <si>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</si>
  <si>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</si>
  <si>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</si>
  <si>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</si>
  <si>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</si>
  <si>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</si>
  <si>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</si>
  <si>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</si>
  <si>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</si>
  <si>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</si>
  <si>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</si>
  <si>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</si>
  <si>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</si>
  <si>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</si>
  <si>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</si>
  <si>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</si>
  <si>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</si>
  <si>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</si>
  <si>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</si>
  <si>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</si>
  <si>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</si>
  <si>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</si>
  <si>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</si>
  <si>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</si>
  <si>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</si>
  <si>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</si>
  <si>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</si>
  <si>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</si>
  <si>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</si>
  <si>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</si>
  <si>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</si>
  <si>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</si>
  <si>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</si>
  <si>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</si>
  <si>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</si>
  <si>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</si>
  <si>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</si>
  <si>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</si>
  <si>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</si>
  <si>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</si>
  <si>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</si>
  <si>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</si>
  <si>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</si>
  <si>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</si>
  <si>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</si>
  <si>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</si>
  <si>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</si>
  <si>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</si>
  <si>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</si>
  <si>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</si>
  <si>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</si>
  <si>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</si>
  <si>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</si>
  <si>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</si>
  <si>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</si>
  <si>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</si>
  <si>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</si>
  <si>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</si>
  <si>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</si>
  <si>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</si>
  <si>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</si>
  <si>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</si>
  <si>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</si>
  <si>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SISTEMA MUEBLES</t>
  </si>
  <si>
    <t>+569 68244208</t>
  </si>
  <si>
    <t>BALANCE</t>
  </si>
  <si>
    <t>LAMINA 153X366</t>
  </si>
  <si>
    <t>alternativa 2</t>
  </si>
  <si>
    <t>19 de 153x366</t>
  </si>
  <si>
    <t>N° 11263</t>
  </si>
  <si>
    <t>ALEX VALDIVIA</t>
  </si>
  <si>
    <t>10 DIAS HABILES</t>
  </si>
  <si>
    <t>CORNISA 90° R12</t>
  </si>
  <si>
    <t>CENEFA R12 1 VUELTA</t>
  </si>
  <si>
    <t>ONTARIO OAK 1540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</si>
</sst>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30MM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8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9" t="s">
        <v>171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D9">
        <v>0</v>
      </c>
      <c r="R9" s="2"/>
      <c r="S9" s="3"/>
      <c r="T9" s="3"/>
      <c r="U9" s="4"/>
      <c r="V9" s="2"/>
      <c r="W9" s="3"/>
    </row>
    <row r="10" spans="2:24" x14ac:dyDescent="0.3">
      <c r="B10" s="305" t="s">
        <v>160</v>
      </c>
      <c r="C10" s="278" t="s">
        <v>165</v>
      </c>
      <c r="D10" s="243"/>
      <c r="E10" s="243"/>
      <c r="F10" s="244" t="s">
        <v>0</v>
      </c>
      <c r="G10" s="276">
        <v>45678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173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6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C13" t="s">
        <v>172</v>
      </c>
      <c r="G13" s="307"/>
      <c r="H13" s="289"/>
      <c r="Q13" s="19"/>
      <c r="R13" s="25"/>
      <c r="S13" s="19"/>
    </row>
    <row r="14" spans="2:24" x14ac:dyDescent="0.3">
      <c r="B14" s="246" t="s">
        <v>138</v>
      </c>
      <c r="C14" s="314"/>
      <c r="D14" s="247"/>
      <c r="E14" s="247"/>
      <c r="F14" s="315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166</v>
      </c>
      <c r="D15" s="310"/>
      <c r="F15" t="s">
        <v>133</v>
      </c>
      <c r="G15" s="308" t="s">
        <v>134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128</v>
      </c>
      <c r="G16" s="318" t="s">
        <v>161</v>
      </c>
      <c r="H16" s="248"/>
    </row>
    <row r="17" spans="1:25" ht="15" thickBot="1" x14ac:dyDescent="0.35">
      <c r="B17" s="311" t="s">
        <v>13</v>
      </c>
      <c r="C17" s="312" t="s">
        <v>164</v>
      </c>
      <c r="D17" s="313"/>
      <c r="E17" s="119"/>
      <c r="F17" s="333" t="s">
        <v>163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94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>
        <v>0.05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O39</f>
        <v>91805.67890314023</v>
      </c>
      <c r="R20" s="258">
        <v>3000</v>
      </c>
      <c r="S20" s="38"/>
      <c r="T20" s="14" t="s">
        <v>127</v>
      </c>
      <c r="U20" s="9"/>
      <c r="X20" s="4"/>
    </row>
    <row r="21" spans="1:25" ht="17.399999999999999" x14ac:dyDescent="0.3">
      <c r="B21" s="330">
        <v>20</v>
      </c>
      <c r="C21" s="330" t="s">
        <v>174</v>
      </c>
      <c r="D21" s="332">
        <v>3</v>
      </c>
      <c r="E21" s="332">
        <v>0.13900000000000001</v>
      </c>
      <c r="F21" s="330" t="s">
        <v>176</v>
      </c>
      <c r="G21" s="331">
        <v>56442</v>
      </c>
      <c r="H21" s="331">
        <f>G21*B21</f>
        <v>1128840</v>
      </c>
      <c r="I21" s="320"/>
      <c r="J21" s="265"/>
      <c r="K21" s="47"/>
      <c r="L21" s="47">
        <f>B21</f>
        <v>20</v>
      </c>
      <c r="M21" s="39">
        <f>D21+M$19</f>
        <v>3.08</v>
      </c>
      <c r="N21" s="39">
        <f>E21+$N$19</f>
        <v>0.189</v>
      </c>
      <c r="O21" s="261">
        <f t="shared" ref="O21" si="1">M21*N21</f>
        <v>0.58211999999999997</v>
      </c>
      <c r="P21" s="259">
        <f t="shared" ref="P21" si="2">O21*L21</f>
        <v>11.642399999999999</v>
      </c>
      <c r="Q21" s="252">
        <f t="shared" ref="Q21" si="3">Q$20*O21</f>
        <v>53441.921803095989</v>
      </c>
      <c r="R21" s="319">
        <f t="shared" ref="R21" si="4">Q21+R$20</f>
        <v>56441.921803095989</v>
      </c>
      <c r="S21" s="297">
        <f t="shared" ref="S21" si="5">L21*M21*2</f>
        <v>123.2</v>
      </c>
      <c r="T21" s="46">
        <f>N21*2*L21*2</f>
        <v>15.120000000000001</v>
      </c>
      <c r="U21" s="9"/>
      <c r="X21" s="4"/>
    </row>
    <row r="22" spans="1:25" ht="17.399999999999999" x14ac:dyDescent="0.3">
      <c r="B22" s="330">
        <v>20</v>
      </c>
      <c r="C22" s="330" t="s">
        <v>175</v>
      </c>
      <c r="D22" s="332">
        <v>3</v>
      </c>
      <c r="E22" s="332">
        <v>0.13400000000000001</v>
      </c>
      <c r="F22" s="330" t="s">
        <v>176</v>
      </c>
      <c r="G22" s="331">
        <v>40890</v>
      </c>
      <c r="H22" s="331">
        <f>G22*B22</f>
        <v>817800</v>
      </c>
      <c r="I22" s="320"/>
      <c r="J22" s="265"/>
      <c r="K22" s="47"/>
      <c r="L22" s="47">
        <f>B22</f>
        <v>20</v>
      </c>
      <c r="M22" s="39">
        <f>D22+M$19</f>
        <v>3.08</v>
      </c>
      <c r="N22" s="39">
        <f>E22</f>
        <v>0.13400000000000001</v>
      </c>
      <c r="O22" s="261">
        <f t="shared" ref="O22" si="6">M22*N22</f>
        <v>0.41272000000000003</v>
      </c>
      <c r="P22" s="259">
        <f t="shared" ref="P22" si="7">O22*L22</f>
        <v>8.2544000000000004</v>
      </c>
      <c r="Q22" s="252">
        <f t="shared" ref="Q22" si="8">Q$20*O22</f>
        <v>37890.039796904035</v>
      </c>
      <c r="R22" s="319">
        <f t="shared" ref="R22" si="9">Q22+R$20</f>
        <v>40890.039796904035</v>
      </c>
      <c r="S22" s="297">
        <f t="shared" ref="S22" si="10">L22*M22*2</f>
        <v>123.2</v>
      </c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1946640</v>
      </c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15.120000000000001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50</v>
      </c>
      <c r="H26" s="294">
        <f>H25*19%</f>
        <v>369861.6</v>
      </c>
      <c r="I26" s="322"/>
      <c r="J26" s="265"/>
      <c r="K26" s="47"/>
      <c r="L26" s="47"/>
      <c r="M26" s="39">
        <f>SUM(M21:M25)</f>
        <v>6.16</v>
      </c>
      <c r="N26" s="12"/>
      <c r="O26" s="12"/>
      <c r="P26" s="253">
        <f>SUM(P21:P24)</f>
        <v>19.896799999999999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2316501.6</v>
      </c>
      <c r="I27" s="322"/>
      <c r="J27" s="265"/>
      <c r="K27" s="47"/>
      <c r="L27" s="47"/>
      <c r="M27" s="39"/>
      <c r="N27" s="12"/>
      <c r="O27" s="12"/>
      <c r="P27" s="253">
        <f>P26</f>
        <v>19.896799999999999</v>
      </c>
      <c r="Q27" s="14"/>
      <c r="R27" s="12"/>
      <c r="S27" s="239">
        <f>SUM(S21:S26)</f>
        <v>246.4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3.9793599999999998</v>
      </c>
      <c r="Q28" s="39" t="s">
        <v>129</v>
      </c>
      <c r="R28" s="42"/>
      <c r="S28" s="240">
        <f>S27+T25</f>
        <v>261.52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23.876159999999999</v>
      </c>
      <c r="Q29" s="14"/>
      <c r="R29" s="14"/>
      <c r="S29" s="238">
        <f>S28*20%</f>
        <v>52.304000000000002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313.82399999999996</v>
      </c>
      <c r="T30" s="14"/>
      <c r="U30" s="302" t="s">
        <v>21</v>
      </c>
      <c r="V30" s="299" t="s">
        <v>150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23.876159999999999</v>
      </c>
      <c r="N31" s="12">
        <v>3500</v>
      </c>
      <c r="O31" s="12">
        <f t="shared" ref="O31:O33" si="11">M31*N31</f>
        <v>83566.559999999998</v>
      </c>
      <c r="P31" s="14" t="s">
        <v>21</v>
      </c>
      <c r="Q31" s="14"/>
      <c r="R31" s="14"/>
      <c r="S31" s="241"/>
      <c r="T31" s="14"/>
      <c r="U31" s="302" t="s">
        <v>151</v>
      </c>
      <c r="V31" s="299">
        <v>3625</v>
      </c>
      <c r="W31" s="59" t="s">
        <v>152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5</v>
      </c>
      <c r="N32" s="12">
        <v>49500</v>
      </c>
      <c r="O32" s="12">
        <f t="shared" si="11"/>
        <v>247500</v>
      </c>
      <c r="P32" s="39" t="s">
        <v>30</v>
      </c>
      <c r="Q32" s="42"/>
      <c r="R32" s="14"/>
      <c r="S32" s="240"/>
      <c r="T32" s="14"/>
      <c r="U32" s="302"/>
      <c r="V32" s="59">
        <v>906.25</v>
      </c>
      <c r="W32" s="59" t="s">
        <v>153</v>
      </c>
      <c r="X32" s="304"/>
    </row>
    <row r="33" spans="2:24" s="230" customFormat="1" ht="17.399999999999999" x14ac:dyDescent="0.35">
      <c r="B33" s="24" t="s">
        <v>149</v>
      </c>
      <c r="J33" s="262"/>
      <c r="K33" s="232"/>
      <c r="L33" s="250"/>
      <c r="M33" s="14"/>
      <c r="N33" s="250">
        <v>15041</v>
      </c>
      <c r="O33" s="12">
        <f t="shared" si="11"/>
        <v>0</v>
      </c>
      <c r="P33" s="39" t="s">
        <v>167</v>
      </c>
      <c r="Q33" s="42"/>
      <c r="S33" s="240"/>
      <c r="T33" s="256"/>
      <c r="U33" s="59"/>
      <c r="V33" s="59">
        <f>V32*20%</f>
        <v>181.25</v>
      </c>
      <c r="W33" s="304" t="s">
        <v>154</v>
      </c>
      <c r="X33" s="59"/>
    </row>
    <row r="34" spans="2:24" s="230" customFormat="1" ht="17.399999999999999" x14ac:dyDescent="0.35">
      <c r="B34" s="24" t="s">
        <v>142</v>
      </c>
      <c r="C34"/>
      <c r="D34"/>
      <c r="E34"/>
      <c r="F34"/>
      <c r="J34" s="262"/>
      <c r="K34" s="232"/>
      <c r="L34" s="250"/>
      <c r="M34" s="14">
        <v>8</v>
      </c>
      <c r="N34" s="250">
        <v>62403</v>
      </c>
      <c r="O34" s="12">
        <f>M34*N34</f>
        <v>499224</v>
      </c>
      <c r="P34" s="14" t="s">
        <v>168</v>
      </c>
      <c r="S34" s="238"/>
      <c r="T34" s="256"/>
      <c r="U34" s="59"/>
      <c r="V34" s="59">
        <f>V32+V33</f>
        <v>1087.5</v>
      </c>
      <c r="W34" s="304" t="s">
        <v>155</v>
      </c>
      <c r="X34" s="59"/>
    </row>
    <row r="35" spans="2:24" s="230" customFormat="1" ht="17.399999999999999" x14ac:dyDescent="0.35">
      <c r="B35" s="29" t="s">
        <v>124</v>
      </c>
      <c r="C35"/>
      <c r="D35"/>
      <c r="E35"/>
      <c r="F35" s="229" t="s">
        <v>15</v>
      </c>
      <c r="I35" s="230" t="s">
        <v>169</v>
      </c>
      <c r="J35" s="262"/>
      <c r="K35" s="260"/>
      <c r="L35" s="250"/>
      <c r="M35" s="249"/>
      <c r="N35" s="250">
        <v>900</v>
      </c>
      <c r="O35" s="12">
        <f>M35*N35</f>
        <v>0</v>
      </c>
      <c r="P35" s="14" t="s">
        <v>31</v>
      </c>
      <c r="Q35" s="17"/>
      <c r="R35" s="230">
        <v>2.12</v>
      </c>
      <c r="S35" s="238"/>
      <c r="T35" s="238"/>
    </row>
    <row r="36" spans="2:24" s="230" customFormat="1" ht="17.399999999999999" x14ac:dyDescent="0.35">
      <c r="I36" s="230" t="s">
        <v>170</v>
      </c>
      <c r="J36" s="293"/>
      <c r="K36" s="260"/>
      <c r="L36" s="250"/>
      <c r="M36" s="266"/>
      <c r="N36" s="12">
        <v>1500</v>
      </c>
      <c r="O36" s="12">
        <f>M36*N36</f>
        <v>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830290.56</v>
      </c>
      <c r="P37" s="39" t="s">
        <v>23</v>
      </c>
      <c r="Q37" s="14"/>
      <c r="R37">
        <f>R35*R36</f>
        <v>5.1728000000000005</v>
      </c>
      <c r="S37"/>
      <c r="T37" s="238"/>
      <c r="X37" s="231"/>
    </row>
    <row r="38" spans="2:24" s="230" customFormat="1" ht="17.399999999999999" x14ac:dyDescent="0.35">
      <c r="L38" s="250"/>
      <c r="M38" s="254" t="s">
        <v>32</v>
      </c>
      <c r="N38" s="12"/>
      <c r="O38" s="255">
        <f>O37*2.2</f>
        <v>1826639.2320000003</v>
      </c>
      <c r="P38" s="14" t="s">
        <v>139</v>
      </c>
      <c r="Q38" s="14"/>
      <c r="R38" s="40">
        <f>P29/R37</f>
        <v>4.6157129600989784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74260</v>
      </c>
      <c r="L39" s="250"/>
      <c r="M39" s="14"/>
      <c r="N39" s="12"/>
      <c r="O39" s="12">
        <f>O38/P27</f>
        <v>91805.67890314023</v>
      </c>
      <c r="P39" s="45" t="s">
        <v>24</v>
      </c>
      <c r="Q39" s="14"/>
      <c r="R39" s="14"/>
      <c r="S39"/>
      <c r="T39" s="238"/>
      <c r="U39" s="59" t="s">
        <v>156</v>
      </c>
      <c r="V39" s="299">
        <v>43650</v>
      </c>
    </row>
    <row r="40" spans="2:24" s="230" customFormat="1" ht="17.399999999999999" x14ac:dyDescent="0.35">
      <c r="G40"/>
      <c r="K40" s="230">
        <f>K39/1.19</f>
        <v>62403.361344537821</v>
      </c>
      <c r="L40" s="250"/>
      <c r="M40" s="13"/>
      <c r="N40" s="14"/>
      <c r="O40" s="17">
        <f>O38/O37</f>
        <v>2.2000000000000002</v>
      </c>
      <c r="P40" s="15"/>
      <c r="Q40" s="14"/>
      <c r="R40"/>
      <c r="S40"/>
      <c r="T40" s="238"/>
      <c r="U40" s="59" t="s">
        <v>158</v>
      </c>
      <c r="V40" s="300" t="s">
        <v>157</v>
      </c>
      <c r="W40" s="59">
        <v>2.4</v>
      </c>
    </row>
    <row r="41" spans="2:24" s="230" customFormat="1" ht="17.399999999999999" x14ac:dyDescent="0.35">
      <c r="G41" s="23"/>
      <c r="L41" s="12"/>
      <c r="Q41"/>
      <c r="T41" s="238"/>
      <c r="U41" s="59" t="s">
        <v>159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154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146</v>
      </c>
    </row>
    <row r="75" spans="3:15" x14ac:dyDescent="0.3">
      <c r="C75" t="s">
        <v>145</v>
      </c>
    </row>
    <row r="78" spans="3:15" x14ac:dyDescent="0.3">
      <c r="C78" t="s">
        <v>145</v>
      </c>
    </row>
    <row r="155" spans="3:3" x14ac:dyDescent="0.3">
      <c r="C155" t="s">
        <v>145</v>
      </c>
    </row>
    <row r="156" spans="3:3" x14ac:dyDescent="0.3">
      <c r="C156" t="s">
        <v>147</v>
      </c>
    </row>
    <row r="157" spans="3:3" x14ac:dyDescent="0.3">
      <c r="C157" t="s">
        <v>148</v>
      </c>
    </row>
    <row r="582" spans="3:3" x14ac:dyDescent="0.3">
      <c r="C582" t="s">
        <v>145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45678</v>
      </c>
    </row>
    <row r="6" spans="2:31" ht="16.2" thickBot="1" x14ac:dyDescent="0.35">
      <c r="B6" s="140" t="s">
        <v>2</v>
      </c>
      <c r="C6" s="139" t="str">
        <f>'2229'!C10</f>
        <v>SISTEMA MUEBLES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97</v>
      </c>
      <c r="I7" s="340"/>
      <c r="J7" s="340"/>
      <c r="K7" s="341"/>
      <c r="N7" s="75"/>
      <c r="O7" s="338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11263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8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-225192.32103345412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'2229'!H25</f>
        <v>1946640</v>
      </c>
      <c r="E11" s="132">
        <f>D11*0.19</f>
        <v>369861.6</v>
      </c>
      <c r="F11" s="131">
        <f>E11+D11</f>
        <v>2316501.6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-119202.32103345412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360900.65078743966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-137202.32103345412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1585739.3492125603</v>
      </c>
      <c r="E13" s="221">
        <f>(D11/D12)-1</f>
        <v>4.393838985196278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-146202.32103345412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-185202.32103345412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595486.07379927544</v>
      </c>
      <c r="F15" s="216">
        <f>E15-D12</f>
        <v>234585.42301183578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-185202.32103345412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-145202.32103345412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'2229'!O32</f>
        <v>247500</v>
      </c>
      <c r="E19" s="123">
        <f>D19*0.19</f>
        <v>47025</v>
      </c>
      <c r="F19" s="120">
        <f>SUM(D19:E19)</f>
        <v>294525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83566.559999999998</v>
      </c>
      <c r="E20" s="121">
        <f>D20*0.19</f>
        <v>15877.6464</v>
      </c>
      <c r="F20" s="120">
        <f>SUM(D20:E20)</f>
        <v>99444.206399999995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331066.56</v>
      </c>
      <c r="E21" s="116">
        <f>SUM(E18:E20)</f>
        <v>62902.646399999998</v>
      </c>
      <c r="F21" s="115">
        <f>SUM(F18:F20)</f>
        <v>393969.20640000002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306958.95360000001</v>
      </c>
    </row>
    <row r="41" spans="2:16" ht="15" thickBot="1" x14ac:dyDescent="0.35">
      <c r="H41" s="342" t="s">
        <v>59</v>
      </c>
      <c r="I41" s="343"/>
      <c r="J41" s="343"/>
      <c r="K41" s="343"/>
      <c r="L41" s="343"/>
      <c r="M41" s="344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1946640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331066.56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1585739.3492125603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1585739.3492125603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2025-01-03T15:29:49Z</cp:lastPrinted>
  <dcterms:created xsi:type="dcterms:W3CDTF">2013-03-18T13:35:42Z</dcterms:created>
  <dcterms:modified xsi:type="dcterms:W3CDTF">2025-01-21T21:48:06Z</dcterms:modified>
</cp:coreProperties>
</file>