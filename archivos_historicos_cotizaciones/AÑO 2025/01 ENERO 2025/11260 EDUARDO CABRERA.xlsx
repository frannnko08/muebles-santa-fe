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28BA6B4E-517A-4B63-AC22-DF234B760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5" i="1" s="1"/>
  <c r="S21" i="1" l="1"/>
  <c r="S25" i="1" s="1"/>
  <c r="T21" i="1"/>
  <c r="T24" i="1" s="1"/>
  <c r="O21" i="1"/>
  <c r="P21" i="1" s="1"/>
  <c r="P25" i="1" s="1"/>
  <c r="K39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l="1"/>
  <c r="H25" i="1" s="1"/>
  <c r="D11" i="3" l="1"/>
  <c r="X9" i="3" s="1"/>
  <c r="X15" i="3" s="1"/>
  <c r="H26" i="1"/>
  <c r="D13" i="3"/>
  <c r="E13" i="3"/>
  <c r="X16" i="3" l="1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<sst xmlns="http://schemas.openxmlformats.org/spreadsheetml/2006/main" count="230" uniqueCount="176">
  <si>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</si>
  <si>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</si>
  <si>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</si>
  <si>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</si>
  <si>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</si>
  <si>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</si>
  <si>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</si>
  <si>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</si>
  <si>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</si>
  <si>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</si>
  <si>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</si>
  <si>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</si>
  <si>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</si>
  <si>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</si>
  <si>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</si>
  <si>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</si>
  <si>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</si>
  <si>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</si>
  <si>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</si>
  <si>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</si>
  <si>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</si>
  <si>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</si>
  <si>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</si>
  <si>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</si>
  <si>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</si>
  <si>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</si>
  <si>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</si>
  <si>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</si>
  <si>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</si>
  <si>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</si>
  <si>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</si>
  <si>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</si>
  <si>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</si>
  <si>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</si>
  <si>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</si>
  <si>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</si>
  <si>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</si>
  <si>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</si>
  <si>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</si>
  <si>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</si>
  <si>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</si>
  <si>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</si>
  <si>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</si>
  <si>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</si>
  <si>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</si>
  <si>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</si>
  <si>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</si>
  <si>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</si>
  <si>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</si>
  <si>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</si>
  <si>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</si>
  <si>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</si>
  <si>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</si>
  <si>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</si>
  <si>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</si>
  <si>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</si>
  <si>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</si>
  <si>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</si>
  <si>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</si>
  <si>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</si>
  <si>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</si>
  <si>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</si>
  <si>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</si>
  <si>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</si>
  <si>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</si>
  <si>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</si>
  <si>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</si>
  <si>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</si>
  <si>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</si>
  <si>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</si>
  <si>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</si>
  <si>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</si>
  <si>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</si>
  <si>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</si>
  <si>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</si>
  <si>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</si>
  <si>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</si>
  <si>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</si>
  <si>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</si>
  <si>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</si>
  <si>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</si>
  <si>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</si>
  <si>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</si>
  <si>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</si>
  <si>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</si>
  <si>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</si>
  <si>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</si>
  <si>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</si>
  <si>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</si>
  <si>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</si>
  <si>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</si>
  <si>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</si>
  <si>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</si>
  <si>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</si>
  <si>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</si>
  <si>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</si>
  <si>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</si>
  <si>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</si>
  <si>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</si>
  <si>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</si>
  <si>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</si>
  <si>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</si>
  <si>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</si>
  <si>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</si>
  <si>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</si>
  <si>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</si>
  <si>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</si>
  <si>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</si>
  <si>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</si>
  <si>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</si>
  <si>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</si>
  <si>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</si>
  <si>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</si>
  <si>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</si>
  <si>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</si>
  <si>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</si>
  <si>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</si>
  <si>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</si>
  <si>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</si>
  <si>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</si>
  <si>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</si>
  <si>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</si>
  <si>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</si>
  <si>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</si>
  <si>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</si>
  <si>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</si>
  <si>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</si>
  <si>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</si>
  <si>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</si>
  <si>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</si>
  <si>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</si>
  <si>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</si>
  <si>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</si>
  <si>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</si>
  <si>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</si>
  <si>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</si>
  <si>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</si>
  <si>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</si>
  <si>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</si>
  <si>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</si>
  <si>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</si>
  <si>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</si>
  <si>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</si>
  <si>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</si>
  <si>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</si>
  <si>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</si>
  <si>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</si>
  <si>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</si>
  <si>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</si>
  <si>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</si>
  <si>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</si>
  <si>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</si>
  <si>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</si>
  <si>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</si>
  <si>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</si>
  <si>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</si>
  <si>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</si>
  <si>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</si>
  <si>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</si>
  <si>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</si>
  <si>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</si>
  <si>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</si>
  <si>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</si>
  <si>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</si>
  <si>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</si>
  <si>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</si>
  <si>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N° 11260</t>
  </si>
  <si>
    <t>EDUARDO CABERA</t>
  </si>
  <si>
    <t>PUERTO MONTT</t>
  </si>
  <si>
    <t>+569 6919 7984</t>
  </si>
  <si>
    <t>DESPACHO A OSORNO</t>
  </si>
  <si>
    <t>CUB MESA 90° R12 2 LADOS</t>
  </si>
  <si>
    <t>BLANCO 2114 F6 MT</t>
  </si>
  <si>
    <t>POR LOTES A CONVENIR</t>
  </si>
  <si>
    <t>SI</t>
  </si>
  <si>
    <t>POR TRANSPORTES FLETE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</si>
</sst>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0" xfId="0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CORTADAS A LA MEDIDA, EMBALADAS PARA</a:t>
          </a:r>
          <a:r>
            <a:rPr lang="es-CL" sz="1200" b="1" baseline="0"/>
            <a:t> DESPACHO POR TRANSPORTES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48.6640625" customWidth="1"/>
    <col min="4" max="4" width="11.109375" customWidth="1"/>
    <col min="5" max="5" width="10.5546875" customWidth="1"/>
    <col min="6" max="6" width="3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45677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174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8" t="s">
        <v>169</v>
      </c>
      <c r="D15" s="309"/>
      <c r="F15" t="s">
        <v>134</v>
      </c>
      <c r="G15" s="344" t="s">
        <v>175</v>
      </c>
      <c r="H15" s="289"/>
    </row>
    <row r="16" spans="2:24" ht="16.8" x14ac:dyDescent="0.4">
      <c r="B16" s="315" t="s">
        <v>3</v>
      </c>
      <c r="C16" s="306" t="s">
        <v>170</v>
      </c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168</v>
      </c>
      <c r="D17" s="312"/>
      <c r="E17" s="119"/>
      <c r="F17" s="332" t="s">
        <v>165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40231.314892004542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290</v>
      </c>
      <c r="C21" s="329" t="s">
        <v>171</v>
      </c>
      <c r="D21" s="330">
        <v>1.35</v>
      </c>
      <c r="E21" s="330">
        <v>0.35</v>
      </c>
      <c r="F21" s="329" t="s">
        <v>172</v>
      </c>
      <c r="G21" s="331">
        <v>24136</v>
      </c>
      <c r="H21" s="331">
        <f>G21*B21</f>
        <v>6999440</v>
      </c>
      <c r="I21" s="319"/>
      <c r="J21" s="265"/>
      <c r="K21" s="47"/>
      <c r="L21" s="47">
        <f>B21</f>
        <v>290</v>
      </c>
      <c r="M21" s="39">
        <f>D21+M$19</f>
        <v>1.4300000000000002</v>
      </c>
      <c r="N21" s="39">
        <f>E21+$N$19</f>
        <v>0.35</v>
      </c>
      <c r="O21" s="261">
        <f t="shared" ref="O21" si="1">M21*N21</f>
        <v>0.50050000000000006</v>
      </c>
      <c r="P21" s="259">
        <f t="shared" ref="P21" si="2">O21*L21</f>
        <v>145.14500000000001</v>
      </c>
      <c r="Q21" s="252">
        <f t="shared" ref="Q21" si="3">Q$20*O21</f>
        <v>20135.773103448275</v>
      </c>
      <c r="R21" s="318">
        <f t="shared" ref="R21" si="4">Q21+R$20</f>
        <v>23135.773103448275</v>
      </c>
      <c r="S21" s="297">
        <f>M21*L21</f>
        <v>414.70000000000005</v>
      </c>
      <c r="T21" s="46">
        <f>N21*2*L21*2</f>
        <v>406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6999440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406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1329893.6000000001</v>
      </c>
      <c r="I25" s="321"/>
      <c r="J25" s="265"/>
      <c r="K25" s="47"/>
      <c r="L25" s="47"/>
      <c r="M25" s="39">
        <f>SUM(M21:M21)</f>
        <v>1.4300000000000002</v>
      </c>
      <c r="N25" s="12"/>
      <c r="O25" s="12"/>
      <c r="P25" s="253">
        <f>SUM(P21:P23)</f>
        <v>145.14500000000001</v>
      </c>
      <c r="Q25" s="14"/>
      <c r="R25" s="12"/>
      <c r="S25" s="239">
        <f>SUM(S21:S24)</f>
        <v>414.70000000000005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8329333.5999999996</v>
      </c>
      <c r="I26" s="321"/>
      <c r="J26" s="265"/>
      <c r="K26" s="47"/>
      <c r="L26" s="47"/>
      <c r="M26" s="39"/>
      <c r="N26" s="12"/>
      <c r="O26" s="12"/>
      <c r="P26" s="253">
        <f>P25</f>
        <v>145.14500000000001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29.029000000000003</v>
      </c>
      <c r="Q27" s="39" t="s">
        <v>130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174.17400000000001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174.17400000000001</v>
      </c>
      <c r="N30" s="12">
        <v>1500</v>
      </c>
      <c r="O30" s="12">
        <f t="shared" ref="O30:O35" si="5">M30*N30</f>
        <v>261261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48</v>
      </c>
      <c r="N31" s="12">
        <v>24000</v>
      </c>
      <c r="O31" s="12">
        <f t="shared" si="5"/>
        <v>1152000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73</v>
      </c>
      <c r="N33" s="250">
        <v>17000</v>
      </c>
      <c r="O33" s="12">
        <f t="shared" si="5"/>
        <v>1241000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2654261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5839374.2000000002</v>
      </c>
      <c r="P37" s="14" t="s">
        <v>140</v>
      </c>
      <c r="Q37" s="14"/>
      <c r="R37" s="40">
        <f>P28/R36</f>
        <v>46.962359792924936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60910</v>
      </c>
      <c r="L38" s="250"/>
      <c r="M38" s="14"/>
      <c r="N38" s="12"/>
      <c r="O38" s="12">
        <f>O37/P26</f>
        <v>40231.314892004542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51184.873949579836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45677</v>
      </c>
    </row>
    <row r="6" spans="2:31" ht="16.2" thickBot="1" x14ac:dyDescent="0.35">
      <c r="B6" s="140" t="s">
        <v>2</v>
      </c>
      <c r="C6" s="139" t="str">
        <f>'2229'!C10</f>
        <v>EDUARDO CABERA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11260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-769722.1833667875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6999440</v>
      </c>
      <c r="E11" s="132">
        <f>D11*0.19</f>
        <v>1329893.6000000001</v>
      </c>
      <c r="F11" s="131">
        <f>E11+D11</f>
        <v>8329333.5999999996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-663732.1833667875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1443095.0907874396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-681732.1833667875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5556344.9092125604</v>
      </c>
      <c r="E13" s="221">
        <f>(D11/D12)-1</f>
        <v>3.8502971458247313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-690732.1833667875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-729732.1833667875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2381106.8997992752</v>
      </c>
      <c r="F15" s="216">
        <f>E15-D12</f>
        <v>938011.8090118356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-729732.1833667875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-689732.1833667875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1152000</v>
      </c>
      <c r="E19" s="123">
        <f>D19*0.19</f>
        <v>218880</v>
      </c>
      <c r="F19" s="120">
        <f>SUM(D19:E19)</f>
        <v>1370880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261261</v>
      </c>
      <c r="E20" s="121">
        <f>D20*0.19</f>
        <v>49639.590000000004</v>
      </c>
      <c r="F20" s="120">
        <f>SUM(D20:E20)</f>
        <v>310900.59000000003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1413261</v>
      </c>
      <c r="E21" s="116">
        <f>SUM(E18:E20)</f>
        <v>268519.59000000003</v>
      </c>
      <c r="F21" s="115">
        <f>SUM(F18:F20)</f>
        <v>1681780.59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1061374.01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6999440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1413261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5556344.9092125604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5556344.9092125604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2025-01-20T16:12:26Z</dcterms:modified>
</cp:coreProperties>
</file>