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EB6CCD8B-C492-4964-9A3E-BE72A829B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6" i="1"/>
  <c r="L26" i="1"/>
  <c r="H23" i="1"/>
  <c r="H24" i="1"/>
  <c r="H25" i="1"/>
  <c r="P30" i="1"/>
  <c r="L23" i="1"/>
  <c r="M23" i="1"/>
  <c r="S23" i="1" s="1"/>
  <c r="N23" i="1"/>
  <c r="O23" i="1"/>
  <c r="P23" i="1" s="1"/>
  <c r="L24" i="1"/>
  <c r="M24" i="1"/>
  <c r="N24" i="1"/>
  <c r="O24" i="1"/>
  <c r="P24" i="1" s="1"/>
  <c r="S24" i="1"/>
  <c r="L25" i="1"/>
  <c r="M25" i="1"/>
  <c r="O25" i="1" s="1"/>
  <c r="P25" i="1" s="1"/>
  <c r="N25" i="1"/>
  <c r="H22" i="1"/>
  <c r="N22" i="1"/>
  <c r="L22" i="1"/>
  <c r="M22" i="1"/>
  <c r="L21" i="1"/>
  <c r="N21" i="1"/>
  <c r="S25" i="1" l="1"/>
  <c r="S22" i="1"/>
  <c r="O22" i="1"/>
  <c r="P22" i="1" s="1"/>
  <c r="M21" i="1"/>
  <c r="M30" i="1" s="1"/>
  <c r="S21" i="1" l="1"/>
  <c r="S31" i="1" s="1"/>
  <c r="T21" i="1"/>
  <c r="T29" i="1" s="1"/>
  <c r="O21" i="1"/>
  <c r="P21" i="1" s="1"/>
  <c r="K44" i="1"/>
  <c r="S32" i="1" l="1"/>
  <c r="S33" i="1" s="1"/>
  <c r="S34" i="1" s="1"/>
  <c r="V37" i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D21" i="3"/>
  <c r="M43" i="3" s="1"/>
  <c r="D12" i="3" s="1"/>
  <c r="F20" i="3"/>
  <c r="F21" i="3" s="1"/>
  <c r="Q22" i="1" l="1"/>
  <c r="R22" i="1" s="1"/>
  <c r="Q24" i="1"/>
  <c r="R24" i="1" s="1"/>
  <c r="Q25" i="1"/>
  <c r="R25" i="1" s="1"/>
  <c r="Q23" i="1"/>
  <c r="R23" i="1" s="1"/>
  <c r="O44" i="1"/>
  <c r="E15" i="3"/>
  <c r="Q21" i="1" l="1"/>
  <c r="F15" i="3"/>
  <c r="R21" i="1" l="1"/>
  <c r="H21" i="1" l="1"/>
  <c r="H30" i="1" s="1"/>
  <c r="H31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<sst xmlns="http://schemas.openxmlformats.org/spreadsheetml/2006/main" count="240" uniqueCount="176">
  <si>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</si>
  <si>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</si>
  <si>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</si>
  <si>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</si>
  <si>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</si>
  <si>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</si>
  <si>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</si>
  <si>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</si>
  <si>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</si>
  <si>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</si>
  <si>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</si>
  <si>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</si>
  <si>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</si>
  <si>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</si>
  <si>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</si>
  <si>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</si>
  <si>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</si>
  <si>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</si>
  <si>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</si>
  <si>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</si>
  <si>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</si>
  <si>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</si>
  <si>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</si>
  <si>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</si>
  <si>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</si>
  <si>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</si>
  <si>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</si>
  <si>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</si>
  <si>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</si>
  <si>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</si>
  <si>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</si>
  <si>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</si>
  <si>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</si>
  <si>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</si>
  <si>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</si>
  <si>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</si>
  <si>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</si>
  <si>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</si>
  <si>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</si>
  <si>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</si>
  <si>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</si>
  <si>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</si>
  <si>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</si>
  <si>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</si>
  <si>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</si>
  <si>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</si>
  <si>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</si>
  <si>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</si>
  <si>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</si>
  <si>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</si>
  <si>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</si>
  <si>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</si>
  <si>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</si>
  <si>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</si>
  <si>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</si>
  <si>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</si>
  <si>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</si>
  <si>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</si>
  <si>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</si>
  <si>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</si>
  <si>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</si>
  <si>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</si>
  <si>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</si>
  <si>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</si>
  <si>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</si>
  <si>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</si>
  <si>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</si>
  <si>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</si>
  <si>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</si>
  <si>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</si>
  <si>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</si>
  <si>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</si>
  <si>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</si>
  <si>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</si>
  <si>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</si>
  <si>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</si>
  <si>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</si>
  <si>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</si>
  <si>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</si>
  <si>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</si>
  <si>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</si>
  <si>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</si>
  <si>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</si>
  <si>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</si>
  <si>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</si>
  <si>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</si>
  <si>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</si>
  <si>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</si>
  <si>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</si>
  <si>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</si>
  <si>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</si>
  <si>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</si>
  <si>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</si>
  <si>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</si>
  <si>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</si>
  <si>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</si>
  <si>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</si>
  <si>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</si>
  <si>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</si>
  <si>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</si>
  <si>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</si>
  <si>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</si>
  <si>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</si>
  <si>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</si>
  <si>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</si>
  <si>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</si>
  <si>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</si>
  <si>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</si>
  <si>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</si>
  <si>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</si>
  <si>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</si>
  <si>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</si>
  <si>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</si>
  <si>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</si>
  <si>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</si>
  <si>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</si>
  <si>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</si>
  <si>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</si>
  <si>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</si>
  <si>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</si>
  <si>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</si>
  <si>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</si>
  <si>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</si>
  <si>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</si>
  <si>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</si>
  <si>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</si>
  <si>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</si>
  <si>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</si>
  <si>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</si>
  <si>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</si>
  <si>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</si>
  <si>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</si>
  <si>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</si>
  <si>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</si>
  <si>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</si>
  <si>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</si>
  <si>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</si>
  <si>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</si>
  <si>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</si>
  <si>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</si>
  <si>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</si>
  <si>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</si>
  <si>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</si>
  <si>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</si>
  <si>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</si>
  <si>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</si>
  <si>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</si>
  <si>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</si>
  <si>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</si>
  <si>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</si>
  <si>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</si>
  <si>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</si>
  <si>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</si>
  <si>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</si>
  <si>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</si>
  <si>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</si>
  <si>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</si>
  <si>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</si>
  <si>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</si>
  <si>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</si>
  <si>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</si>
  <si>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</si>
  <si>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</si>
  <si>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</si>
  <si>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</si>
  <si>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</si>
  <si>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</si>
  <si>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alternativa 2</t>
  </si>
  <si>
    <t>19 de 153x366</t>
  </si>
  <si>
    <t>10 DIAS HABILES</t>
  </si>
  <si>
    <t>N° 11264</t>
  </si>
  <si>
    <t>JOSE RAMIREZ A</t>
  </si>
  <si>
    <t>+569 9311 5585</t>
  </si>
  <si>
    <t>CYPRUS CHERRY 10225 SF</t>
  </si>
  <si>
    <t>CUB SIN REGRUESO ENCHAPE RECTO</t>
  </si>
  <si>
    <t>SERVICIO CORTE Y ENCHAPE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</si>
</sst>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CORTADAS A LA MEDIDA Y ENCHAPADAS CON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5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171</v>
      </c>
      <c r="D10" s="243"/>
      <c r="E10" s="243"/>
      <c r="F10" s="244" t="s">
        <v>0</v>
      </c>
      <c r="G10" s="276">
        <v>45678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O43</f>
        <v>65968.566054512499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1</v>
      </c>
      <c r="C21" s="330" t="s">
        <v>174</v>
      </c>
      <c r="D21" s="332">
        <v>1.97</v>
      </c>
      <c r="E21" s="332">
        <v>0.65</v>
      </c>
      <c r="F21" s="330" t="s">
        <v>173</v>
      </c>
      <c r="G21" s="331">
        <v>90956</v>
      </c>
      <c r="H21" s="331">
        <f>G21*B21</f>
        <v>90956</v>
      </c>
      <c r="I21" s="320"/>
      <c r="J21" s="265"/>
      <c r="K21" s="47"/>
      <c r="L21" s="47">
        <f>B21</f>
        <v>1</v>
      </c>
      <c r="M21" s="39">
        <f>D21+M$19</f>
        <v>1.99</v>
      </c>
      <c r="N21" s="39">
        <f>E21+$N$19</f>
        <v>0.67</v>
      </c>
      <c r="O21" s="261">
        <f t="shared" ref="O21" si="1">M21*N21</f>
        <v>1.3333000000000002</v>
      </c>
      <c r="P21" s="259">
        <f t="shared" ref="P21" si="2">O21*L21</f>
        <v>1.3333000000000002</v>
      </c>
      <c r="Q21" s="252">
        <f t="shared" ref="Q21" si="3">Q$20*O21</f>
        <v>87955.88912048153</v>
      </c>
      <c r="R21" s="319">
        <f t="shared" ref="R21" si="4">Q21+R$20</f>
        <v>90955.88912048153</v>
      </c>
      <c r="S21" s="297">
        <f t="shared" ref="S21" si="5">L21*M21*2</f>
        <v>3.98</v>
      </c>
      <c r="T21" s="46">
        <f>N21*2*L21*2</f>
        <v>2.68</v>
      </c>
      <c r="U21" s="9"/>
      <c r="X21" s="4"/>
    </row>
    <row r="22" spans="2:25" ht="17.399999999999999" x14ac:dyDescent="0.3">
      <c r="B22" s="330">
        <v>1</v>
      </c>
      <c r="C22" s="330" t="s">
        <v>174</v>
      </c>
      <c r="D22" s="332">
        <v>0.9</v>
      </c>
      <c r="E22" s="332">
        <v>0.65</v>
      </c>
      <c r="F22" s="330" t="s">
        <v>173</v>
      </c>
      <c r="G22" s="331">
        <v>42449</v>
      </c>
      <c r="H22" s="331">
        <f>G22*B22</f>
        <v>42449</v>
      </c>
      <c r="I22" s="320"/>
      <c r="J22" s="265"/>
      <c r="K22" s="47"/>
      <c r="L22" s="47">
        <f>B22</f>
        <v>1</v>
      </c>
      <c r="M22" s="39">
        <f>D22+M$19</f>
        <v>0.92</v>
      </c>
      <c r="N22" s="39">
        <f>E22</f>
        <v>0.65</v>
      </c>
      <c r="O22" s="261">
        <f t="shared" ref="O22" si="6">M22*N22</f>
        <v>0.59800000000000009</v>
      </c>
      <c r="P22" s="259">
        <f t="shared" ref="P22" si="7">O22*L22</f>
        <v>0.59800000000000009</v>
      </c>
      <c r="Q22" s="252">
        <f t="shared" ref="Q22" si="8">Q$20*O22</f>
        <v>39449.202500598483</v>
      </c>
      <c r="R22" s="319">
        <f t="shared" ref="R22" si="9">Q22+R$20</f>
        <v>42449.202500598483</v>
      </c>
      <c r="S22" s="297">
        <f t="shared" ref="S22" si="10">L22*M22*2</f>
        <v>1.84</v>
      </c>
      <c r="T22" s="46"/>
      <c r="U22" s="9"/>
      <c r="X22" s="4"/>
    </row>
    <row r="23" spans="2:25" ht="17.399999999999999" x14ac:dyDescent="0.3">
      <c r="B23" s="330">
        <v>1</v>
      </c>
      <c r="C23" s="330" t="s">
        <v>174</v>
      </c>
      <c r="D23" s="332">
        <v>0.7</v>
      </c>
      <c r="E23" s="332">
        <v>0.5</v>
      </c>
      <c r="F23" s="330" t="s">
        <v>173</v>
      </c>
      <c r="G23" s="331">
        <v>26749</v>
      </c>
      <c r="H23" s="331">
        <f t="shared" ref="H23:H26" si="11">G23*B23</f>
        <v>26749</v>
      </c>
      <c r="I23" s="320"/>
      <c r="J23" s="265"/>
      <c r="K23" s="47"/>
      <c r="L23" s="47">
        <f t="shared" ref="L23:L26" si="12">B23</f>
        <v>1</v>
      </c>
      <c r="M23" s="39">
        <f t="shared" ref="M23:M25" si="13">D23+M$19</f>
        <v>0.72</v>
      </c>
      <c r="N23" s="39">
        <f t="shared" ref="N23:N25" si="14">E23</f>
        <v>0.5</v>
      </c>
      <c r="O23" s="261">
        <f t="shared" ref="O23:O25" si="15">M23*N23</f>
        <v>0.36</v>
      </c>
      <c r="P23" s="259">
        <f t="shared" ref="P23:P25" si="16">O23*L23</f>
        <v>0.36</v>
      </c>
      <c r="Q23" s="252">
        <f t="shared" ref="Q23:Q25" si="17">Q$20*O23</f>
        <v>23748.683779624498</v>
      </c>
      <c r="R23" s="319">
        <f t="shared" ref="R23:R25" si="18">Q23+R$20</f>
        <v>26748.683779624498</v>
      </c>
      <c r="S23" s="297">
        <f t="shared" ref="S23:S25" si="19">L23*M23*2</f>
        <v>1.44</v>
      </c>
      <c r="T23" s="46"/>
      <c r="U23" s="9"/>
      <c r="X23" s="4"/>
    </row>
    <row r="24" spans="2:25" ht="17.399999999999999" x14ac:dyDescent="0.3">
      <c r="B24" s="330">
        <v>1</v>
      </c>
      <c r="C24" s="330" t="s">
        <v>174</v>
      </c>
      <c r="D24" s="332">
        <v>0.56999999999999995</v>
      </c>
      <c r="E24" s="332">
        <v>0.56000000000000005</v>
      </c>
      <c r="F24" s="330" t="s">
        <v>173</v>
      </c>
      <c r="G24" s="331">
        <v>24796</v>
      </c>
      <c r="H24" s="331">
        <f t="shared" si="11"/>
        <v>24796</v>
      </c>
      <c r="I24" s="320"/>
      <c r="J24" s="265"/>
      <c r="K24" s="47"/>
      <c r="L24" s="47">
        <f t="shared" si="12"/>
        <v>1</v>
      </c>
      <c r="M24" s="39">
        <f t="shared" si="13"/>
        <v>0.59</v>
      </c>
      <c r="N24" s="39">
        <f t="shared" si="14"/>
        <v>0.56000000000000005</v>
      </c>
      <c r="O24" s="261">
        <f t="shared" si="15"/>
        <v>0.33040000000000003</v>
      </c>
      <c r="P24" s="259">
        <f t="shared" si="16"/>
        <v>0.33040000000000003</v>
      </c>
      <c r="Q24" s="252">
        <f t="shared" si="17"/>
        <v>21796.01422441093</v>
      </c>
      <c r="R24" s="319">
        <f t="shared" si="18"/>
        <v>24796.01422441093</v>
      </c>
      <c r="S24" s="297">
        <f t="shared" si="19"/>
        <v>1.18</v>
      </c>
      <c r="T24" s="46"/>
      <c r="U24" s="9"/>
      <c r="X24" s="4"/>
    </row>
    <row r="25" spans="2:25" ht="17.399999999999999" x14ac:dyDescent="0.3">
      <c r="B25" s="330">
        <v>1</v>
      </c>
      <c r="C25" s="330" t="s">
        <v>174</v>
      </c>
      <c r="D25" s="332">
        <v>0.52</v>
      </c>
      <c r="E25" s="332">
        <v>0.56000000000000005</v>
      </c>
      <c r="F25" s="330" t="s">
        <v>173</v>
      </c>
      <c r="G25" s="331">
        <v>22949</v>
      </c>
      <c r="H25" s="331">
        <f t="shared" si="11"/>
        <v>22949</v>
      </c>
      <c r="I25" s="320"/>
      <c r="J25" s="265"/>
      <c r="K25" s="47"/>
      <c r="L25" s="47">
        <f t="shared" si="12"/>
        <v>1</v>
      </c>
      <c r="M25" s="39">
        <f t="shared" si="13"/>
        <v>0.54</v>
      </c>
      <c r="N25" s="39">
        <f t="shared" si="14"/>
        <v>0.56000000000000005</v>
      </c>
      <c r="O25" s="261">
        <f t="shared" si="15"/>
        <v>0.30240000000000006</v>
      </c>
      <c r="P25" s="259">
        <f t="shared" si="16"/>
        <v>0.30240000000000006</v>
      </c>
      <c r="Q25" s="252">
        <f t="shared" si="17"/>
        <v>19948.894374884585</v>
      </c>
      <c r="R25" s="319">
        <f t="shared" si="18"/>
        <v>22948.894374884585</v>
      </c>
      <c r="S25" s="297">
        <f t="shared" si="19"/>
        <v>1.08</v>
      </c>
      <c r="T25" s="46"/>
      <c r="U25" s="9"/>
      <c r="X25" s="4"/>
    </row>
    <row r="26" spans="2:25" ht="17.399999999999999" x14ac:dyDescent="0.3">
      <c r="B26" s="330">
        <v>5</v>
      </c>
      <c r="C26" s="330" t="s">
        <v>175</v>
      </c>
      <c r="D26" s="332"/>
      <c r="E26" s="332"/>
      <c r="F26" s="330"/>
      <c r="G26" s="331">
        <v>5000</v>
      </c>
      <c r="H26" s="331">
        <f t="shared" si="11"/>
        <v>25000</v>
      </c>
      <c r="I26" s="320"/>
      <c r="J26" s="265"/>
      <c r="K26" s="47"/>
      <c r="L26" s="47">
        <f t="shared" si="12"/>
        <v>5</v>
      </c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0"/>
      <c r="H27" s="320"/>
      <c r="I27" s="320"/>
      <c r="J27" s="265"/>
      <c r="K27" s="47"/>
      <c r="L27" s="47"/>
      <c r="M27" s="39"/>
      <c r="N27" s="39"/>
      <c r="O27" s="261"/>
      <c r="P27" s="259"/>
      <c r="Q27" s="252"/>
      <c r="R27" s="319"/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1"/>
      <c r="I28" s="323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4" t="s">
        <v>28</v>
      </c>
      <c r="H29" s="325">
        <f>SUM(H21:H28)</f>
        <v>232899</v>
      </c>
      <c r="I29" s="322"/>
      <c r="J29" s="265"/>
      <c r="K29" s="47">
        <v>2600000</v>
      </c>
      <c r="L29" s="47"/>
      <c r="M29" s="39"/>
      <c r="N29" s="39"/>
      <c r="O29" s="261"/>
      <c r="P29" s="259"/>
      <c r="Q29" s="252"/>
      <c r="R29" s="258"/>
      <c r="S29" s="297"/>
      <c r="T29" s="46">
        <f>SUM(T21:T28)</f>
        <v>2.68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50</v>
      </c>
      <c r="H30" s="294">
        <f>H29*19%</f>
        <v>44250.81</v>
      </c>
      <c r="I30" s="322"/>
      <c r="J30" s="265"/>
      <c r="K30" s="47"/>
      <c r="L30" s="47"/>
      <c r="M30" s="39">
        <f>SUM(M21:M29)</f>
        <v>4.76</v>
      </c>
      <c r="N30" s="12"/>
      <c r="O30" s="12"/>
      <c r="P30" s="253">
        <f>SUM(P21:P28)</f>
        <v>2.9241000000000001</v>
      </c>
      <c r="Q30" s="14"/>
      <c r="R30" s="12"/>
      <c r="S30" s="239"/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277149.81</v>
      </c>
      <c r="I31" s="322"/>
      <c r="J31" s="265"/>
      <c r="K31" s="47"/>
      <c r="L31" s="47"/>
      <c r="M31" s="39"/>
      <c r="N31" s="12"/>
      <c r="O31" s="12"/>
      <c r="P31" s="253">
        <f>P30</f>
        <v>2.9241000000000001</v>
      </c>
      <c r="Q31" s="14"/>
      <c r="R31" s="12"/>
      <c r="S31" s="239">
        <f>SUM(S21:S30)</f>
        <v>9.52</v>
      </c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>
        <f>P31*20%</f>
        <v>0.58482000000000001</v>
      </c>
      <c r="Q32" s="39" t="s">
        <v>129</v>
      </c>
      <c r="R32" s="42"/>
      <c r="S32" s="240">
        <f>S31+T29</f>
        <v>12.2</v>
      </c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/>
      <c r="L33" s="47"/>
      <c r="M33" s="14"/>
      <c r="N33" s="12"/>
      <c r="O33" s="12"/>
      <c r="P33" s="46">
        <f>P31+P32</f>
        <v>3.5089200000000003</v>
      </c>
      <c r="Q33" s="14"/>
      <c r="R33" s="14"/>
      <c r="S33" s="238">
        <f>S32*20%</f>
        <v>2.44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>
        <f>S32+S33</f>
        <v>14.639999999999999</v>
      </c>
      <c r="T34" s="14"/>
      <c r="U34" s="302" t="s">
        <v>21</v>
      </c>
      <c r="V34" s="299" t="s">
        <v>150</v>
      </c>
      <c r="W34" s="303">
        <v>44971</v>
      </c>
      <c r="X34" s="304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>
        <f>P33</f>
        <v>3.5089200000000003</v>
      </c>
      <c r="N35" s="12">
        <v>3500</v>
      </c>
      <c r="O35" s="12">
        <f t="shared" ref="O35:O37" si="20">M35*N35</f>
        <v>12281.220000000001</v>
      </c>
      <c r="P35" s="14" t="s">
        <v>21</v>
      </c>
      <c r="Q35" s="14"/>
      <c r="R35" s="14"/>
      <c r="S35" s="241"/>
      <c r="T35" s="14"/>
      <c r="U35" s="302" t="s">
        <v>151</v>
      </c>
      <c r="V35" s="299">
        <v>3625</v>
      </c>
      <c r="W35" s="59" t="s">
        <v>152</v>
      </c>
      <c r="X35" s="304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/>
      <c r="L36" s="47"/>
      <c r="M36" s="249">
        <v>1</v>
      </c>
      <c r="N36" s="12">
        <v>25000</v>
      </c>
      <c r="O36" s="12">
        <f t="shared" si="20"/>
        <v>25000</v>
      </c>
      <c r="P36" s="39" t="s">
        <v>30</v>
      </c>
      <c r="Q36" s="42"/>
      <c r="R36" s="14"/>
      <c r="S36" s="240"/>
      <c r="T36" s="14"/>
      <c r="U36" s="302"/>
      <c r="V36" s="59">
        <v>906.25</v>
      </c>
      <c r="W36" s="59" t="s">
        <v>153</v>
      </c>
      <c r="X36" s="304"/>
    </row>
    <row r="37" spans="1:24" s="230" customFormat="1" ht="17.399999999999999" x14ac:dyDescent="0.35">
      <c r="B37" s="24" t="s">
        <v>149</v>
      </c>
      <c r="J37" s="262"/>
      <c r="K37" s="232"/>
      <c r="L37" s="250"/>
      <c r="M37" s="14"/>
      <c r="N37" s="250">
        <v>15041</v>
      </c>
      <c r="O37" s="12">
        <f t="shared" si="20"/>
        <v>0</v>
      </c>
      <c r="P37" s="39" t="s">
        <v>165</v>
      </c>
      <c r="Q37" s="42"/>
      <c r="S37" s="240"/>
      <c r="T37" s="256"/>
      <c r="U37" s="59"/>
      <c r="V37" s="59">
        <f>V36*20%</f>
        <v>181.25</v>
      </c>
      <c r="W37" s="304" t="s">
        <v>154</v>
      </c>
      <c r="X37" s="59"/>
    </row>
    <row r="38" spans="1:24" s="230" customFormat="1" ht="17.399999999999999" x14ac:dyDescent="0.35">
      <c r="B38" s="24" t="s">
        <v>142</v>
      </c>
      <c r="C38"/>
      <c r="D38"/>
      <c r="E38"/>
      <c r="F38"/>
      <c r="J38" s="262"/>
      <c r="K38" s="232"/>
      <c r="L38" s="250"/>
      <c r="M38" s="14">
        <v>2</v>
      </c>
      <c r="N38" s="250">
        <v>25200</v>
      </c>
      <c r="O38" s="12">
        <f>M38*N38</f>
        <v>50400</v>
      </c>
      <c r="P38" s="14" t="s">
        <v>166</v>
      </c>
      <c r="S38" s="238"/>
      <c r="T38" s="256"/>
      <c r="U38" s="59"/>
      <c r="V38" s="59">
        <f>V36+V37</f>
        <v>1087.5</v>
      </c>
      <c r="W38" s="304" t="s">
        <v>155</v>
      </c>
      <c r="X38" s="59"/>
    </row>
    <row r="39" spans="1:24" s="230" customFormat="1" ht="17.399999999999999" x14ac:dyDescent="0.35">
      <c r="B39" s="29" t="s">
        <v>124</v>
      </c>
      <c r="C39"/>
      <c r="D39"/>
      <c r="E39"/>
      <c r="F39" s="229" t="s">
        <v>15</v>
      </c>
      <c r="I39" s="230" t="s">
        <v>167</v>
      </c>
      <c r="J39" s="262"/>
      <c r="K39" s="260"/>
      <c r="L39" s="250"/>
      <c r="M39" s="249"/>
      <c r="N39" s="250">
        <v>900</v>
      </c>
      <c r="O39" s="12">
        <f>M39*N39</f>
        <v>0</v>
      </c>
      <c r="P39" s="14" t="s">
        <v>31</v>
      </c>
      <c r="Q39" s="17"/>
      <c r="R39" s="230">
        <v>2.12</v>
      </c>
      <c r="S39" s="238"/>
      <c r="T39" s="238"/>
    </row>
    <row r="40" spans="1:24" s="230" customFormat="1" ht="17.399999999999999" x14ac:dyDescent="0.35">
      <c r="I40" s="230" t="s">
        <v>168</v>
      </c>
      <c r="J40" s="293"/>
      <c r="K40" s="260"/>
      <c r="L40" s="250"/>
      <c r="M40" s="266"/>
      <c r="N40" s="12">
        <v>1500</v>
      </c>
      <c r="O40" s="12">
        <f>M40*N40</f>
        <v>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60"/>
      <c r="L41" s="250"/>
      <c r="M41" s="14"/>
      <c r="N41" s="12"/>
      <c r="O41" s="12">
        <f>SUM(O35:O40)</f>
        <v>87681.22</v>
      </c>
      <c r="P41" s="39" t="s">
        <v>23</v>
      </c>
      <c r="Q41" s="14"/>
      <c r="R41">
        <f>R39*R40</f>
        <v>5.1728000000000005</v>
      </c>
      <c r="S41"/>
      <c r="T41" s="238"/>
      <c r="X41" s="231"/>
    </row>
    <row r="42" spans="1:24" s="230" customFormat="1" ht="17.399999999999999" x14ac:dyDescent="0.35">
      <c r="L42" s="250"/>
      <c r="M42" s="254" t="s">
        <v>32</v>
      </c>
      <c r="N42" s="12"/>
      <c r="O42" s="255">
        <f>O41*2.2</f>
        <v>192898.68400000001</v>
      </c>
      <c r="P42" s="14" t="s">
        <v>139</v>
      </c>
      <c r="Q42" s="14"/>
      <c r="R42" s="40">
        <f>P33/R41</f>
        <v>0.67834055057222398</v>
      </c>
      <c r="S42"/>
      <c r="T42" s="257"/>
    </row>
    <row r="43" spans="1:24" s="230" customFormat="1" ht="17.399999999999999" x14ac:dyDescent="0.35">
      <c r="G43"/>
      <c r="H43" s="260"/>
      <c r="I43" s="260"/>
      <c r="J43" s="260"/>
      <c r="K43" s="230">
        <v>74260</v>
      </c>
      <c r="L43" s="250"/>
      <c r="M43" s="14"/>
      <c r="N43" s="12"/>
      <c r="O43" s="12">
        <f>O42/P31</f>
        <v>65968.566054512499</v>
      </c>
      <c r="P43" s="45" t="s">
        <v>24</v>
      </c>
      <c r="Q43" s="14"/>
      <c r="R43" s="14"/>
      <c r="S43"/>
      <c r="T43" s="238"/>
      <c r="U43" s="59" t="s">
        <v>156</v>
      </c>
      <c r="V43" s="299">
        <v>43650</v>
      </c>
    </row>
    <row r="44" spans="1:24" s="230" customFormat="1" ht="17.399999999999999" x14ac:dyDescent="0.35">
      <c r="G44"/>
      <c r="K44" s="230">
        <f>K43/1.19</f>
        <v>62403.361344537821</v>
      </c>
      <c r="L44" s="250"/>
      <c r="M44" s="13"/>
      <c r="N44" s="14"/>
      <c r="O44" s="17">
        <f>O42/O41</f>
        <v>2.2000000000000002</v>
      </c>
      <c r="P44" s="15"/>
      <c r="Q44" s="14"/>
      <c r="R44"/>
      <c r="S44"/>
      <c r="T44" s="238"/>
      <c r="U44" s="59" t="s">
        <v>158</v>
      </c>
      <c r="V44" s="300" t="s">
        <v>157</v>
      </c>
      <c r="W44" s="59">
        <v>2.4</v>
      </c>
    </row>
    <row r="45" spans="1:24" s="230" customFormat="1" ht="17.399999999999999" x14ac:dyDescent="0.35">
      <c r="G45" s="23"/>
      <c r="L45" s="12"/>
      <c r="Q45"/>
      <c r="T45" s="238"/>
      <c r="U45" s="59" t="s">
        <v>159</v>
      </c>
      <c r="V45" s="301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154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146</v>
      </c>
    </row>
    <row r="79" spans="3:15" x14ac:dyDescent="0.3">
      <c r="C79" t="s">
        <v>145</v>
      </c>
    </row>
    <row r="82" spans="3:3" x14ac:dyDescent="0.3">
      <c r="C82" t="s">
        <v>145</v>
      </c>
    </row>
    <row r="159" spans="3:3" x14ac:dyDescent="0.3">
      <c r="C159" t="s">
        <v>145</v>
      </c>
    </row>
    <row r="160" spans="3:3" x14ac:dyDescent="0.3">
      <c r="C160" t="s">
        <v>147</v>
      </c>
    </row>
    <row r="161" spans="3:3" x14ac:dyDescent="0.3">
      <c r="C161" t="s">
        <v>148</v>
      </c>
    </row>
    <row r="586" spans="3:3" x14ac:dyDescent="0.3">
      <c r="C586" t="s">
        <v>145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45678</v>
      </c>
    </row>
    <row r="6" spans="2:31" ht="16.2" thickBot="1" x14ac:dyDescent="0.35">
      <c r="B6" s="140" t="s">
        <v>2</v>
      </c>
      <c r="C6" s="139" t="str">
        <f>'2229'!C10</f>
        <v>JOSE RAMIREZ 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11264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-20359.78953345411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'2229'!H29</f>
        <v>232899</v>
      </c>
      <c r="E11" s="132">
        <f>D11*0.19</f>
        <v>44250.81</v>
      </c>
      <c r="F11" s="131">
        <f>E11+D11</f>
        <v>277149.81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85630.21046654589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67115.310787439608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67630.21046654589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165783.68921256039</v>
      </c>
      <c r="E13" s="221">
        <f>(D11/D12)-1</f>
        <v>2.470132183960418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58630.21046654589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19630.21046654589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110740.26279927534</v>
      </c>
      <c r="F15" s="216">
        <f>E15-D12</f>
        <v>43624.952011835732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19630.21046654589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59630.21046654589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'2229'!O36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12281.220000000001</v>
      </c>
      <c r="E20" s="121">
        <f>D20*0.19</f>
        <v>2333.4318000000003</v>
      </c>
      <c r="F20" s="120">
        <f>SUM(D20:E20)</f>
        <v>14614.651800000001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37281.22</v>
      </c>
      <c r="E21" s="116">
        <f>SUM(E18:E20)</f>
        <v>7083.4318000000003</v>
      </c>
      <c r="F21" s="115">
        <f>SUM(F18:F20)</f>
        <v>44364.6518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37167.378199999999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232899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37281.22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165783.68921256039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165783.68921256039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2025-01-21T22:03:21Z</dcterms:modified>
</cp:coreProperties>
</file>