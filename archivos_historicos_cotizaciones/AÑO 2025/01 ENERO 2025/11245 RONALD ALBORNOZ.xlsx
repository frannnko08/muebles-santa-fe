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1 ENERO 2025\"/>
    </mc:Choice>
  </mc:AlternateContent>
  <xr:revisionPtr revIDLastSave="0" documentId="13_ncr:1_{44BDAA8E-981C-4F33-B8F3-2E585B4C9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K21" i="1"/>
  <c r="H22" i="1"/>
  <c r="I47" i="1"/>
  <c r="J31" i="1"/>
  <c r="J36" i="1"/>
  <c r="J37" i="1" s="1"/>
  <c r="N34" i="1"/>
  <c r="N22" i="1" l="1"/>
  <c r="O22" i="1" s="1"/>
  <c r="N33" i="1"/>
  <c r="N35" i="1"/>
  <c r="N36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2" i="1" l="1"/>
  <c r="Q22" i="1" s="1"/>
  <c r="P21" i="1"/>
  <c r="F15" i="3"/>
  <c r="Q21" i="1" l="1"/>
  <c r="H21" i="1" l="1"/>
  <c r="H25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<sst xmlns="http://schemas.openxmlformats.org/spreadsheetml/2006/main" count="234" uniqueCount="177">
  <si>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</si>
  <si>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</si>
  <si>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</si>
  <si>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</si>
  <si>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</si>
  <si>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</si>
  <si>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</si>
  <si>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</si>
  <si>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</si>
  <si>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</si>
  <si>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</si>
  <si>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</si>
  <si>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</si>
  <si>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</si>
  <si>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</si>
  <si>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</si>
  <si>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</si>
  <si>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</si>
  <si>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</si>
  <si>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</si>
  <si>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</si>
  <si>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</si>
  <si>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</si>
  <si>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</si>
  <si>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</si>
  <si>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</si>
  <si>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</si>
  <si>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</si>
  <si>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</si>
  <si>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</si>
  <si>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</si>
  <si>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</si>
  <si>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</si>
  <si>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</si>
  <si>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</si>
  <si>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</si>
  <si>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</si>
  <si>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</si>
  <si>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</si>
  <si>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</si>
  <si>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</si>
  <si>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</si>
  <si>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</si>
  <si>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</si>
  <si>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</si>
  <si>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</si>
  <si>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</si>
  <si>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</si>
  <si>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</si>
  <si>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</si>
  <si>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</si>
  <si>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</si>
  <si>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</si>
  <si>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</si>
  <si>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</si>
  <si>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</si>
  <si>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</si>
  <si>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</si>
  <si>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</si>
  <si>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</si>
  <si>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</si>
  <si>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</si>
  <si>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</si>
  <si>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</si>
  <si>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</si>
  <si>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</si>
  <si>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</si>
  <si>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</si>
  <si>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</si>
  <si>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</si>
  <si>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</si>
  <si>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</si>
  <si>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</si>
  <si>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</si>
  <si>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</si>
  <si>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</si>
  <si>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</si>
  <si>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</si>
  <si>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</si>
  <si>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</si>
  <si>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</si>
  <si>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</si>
  <si>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</si>
  <si>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</si>
  <si>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</si>
  <si>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</si>
  <si>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</si>
  <si>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</si>
  <si>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</si>
  <si>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</si>
  <si>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</si>
  <si>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</si>
  <si>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</si>
  <si>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</si>
  <si>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</si>
  <si>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</si>
  <si>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</si>
  <si>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</si>
  <si>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</si>
  <si>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</si>
  <si>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</si>
  <si>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</si>
  <si>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</si>
  <si>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</si>
  <si>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</si>
  <si>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</si>
  <si>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</si>
  <si>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</si>
  <si>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</si>
  <si>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</si>
  <si>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</si>
  <si>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</si>
  <si>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</si>
  <si>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</si>
  <si>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</si>
  <si>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</si>
  <si>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</si>
  <si>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</si>
  <si>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</si>
  <si>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</si>
  <si>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</si>
  <si>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</si>
  <si>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</si>
  <si>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</si>
  <si>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</si>
  <si>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</si>
  <si>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</si>
  <si>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</si>
  <si>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</si>
  <si>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</si>
  <si>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</si>
  <si>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</si>
  <si>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</si>
  <si>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</si>
  <si>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</si>
  <si>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</si>
  <si>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</si>
  <si>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</si>
  <si>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</si>
  <si>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</si>
  <si>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</si>
  <si>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</si>
  <si>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</si>
  <si>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</si>
  <si>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</si>
  <si>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</si>
  <si>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</si>
  <si>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</si>
  <si>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</si>
  <si>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</si>
  <si>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</si>
  <si>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</si>
  <si>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</si>
  <si>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</si>
  <si>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</si>
  <si>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</si>
  <si>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</si>
  <si>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</si>
  <si>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</si>
  <si>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</si>
  <si>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</si>
  <si>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</si>
  <si>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</si>
  <si>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</si>
  <si>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</si>
  <si>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</si>
  <si>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</si>
  <si>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</si>
  <si>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</si>
  <si>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</si>
  <si>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</si>
  <si>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5 DIAS HABILES</t>
  </si>
  <si>
    <t>N° 11244</t>
  </si>
  <si>
    <t>+569 9219 6008</t>
  </si>
  <si>
    <t>BLANCO BRILLO</t>
  </si>
  <si>
    <t>PR6</t>
  </si>
  <si>
    <t>RONALD ALBORNOZ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</si>
</sst>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23</xdr:row>
      <xdr:rowOff>206170</xdr:rowOff>
    </xdr:from>
    <xdr:to>
      <xdr:col>5</xdr:col>
      <xdr:colOff>1643259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</a:t>
          </a:r>
          <a:r>
            <a:rPr lang="es-CL" sz="1200" b="1" baseline="0"/>
            <a:t>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9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176</v>
      </c>
      <c r="D10" s="243"/>
      <c r="E10" s="243"/>
      <c r="F10" s="244" t="s">
        <v>0</v>
      </c>
      <c r="G10" s="277">
        <v>45666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173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55010.180488670012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175</v>
      </c>
      <c r="D21" s="327">
        <v>2.0150000000000001</v>
      </c>
      <c r="E21" s="327">
        <v>0.438</v>
      </c>
      <c r="F21" s="326" t="s">
        <v>174</v>
      </c>
      <c r="G21" s="328">
        <v>20723</v>
      </c>
      <c r="H21" s="328">
        <f>G21*B21</f>
        <v>41446</v>
      </c>
      <c r="I21" s="265"/>
      <c r="J21" s="47"/>
      <c r="K21" s="330">
        <f>B21</f>
        <v>2</v>
      </c>
      <c r="L21" s="39">
        <f t="shared" ref="L21" si="1">D21+L$19</f>
        <v>2.0649999999999999</v>
      </c>
      <c r="M21" s="39">
        <f t="shared" ref="M21" si="2">E21+M$19</f>
        <v>0.438</v>
      </c>
      <c r="N21" s="261">
        <f t="shared" ref="N21" si="3">L21*M21</f>
        <v>0.90447</v>
      </c>
      <c r="O21" s="259">
        <f t="shared" ref="O21" si="4">N21*K21</f>
        <v>1.80894</v>
      </c>
      <c r="P21" s="252">
        <f t="shared" ref="P21" si="5">P$20*N21</f>
        <v>49755.057946587367</v>
      </c>
      <c r="Q21" s="329">
        <f t="shared" ref="Q21" si="6">P21+Q$20</f>
        <v>52755.057946587367</v>
      </c>
      <c r="R21" s="298">
        <f>L21*K21*2</f>
        <v>8.26</v>
      </c>
      <c r="S21" s="46">
        <f>M21*2*K21</f>
        <v>1.752</v>
      </c>
      <c r="T21" s="9"/>
      <c r="W21" s="4"/>
    </row>
    <row r="22" spans="2:24" ht="17.399999999999999" x14ac:dyDescent="0.3">
      <c r="B22" s="326">
        <v>2</v>
      </c>
      <c r="C22" s="326" t="s">
        <v>175</v>
      </c>
      <c r="D22" s="327">
        <v>1.992</v>
      </c>
      <c r="E22" s="327">
        <v>0.27500000000000002</v>
      </c>
      <c r="F22" s="326" t="s">
        <v>174</v>
      </c>
      <c r="G22" s="328">
        <v>22723</v>
      </c>
      <c r="H22" s="328">
        <f t="shared" ref="H22" si="7">G22*B22</f>
        <v>45446</v>
      </c>
      <c r="I22" s="265"/>
      <c r="J22" s="47"/>
      <c r="K22" s="330">
        <f t="shared" ref="K22" si="8">B22</f>
        <v>2</v>
      </c>
      <c r="L22" s="39">
        <f t="shared" ref="L22" si="9">D22+L$19</f>
        <v>2.0419999999999998</v>
      </c>
      <c r="M22" s="39">
        <f t="shared" ref="M22" si="10">E22+M$19</f>
        <v>0.27500000000000002</v>
      </c>
      <c r="N22" s="261">
        <f t="shared" ref="N22" si="11">L22*M22</f>
        <v>0.56154999999999999</v>
      </c>
      <c r="O22" s="259">
        <f t="shared" ref="O22" si="12">N22*K22</f>
        <v>1.1231</v>
      </c>
      <c r="P22" s="252">
        <f t="shared" ref="P22" si="13">P$20*N22</f>
        <v>30890.966853412643</v>
      </c>
      <c r="Q22" s="329">
        <f t="shared" ref="Q22" si="14">P22+Q$20</f>
        <v>33890.966853412639</v>
      </c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86892</v>
      </c>
      <c r="I25" s="265"/>
      <c r="J25" s="47"/>
      <c r="K25" s="47"/>
      <c r="L25" s="39">
        <f>SUM(L21:L24)</f>
        <v>4.1069999999999993</v>
      </c>
      <c r="M25" s="39"/>
      <c r="N25" s="261"/>
      <c r="O25" s="259"/>
      <c r="P25" s="252"/>
      <c r="Q25" s="258"/>
      <c r="R25" s="298"/>
      <c r="S25" s="46">
        <f>SUM(S21:S24)</f>
        <v>1.752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SUM(O21:O22)</f>
        <v>2.9320399999999998</v>
      </c>
      <c r="P26" s="14"/>
      <c r="Q26" s="12"/>
      <c r="R26" s="239"/>
      <c r="S26" s="46">
        <f>S25*20%</f>
        <v>0.35040000000000004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86892</v>
      </c>
      <c r="I27" s="265"/>
      <c r="J27" s="47"/>
      <c r="K27" s="47"/>
      <c r="L27" s="39"/>
      <c r="M27" s="12"/>
      <c r="N27" s="12"/>
      <c r="O27" s="253">
        <f>O26</f>
        <v>2.9320399999999998</v>
      </c>
      <c r="P27" s="14"/>
      <c r="Q27" s="12"/>
      <c r="R27" s="239">
        <f>SUM(R21:R26)</f>
        <v>8.26</v>
      </c>
      <c r="S27" s="46">
        <f>S25+S26</f>
        <v>2.1024000000000003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147074</v>
      </c>
      <c r="K28" s="47"/>
      <c r="L28" s="14"/>
      <c r="M28" s="12"/>
      <c r="N28" s="12"/>
      <c r="O28" s="39">
        <f>O27*20%</f>
        <v>0.58640799999999993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>
        <v>33749</v>
      </c>
      <c r="K29" s="47"/>
      <c r="L29" s="14"/>
      <c r="M29" s="12"/>
      <c r="N29" s="12"/>
      <c r="O29" s="46">
        <f>O27+O28</f>
        <v>3.5184479999999998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>
        <v>94650</v>
      </c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152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>
        <f>SUM(J28:J30)</f>
        <v>275473</v>
      </c>
      <c r="K31" s="47"/>
      <c r="L31" s="39">
        <f>O29</f>
        <v>3.5184479999999998</v>
      </c>
      <c r="M31" s="12">
        <v>3500</v>
      </c>
      <c r="N31" s="12">
        <f t="shared" ref="N31:N36" si="15">L31*M31</f>
        <v>12314.567999999999</v>
      </c>
      <c r="O31" s="14" t="s">
        <v>22</v>
      </c>
      <c r="P31" s="14"/>
      <c r="Q31" s="14"/>
      <c r="R31" s="241"/>
      <c r="S31" s="14"/>
      <c r="T31" s="305" t="s">
        <v>153</v>
      </c>
      <c r="U31" s="302">
        <v>3625</v>
      </c>
      <c r="V31" s="59" t="s">
        <v>154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</v>
      </c>
      <c r="M32" s="12">
        <v>45000</v>
      </c>
      <c r="N32" s="12">
        <f t="shared" si="15"/>
        <v>36000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155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40000</v>
      </c>
      <c r="N33" s="12">
        <f t="shared" si="15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/>
      <c r="K34" s="250"/>
      <c r="L34" s="14">
        <v>1</v>
      </c>
      <c r="M34" s="250">
        <v>25000</v>
      </c>
      <c r="N34" s="12">
        <f t="shared" si="15"/>
        <v>25000</v>
      </c>
      <c r="O34" s="14"/>
      <c r="P34" s="17"/>
      <c r="R34" s="238"/>
      <c r="S34" s="256"/>
      <c r="T34" s="59"/>
      <c r="U34" s="59">
        <f>U32+U33</f>
        <v>1087.5</v>
      </c>
      <c r="V34" s="307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J35" s="230">
        <v>27000</v>
      </c>
      <c r="K35" s="250"/>
      <c r="L35" s="249"/>
      <c r="M35" s="250">
        <v>300</v>
      </c>
      <c r="N35" s="12">
        <f t="shared" si="15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J36" s="230">
        <f>J35*19%</f>
        <v>5130</v>
      </c>
      <c r="K36" s="250"/>
      <c r="L36" s="266"/>
      <c r="M36" s="12">
        <v>1500</v>
      </c>
      <c r="N36" s="12">
        <f t="shared" si="15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I37" s="230" t="s">
        <v>168</v>
      </c>
      <c r="J37" s="230">
        <f>J35+J36</f>
        <v>32130</v>
      </c>
      <c r="K37" s="250"/>
      <c r="L37" s="14"/>
      <c r="M37" s="12"/>
      <c r="N37" s="12">
        <f>SUM(N31:N36)</f>
        <v>73314.567999999999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161292.0496</v>
      </c>
      <c r="O38" s="14" t="s">
        <v>141</v>
      </c>
      <c r="P38" s="14"/>
      <c r="Q38" s="40">
        <f>O29/Q37</f>
        <v>0.94867558239861938</v>
      </c>
      <c r="R38"/>
      <c r="S38" s="257"/>
    </row>
    <row r="39" spans="2:23" s="230" customFormat="1" ht="17.399999999999999" x14ac:dyDescent="0.35">
      <c r="G39"/>
      <c r="H39" s="260"/>
      <c r="I39" s="230" t="s">
        <v>167</v>
      </c>
      <c r="J39" s="230">
        <v>23560</v>
      </c>
      <c r="K39" s="250">
        <v>0</v>
      </c>
      <c r="L39" s="14"/>
      <c r="M39" s="12"/>
      <c r="N39" s="12">
        <f>N38/O27</f>
        <v>55010.180488670012</v>
      </c>
      <c r="O39" s="45" t="s">
        <v>25</v>
      </c>
      <c r="P39" s="14"/>
      <c r="Q39" s="14"/>
      <c r="R39"/>
      <c r="S39" s="238"/>
      <c r="T39" s="59" t="s">
        <v>158</v>
      </c>
      <c r="U39" s="302">
        <v>43650</v>
      </c>
    </row>
    <row r="40" spans="2:23" s="230" customFormat="1" ht="17.399999999999999" x14ac:dyDescent="0.35">
      <c r="G40"/>
      <c r="J40" s="230">
        <f>J39/1.19</f>
        <v>19798.319327731093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3" t="s">
        <v>159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161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I42" s="230" t="s">
        <v>169</v>
      </c>
      <c r="K42" s="12"/>
      <c r="S42" s="238"/>
      <c r="T42" s="59" t="s">
        <v>156</v>
      </c>
      <c r="U42" s="59">
        <v>474.45</v>
      </c>
    </row>
    <row r="43" spans="2:23" ht="14.4" customHeight="1" x14ac:dyDescent="0.3">
      <c r="I43" t="s">
        <v>170</v>
      </c>
      <c r="J43">
        <v>8990</v>
      </c>
      <c r="K43" s="12"/>
      <c r="T43" s="59"/>
      <c r="U43" s="59"/>
    </row>
    <row r="44" spans="2:23" x14ac:dyDescent="0.3">
      <c r="K44" s="250"/>
    </row>
    <row r="45" spans="2:23" x14ac:dyDescent="0.3">
      <c r="I45">
        <v>46850</v>
      </c>
      <c r="K45" s="250"/>
      <c r="S45" s="270"/>
    </row>
    <row r="46" spans="2:23" x14ac:dyDescent="0.3">
      <c r="K46" s="250"/>
    </row>
    <row r="47" spans="2:23" ht="15" customHeight="1" x14ac:dyDescent="0.3">
      <c r="I47">
        <f>I45/1.19</f>
        <v>39369.747899159665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45666</v>
      </c>
    </row>
    <row r="6" spans="2:31" ht="16.2" thickBot="1" x14ac:dyDescent="0.35">
      <c r="B6" s="140" t="s">
        <v>2</v>
      </c>
      <c r="C6" s="139" t="str">
        <f>'2229'!C10</f>
        <v>RONALD ALBORNOZ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11244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7008.8811665458898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86892</v>
      </c>
      <c r="E11" s="132">
        <f>D11*0.19</f>
        <v>16509.48</v>
      </c>
      <c r="F11" s="131">
        <f>E11+D11</f>
        <v>103401.48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112998.88116654589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78148.658787439606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94998.881166545892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8743.3412125603936</v>
      </c>
      <c r="E13" s="221">
        <f>(D11/D12)-1</f>
        <v>0.11188088635458016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85998.881166545892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46998.881166545892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128945.28699927534</v>
      </c>
      <c r="F15" s="216">
        <f>E15-D12</f>
        <v>50796.628211835734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46998.881166545892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86998.881166545892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12314.567999999999</v>
      </c>
      <c r="E20" s="121">
        <f>D20*0.19</f>
        <v>2339.7679199999998</v>
      </c>
      <c r="F20" s="120">
        <f>SUM(D20:E20)</f>
        <v>14654.33592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48314.567999999999</v>
      </c>
      <c r="E21" s="116">
        <f>SUM(E18:E20)</f>
        <v>9179.7679200000002</v>
      </c>
      <c r="F21" s="115">
        <f>SUM(F18:F20)</f>
        <v>57494.335919999998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7329.7120799999993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86892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48314.567999999999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8743.3412125603936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8743.3412125603936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2024-07-09T14:32:16Z</cp:lastPrinted>
  <dcterms:created xsi:type="dcterms:W3CDTF">2013-03-18T13:35:42Z</dcterms:created>
  <dcterms:modified xsi:type="dcterms:W3CDTF">2025-01-14T02:45:37Z</dcterms:modified>
</cp:coreProperties>
</file>