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7A1CF113-F216-4E16-96BD-A8346802C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/>
  <c r="N33" i="1" l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<sst xmlns="http://schemas.openxmlformats.org/spreadsheetml/2006/main" count="227" uniqueCount="171">
  <si>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</si>
  <si>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</si>
  <si>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</si>
  <si>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</si>
  <si>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</si>
  <si>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</si>
  <si>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</si>
  <si>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</si>
  <si>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</si>
  <si>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</si>
  <si>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</si>
  <si>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</si>
  <si>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</si>
  <si>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</si>
  <si>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</si>
  <si>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</si>
  <si>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</si>
  <si>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</si>
  <si>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</si>
  <si>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</si>
  <si>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</si>
  <si>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</si>
  <si>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</si>
  <si>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</si>
  <si>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</si>
  <si>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</si>
  <si>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</si>
  <si>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</si>
  <si>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</si>
  <si>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</si>
  <si>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</si>
  <si>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</si>
  <si>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</si>
  <si>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</si>
  <si>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</si>
  <si>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</si>
  <si>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</si>
  <si>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</si>
  <si>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</si>
  <si>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</si>
  <si>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</si>
  <si>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</si>
  <si>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</si>
  <si>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</si>
  <si>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</si>
  <si>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</si>
  <si>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</si>
  <si>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</si>
  <si>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</si>
  <si>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</si>
  <si>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</si>
  <si>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</si>
  <si>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</si>
  <si>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</si>
  <si>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</si>
  <si>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</si>
  <si>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</si>
  <si>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</si>
  <si>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</si>
  <si>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</si>
  <si>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</si>
  <si>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</si>
  <si>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</si>
  <si>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</si>
  <si>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</si>
  <si>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</si>
  <si>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</si>
  <si>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</si>
  <si>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</si>
  <si>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</si>
  <si>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</si>
  <si>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</si>
  <si>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</si>
  <si>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</si>
  <si>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</si>
  <si>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</si>
  <si>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</si>
  <si>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</si>
  <si>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</si>
  <si>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</si>
  <si>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</si>
  <si>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</si>
  <si>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</si>
  <si>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</si>
  <si>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</si>
  <si>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</si>
  <si>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</si>
  <si>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</si>
  <si>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</si>
  <si>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</si>
  <si>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</si>
  <si>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</si>
  <si>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</si>
  <si>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</si>
  <si>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</si>
  <si>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</si>
  <si>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</si>
  <si>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</si>
  <si>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</si>
  <si>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</si>
  <si>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</si>
  <si>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</si>
  <si>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</si>
  <si>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</si>
  <si>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</si>
  <si>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</si>
  <si>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</si>
  <si>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</si>
  <si>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</si>
  <si>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</si>
  <si>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</si>
  <si>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</si>
  <si>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</si>
  <si>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</si>
  <si>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</si>
  <si>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</si>
  <si>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</si>
  <si>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</si>
  <si>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</si>
  <si>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</si>
  <si>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</si>
  <si>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</si>
  <si>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</si>
  <si>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</si>
  <si>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</si>
  <si>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</si>
  <si>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</si>
  <si>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</si>
  <si>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</si>
  <si>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</si>
  <si>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</si>
  <si>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</si>
  <si>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</si>
  <si>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</si>
  <si>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</si>
  <si>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</si>
  <si>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</si>
  <si>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</si>
  <si>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</si>
  <si>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</si>
  <si>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</si>
  <si>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</si>
  <si>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</si>
  <si>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</si>
  <si>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</si>
  <si>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</si>
  <si>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</si>
  <si>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</si>
  <si>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</si>
  <si>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</si>
  <si>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</si>
  <si>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</si>
  <si>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</si>
  <si>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</si>
  <si>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</si>
  <si>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</si>
  <si>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</si>
  <si>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</si>
  <si>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</si>
  <si>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</si>
  <si>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</si>
  <si>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</si>
  <si>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</si>
  <si>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</si>
  <si>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</si>
  <si>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FASHION WHITE 2125 MT</t>
  </si>
  <si>
    <t>WHITE MARBLE 42004 BR</t>
  </si>
  <si>
    <t>MARCO BARRERA</t>
  </si>
  <si>
    <t>+569 9324 1138</t>
  </si>
  <si>
    <t>7 DIAS HABILES</t>
  </si>
  <si>
    <t>N° 11255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</si>
</sst>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</a:t>
          </a:r>
          <a:r>
            <a:rPr lang="es-CL" sz="1200" b="1" baseline="0"/>
            <a:t> MEDIDA EN EL LARGO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3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170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167</v>
      </c>
      <c r="D10" s="242"/>
      <c r="E10" s="242"/>
      <c r="F10" s="243" t="s">
        <v>0</v>
      </c>
      <c r="G10" s="276">
        <v>45672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169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135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168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N38</f>
        <v>67398.907103825142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1</v>
      </c>
      <c r="C21" s="325" t="s">
        <v>35</v>
      </c>
      <c r="D21" s="330">
        <v>3</v>
      </c>
      <c r="E21" s="330">
        <v>0.6</v>
      </c>
      <c r="F21" s="325" t="s">
        <v>166</v>
      </c>
      <c r="G21" s="326">
        <v>123340</v>
      </c>
      <c r="H21" s="326">
        <f>G21*B21</f>
        <v>123340</v>
      </c>
      <c r="I21" s="264"/>
      <c r="J21" s="47"/>
      <c r="K21" s="328">
        <f t="shared" ref="K21" si="1">B21</f>
        <v>1</v>
      </c>
      <c r="L21" s="39">
        <f t="shared" ref="L21" si="2">D21+L$19</f>
        <v>3.05</v>
      </c>
      <c r="M21" s="39">
        <f t="shared" ref="M21" si="3">E21+M$19</f>
        <v>0.6</v>
      </c>
      <c r="N21" s="260">
        <f t="shared" ref="N21" si="4">L21*M21</f>
        <v>1.8299999999999998</v>
      </c>
      <c r="O21" s="258">
        <f t="shared" ref="O21" si="5">N21*K21</f>
        <v>1.8299999999999998</v>
      </c>
      <c r="P21" s="251">
        <f t="shared" ref="P21" si="6">P$20*N21</f>
        <v>123340</v>
      </c>
      <c r="Q21" s="327">
        <f t="shared" ref="Q21" si="7">P21+Q$20</f>
        <v>126340</v>
      </c>
      <c r="R21" s="297">
        <f>L21*K21*2</f>
        <v>6.1</v>
      </c>
      <c r="S21" s="46">
        <f>M21*2*K21</f>
        <v>1.2</v>
      </c>
      <c r="T21" s="9"/>
      <c r="W21" s="4"/>
    </row>
    <row r="22" spans="2:24" ht="17.399999999999999" x14ac:dyDescent="0.3">
      <c r="B22" s="285"/>
      <c r="C22" s="285"/>
      <c r="D22" s="286"/>
      <c r="E22" s="286"/>
      <c r="F22" s="285"/>
      <c r="G22" s="329"/>
      <c r="H22" s="326">
        <f t="shared" ref="H22" si="8">G22*B22</f>
        <v>0</v>
      </c>
      <c r="I22" s="264"/>
      <c r="J22" s="47"/>
      <c r="K22" s="328"/>
      <c r="L22" s="39"/>
      <c r="M22" s="39"/>
      <c r="N22" s="260"/>
      <c r="O22" s="258"/>
      <c r="P22" s="251"/>
      <c r="Q22" s="327"/>
      <c r="R22" s="297"/>
      <c r="S22" s="46"/>
      <c r="T22" s="9"/>
      <c r="W22" s="4"/>
    </row>
    <row r="23" spans="2:24" ht="18" thickBot="1" x14ac:dyDescent="0.35">
      <c r="B23" s="285"/>
      <c r="C23" s="285"/>
      <c r="D23" s="286"/>
      <c r="E23" s="286"/>
      <c r="F23" s="285"/>
      <c r="G23" s="264"/>
      <c r="H23" s="232"/>
      <c r="I23" s="232"/>
      <c r="J23" s="47"/>
      <c r="K23" s="47"/>
      <c r="L23" s="39"/>
      <c r="M23" s="39"/>
      <c r="N23" s="260">
        <v>0</v>
      </c>
      <c r="O23" s="258"/>
      <c r="P23" s="251"/>
      <c r="Q23" s="257"/>
      <c r="R23" s="297"/>
      <c r="S23" s="14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298" t="s">
        <v>28</v>
      </c>
      <c r="H24" s="299">
        <f>SUM(H21:H23)</f>
        <v>123340</v>
      </c>
      <c r="I24" s="264"/>
      <c r="J24" s="47"/>
      <c r="K24" s="47"/>
      <c r="L24" s="39">
        <f>SUM(L21:L23)</f>
        <v>3.05</v>
      </c>
      <c r="M24" s="39"/>
      <c r="N24" s="260"/>
      <c r="O24" s="258"/>
      <c r="P24" s="251"/>
      <c r="Q24" s="257"/>
      <c r="R24" s="297"/>
      <c r="S24" s="46">
        <f>SUM(S21:S23)</f>
        <v>1.2</v>
      </c>
      <c r="T24" s="9"/>
      <c r="W24" s="4"/>
    </row>
    <row r="25" spans="2:24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23434.6</v>
      </c>
      <c r="I25" s="264"/>
      <c r="J25" s="47"/>
      <c r="K25" s="47"/>
      <c r="L25" s="39"/>
      <c r="M25" s="12"/>
      <c r="N25" s="12"/>
      <c r="O25" s="252">
        <f>SUM(O21:O22)</f>
        <v>1.8299999999999998</v>
      </c>
      <c r="P25" s="14"/>
      <c r="Q25" s="12"/>
      <c r="R25" s="238"/>
      <c r="S25" s="46">
        <f>S24*20%</f>
        <v>0.24</v>
      </c>
      <c r="T25" s="9"/>
      <c r="W25" s="4"/>
    </row>
    <row r="26" spans="2:24" ht="18" thickBot="1" x14ac:dyDescent="0.35">
      <c r="B26" s="275"/>
      <c r="C26" s="281"/>
      <c r="D26" s="271"/>
      <c r="E26" s="271"/>
      <c r="F26" s="272"/>
      <c r="G26" s="280" t="s">
        <v>6</v>
      </c>
      <c r="H26" s="295">
        <f>H24+H25</f>
        <v>146774.6</v>
      </c>
      <c r="I26" s="264"/>
      <c r="J26" s="47"/>
      <c r="K26" s="47"/>
      <c r="L26" s="39"/>
      <c r="M26" s="12"/>
      <c r="N26" s="12"/>
      <c r="O26" s="252">
        <f>O25</f>
        <v>1.8299999999999998</v>
      </c>
      <c r="P26" s="14"/>
      <c r="Q26" s="12"/>
      <c r="R26" s="238">
        <f>SUM(R21:R25)</f>
        <v>6.1</v>
      </c>
      <c r="S26" s="46">
        <f>S24+S25</f>
        <v>1.44</v>
      </c>
      <c r="T26" s="9"/>
      <c r="W26" s="4"/>
    </row>
    <row r="27" spans="2:24" ht="17.399999999999999" x14ac:dyDescent="0.3">
      <c r="B27" s="275"/>
      <c r="C27" s="270"/>
      <c r="D27" s="271"/>
      <c r="E27" s="271"/>
      <c r="F27" s="272"/>
      <c r="I27" s="264"/>
      <c r="J27" s="47"/>
      <c r="K27" s="47"/>
      <c r="L27" s="14"/>
      <c r="M27" s="12"/>
      <c r="N27" s="12"/>
      <c r="O27" s="39">
        <f>O26*20%</f>
        <v>0.36599999999999999</v>
      </c>
      <c r="P27" s="39" t="s">
        <v>130</v>
      </c>
      <c r="Q27" s="42"/>
      <c r="R27" s="239"/>
      <c r="S27" s="14"/>
      <c r="T27" s="9"/>
      <c r="W27" s="4"/>
    </row>
    <row r="28" spans="2:24" ht="17.399999999999999" x14ac:dyDescent="0.3">
      <c r="B28" s="270"/>
      <c r="C28" s="270"/>
      <c r="D28" s="271"/>
      <c r="E28" s="271"/>
      <c r="F28" s="272"/>
      <c r="G28" s="273"/>
      <c r="H28" s="274"/>
      <c r="I28" s="264"/>
      <c r="J28" s="47"/>
      <c r="K28" s="47"/>
      <c r="L28" s="14"/>
      <c r="M28" s="12"/>
      <c r="N28" s="12"/>
      <c r="O28" s="46">
        <f>O26+O27</f>
        <v>2.1959999999999997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8"/>
      <c r="C29" s="229"/>
      <c r="D29" s="229"/>
      <c r="E29" s="232"/>
      <c r="F29" s="233"/>
      <c r="G29" s="229"/>
      <c r="H29" s="274"/>
      <c r="I29" s="264"/>
      <c r="J29" s="47"/>
      <c r="K29" s="47"/>
      <c r="L29" s="14"/>
      <c r="M29" s="14"/>
      <c r="N29" s="14"/>
      <c r="O29" s="14"/>
      <c r="P29" s="14"/>
      <c r="Q29" s="14"/>
      <c r="R29" s="237"/>
      <c r="S29" s="14"/>
      <c r="T29" s="304" t="s">
        <v>22</v>
      </c>
      <c r="U29" s="301" t="s">
        <v>151</v>
      </c>
      <c r="V29" s="305">
        <v>44971</v>
      </c>
      <c r="W29" s="306"/>
    </row>
    <row r="30" spans="2:24" ht="17.399999999999999" x14ac:dyDescent="0.35">
      <c r="B30" s="234"/>
      <c r="C30" s="235"/>
      <c r="D30" s="236"/>
      <c r="E30" s="234"/>
      <c r="F30" s="229"/>
      <c r="G30" s="229"/>
      <c r="I30" s="264"/>
      <c r="J30" s="47"/>
      <c r="K30" s="47"/>
      <c r="L30" s="39">
        <f>O28</f>
        <v>2.1959999999999997</v>
      </c>
      <c r="M30" s="12">
        <v>3500</v>
      </c>
      <c r="N30" s="12">
        <f t="shared" ref="N30:N35" si="9">L30*M30</f>
        <v>7685.9999999999991</v>
      </c>
      <c r="O30" s="14" t="s">
        <v>22</v>
      </c>
      <c r="P30" s="14"/>
      <c r="Q30" s="14"/>
      <c r="R30" s="240"/>
      <c r="S30" s="14"/>
      <c r="T30" s="304" t="s">
        <v>152</v>
      </c>
      <c r="U30" s="301">
        <v>3625</v>
      </c>
      <c r="V30" s="58" t="s">
        <v>153</v>
      </c>
      <c r="W30" s="306"/>
    </row>
    <row r="31" spans="2:24" ht="17.399999999999999" x14ac:dyDescent="0.35">
      <c r="B31" s="229"/>
      <c r="C31" s="229"/>
      <c r="D31" s="229"/>
      <c r="E31" s="229"/>
      <c r="F31" s="229"/>
      <c r="G31" s="229"/>
      <c r="I31" s="264"/>
      <c r="J31" s="47"/>
      <c r="K31" s="47"/>
      <c r="L31" s="248">
        <v>0.6</v>
      </c>
      <c r="M31" s="12">
        <v>25000</v>
      </c>
      <c r="N31" s="12">
        <f t="shared" si="9"/>
        <v>15000</v>
      </c>
      <c r="O31" s="39" t="s">
        <v>31</v>
      </c>
      <c r="P31" s="42"/>
      <c r="Q31" s="14"/>
      <c r="R31" s="239"/>
      <c r="S31" s="14"/>
      <c r="T31" s="304"/>
      <c r="U31" s="58">
        <v>906.25</v>
      </c>
      <c r="V31" s="58" t="s">
        <v>154</v>
      </c>
      <c r="W31" s="306"/>
    </row>
    <row r="32" spans="2:24" s="229" customFormat="1" ht="17.399999999999999" x14ac:dyDescent="0.35">
      <c r="I32" s="261"/>
      <c r="J32" s="231"/>
      <c r="K32" s="249"/>
      <c r="L32" s="14"/>
      <c r="M32" s="249">
        <v>40000</v>
      </c>
      <c r="N32" s="12">
        <f t="shared" si="9"/>
        <v>0</v>
      </c>
      <c r="O32" s="39" t="s">
        <v>30</v>
      </c>
      <c r="P32" s="42"/>
      <c r="R32" s="239"/>
      <c r="S32" s="255"/>
      <c r="T32" s="58"/>
      <c r="U32" s="58">
        <f>U31*20%</f>
        <v>181.25</v>
      </c>
      <c r="V32" s="306" t="s">
        <v>155</v>
      </c>
      <c r="W32" s="58"/>
    </row>
    <row r="33" spans="2:23" s="229" customFormat="1" ht="17.399999999999999" x14ac:dyDescent="0.35">
      <c r="B33" s="24" t="s">
        <v>150</v>
      </c>
      <c r="I33" s="261"/>
      <c r="J33" s="231"/>
      <c r="K33" s="249"/>
      <c r="L33" s="14">
        <v>1</v>
      </c>
      <c r="M33" s="249">
        <v>22000</v>
      </c>
      <c r="N33" s="12">
        <f t="shared" si="9"/>
        <v>22000</v>
      </c>
      <c r="O33" s="14"/>
      <c r="P33" s="17"/>
      <c r="R33" s="237"/>
      <c r="S33" s="255"/>
      <c r="T33" s="58"/>
      <c r="U33" s="58">
        <f>U31+U32</f>
        <v>1087.5</v>
      </c>
      <c r="V33" s="306" t="s">
        <v>156</v>
      </c>
      <c r="W33" s="58"/>
    </row>
    <row r="34" spans="2:23" s="229" customFormat="1" ht="17.399999999999999" x14ac:dyDescent="0.35">
      <c r="B34" s="24" t="s">
        <v>143</v>
      </c>
      <c r="C34"/>
      <c r="D34"/>
      <c r="E34"/>
      <c r="F34"/>
      <c r="I34" s="261"/>
      <c r="K34" s="249"/>
      <c r="L34" s="248"/>
      <c r="M34" s="249">
        <v>300</v>
      </c>
      <c r="N34" s="12">
        <f t="shared" si="9"/>
        <v>0</v>
      </c>
      <c r="O34" s="14" t="s">
        <v>32</v>
      </c>
      <c r="P34" s="14"/>
      <c r="Q34" s="229">
        <v>1.52</v>
      </c>
      <c r="R34" s="237"/>
      <c r="S34" s="237"/>
    </row>
    <row r="35" spans="2:23" s="229" customFormat="1" ht="17.399999999999999" x14ac:dyDescent="0.35">
      <c r="B35" s="29" t="s">
        <v>125</v>
      </c>
      <c r="C35"/>
      <c r="D35"/>
      <c r="E35"/>
      <c r="F35" s="228" t="s">
        <v>16</v>
      </c>
      <c r="I35" s="293"/>
      <c r="K35" s="249"/>
      <c r="L35" s="265">
        <v>3.1</v>
      </c>
      <c r="M35" s="12">
        <v>1500</v>
      </c>
      <c r="N35" s="12">
        <f t="shared" si="9"/>
        <v>4650</v>
      </c>
      <c r="O35" s="14" t="s">
        <v>23</v>
      </c>
      <c r="P35" s="14"/>
      <c r="Q35">
        <v>2.44</v>
      </c>
      <c r="R35"/>
      <c r="S35" s="237"/>
      <c r="W35" s="230"/>
    </row>
    <row r="36" spans="2:23" s="229" customFormat="1" ht="17.399999999999999" x14ac:dyDescent="0.35">
      <c r="K36" s="249"/>
      <c r="L36" s="14"/>
      <c r="M36" s="12"/>
      <c r="N36" s="12">
        <f>SUM(N30:N35)</f>
        <v>49336</v>
      </c>
      <c r="O36" s="39" t="s">
        <v>24</v>
      </c>
      <c r="P36" s="14"/>
      <c r="Q36">
        <f>Q34*Q35</f>
        <v>3.7088000000000001</v>
      </c>
      <c r="R36"/>
      <c r="S36" s="237"/>
      <c r="W36" s="230"/>
    </row>
    <row r="37" spans="2:23" s="229" customFormat="1" ht="17.399999999999999" x14ac:dyDescent="0.35">
      <c r="K37" s="249"/>
      <c r="L37" s="253" t="s">
        <v>33</v>
      </c>
      <c r="M37" s="12"/>
      <c r="N37" s="254">
        <f>N36*2.5</f>
        <v>123340</v>
      </c>
      <c r="O37" s="14" t="s">
        <v>140</v>
      </c>
      <c r="P37" s="14"/>
      <c r="Q37" s="40">
        <f>O28/Q36</f>
        <v>0.59210526315789469</v>
      </c>
      <c r="R37"/>
      <c r="S37" s="256"/>
    </row>
    <row r="38" spans="2:23" s="229" customFormat="1" ht="17.399999999999999" x14ac:dyDescent="0.35">
      <c r="G38"/>
      <c r="H38" s="259"/>
      <c r="J38" s="229">
        <v>23560</v>
      </c>
      <c r="K38" s="249">
        <v>0</v>
      </c>
      <c r="L38" s="14"/>
      <c r="M38" s="12"/>
      <c r="N38" s="12">
        <f>N37/O26</f>
        <v>67398.907103825142</v>
      </c>
      <c r="O38" s="45" t="s">
        <v>25</v>
      </c>
      <c r="P38" s="14"/>
      <c r="Q38" s="14"/>
      <c r="R38"/>
      <c r="S38" s="237"/>
      <c r="T38" s="58" t="s">
        <v>157</v>
      </c>
      <c r="U38" s="301">
        <v>43650</v>
      </c>
    </row>
    <row r="39" spans="2:23" s="229" customFormat="1" ht="17.399999999999999" x14ac:dyDescent="0.35">
      <c r="G39"/>
      <c r="J39" s="229">
        <f>J38/1.19</f>
        <v>19798.319327731093</v>
      </c>
      <c r="K39" s="249"/>
      <c r="L39" s="13"/>
      <c r="M39" s="14"/>
      <c r="N39" s="17">
        <f>N37/N36</f>
        <v>2.5</v>
      </c>
      <c r="O39" s="15"/>
      <c r="P39"/>
      <c r="Q39"/>
      <c r="R39"/>
      <c r="S39" s="237"/>
      <c r="T39" s="58" t="s">
        <v>159</v>
      </c>
      <c r="U39" s="302" t="s">
        <v>158</v>
      </c>
      <c r="V39" s="58">
        <v>2.4</v>
      </c>
    </row>
    <row r="40" spans="2:23" s="229" customFormat="1" ht="17.399999999999999" x14ac:dyDescent="0.35">
      <c r="G40" s="23"/>
      <c r="K40" s="12"/>
      <c r="S40" s="237"/>
      <c r="T40" s="58" t="s">
        <v>160</v>
      </c>
      <c r="U40" s="303">
        <v>395.37</v>
      </c>
    </row>
    <row r="41" spans="2:23" s="229" customFormat="1" ht="17.399999999999999" x14ac:dyDescent="0.35">
      <c r="B41"/>
      <c r="C41" s="227"/>
      <c r="D41" s="22"/>
      <c r="E41" s="22"/>
      <c r="F41" s="21"/>
      <c r="G41" s="23"/>
      <c r="K41" s="12"/>
      <c r="S41" s="237"/>
      <c r="T41" s="58" t="s">
        <v>155</v>
      </c>
      <c r="U41" s="58">
        <v>474.45</v>
      </c>
    </row>
    <row r="42" spans="2:23" ht="14.4" customHeight="1" x14ac:dyDescent="0.3">
      <c r="K42" s="12"/>
      <c r="T42" s="58"/>
      <c r="U42" s="58"/>
    </row>
    <row r="43" spans="2:23" x14ac:dyDescent="0.3">
      <c r="K43" s="249"/>
    </row>
    <row r="44" spans="2:23" x14ac:dyDescent="0.3">
      <c r="I44">
        <v>5</v>
      </c>
      <c r="J44" t="s">
        <v>165</v>
      </c>
      <c r="K44" s="249"/>
      <c r="S44" s="269"/>
    </row>
    <row r="45" spans="2:23" x14ac:dyDescent="0.3">
      <c r="K45" s="249"/>
    </row>
    <row r="46" spans="2:23" ht="15" customHeight="1" x14ac:dyDescent="0.3">
      <c r="K46" s="331"/>
    </row>
    <row r="47" spans="2:23" x14ac:dyDescent="0.3">
      <c r="K47" s="331"/>
    </row>
    <row r="48" spans="2:23" x14ac:dyDescent="0.3">
      <c r="K48" s="331"/>
    </row>
    <row r="49" spans="11:19" x14ac:dyDescent="0.3">
      <c r="K49" s="331"/>
    </row>
    <row r="50" spans="11:19" x14ac:dyDescent="0.3">
      <c r="K50" s="331"/>
    </row>
    <row r="51" spans="11:19" x14ac:dyDescent="0.3">
      <c r="K51" s="331"/>
      <c r="R51" s="331"/>
      <c r="S51" s="18"/>
    </row>
    <row r="52" spans="11:19" x14ac:dyDescent="0.3">
      <c r="K52" s="331"/>
      <c r="R52" s="331"/>
      <c r="S52" s="18"/>
    </row>
    <row r="53" spans="11:19" x14ac:dyDescent="0.3">
      <c r="R53" s="18"/>
      <c r="S53" s="18"/>
    </row>
    <row r="54" spans="11:19" x14ac:dyDescent="0.3">
      <c r="R54" s="18"/>
      <c r="S54" s="18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2" spans="11:19" x14ac:dyDescent="0.3">
      <c r="N62" s="43"/>
    </row>
    <row r="63" spans="11:19" x14ac:dyDescent="0.3">
      <c r="N63" s="43"/>
    </row>
    <row r="64" spans="11:19" x14ac:dyDescent="0.3">
      <c r="N64" s="6"/>
    </row>
    <row r="65" spans="3:14" x14ac:dyDescent="0.3">
      <c r="N65" s="6"/>
    </row>
    <row r="73" spans="3:14" x14ac:dyDescent="0.3">
      <c r="C73" t="s">
        <v>147</v>
      </c>
    </row>
    <row r="74" spans="3:14" x14ac:dyDescent="0.3">
      <c r="C74" t="s">
        <v>146</v>
      </c>
    </row>
    <row r="77" spans="3:14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45672</v>
      </c>
    </row>
    <row r="6" spans="2:31" ht="16.2" thickBot="1" x14ac:dyDescent="0.35">
      <c r="B6" s="139" t="s">
        <v>2</v>
      </c>
      <c r="C6" s="138" t="str">
        <f>'2229'!C10</f>
        <v>MARCO BARRERA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11255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-6113.6417001207737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123340</v>
      </c>
      <c r="E11" s="131">
        <f>D11*0.19</f>
        <v>23434.6</v>
      </c>
      <c r="F11" s="130">
        <f>E11+D11</f>
        <v>146774.6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99876.358299879226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52520.090787439614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81876.358299879226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70819.909212560393</v>
      </c>
      <c r="E13" s="220">
        <f>(D11/D12)-1</f>
        <v>1.3484346304575934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72876.358299879226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33876.358299879226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86658.149799275358</v>
      </c>
      <c r="F15" s="215">
        <f>E15-D12</f>
        <v>34138.059011835743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33876.358299879226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73876.358299879226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'2229'!N31</f>
        <v>15000</v>
      </c>
      <c r="E19" s="122">
        <f>D19*0.19</f>
        <v>2850</v>
      </c>
      <c r="F19" s="119">
        <f>SUM(D19:E19)</f>
        <v>17850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'2229'!N30</f>
        <v>7685.9999999999991</v>
      </c>
      <c r="E20" s="120">
        <f>D20*0.19</f>
        <v>1460.34</v>
      </c>
      <c r="F20" s="119">
        <f>SUM(D20:E20)</f>
        <v>9146.3399999999983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22686</v>
      </c>
      <c r="E21" s="115">
        <f>SUM(E18:E20)</f>
        <v>4310.34</v>
      </c>
      <c r="F21" s="114">
        <f>SUM(F18:F20)</f>
        <v>26996.339999999997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19124.259999999998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123340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22686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70819.909212560393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70819.909212560393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2025-01-16T18:56:18Z</dcterms:modified>
</cp:coreProperties>
</file>