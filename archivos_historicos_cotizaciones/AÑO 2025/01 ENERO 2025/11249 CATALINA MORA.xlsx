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BF8948D3-6C90-4119-8681-F607D9794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1" l="1"/>
  <c r="K26" i="1"/>
  <c r="K25" i="1"/>
  <c r="K24" i="1"/>
  <c r="K23" i="1"/>
  <c r="K22" i="1"/>
  <c r="K21" i="1"/>
  <c r="L26" i="1"/>
  <c r="M26" i="1"/>
  <c r="N26" i="1" l="1"/>
  <c r="O26" i="1" s="1"/>
  <c r="L22" i="1"/>
  <c r="M22" i="1"/>
  <c r="L23" i="1"/>
  <c r="M23" i="1"/>
  <c r="L24" i="1"/>
  <c r="M24" i="1"/>
  <c r="L25" i="1"/>
  <c r="M25" i="1"/>
  <c r="N38" i="1"/>
  <c r="N23" i="1" l="1"/>
  <c r="O23" i="1" s="1"/>
  <c r="N22" i="1"/>
  <c r="O22" i="1" s="1"/>
  <c r="N24" i="1"/>
  <c r="O24" i="1" s="1"/>
  <c r="N25" i="1"/>
  <c r="O25" i="1" s="1"/>
  <c r="N37" i="1"/>
  <c r="N39" i="1"/>
  <c r="N40" i="1"/>
  <c r="J44" i="1" l="1"/>
  <c r="L21" i="1"/>
  <c r="L29" i="1" s="1"/>
  <c r="M21" i="1"/>
  <c r="S21" i="1" l="1"/>
  <c r="S29" i="1" s="1"/>
  <c r="S30" i="1" s="1"/>
  <c r="S31" i="1" s="1"/>
  <c r="R21" i="1"/>
  <c r="R31" i="1" s="1"/>
  <c r="N21" i="1"/>
  <c r="O21" i="1" s="1"/>
  <c r="O30" i="1" s="1"/>
  <c r="U37" i="1"/>
  <c r="U38" i="1" s="1"/>
  <c r="N36" i="1" l="1"/>
  <c r="O31" i="1" l="1"/>
  <c r="O32" i="1" s="1"/>
  <c r="O33" i="1" s="1"/>
  <c r="L35" i="1" s="1"/>
  <c r="M20" i="1"/>
  <c r="K20" i="1"/>
  <c r="Q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5" i="1" l="1"/>
  <c r="N41" i="1" s="1"/>
  <c r="Q42" i="1"/>
  <c r="D20" i="3" l="1"/>
  <c r="E20" i="3" s="1"/>
  <c r="E21" i="3" s="1"/>
  <c r="N43" i="1" l="1"/>
  <c r="D21" i="3"/>
  <c r="M43" i="3" s="1"/>
  <c r="D12" i="3" s="1"/>
  <c r="F20" i="3"/>
  <c r="F21" i="3" s="1"/>
  <c r="N44" i="1" l="1"/>
  <c r="P20" i="1"/>
  <c r="E15" i="3"/>
  <c r="P26" i="1" l="1"/>
  <c r="Q26" i="1" s="1"/>
  <c r="P24" i="1"/>
  <c r="Q24" i="1" s="1"/>
  <c r="P22" i="1"/>
  <c r="Q22" i="1" s="1"/>
  <c r="P25" i="1"/>
  <c r="Q25" i="1" s="1"/>
  <c r="P23" i="1"/>
  <c r="Q23" i="1" s="1"/>
  <c r="P21" i="1"/>
  <c r="F15" i="3"/>
  <c r="G24" i="1" l="1"/>
  <c r="H24" i="1" s="1"/>
  <c r="G23" i="1"/>
  <c r="H23" i="1" s="1"/>
  <c r="G25" i="1"/>
  <c r="H25" i="1" s="1"/>
  <c r="G26" i="1"/>
  <c r="H26" i="1" s="1"/>
  <c r="G22" i="1"/>
  <c r="H22" i="1" s="1"/>
  <c r="Q21" i="1"/>
  <c r="G21" i="1" s="1"/>
  <c r="H21" i="1" l="1"/>
  <c r="H29" i="1" s="1"/>
  <c r="H30" i="1" s="1"/>
  <c r="H3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<sst xmlns="http://schemas.openxmlformats.org/spreadsheetml/2006/main" count="237" uniqueCount="173">
  <si>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</si>
  <si>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</si>
  <si>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</si>
  <si>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</si>
  <si>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</si>
  <si>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</si>
  <si>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</si>
  <si>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</si>
  <si>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</si>
  <si>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</si>
  <si>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</si>
  <si>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</si>
  <si>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</si>
  <si>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</si>
  <si>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</si>
  <si>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</si>
  <si>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</si>
  <si>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</si>
  <si>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</si>
  <si>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</si>
  <si>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</si>
  <si>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</si>
  <si>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</si>
  <si>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</si>
  <si>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</si>
  <si>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</si>
  <si>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</si>
  <si>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</si>
  <si>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</si>
  <si>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</si>
  <si>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</si>
  <si>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</si>
  <si>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</si>
  <si>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</si>
  <si>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</si>
  <si>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</si>
  <si>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</si>
  <si>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</si>
  <si>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</si>
  <si>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</si>
  <si>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</si>
  <si>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</si>
  <si>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</si>
  <si>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</si>
  <si>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</si>
  <si>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</si>
  <si>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</si>
  <si>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</si>
  <si>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</si>
  <si>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</si>
  <si>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</si>
  <si>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</si>
  <si>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</si>
  <si>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</si>
  <si>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</si>
  <si>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</si>
  <si>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</si>
  <si>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</si>
  <si>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</si>
  <si>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</si>
  <si>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</si>
  <si>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</si>
  <si>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</si>
  <si>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</si>
  <si>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</si>
  <si>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</si>
  <si>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</si>
  <si>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</si>
  <si>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</si>
  <si>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</si>
  <si>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</si>
  <si>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</si>
  <si>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</si>
  <si>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</si>
  <si>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</si>
  <si>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</si>
  <si>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</si>
  <si>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</si>
  <si>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</si>
  <si>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</si>
  <si>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</si>
  <si>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</si>
  <si>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</si>
  <si>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</si>
  <si>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</si>
  <si>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</si>
  <si>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</si>
  <si>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</si>
  <si>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</si>
  <si>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</si>
  <si>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</si>
  <si>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</si>
  <si>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</si>
  <si>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</si>
  <si>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</si>
  <si>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</si>
  <si>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</si>
  <si>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</si>
  <si>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</si>
  <si>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</si>
  <si>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</si>
  <si>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</si>
  <si>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</si>
  <si>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</si>
  <si>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</si>
  <si>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</si>
  <si>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</si>
  <si>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</si>
  <si>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</si>
  <si>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</si>
  <si>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</si>
  <si>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</si>
  <si>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</si>
  <si>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</si>
  <si>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</si>
  <si>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</si>
  <si>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</si>
  <si>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</si>
  <si>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</si>
  <si>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</si>
  <si>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</si>
  <si>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</si>
  <si>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</si>
  <si>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</si>
  <si>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</si>
  <si>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</si>
  <si>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</si>
  <si>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</si>
  <si>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</si>
  <si>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</si>
  <si>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</si>
  <si>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</si>
  <si>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</si>
  <si>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</si>
  <si>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</si>
  <si>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</si>
  <si>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</si>
  <si>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</si>
  <si>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</si>
  <si>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</si>
  <si>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</si>
  <si>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</si>
  <si>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</si>
  <si>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</si>
  <si>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</si>
  <si>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</si>
  <si>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</si>
  <si>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</si>
  <si>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</si>
  <si>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</si>
  <si>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</si>
  <si>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</si>
  <si>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</si>
  <si>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</si>
  <si>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</si>
  <si>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</si>
  <si>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</si>
  <si>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</si>
  <si>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</si>
  <si>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</si>
  <si>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</si>
  <si>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</si>
  <si>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</si>
  <si>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</si>
  <si>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</si>
  <si>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</si>
  <si>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10 DIAS HABILES</t>
  </si>
  <si>
    <t>PR2</t>
  </si>
  <si>
    <t>FASHION WHITE 2125 MT</t>
  </si>
  <si>
    <t>GLACIAL WHITE 22191 SF</t>
  </si>
  <si>
    <t>N° 11249</t>
  </si>
  <si>
    <t>CATALINA MORA</t>
  </si>
  <si>
    <t>+569 87304836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</si>
</sst>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27</xdr:row>
      <xdr:rowOff>206170</xdr:rowOff>
    </xdr:from>
    <xdr:to>
      <xdr:col>5</xdr:col>
      <xdr:colOff>1643259</xdr:colOff>
      <xdr:row>31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ENCHAPADAS CON TAPACANTO PVC 0,4MM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 TRASCARA BLANCA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12" zoomScale="93" zoomScaleNormal="93" workbookViewId="0">
      <selection activeCell="N43" sqref="N4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126</v>
      </c>
      <c r="C8" s="292"/>
      <c r="D8" s="324" t="s">
        <v>170</v>
      </c>
      <c r="F8" s="58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7" t="s">
        <v>161</v>
      </c>
      <c r="C10" s="278" t="s">
        <v>171</v>
      </c>
      <c r="D10" s="242"/>
      <c r="E10" s="242"/>
      <c r="F10" s="243" t="s">
        <v>0</v>
      </c>
      <c r="G10" s="276">
        <v>45670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0"/>
      <c r="F11" t="s">
        <v>123</v>
      </c>
      <c r="G11" s="288" t="s">
        <v>166</v>
      </c>
      <c r="H11" s="289"/>
      <c r="P11" s="19"/>
      <c r="Q11" s="25" t="s">
        <v>19</v>
      </c>
      <c r="R11" s="19"/>
    </row>
    <row r="12" spans="2:23" ht="16.8" x14ac:dyDescent="0.4">
      <c r="B12" s="245" t="s">
        <v>144</v>
      </c>
      <c r="C12" s="311"/>
      <c r="D12" s="246"/>
      <c r="E12" s="246"/>
      <c r="F12" s="246" t="s">
        <v>127</v>
      </c>
      <c r="G12" s="277" t="s">
        <v>135</v>
      </c>
      <c r="H12" s="247"/>
      <c r="P12" s="19"/>
      <c r="Q12" s="25"/>
      <c r="R12" s="19"/>
    </row>
    <row r="13" spans="2:23" x14ac:dyDescent="0.3">
      <c r="B13" s="287" t="s">
        <v>145</v>
      </c>
      <c r="G13" s="312"/>
      <c r="H13" s="289"/>
      <c r="P13" s="19"/>
      <c r="Q13" s="25"/>
      <c r="R13" s="19"/>
    </row>
    <row r="14" spans="2:23" x14ac:dyDescent="0.3">
      <c r="B14" s="245" t="s">
        <v>139</v>
      </c>
      <c r="C14" s="319"/>
      <c r="D14" s="246"/>
      <c r="E14" s="246"/>
      <c r="F14" s="320" t="s">
        <v>136</v>
      </c>
      <c r="G14" s="290" t="s">
        <v>165</v>
      </c>
      <c r="H14" s="247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14" t="s">
        <v>172</v>
      </c>
      <c r="D15" s="315"/>
      <c r="F15" t="s">
        <v>134</v>
      </c>
      <c r="G15" s="313" t="s">
        <v>135</v>
      </c>
      <c r="H15" s="289"/>
    </row>
    <row r="16" spans="2:23" ht="16.8" x14ac:dyDescent="0.4">
      <c r="B16" s="321" t="s">
        <v>3</v>
      </c>
      <c r="C16" s="311"/>
      <c r="D16" s="246"/>
      <c r="E16" s="246"/>
      <c r="F16" s="322" t="s">
        <v>129</v>
      </c>
      <c r="G16" s="323" t="s">
        <v>162</v>
      </c>
      <c r="H16" s="247"/>
    </row>
    <row r="17" spans="2:24" ht="15" thickBot="1" x14ac:dyDescent="0.35">
      <c r="B17" s="316" t="s">
        <v>13</v>
      </c>
      <c r="C17" s="317" t="s">
        <v>164</v>
      </c>
      <c r="D17" s="318"/>
      <c r="E17" s="118"/>
      <c r="F17" s="332" t="s">
        <v>163</v>
      </c>
      <c r="G17" s="332"/>
      <c r="H17" s="333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146</v>
      </c>
      <c r="C19" s="335"/>
      <c r="D19" s="335"/>
      <c r="E19" s="335"/>
      <c r="F19" s="335"/>
      <c r="G19" s="335"/>
      <c r="H19" s="336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7.399999999999999" x14ac:dyDescent="0.3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4"/>
      <c r="J20" s="47"/>
      <c r="K20" s="267" t="str">
        <f>B20</f>
        <v>UNIDAD</v>
      </c>
      <c r="L20" s="266" t="s">
        <v>131</v>
      </c>
      <c r="M20" s="39" t="str">
        <f t="shared" ref="M20" si="0">E20</f>
        <v>ANCHO</v>
      </c>
      <c r="N20" s="260" t="s">
        <v>132</v>
      </c>
      <c r="O20" s="258" t="s">
        <v>17</v>
      </c>
      <c r="P20" s="251">
        <f>N43</f>
        <v>80409.242226773393</v>
      </c>
      <c r="Q20" s="257">
        <v>3000</v>
      </c>
      <c r="R20" s="38"/>
      <c r="S20" s="14" t="s">
        <v>128</v>
      </c>
      <c r="T20" s="9"/>
      <c r="W20" s="4"/>
    </row>
    <row r="21" spans="2:24" ht="17.399999999999999" x14ac:dyDescent="0.3">
      <c r="B21" s="325">
        <v>6</v>
      </c>
      <c r="C21" s="325" t="s">
        <v>167</v>
      </c>
      <c r="D21" s="330">
        <v>0.65</v>
      </c>
      <c r="E21" s="330">
        <v>0.33100000000000002</v>
      </c>
      <c r="F21" s="325" t="s">
        <v>169</v>
      </c>
      <c r="G21" s="326">
        <f>Q21</f>
        <v>21630.821423943398</v>
      </c>
      <c r="H21" s="326">
        <f>G21*B21</f>
        <v>129784.92854366038</v>
      </c>
      <c r="I21" s="264"/>
      <c r="J21" s="47"/>
      <c r="K21" s="328">
        <f t="shared" ref="K21:K26" si="1">B21</f>
        <v>6</v>
      </c>
      <c r="L21" s="39">
        <f t="shared" ref="L21" si="2">D21+L$19</f>
        <v>0.70000000000000007</v>
      </c>
      <c r="M21" s="39">
        <f t="shared" ref="M21" si="3">E21+M$19</f>
        <v>0.33100000000000002</v>
      </c>
      <c r="N21" s="260">
        <f t="shared" ref="N21" si="4">L21*M21</f>
        <v>0.23170000000000004</v>
      </c>
      <c r="O21" s="258">
        <f t="shared" ref="O21" si="5">N21*K21</f>
        <v>1.3902000000000003</v>
      </c>
      <c r="P21" s="251">
        <f t="shared" ref="P21" si="6">P$20*N21</f>
        <v>18630.821423943398</v>
      </c>
      <c r="Q21" s="327">
        <f t="shared" ref="Q21" si="7">P21+Q$20</f>
        <v>21630.821423943398</v>
      </c>
      <c r="R21" s="297">
        <f>L21*K21*2</f>
        <v>8.4</v>
      </c>
      <c r="S21" s="46">
        <f>M21*2*K21</f>
        <v>3.9720000000000004</v>
      </c>
      <c r="T21" s="9"/>
      <c r="W21" s="4"/>
    </row>
    <row r="22" spans="2:24" ht="17.399999999999999" x14ac:dyDescent="0.3">
      <c r="B22" s="325">
        <v>1</v>
      </c>
      <c r="C22" s="325" t="s">
        <v>167</v>
      </c>
      <c r="D22" s="330">
        <v>0.9</v>
      </c>
      <c r="E22" s="330">
        <v>0.54</v>
      </c>
      <c r="F22" s="325" t="s">
        <v>169</v>
      </c>
      <c r="G22" s="326">
        <f t="shared" ref="G22:G26" si="8">Q22</f>
        <v>44249.94126233476</v>
      </c>
      <c r="H22" s="326">
        <f t="shared" ref="H22:H26" si="9">G22*B22</f>
        <v>44249.94126233476</v>
      </c>
      <c r="I22" s="264"/>
      <c r="J22" s="47"/>
      <c r="K22" s="328">
        <f t="shared" si="1"/>
        <v>1</v>
      </c>
      <c r="L22" s="39">
        <f t="shared" ref="L22:L25" si="10">D22+L$19</f>
        <v>0.95000000000000007</v>
      </c>
      <c r="M22" s="39">
        <f t="shared" ref="M22:M25" si="11">E22+M$19</f>
        <v>0.54</v>
      </c>
      <c r="N22" s="260">
        <f t="shared" ref="N22:N25" si="12">L22*M22</f>
        <v>0.51300000000000012</v>
      </c>
      <c r="O22" s="258">
        <f t="shared" ref="O22:O25" si="13">N22*K22</f>
        <v>0.51300000000000012</v>
      </c>
      <c r="P22" s="251">
        <f t="shared" ref="P22:P25" si="14">P$20*N22</f>
        <v>41249.94126233476</v>
      </c>
      <c r="Q22" s="327">
        <f t="shared" ref="Q22:Q25" si="15">P22+Q$20</f>
        <v>44249.94126233476</v>
      </c>
      <c r="R22" s="297"/>
      <c r="S22" s="46"/>
      <c r="T22" s="9"/>
      <c r="W22" s="4"/>
    </row>
    <row r="23" spans="2:24" ht="17.399999999999999" x14ac:dyDescent="0.3">
      <c r="B23" s="325">
        <v>2</v>
      </c>
      <c r="C23" s="325" t="s">
        <v>167</v>
      </c>
      <c r="D23" s="330">
        <v>0.75</v>
      </c>
      <c r="E23" s="330">
        <v>0.498</v>
      </c>
      <c r="F23" s="325" t="s">
        <v>169</v>
      </c>
      <c r="G23" s="326">
        <f t="shared" si="8"/>
        <v>35035.042103146523</v>
      </c>
      <c r="H23" s="326">
        <f t="shared" si="9"/>
        <v>70070.084206293046</v>
      </c>
      <c r="I23" s="264"/>
      <c r="J23" s="47"/>
      <c r="K23" s="328">
        <f t="shared" si="1"/>
        <v>2</v>
      </c>
      <c r="L23" s="39">
        <f t="shared" si="10"/>
        <v>0.8</v>
      </c>
      <c r="M23" s="39">
        <f t="shared" si="11"/>
        <v>0.498</v>
      </c>
      <c r="N23" s="260">
        <f t="shared" si="12"/>
        <v>0.39840000000000003</v>
      </c>
      <c r="O23" s="258">
        <f t="shared" si="13"/>
        <v>0.79680000000000006</v>
      </c>
      <c r="P23" s="251">
        <f t="shared" si="14"/>
        <v>32035.042103146523</v>
      </c>
      <c r="Q23" s="327">
        <f t="shared" si="15"/>
        <v>35035.042103146523</v>
      </c>
      <c r="R23" s="297"/>
      <c r="S23" s="46"/>
      <c r="T23" s="9"/>
      <c r="W23" s="4"/>
    </row>
    <row r="24" spans="2:24" ht="17.399999999999999" x14ac:dyDescent="0.3">
      <c r="B24" s="325">
        <v>1</v>
      </c>
      <c r="C24" s="325" t="s">
        <v>167</v>
      </c>
      <c r="D24" s="330">
        <v>0.75</v>
      </c>
      <c r="E24" s="330">
        <v>0.6</v>
      </c>
      <c r="F24" s="325" t="s">
        <v>169</v>
      </c>
      <c r="G24" s="326">
        <f t="shared" si="8"/>
        <v>41596.436268851226</v>
      </c>
      <c r="H24" s="326">
        <f t="shared" si="9"/>
        <v>41596.436268851226</v>
      </c>
      <c r="I24" s="264"/>
      <c r="J24" s="47"/>
      <c r="K24" s="328">
        <f t="shared" si="1"/>
        <v>1</v>
      </c>
      <c r="L24" s="39">
        <f t="shared" si="10"/>
        <v>0.8</v>
      </c>
      <c r="M24" s="39">
        <f t="shared" si="11"/>
        <v>0.6</v>
      </c>
      <c r="N24" s="260">
        <f t="shared" si="12"/>
        <v>0.48</v>
      </c>
      <c r="O24" s="258">
        <f t="shared" si="13"/>
        <v>0.48</v>
      </c>
      <c r="P24" s="251">
        <f t="shared" si="14"/>
        <v>38596.436268851226</v>
      </c>
      <c r="Q24" s="327">
        <f t="shared" si="15"/>
        <v>41596.436268851226</v>
      </c>
      <c r="R24" s="297"/>
      <c r="S24" s="46"/>
      <c r="T24" s="9"/>
      <c r="W24" s="4"/>
    </row>
    <row r="25" spans="2:24" ht="17.399999999999999" x14ac:dyDescent="0.3">
      <c r="B25" s="325">
        <v>1</v>
      </c>
      <c r="C25" s="325" t="s">
        <v>167</v>
      </c>
      <c r="D25" s="330">
        <v>0.75</v>
      </c>
      <c r="E25" s="330">
        <v>0.2</v>
      </c>
      <c r="F25" s="325" t="s">
        <v>169</v>
      </c>
      <c r="G25" s="326">
        <f t="shared" si="8"/>
        <v>15865.478756283745</v>
      </c>
      <c r="H25" s="326">
        <f t="shared" si="9"/>
        <v>15865.478756283745</v>
      </c>
      <c r="I25" s="264"/>
      <c r="J25" s="47"/>
      <c r="K25" s="328">
        <f t="shared" si="1"/>
        <v>1</v>
      </c>
      <c r="L25" s="39">
        <f t="shared" si="10"/>
        <v>0.8</v>
      </c>
      <c r="M25" s="39">
        <f t="shared" si="11"/>
        <v>0.2</v>
      </c>
      <c r="N25" s="260">
        <f t="shared" si="12"/>
        <v>0.16000000000000003</v>
      </c>
      <c r="O25" s="258">
        <f t="shared" si="13"/>
        <v>0.16000000000000003</v>
      </c>
      <c r="P25" s="251">
        <f t="shared" si="14"/>
        <v>12865.478756283745</v>
      </c>
      <c r="Q25" s="327">
        <f t="shared" si="15"/>
        <v>15865.478756283745</v>
      </c>
      <c r="R25" s="297"/>
      <c r="S25" s="46"/>
      <c r="T25" s="9"/>
      <c r="W25" s="4"/>
    </row>
    <row r="26" spans="2:24" ht="17.399999999999999" x14ac:dyDescent="0.3">
      <c r="B26" s="325">
        <v>2</v>
      </c>
      <c r="C26" s="325" t="s">
        <v>167</v>
      </c>
      <c r="D26" s="330">
        <v>0.75</v>
      </c>
      <c r="E26" s="330">
        <v>0.59799999999999998</v>
      </c>
      <c r="F26" s="325" t="s">
        <v>169</v>
      </c>
      <c r="G26" s="326">
        <f t="shared" si="8"/>
        <v>41467.781481288388</v>
      </c>
      <c r="H26" s="326">
        <f t="shared" si="9"/>
        <v>82935.562962576776</v>
      </c>
      <c r="I26" s="264"/>
      <c r="J26" s="47"/>
      <c r="K26" s="328">
        <f t="shared" si="1"/>
        <v>2</v>
      </c>
      <c r="L26" s="39">
        <f t="shared" ref="L26" si="16">D26+L$19</f>
        <v>0.8</v>
      </c>
      <c r="M26" s="39">
        <f t="shared" ref="M26" si="17">E26+M$19</f>
        <v>0.59799999999999998</v>
      </c>
      <c r="N26" s="260">
        <f t="shared" ref="N26" si="18">L26*M26</f>
        <v>0.47839999999999999</v>
      </c>
      <c r="O26" s="258">
        <f t="shared" ref="O26" si="19">N26*K26</f>
        <v>0.95679999999999998</v>
      </c>
      <c r="P26" s="251">
        <f t="shared" ref="P26" si="20">P$20*N26</f>
        <v>38467.781481288388</v>
      </c>
      <c r="Q26" s="327">
        <f t="shared" ref="Q26" si="21">P26+Q$20</f>
        <v>41467.781481288388</v>
      </c>
      <c r="R26" s="297"/>
      <c r="S26" s="46"/>
      <c r="T26" s="9"/>
      <c r="W26" s="4"/>
    </row>
    <row r="27" spans="2:24" ht="17.399999999999999" x14ac:dyDescent="0.3">
      <c r="B27" s="285"/>
      <c r="C27" s="285"/>
      <c r="D27" s="286"/>
      <c r="E27" s="286"/>
      <c r="F27" s="285"/>
      <c r="G27" s="329"/>
      <c r="H27" s="329"/>
      <c r="I27" s="264"/>
      <c r="J27" s="47"/>
      <c r="K27" s="328"/>
      <c r="L27" s="39"/>
      <c r="M27" s="39"/>
      <c r="N27" s="260"/>
      <c r="O27" s="258"/>
      <c r="P27" s="251"/>
      <c r="Q27" s="327"/>
      <c r="R27" s="297"/>
      <c r="S27" s="46"/>
      <c r="T27" s="9"/>
      <c r="W27" s="4"/>
    </row>
    <row r="28" spans="2:24" ht="18" thickBot="1" x14ac:dyDescent="0.35">
      <c r="B28" s="285"/>
      <c r="C28" s="285"/>
      <c r="D28" s="286"/>
      <c r="E28" s="286"/>
      <c r="F28" s="285"/>
      <c r="G28" s="264"/>
      <c r="H28" s="232"/>
      <c r="I28" s="232"/>
      <c r="J28" s="47"/>
      <c r="K28" s="47"/>
      <c r="L28" s="39"/>
      <c r="M28" s="39"/>
      <c r="N28" s="260">
        <v>0</v>
      </c>
      <c r="O28" s="258"/>
      <c r="P28" s="251"/>
      <c r="Q28" s="257"/>
      <c r="R28" s="297"/>
      <c r="S28" s="14"/>
      <c r="T28" s="9"/>
      <c r="W28" s="4"/>
    </row>
    <row r="29" spans="2:24" ht="17.399999999999999" x14ac:dyDescent="0.3">
      <c r="B29" s="285"/>
      <c r="C29" s="285"/>
      <c r="D29" s="286"/>
      <c r="E29" s="286"/>
      <c r="F29" s="285"/>
      <c r="G29" s="298" t="s">
        <v>28</v>
      </c>
      <c r="H29" s="299">
        <f>SUM(H21:H28)</f>
        <v>384502.43199999991</v>
      </c>
      <c r="I29" s="264"/>
      <c r="J29" s="47"/>
      <c r="K29" s="47"/>
      <c r="L29" s="39">
        <f>SUM(L21:L28)</f>
        <v>4.8499999999999996</v>
      </c>
      <c r="M29" s="39"/>
      <c r="N29" s="260"/>
      <c r="O29" s="258"/>
      <c r="P29" s="251"/>
      <c r="Q29" s="257"/>
      <c r="R29" s="297"/>
      <c r="S29" s="46">
        <f>SUM(S21:S28)</f>
        <v>3.9720000000000004</v>
      </c>
      <c r="T29" s="9"/>
      <c r="W29" s="4"/>
    </row>
    <row r="30" spans="2:24" ht="17.399999999999999" x14ac:dyDescent="0.3">
      <c r="B30" s="279"/>
      <c r="C30" s="282"/>
      <c r="D30" s="283"/>
      <c r="E30" s="283"/>
      <c r="F30" s="284"/>
      <c r="G30" s="296" t="s">
        <v>51</v>
      </c>
      <c r="H30" s="294">
        <f>H29*19%</f>
        <v>73055.462079999983</v>
      </c>
      <c r="I30" s="264"/>
      <c r="J30" s="47"/>
      <c r="K30" s="47"/>
      <c r="L30" s="39"/>
      <c r="M30" s="12"/>
      <c r="N30" s="12"/>
      <c r="O30" s="252">
        <f>SUM(O21:O27)</f>
        <v>4.2968000000000011</v>
      </c>
      <c r="P30" s="14"/>
      <c r="Q30" s="12"/>
      <c r="R30" s="238"/>
      <c r="S30" s="46">
        <f>S29*20%</f>
        <v>0.79440000000000011</v>
      </c>
      <c r="T30" s="9"/>
      <c r="W30" s="4"/>
    </row>
    <row r="31" spans="2:24" ht="18" thickBot="1" x14ac:dyDescent="0.35">
      <c r="B31" s="275"/>
      <c r="C31" s="281"/>
      <c r="D31" s="271"/>
      <c r="E31" s="271"/>
      <c r="F31" s="272"/>
      <c r="G31" s="280" t="s">
        <v>6</v>
      </c>
      <c r="H31" s="295">
        <f>H29+H30</f>
        <v>457557.89407999988</v>
      </c>
      <c r="I31" s="264"/>
      <c r="J31" s="47"/>
      <c r="K31" s="47"/>
      <c r="L31" s="39"/>
      <c r="M31" s="12"/>
      <c r="N31" s="12"/>
      <c r="O31" s="252">
        <f>O30</f>
        <v>4.2968000000000011</v>
      </c>
      <c r="P31" s="14"/>
      <c r="Q31" s="12"/>
      <c r="R31" s="238">
        <f>SUM(R21:R30)</f>
        <v>8.4</v>
      </c>
      <c r="S31" s="46">
        <f>S29+S30</f>
        <v>4.7664000000000009</v>
      </c>
      <c r="T31" s="9"/>
      <c r="W31" s="4"/>
    </row>
    <row r="32" spans="2:24" ht="17.399999999999999" x14ac:dyDescent="0.3">
      <c r="B32" s="275"/>
      <c r="C32" s="270"/>
      <c r="D32" s="271"/>
      <c r="E32" s="271"/>
      <c r="F32" s="272"/>
      <c r="I32" s="264"/>
      <c r="J32" s="47"/>
      <c r="K32" s="47"/>
      <c r="L32" s="14"/>
      <c r="M32" s="12"/>
      <c r="N32" s="12"/>
      <c r="O32" s="39">
        <f>O31*20%</f>
        <v>0.85936000000000023</v>
      </c>
      <c r="P32" s="39" t="s">
        <v>130</v>
      </c>
      <c r="Q32" s="42"/>
      <c r="R32" s="239"/>
      <c r="S32" s="14"/>
      <c r="T32" s="9"/>
      <c r="W32" s="4"/>
    </row>
    <row r="33" spans="2:23" ht="17.399999999999999" x14ac:dyDescent="0.3">
      <c r="B33" s="270"/>
      <c r="C33" s="270"/>
      <c r="D33" s="271"/>
      <c r="E33" s="271"/>
      <c r="F33" s="272"/>
      <c r="G33" s="273"/>
      <c r="H33" s="274"/>
      <c r="I33" s="264"/>
      <c r="J33" s="47"/>
      <c r="K33" s="47"/>
      <c r="L33" s="14"/>
      <c r="M33" s="12"/>
      <c r="N33" s="12"/>
      <c r="O33" s="46">
        <f>O31+O32</f>
        <v>5.1561600000000016</v>
      </c>
      <c r="P33" s="14"/>
      <c r="Q33" s="14"/>
      <c r="R33" s="237">
        <v>40</v>
      </c>
      <c r="S33" s="14"/>
      <c r="T33" s="9"/>
      <c r="W33" s="4"/>
    </row>
    <row r="34" spans="2:23" ht="17.399999999999999" x14ac:dyDescent="0.35">
      <c r="B34" s="268"/>
      <c r="C34" s="229"/>
      <c r="D34" s="229"/>
      <c r="E34" s="232"/>
      <c r="F34" s="233"/>
      <c r="G34" s="229"/>
      <c r="H34" s="274"/>
      <c r="I34" s="264"/>
      <c r="J34" s="47"/>
      <c r="K34" s="47"/>
      <c r="L34" s="14"/>
      <c r="M34" s="14"/>
      <c r="N34" s="14"/>
      <c r="O34" s="14"/>
      <c r="P34" s="14"/>
      <c r="Q34" s="14"/>
      <c r="R34" s="237"/>
      <c r="S34" s="14"/>
      <c r="T34" s="304" t="s">
        <v>22</v>
      </c>
      <c r="U34" s="301" t="s">
        <v>151</v>
      </c>
      <c r="V34" s="305">
        <v>44971</v>
      </c>
      <c r="W34" s="306"/>
    </row>
    <row r="35" spans="2:23" ht="17.399999999999999" x14ac:dyDescent="0.35">
      <c r="B35" s="234"/>
      <c r="C35" s="235"/>
      <c r="D35" s="236"/>
      <c r="E35" s="234"/>
      <c r="F35" s="229"/>
      <c r="G35" s="229"/>
      <c r="I35" s="264"/>
      <c r="J35" s="47"/>
      <c r="K35" s="47"/>
      <c r="L35" s="39">
        <f>O33</f>
        <v>5.1561600000000016</v>
      </c>
      <c r="M35" s="12">
        <v>3500</v>
      </c>
      <c r="N35" s="12">
        <f t="shared" ref="N35:N40" si="22">L35*M35</f>
        <v>18046.560000000005</v>
      </c>
      <c r="O35" s="14" t="s">
        <v>22</v>
      </c>
      <c r="P35" s="14"/>
      <c r="Q35" s="14"/>
      <c r="R35" s="240"/>
      <c r="S35" s="14"/>
      <c r="T35" s="304" t="s">
        <v>152</v>
      </c>
      <c r="U35" s="301">
        <v>3625</v>
      </c>
      <c r="V35" s="58" t="s">
        <v>153</v>
      </c>
      <c r="W35" s="306"/>
    </row>
    <row r="36" spans="2:23" ht="17.399999999999999" x14ac:dyDescent="0.35">
      <c r="B36" s="229"/>
      <c r="C36" s="229"/>
      <c r="D36" s="229"/>
      <c r="E36" s="229"/>
      <c r="F36" s="229"/>
      <c r="G36" s="229"/>
      <c r="I36" s="264"/>
      <c r="J36" s="47"/>
      <c r="K36" s="47"/>
      <c r="L36" s="248">
        <v>1.4</v>
      </c>
      <c r="M36" s="12">
        <v>45000</v>
      </c>
      <c r="N36" s="12">
        <f t="shared" si="22"/>
        <v>62999.999999999993</v>
      </c>
      <c r="O36" s="39" t="s">
        <v>31</v>
      </c>
      <c r="P36" s="42"/>
      <c r="Q36" s="14"/>
      <c r="R36" s="239"/>
      <c r="S36" s="14"/>
      <c r="T36" s="304"/>
      <c r="U36" s="58">
        <v>906.25</v>
      </c>
      <c r="V36" s="58" t="s">
        <v>154</v>
      </c>
      <c r="W36" s="306"/>
    </row>
    <row r="37" spans="2:23" s="229" customFormat="1" ht="17.399999999999999" x14ac:dyDescent="0.35">
      <c r="I37" s="261"/>
      <c r="J37" s="231"/>
      <c r="K37" s="249"/>
      <c r="L37" s="14"/>
      <c r="M37" s="249">
        <v>40000</v>
      </c>
      <c r="N37" s="12">
        <f t="shared" si="22"/>
        <v>0</v>
      </c>
      <c r="O37" s="39" t="s">
        <v>30</v>
      </c>
      <c r="P37" s="42"/>
      <c r="R37" s="239"/>
      <c r="S37" s="255"/>
      <c r="T37" s="58"/>
      <c r="U37" s="58">
        <f>U36*20%</f>
        <v>181.25</v>
      </c>
      <c r="V37" s="306" t="s">
        <v>155</v>
      </c>
      <c r="W37" s="58"/>
    </row>
    <row r="38" spans="2:23" s="229" customFormat="1" ht="17.399999999999999" x14ac:dyDescent="0.35">
      <c r="B38" s="24" t="s">
        <v>150</v>
      </c>
      <c r="I38" s="261"/>
      <c r="J38" s="231"/>
      <c r="K38" s="249"/>
      <c r="L38" s="14">
        <v>2</v>
      </c>
      <c r="M38" s="249">
        <v>38000</v>
      </c>
      <c r="N38" s="12">
        <f t="shared" si="22"/>
        <v>76000</v>
      </c>
      <c r="O38" s="14"/>
      <c r="P38" s="17"/>
      <c r="R38" s="237"/>
      <c r="S38" s="255"/>
      <c r="T38" s="58"/>
      <c r="U38" s="58">
        <f>U36+U37</f>
        <v>1087.5</v>
      </c>
      <c r="V38" s="306" t="s">
        <v>156</v>
      </c>
      <c r="W38" s="58"/>
    </row>
    <row r="39" spans="2:23" s="229" customFormat="1" ht="17.399999999999999" x14ac:dyDescent="0.35">
      <c r="B39" s="24" t="s">
        <v>143</v>
      </c>
      <c r="C39"/>
      <c r="D39"/>
      <c r="E39"/>
      <c r="F39"/>
      <c r="I39" s="261"/>
      <c r="K39" s="249"/>
      <c r="L39" s="248"/>
      <c r="M39" s="249">
        <v>300</v>
      </c>
      <c r="N39" s="12">
        <f t="shared" si="22"/>
        <v>0</v>
      </c>
      <c r="O39" s="14" t="s">
        <v>32</v>
      </c>
      <c r="P39" s="14"/>
      <c r="Q39" s="229">
        <v>1.52</v>
      </c>
      <c r="R39" s="237"/>
      <c r="S39" s="237"/>
    </row>
    <row r="40" spans="2:23" s="229" customFormat="1" ht="17.399999999999999" x14ac:dyDescent="0.35">
      <c r="B40" s="29" t="s">
        <v>125</v>
      </c>
      <c r="C40"/>
      <c r="D40"/>
      <c r="E40"/>
      <c r="F40" s="228" t="s">
        <v>16</v>
      </c>
      <c r="I40" s="293"/>
      <c r="K40" s="249"/>
      <c r="L40" s="265"/>
      <c r="M40" s="12">
        <v>1500</v>
      </c>
      <c r="N40" s="12">
        <f t="shared" si="22"/>
        <v>0</v>
      </c>
      <c r="O40" s="14" t="s">
        <v>23</v>
      </c>
      <c r="P40" s="14"/>
      <c r="Q40">
        <v>2.44</v>
      </c>
      <c r="R40"/>
      <c r="S40" s="237"/>
      <c r="W40" s="230"/>
    </row>
    <row r="41" spans="2:23" s="229" customFormat="1" ht="17.399999999999999" x14ac:dyDescent="0.35">
      <c r="K41" s="249"/>
      <c r="L41" s="14"/>
      <c r="M41" s="12"/>
      <c r="N41" s="12">
        <f>SUM(N35:N40)</f>
        <v>157046.56</v>
      </c>
      <c r="O41" s="39" t="s">
        <v>24</v>
      </c>
      <c r="P41" s="14"/>
      <c r="Q41">
        <f>Q39*Q40</f>
        <v>3.7088000000000001</v>
      </c>
      <c r="R41"/>
      <c r="S41" s="237"/>
      <c r="W41" s="230"/>
    </row>
    <row r="42" spans="2:23" s="229" customFormat="1" ht="17.399999999999999" x14ac:dyDescent="0.35">
      <c r="K42" s="249"/>
      <c r="L42" s="253" t="s">
        <v>33</v>
      </c>
      <c r="M42" s="12"/>
      <c r="N42" s="254">
        <f>N41*2.2</f>
        <v>345502.43200000003</v>
      </c>
      <c r="O42" s="14" t="s">
        <v>140</v>
      </c>
      <c r="P42" s="14"/>
      <c r="Q42" s="40">
        <f>O33/Q41</f>
        <v>1.3902502157031928</v>
      </c>
      <c r="R42"/>
      <c r="S42" s="256"/>
    </row>
    <row r="43" spans="2:23" s="229" customFormat="1" ht="17.399999999999999" x14ac:dyDescent="0.35">
      <c r="G43"/>
      <c r="H43" s="259"/>
      <c r="J43" s="229">
        <v>23560</v>
      </c>
      <c r="K43" s="249">
        <v>0</v>
      </c>
      <c r="L43" s="14"/>
      <c r="M43" s="12"/>
      <c r="N43" s="12">
        <f>N42/O31</f>
        <v>80409.242226773393</v>
      </c>
      <c r="O43" s="45" t="s">
        <v>25</v>
      </c>
      <c r="P43" s="14"/>
      <c r="Q43" s="14"/>
      <c r="R43"/>
      <c r="S43" s="237"/>
      <c r="T43" s="58" t="s">
        <v>157</v>
      </c>
      <c r="U43" s="301">
        <v>43650</v>
      </c>
    </row>
    <row r="44" spans="2:23" s="229" customFormat="1" ht="17.399999999999999" x14ac:dyDescent="0.35">
      <c r="G44"/>
      <c r="J44" s="229">
        <f>J43/1.19</f>
        <v>19798.319327731093</v>
      </c>
      <c r="K44" s="249"/>
      <c r="L44" s="13"/>
      <c r="M44" s="14"/>
      <c r="N44" s="17">
        <f>N42/N41</f>
        <v>2.2000000000000002</v>
      </c>
      <c r="O44" s="15"/>
      <c r="P44"/>
      <c r="Q44"/>
      <c r="R44"/>
      <c r="S44" s="237"/>
      <c r="T44" s="58" t="s">
        <v>159</v>
      </c>
      <c r="U44" s="302" t="s">
        <v>158</v>
      </c>
      <c r="V44" s="58">
        <v>2.4</v>
      </c>
    </row>
    <row r="45" spans="2:23" s="229" customFormat="1" ht="17.399999999999999" x14ac:dyDescent="0.35">
      <c r="G45" s="23"/>
      <c r="K45" s="12"/>
      <c r="S45" s="237"/>
      <c r="T45" s="58" t="s">
        <v>160</v>
      </c>
      <c r="U45" s="303">
        <v>395.37</v>
      </c>
    </row>
    <row r="46" spans="2:23" s="229" customFormat="1" ht="17.399999999999999" x14ac:dyDescent="0.35">
      <c r="B46"/>
      <c r="C46" s="227"/>
      <c r="D46" s="22"/>
      <c r="E46" s="22"/>
      <c r="F46" s="21"/>
      <c r="G46" s="23"/>
      <c r="K46" s="12"/>
      <c r="S46" s="237"/>
      <c r="T46" s="58" t="s">
        <v>155</v>
      </c>
      <c r="U46" s="58">
        <v>474.45</v>
      </c>
    </row>
    <row r="47" spans="2:23" ht="14.4" customHeight="1" x14ac:dyDescent="0.3">
      <c r="K47" s="12"/>
      <c r="T47" s="58"/>
      <c r="U47" s="58"/>
    </row>
    <row r="48" spans="2:23" x14ac:dyDescent="0.3">
      <c r="K48" s="249"/>
    </row>
    <row r="49" spans="9:19" x14ac:dyDescent="0.3">
      <c r="I49">
        <v>5</v>
      </c>
      <c r="J49" t="s">
        <v>168</v>
      </c>
      <c r="K49" s="249"/>
      <c r="S49" s="269"/>
    </row>
    <row r="50" spans="9:19" x14ac:dyDescent="0.3">
      <c r="K50" s="249"/>
    </row>
    <row r="51" spans="9:19" ht="15" customHeight="1" x14ac:dyDescent="0.3">
      <c r="K51" s="331"/>
    </row>
    <row r="52" spans="9:19" x14ac:dyDescent="0.3">
      <c r="K52" s="331"/>
    </row>
    <row r="53" spans="9:19" x14ac:dyDescent="0.3">
      <c r="K53" s="331"/>
    </row>
    <row r="54" spans="9:19" x14ac:dyDescent="0.3">
      <c r="K54" s="331"/>
    </row>
    <row r="55" spans="9:19" x14ac:dyDescent="0.3">
      <c r="K55" s="331"/>
    </row>
    <row r="56" spans="9:19" x14ac:dyDescent="0.3">
      <c r="K56" s="331"/>
      <c r="R56" s="331"/>
      <c r="S56" s="18"/>
    </row>
    <row r="57" spans="9:19" x14ac:dyDescent="0.3">
      <c r="K57" s="331"/>
      <c r="R57" s="331"/>
      <c r="S57" s="18"/>
    </row>
    <row r="58" spans="9:19" x14ac:dyDescent="0.3">
      <c r="R58" s="18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3" spans="9:19" x14ac:dyDescent="0.3">
      <c r="R63" s="18"/>
      <c r="S63" s="18"/>
    </row>
    <row r="64" spans="9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147</v>
      </c>
    </row>
    <row r="79" spans="3:14" x14ac:dyDescent="0.3">
      <c r="C79" t="s">
        <v>146</v>
      </c>
    </row>
    <row r="82" spans="3:3" x14ac:dyDescent="0.3">
      <c r="C82" t="s">
        <v>146</v>
      </c>
    </row>
    <row r="159" spans="3:3" x14ac:dyDescent="0.3">
      <c r="C159" t="s">
        <v>146</v>
      </c>
    </row>
    <row r="160" spans="3:3" x14ac:dyDescent="0.3">
      <c r="C160" t="s">
        <v>148</v>
      </c>
    </row>
    <row r="161" spans="3:3" x14ac:dyDescent="0.3">
      <c r="C161" t="s">
        <v>149</v>
      </c>
    </row>
    <row r="586" spans="3:3" x14ac:dyDescent="0.3">
      <c r="C586" t="s">
        <v>146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45670</v>
      </c>
    </row>
    <row r="6" spans="2:31" ht="16.2" thickBot="1" x14ac:dyDescent="0.35">
      <c r="B6" s="139" t="s">
        <v>2</v>
      </c>
      <c r="C6" s="138" t="str">
        <f>'2229'!C10</f>
        <v>CATALINA MORA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8" t="s">
        <v>98</v>
      </c>
      <c r="I7" s="339"/>
      <c r="J7" s="339"/>
      <c r="K7" s="340"/>
      <c r="N7" s="74"/>
      <c r="O7" s="3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11249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-33591.559700120764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'2229'!H29</f>
        <v>384502.43199999991</v>
      </c>
      <c r="E11" s="131">
        <f>D11*0.19</f>
        <v>73055.462079999983</v>
      </c>
      <c r="F11" s="130">
        <f>E11+D11</f>
        <v>457557.89407999988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72398.440299879236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110880.6507874396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54398.440299879236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273621.78121256031</v>
      </c>
      <c r="E13" s="220">
        <f>(D11/D12)-1</f>
        <v>2.4677144232955364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45398.440299879236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6398.4402998792357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182953.07379927533</v>
      </c>
      <c r="F15" s="215">
        <f>E15-D12</f>
        <v>72072.423011835723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6398.4402998792357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46398.440299879236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'2229'!N37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'2229'!N36</f>
        <v>62999.999999999993</v>
      </c>
      <c r="E19" s="122">
        <f>D19*0.19</f>
        <v>11969.999999999998</v>
      </c>
      <c r="F19" s="119">
        <f>SUM(D19:E19)</f>
        <v>74969.999999999985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28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'2229'!N35</f>
        <v>18046.560000000005</v>
      </c>
      <c r="E20" s="120">
        <f>D20*0.19</f>
        <v>3428.8464000000008</v>
      </c>
      <c r="F20" s="119">
        <f>SUM(D20:E20)</f>
        <v>21475.406400000007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29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81046.559999999998</v>
      </c>
      <c r="E21" s="115">
        <f>SUM(E18:E20)</f>
        <v>15398.846399999999</v>
      </c>
      <c r="F21" s="114">
        <f>SUM(F18:F20)</f>
        <v>96445.406399999993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27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57656.615679999988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384502.43199999991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81046.559999999998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273621.78121256031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273621.78121256031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2025-01-14T00:06:40Z</cp:lastPrinted>
  <dcterms:created xsi:type="dcterms:W3CDTF">2013-03-18T13:35:42Z</dcterms:created>
  <dcterms:modified xsi:type="dcterms:W3CDTF">2025-01-14T01:11:50Z</dcterms:modified>
</cp:coreProperties>
</file>