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C8983B5C-23BD-4885-BC09-25E5631E7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2" i="1"/>
  <c r="G22" i="1"/>
  <c r="G23" i="1"/>
  <c r="G24" i="1"/>
  <c r="G25" i="1"/>
  <c r="H25" i="1" s="1"/>
  <c r="G26" i="1"/>
  <c r="G27" i="1"/>
  <c r="G28" i="1"/>
  <c r="G29" i="1"/>
  <c r="G30" i="1"/>
  <c r="G31" i="1"/>
  <c r="G32" i="1"/>
  <c r="G21" i="1"/>
  <c r="O36" i="1"/>
  <c r="K23" i="1"/>
  <c r="L23" i="1"/>
  <c r="M23" i="1"/>
  <c r="N23" i="1"/>
  <c r="O23" i="1" s="1"/>
  <c r="K24" i="1"/>
  <c r="O24" i="1" s="1"/>
  <c r="L24" i="1"/>
  <c r="M24" i="1"/>
  <c r="N24" i="1"/>
  <c r="K25" i="1"/>
  <c r="L25" i="1"/>
  <c r="N25" i="1" s="1"/>
  <c r="M25" i="1"/>
  <c r="K26" i="1"/>
  <c r="L26" i="1"/>
  <c r="N26" i="1" s="1"/>
  <c r="M26" i="1"/>
  <c r="K27" i="1"/>
  <c r="L27" i="1"/>
  <c r="M27" i="1"/>
  <c r="N27" i="1"/>
  <c r="O27" i="1" s="1"/>
  <c r="K28" i="1"/>
  <c r="O28" i="1" s="1"/>
  <c r="L28" i="1"/>
  <c r="M28" i="1"/>
  <c r="N28" i="1"/>
  <c r="K29" i="1"/>
  <c r="L29" i="1"/>
  <c r="N29" i="1" s="1"/>
  <c r="M29" i="1"/>
  <c r="K30" i="1"/>
  <c r="L30" i="1"/>
  <c r="N30" i="1" s="1"/>
  <c r="M30" i="1"/>
  <c r="K31" i="1"/>
  <c r="L31" i="1"/>
  <c r="M31" i="1"/>
  <c r="N31" i="1"/>
  <c r="O31" i="1" s="1"/>
  <c r="K32" i="1"/>
  <c r="L32" i="1"/>
  <c r="M32" i="1"/>
  <c r="N32" i="1"/>
  <c r="O32" i="1"/>
  <c r="H23" i="1"/>
  <c r="H24" i="1"/>
  <c r="H26" i="1"/>
  <c r="H27" i="1"/>
  <c r="H28" i="1"/>
  <c r="H29" i="1"/>
  <c r="H30" i="1"/>
  <c r="H31" i="1"/>
  <c r="O29" i="1" l="1"/>
  <c r="O30" i="1"/>
  <c r="O25" i="1"/>
  <c r="O26" i="1"/>
  <c r="K22" i="1"/>
  <c r="L22" i="1"/>
  <c r="M22" i="1"/>
  <c r="K21" i="1"/>
  <c r="H22" i="1"/>
  <c r="I57" i="1"/>
  <c r="J41" i="1"/>
  <c r="J46" i="1"/>
  <c r="J47" i="1" s="1"/>
  <c r="N44" i="1"/>
  <c r="N22" i="1" l="1"/>
  <c r="O22" i="1" s="1"/>
  <c r="N43" i="1"/>
  <c r="N45" i="1"/>
  <c r="N46" i="1"/>
  <c r="J50" i="1" l="1"/>
  <c r="L21" i="1"/>
  <c r="L35" i="1" s="1"/>
  <c r="M21" i="1"/>
  <c r="S21" i="1" l="1"/>
  <c r="S35" i="1" s="1"/>
  <c r="S36" i="1" s="1"/>
  <c r="S37" i="1" s="1"/>
  <c r="R21" i="1"/>
  <c r="R37" i="1" s="1"/>
  <c r="N21" i="1"/>
  <c r="O21" i="1" s="1"/>
  <c r="U43" i="1"/>
  <c r="U44" i="1" s="1"/>
  <c r="N42" i="1" l="1"/>
  <c r="O37" i="1" l="1"/>
  <c r="O38" i="1" s="1"/>
  <c r="O39" i="1" s="1"/>
  <c r="L41" i="1" s="1"/>
  <c r="M20" i="1"/>
  <c r="K20" i="1"/>
  <c r="Q4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41" i="1" l="1"/>
  <c r="N47" i="1" s="1"/>
  <c r="N48" i="1" s="1"/>
  <c r="Q48" i="1"/>
  <c r="D20" i="3" l="1"/>
  <c r="E20" i="3" s="1"/>
  <c r="E21" i="3" s="1"/>
  <c r="N49" i="1" l="1"/>
  <c r="D21" i="3"/>
  <c r="M43" i="3" s="1"/>
  <c r="D12" i="3" s="1"/>
  <c r="F20" i="3"/>
  <c r="F21" i="3" s="1"/>
  <c r="N50" i="1" l="1"/>
  <c r="P20" i="1"/>
  <c r="E15" i="3"/>
  <c r="P32" i="1" l="1"/>
  <c r="Q32" i="1" s="1"/>
  <c r="P25" i="1"/>
  <c r="Q25" i="1" s="1"/>
  <c r="P27" i="1"/>
  <c r="Q27" i="1" s="1"/>
  <c r="P28" i="1"/>
  <c r="Q28" i="1" s="1"/>
  <c r="P24" i="1"/>
  <c r="Q24" i="1" s="1"/>
  <c r="P30" i="1"/>
  <c r="Q30" i="1" s="1"/>
  <c r="P26" i="1"/>
  <c r="Q26" i="1" s="1"/>
  <c r="P29" i="1"/>
  <c r="Q29" i="1" s="1"/>
  <c r="P31" i="1"/>
  <c r="Q31" i="1" s="1"/>
  <c r="P23" i="1"/>
  <c r="Q23" i="1" s="1"/>
  <c r="P22" i="1"/>
  <c r="Q22" i="1" s="1"/>
  <c r="P21" i="1"/>
  <c r="F15" i="3"/>
  <c r="Q21" i="1" l="1"/>
  <c r="H21" i="1" l="1"/>
  <c r="H35" i="1" s="1"/>
  <c r="H3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<sst xmlns="http://schemas.openxmlformats.org/spreadsheetml/2006/main" count="255" uniqueCount="178">
  <si>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</si>
  <si>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</si>
  <si>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</si>
  <si>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</si>
  <si>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</si>
  <si>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</si>
  <si>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</si>
  <si>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</si>
  <si>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</si>
  <si>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</si>
  <si>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</si>
  <si>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</si>
  <si>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</si>
  <si>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</si>
  <si>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</si>
  <si>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</si>
  <si>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</si>
  <si>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</si>
  <si>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</si>
  <si>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</si>
  <si>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</si>
  <si>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</si>
  <si>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</si>
  <si>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</si>
  <si>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</si>
  <si>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</si>
  <si>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</si>
  <si>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</si>
  <si>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</si>
  <si>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</si>
  <si>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</si>
  <si>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</si>
  <si>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</si>
  <si>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</si>
  <si>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</si>
  <si>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</si>
  <si>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</si>
  <si>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</si>
  <si>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</si>
  <si>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</si>
  <si>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</si>
  <si>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</si>
  <si>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</si>
  <si>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</si>
  <si>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</si>
  <si>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</si>
  <si>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</si>
  <si>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</si>
  <si>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</si>
  <si>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</si>
  <si>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</si>
  <si>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</si>
  <si>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</si>
  <si>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</si>
  <si>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</si>
  <si>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</si>
  <si>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</si>
  <si>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</si>
  <si>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</si>
  <si>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</si>
  <si>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</si>
  <si>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</si>
  <si>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</si>
  <si>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</si>
  <si>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</si>
  <si>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</si>
  <si>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</si>
  <si>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</si>
  <si>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</si>
  <si>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</si>
  <si>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</si>
  <si>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</si>
  <si>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</si>
  <si>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</si>
  <si>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</si>
  <si>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</si>
  <si>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</si>
  <si>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</si>
  <si>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</si>
  <si>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</si>
  <si>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</si>
  <si>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</si>
  <si>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</si>
  <si>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</si>
  <si>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</si>
  <si>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</si>
  <si>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</si>
  <si>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</si>
  <si>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</si>
  <si>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</si>
  <si>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</si>
  <si>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</si>
  <si>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</si>
  <si>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</si>
  <si>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</si>
  <si>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</si>
  <si>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</si>
  <si>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</si>
  <si>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</si>
  <si>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</si>
  <si>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</si>
  <si>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</si>
  <si>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</si>
  <si>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</si>
  <si>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</si>
  <si>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</si>
  <si>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</si>
  <si>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</si>
  <si>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</si>
  <si>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</si>
  <si>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</si>
  <si>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</si>
  <si>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</si>
  <si>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</si>
  <si>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</si>
  <si>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</si>
  <si>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</si>
  <si>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</si>
  <si>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</si>
  <si>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</si>
  <si>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</si>
  <si>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</si>
  <si>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</si>
  <si>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</si>
  <si>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</si>
  <si>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</si>
  <si>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</si>
  <si>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</si>
  <si>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</si>
  <si>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</si>
  <si>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</si>
  <si>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</si>
  <si>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</si>
  <si>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</si>
  <si>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</si>
  <si>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</si>
  <si>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</si>
  <si>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</si>
  <si>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</si>
  <si>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</si>
  <si>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</si>
  <si>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</si>
  <si>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</si>
  <si>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</si>
  <si>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</si>
  <si>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</si>
  <si>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</si>
  <si>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</si>
  <si>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</si>
  <si>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</si>
  <si>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</si>
  <si>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</si>
  <si>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</si>
  <si>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</si>
  <si>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</si>
  <si>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</si>
  <si>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</si>
  <si>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</si>
  <si>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</si>
  <si>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</si>
  <si>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</si>
  <si>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</si>
  <si>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</si>
  <si>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</si>
  <si>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</si>
  <si>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</si>
  <si>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</si>
  <si>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</si>
  <si>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</si>
  <si>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</si>
  <si>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</si>
  <si>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PR6</t>
  </si>
  <si>
    <t>N° 11267</t>
  </si>
  <si>
    <t>CONSTRUCCIONES JARAMILLO</t>
  </si>
  <si>
    <t>JAVIER</t>
  </si>
  <si>
    <t>+569 8530 4440</t>
  </si>
  <si>
    <t>10 DIAS HABILES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</si>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</sst>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6" borderId="0" xfId="0" applyNumberFormat="1" applyFill="1"/>
    <xf numFmtId="166" fontId="3" fillId="6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39</xdr:row>
      <xdr:rowOff>26670</xdr:rowOff>
    </xdr:from>
    <xdr:to>
      <xdr:col>7</xdr:col>
      <xdr:colOff>1034435</xdr:colOff>
      <xdr:row>42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41</xdr:row>
      <xdr:rowOff>154305</xdr:rowOff>
    </xdr:from>
    <xdr:to>
      <xdr:col>7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5</xdr:col>
      <xdr:colOff>1714500</xdr:colOff>
      <xdr:row>42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33</xdr:row>
      <xdr:rowOff>206170</xdr:rowOff>
    </xdr:from>
    <xdr:to>
      <xdr:col>5</xdr:col>
      <xdr:colOff>1643259</xdr:colOff>
      <xdr:row>37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PUERTAS CORTADAS A LA MEDIDA Y ENCHAPADAS CON TAPACANTO PVC 0,44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SUTRATO MDF MELAMIL 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2"/>
  <sheetViews>
    <sheetView tabSelected="1" topLeftCell="A5" zoomScale="93" zoomScaleNormal="93" workbookViewId="0">
      <selection activeCell="H37" sqref="H3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173</v>
      </c>
      <c r="D10" s="243"/>
      <c r="E10" s="243"/>
      <c r="F10" s="244" t="s">
        <v>0</v>
      </c>
      <c r="G10" s="277">
        <v>45681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C13" t="s">
        <v>174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175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1" t="s">
        <v>164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147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N49</f>
        <v>66929.655873968906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4</v>
      </c>
      <c r="C21" s="326" t="s">
        <v>171</v>
      </c>
      <c r="D21" s="327">
        <v>0.78</v>
      </c>
      <c r="E21" s="327">
        <v>0.34799999999999998</v>
      </c>
      <c r="F21" s="326" t="s">
        <v>177</v>
      </c>
      <c r="G21" s="328">
        <f>Q21</f>
        <v>22331.961802637179</v>
      </c>
      <c r="H21" s="328">
        <f>G21*B21</f>
        <v>89327.847210548716</v>
      </c>
      <c r="I21" s="265"/>
      <c r="J21" s="47"/>
      <c r="K21" s="344">
        <f>B21</f>
        <v>4</v>
      </c>
      <c r="L21" s="345">
        <f t="shared" ref="L21" si="1">D21+L$19</f>
        <v>0.83000000000000007</v>
      </c>
      <c r="M21" s="345">
        <f t="shared" ref="M21" si="2">E21+M$19</f>
        <v>0.34799999999999998</v>
      </c>
      <c r="N21" s="261">
        <f t="shared" ref="N21" si="3">L21*M21</f>
        <v>0.28883999999999999</v>
      </c>
      <c r="O21" s="259">
        <f t="shared" ref="O21" si="4">N21*K21</f>
        <v>1.1553599999999999</v>
      </c>
      <c r="P21" s="252">
        <f t="shared" ref="P21" si="5">P$20*N21</f>
        <v>19331.961802637179</v>
      </c>
      <c r="Q21" s="329">
        <f t="shared" ref="Q21" si="6">P21+Q$20</f>
        <v>22331.961802637179</v>
      </c>
      <c r="R21" s="298">
        <f>L21*K21*2</f>
        <v>6.6400000000000006</v>
      </c>
      <c r="S21" s="46">
        <f>M21*2*K21</f>
        <v>2.7839999999999998</v>
      </c>
      <c r="T21" s="9"/>
      <c r="W21" s="4"/>
    </row>
    <row r="22" spans="2:24" ht="17.399999999999999" x14ac:dyDescent="0.3">
      <c r="B22" s="326">
        <v>1</v>
      </c>
      <c r="C22" s="326" t="s">
        <v>171</v>
      </c>
      <c r="D22" s="327">
        <v>0.78</v>
      </c>
      <c r="E22" s="327">
        <v>0.35</v>
      </c>
      <c r="F22" s="326" t="s">
        <v>177</v>
      </c>
      <c r="G22" s="328">
        <f t="shared" ref="G22:G32" si="7">Q22</f>
        <v>22443.065031387967</v>
      </c>
      <c r="H22" s="328">
        <f t="shared" ref="H22" si="8">G22*B22</f>
        <v>22443.065031387967</v>
      </c>
      <c r="I22" s="265"/>
      <c r="J22" s="47"/>
      <c r="K22" s="348">
        <f t="shared" ref="K22" si="9">B22</f>
        <v>1</v>
      </c>
      <c r="L22" s="349">
        <f t="shared" ref="L22" si="10">D22+L$19</f>
        <v>0.83000000000000007</v>
      </c>
      <c r="M22" s="349">
        <f t="shared" ref="M22" si="11">E22+M$19</f>
        <v>0.35</v>
      </c>
      <c r="N22" s="261">
        <f t="shared" ref="N22" si="12">L22*M22</f>
        <v>0.29049999999999998</v>
      </c>
      <c r="O22" s="259">
        <f t="shared" ref="O22" si="13">N22*K22</f>
        <v>0.29049999999999998</v>
      </c>
      <c r="P22" s="252">
        <f t="shared" ref="P22" si="14">P$20*N22</f>
        <v>19443.065031387967</v>
      </c>
      <c r="Q22" s="329">
        <f t="shared" ref="Q22" si="15">P22+Q$20</f>
        <v>22443.065031387967</v>
      </c>
      <c r="R22" s="298"/>
      <c r="S22" s="46"/>
      <c r="T22" s="9"/>
      <c r="W22" s="4"/>
    </row>
    <row r="23" spans="2:24" ht="17.399999999999999" x14ac:dyDescent="0.3">
      <c r="B23" s="326">
        <v>1</v>
      </c>
      <c r="C23" s="326" t="s">
        <v>171</v>
      </c>
      <c r="D23" s="327">
        <v>0.78</v>
      </c>
      <c r="E23" s="327">
        <v>0.33</v>
      </c>
      <c r="F23" s="326" t="s">
        <v>177</v>
      </c>
      <c r="G23" s="328">
        <f t="shared" si="7"/>
        <v>21332.032743880085</v>
      </c>
      <c r="H23" s="328">
        <f t="shared" ref="H23:H32" si="16">G23*B23</f>
        <v>21332.032743880085</v>
      </c>
      <c r="I23" s="265"/>
      <c r="J23" s="47"/>
      <c r="K23" s="346">
        <f t="shared" ref="K23:K32" si="17">B23</f>
        <v>1</v>
      </c>
      <c r="L23" s="347">
        <f t="shared" ref="L23:L32" si="18">D23+L$19</f>
        <v>0.83000000000000007</v>
      </c>
      <c r="M23" s="347">
        <f t="shared" ref="M23:M32" si="19">E23+M$19</f>
        <v>0.33</v>
      </c>
      <c r="N23" s="261">
        <f t="shared" ref="N23:N32" si="20">L23*M23</f>
        <v>0.27390000000000003</v>
      </c>
      <c r="O23" s="259">
        <f t="shared" ref="O23:O32" si="21">N23*K23</f>
        <v>0.27390000000000003</v>
      </c>
      <c r="P23" s="252">
        <f t="shared" ref="P23:P32" si="22">P$20*N23</f>
        <v>18332.032743880085</v>
      </c>
      <c r="Q23" s="329">
        <f t="shared" ref="Q23:Q32" si="23">P23+Q$20</f>
        <v>21332.032743880085</v>
      </c>
      <c r="R23" s="298"/>
      <c r="S23" s="46"/>
      <c r="T23" s="9"/>
      <c r="W23" s="4"/>
    </row>
    <row r="24" spans="2:24" ht="17.399999999999999" x14ac:dyDescent="0.3">
      <c r="B24" s="326">
        <v>2</v>
      </c>
      <c r="C24" s="326" t="s">
        <v>171</v>
      </c>
      <c r="D24" s="327">
        <v>0.78</v>
      </c>
      <c r="E24" s="327">
        <v>0.30499999999999999</v>
      </c>
      <c r="F24" s="326" t="s">
        <v>177</v>
      </c>
      <c r="G24" s="328">
        <f t="shared" si="7"/>
        <v>19943.242384495232</v>
      </c>
      <c r="H24" s="328">
        <f t="shared" si="16"/>
        <v>39886.484768990464</v>
      </c>
      <c r="I24" s="265"/>
      <c r="J24" s="47"/>
      <c r="K24" s="348">
        <f t="shared" si="17"/>
        <v>2</v>
      </c>
      <c r="L24" s="349">
        <f t="shared" si="18"/>
        <v>0.83000000000000007</v>
      </c>
      <c r="M24" s="349">
        <f t="shared" si="19"/>
        <v>0.30499999999999999</v>
      </c>
      <c r="N24" s="261">
        <f t="shared" si="20"/>
        <v>0.25315000000000004</v>
      </c>
      <c r="O24" s="259">
        <f t="shared" si="21"/>
        <v>0.50630000000000008</v>
      </c>
      <c r="P24" s="252">
        <f t="shared" si="22"/>
        <v>16943.242384495232</v>
      </c>
      <c r="Q24" s="329">
        <f t="shared" si="23"/>
        <v>19943.242384495232</v>
      </c>
      <c r="R24" s="298"/>
      <c r="S24" s="46"/>
      <c r="T24" s="9"/>
      <c r="W24" s="4"/>
    </row>
    <row r="25" spans="2:24" ht="17.399999999999999" x14ac:dyDescent="0.3">
      <c r="B25" s="326">
        <v>2</v>
      </c>
      <c r="C25" s="326" t="s">
        <v>171</v>
      </c>
      <c r="D25" s="327">
        <v>0.78</v>
      </c>
      <c r="E25" s="327">
        <v>0.315</v>
      </c>
      <c r="F25" s="326" t="s">
        <v>177</v>
      </c>
      <c r="G25" s="328">
        <f t="shared" si="7"/>
        <v>20498.758528249171</v>
      </c>
      <c r="H25" s="328">
        <f t="shared" si="16"/>
        <v>40997.517056498342</v>
      </c>
      <c r="I25" s="265"/>
      <c r="J25" s="47"/>
      <c r="K25" s="348">
        <f t="shared" si="17"/>
        <v>2</v>
      </c>
      <c r="L25" s="349">
        <f t="shared" si="18"/>
        <v>0.83000000000000007</v>
      </c>
      <c r="M25" s="349">
        <f t="shared" si="19"/>
        <v>0.315</v>
      </c>
      <c r="N25" s="261">
        <f t="shared" si="20"/>
        <v>0.26145000000000002</v>
      </c>
      <c r="O25" s="259">
        <f t="shared" si="21"/>
        <v>0.52290000000000003</v>
      </c>
      <c r="P25" s="252">
        <f t="shared" si="22"/>
        <v>17498.758528249171</v>
      </c>
      <c r="Q25" s="329">
        <f t="shared" si="23"/>
        <v>20498.758528249171</v>
      </c>
      <c r="R25" s="298"/>
      <c r="S25" s="46"/>
      <c r="T25" s="9"/>
      <c r="W25" s="4"/>
    </row>
    <row r="26" spans="2:24" ht="17.399999999999999" x14ac:dyDescent="0.3">
      <c r="B26" s="326">
        <v>2</v>
      </c>
      <c r="C26" s="326" t="s">
        <v>171</v>
      </c>
      <c r="D26" s="327">
        <v>0.78</v>
      </c>
      <c r="E26" s="327">
        <v>0.35499999999999998</v>
      </c>
      <c r="F26" s="326" t="s">
        <v>177</v>
      </c>
      <c r="G26" s="328">
        <f t="shared" si="7"/>
        <v>22720.823103264938</v>
      </c>
      <c r="H26" s="328">
        <f t="shared" si="16"/>
        <v>45441.646206529877</v>
      </c>
      <c r="I26" s="265"/>
      <c r="J26" s="47"/>
      <c r="K26" s="348">
        <f t="shared" si="17"/>
        <v>2</v>
      </c>
      <c r="L26" s="349">
        <f t="shared" si="18"/>
        <v>0.83000000000000007</v>
      </c>
      <c r="M26" s="349">
        <f t="shared" si="19"/>
        <v>0.35499999999999998</v>
      </c>
      <c r="N26" s="261">
        <f t="shared" si="20"/>
        <v>0.29465000000000002</v>
      </c>
      <c r="O26" s="259">
        <f t="shared" si="21"/>
        <v>0.58930000000000005</v>
      </c>
      <c r="P26" s="252">
        <f t="shared" si="22"/>
        <v>19720.823103264938</v>
      </c>
      <c r="Q26" s="329">
        <f t="shared" si="23"/>
        <v>22720.823103264938</v>
      </c>
      <c r="R26" s="298"/>
      <c r="S26" s="46"/>
      <c r="T26" s="9"/>
      <c r="W26" s="4"/>
    </row>
    <row r="27" spans="2:24" ht="17.399999999999999" x14ac:dyDescent="0.3">
      <c r="B27" s="326">
        <v>4</v>
      </c>
      <c r="C27" s="326" t="s">
        <v>171</v>
      </c>
      <c r="D27" s="327">
        <v>0.192</v>
      </c>
      <c r="E27" s="327">
        <v>0.59</v>
      </c>
      <c r="F27" s="326" t="s">
        <v>177</v>
      </c>
      <c r="G27" s="328">
        <f t="shared" si="7"/>
        <v>12556.21626568528</v>
      </c>
      <c r="H27" s="328">
        <f t="shared" si="16"/>
        <v>50224.865062741119</v>
      </c>
      <c r="I27" s="265"/>
      <c r="J27" s="47"/>
      <c r="K27" s="343">
        <f t="shared" si="17"/>
        <v>4</v>
      </c>
      <c r="L27" s="39">
        <f t="shared" si="18"/>
        <v>0.24199999999999999</v>
      </c>
      <c r="M27" s="39">
        <f t="shared" si="19"/>
        <v>0.59</v>
      </c>
      <c r="N27" s="261">
        <f t="shared" si="20"/>
        <v>0.14277999999999999</v>
      </c>
      <c r="O27" s="259">
        <f t="shared" si="21"/>
        <v>0.57111999999999996</v>
      </c>
      <c r="P27" s="252">
        <f t="shared" si="22"/>
        <v>9556.2162656852797</v>
      </c>
      <c r="Q27" s="329">
        <f t="shared" si="23"/>
        <v>12556.21626568528</v>
      </c>
      <c r="R27" s="298"/>
      <c r="S27" s="46"/>
      <c r="T27" s="9"/>
      <c r="W27" s="4"/>
    </row>
    <row r="28" spans="2:24" ht="17.399999999999999" x14ac:dyDescent="0.3">
      <c r="B28" s="326">
        <v>3</v>
      </c>
      <c r="C28" s="326" t="s">
        <v>171</v>
      </c>
      <c r="D28" s="327">
        <v>0.25700000000000001</v>
      </c>
      <c r="E28" s="327">
        <v>0.72499999999999998</v>
      </c>
      <c r="F28" s="326" t="s">
        <v>177</v>
      </c>
      <c r="G28" s="328">
        <f t="shared" si="7"/>
        <v>17896.86815614863</v>
      </c>
      <c r="H28" s="328">
        <f t="shared" si="16"/>
        <v>53690.60446844589</v>
      </c>
      <c r="I28" s="265"/>
      <c r="J28" s="47"/>
      <c r="K28" s="343">
        <f t="shared" si="17"/>
        <v>3</v>
      </c>
      <c r="L28" s="39">
        <f t="shared" si="18"/>
        <v>0.307</v>
      </c>
      <c r="M28" s="39">
        <f t="shared" si="19"/>
        <v>0.72499999999999998</v>
      </c>
      <c r="N28" s="261">
        <f t="shared" si="20"/>
        <v>0.222575</v>
      </c>
      <c r="O28" s="259">
        <f t="shared" si="21"/>
        <v>0.66772500000000001</v>
      </c>
      <c r="P28" s="252">
        <f t="shared" si="22"/>
        <v>14896.868156148628</v>
      </c>
      <c r="Q28" s="329">
        <f t="shared" si="23"/>
        <v>17896.86815614863</v>
      </c>
      <c r="R28" s="298"/>
      <c r="S28" s="46"/>
      <c r="T28" s="9"/>
      <c r="W28" s="4"/>
    </row>
    <row r="29" spans="2:24" ht="17.399999999999999" x14ac:dyDescent="0.3">
      <c r="B29" s="326">
        <v>2</v>
      </c>
      <c r="C29" s="326" t="s">
        <v>171</v>
      </c>
      <c r="D29" s="327">
        <v>0.78</v>
      </c>
      <c r="E29" s="327">
        <v>0.33500000000000002</v>
      </c>
      <c r="F29" s="326" t="s">
        <v>177</v>
      </c>
      <c r="G29" s="328">
        <f t="shared" si="7"/>
        <v>21609.790815757056</v>
      </c>
      <c r="H29" s="328">
        <f t="shared" si="16"/>
        <v>43219.581631514113</v>
      </c>
      <c r="I29" s="265"/>
      <c r="J29" s="47"/>
      <c r="K29" s="344">
        <f t="shared" si="17"/>
        <v>2</v>
      </c>
      <c r="L29" s="345">
        <f t="shared" si="18"/>
        <v>0.83000000000000007</v>
      </c>
      <c r="M29" s="345">
        <f t="shared" si="19"/>
        <v>0.33500000000000002</v>
      </c>
      <c r="N29" s="261">
        <f t="shared" si="20"/>
        <v>0.27805000000000002</v>
      </c>
      <c r="O29" s="259">
        <f t="shared" si="21"/>
        <v>0.55610000000000004</v>
      </c>
      <c r="P29" s="252">
        <f t="shared" si="22"/>
        <v>18609.790815757056</v>
      </c>
      <c r="Q29" s="329">
        <f t="shared" si="23"/>
        <v>21609.790815757056</v>
      </c>
      <c r="R29" s="298"/>
      <c r="S29" s="46"/>
      <c r="T29" s="9"/>
      <c r="W29" s="4"/>
    </row>
    <row r="30" spans="2:24" ht="17.399999999999999" x14ac:dyDescent="0.3">
      <c r="B30" s="326">
        <v>2</v>
      </c>
      <c r="C30" s="326" t="s">
        <v>171</v>
      </c>
      <c r="D30" s="327">
        <v>0.78</v>
      </c>
      <c r="E30" s="327">
        <v>0.375</v>
      </c>
      <c r="F30" s="326" t="s">
        <v>177</v>
      </c>
      <c r="G30" s="328">
        <f t="shared" si="7"/>
        <v>23831.855390772824</v>
      </c>
      <c r="H30" s="328">
        <f t="shared" si="16"/>
        <v>47663.710781545647</v>
      </c>
      <c r="I30" s="265"/>
      <c r="J30" s="47"/>
      <c r="K30" s="346">
        <f t="shared" si="17"/>
        <v>2</v>
      </c>
      <c r="L30" s="347">
        <f t="shared" si="18"/>
        <v>0.83000000000000007</v>
      </c>
      <c r="M30" s="347">
        <f t="shared" si="19"/>
        <v>0.375</v>
      </c>
      <c r="N30" s="261">
        <f t="shared" si="20"/>
        <v>0.31125000000000003</v>
      </c>
      <c r="O30" s="259">
        <f t="shared" si="21"/>
        <v>0.62250000000000005</v>
      </c>
      <c r="P30" s="252">
        <f t="shared" si="22"/>
        <v>20831.855390772824</v>
      </c>
      <c r="Q30" s="329">
        <f t="shared" si="23"/>
        <v>23831.855390772824</v>
      </c>
      <c r="R30" s="298"/>
      <c r="S30" s="46"/>
      <c r="T30" s="9"/>
      <c r="W30" s="4"/>
    </row>
    <row r="31" spans="2:24" ht="17.399999999999999" x14ac:dyDescent="0.3">
      <c r="B31" s="326">
        <v>2</v>
      </c>
      <c r="C31" s="326" t="s">
        <v>171</v>
      </c>
      <c r="D31" s="327">
        <v>0.78</v>
      </c>
      <c r="E31" s="327">
        <v>0.33500000000000002</v>
      </c>
      <c r="F31" s="326" t="s">
        <v>177</v>
      </c>
      <c r="G31" s="328">
        <f t="shared" si="7"/>
        <v>21609.790815757056</v>
      </c>
      <c r="H31" s="328">
        <f t="shared" si="16"/>
        <v>43219.581631514113</v>
      </c>
      <c r="I31" s="265"/>
      <c r="J31" s="47"/>
      <c r="K31" s="346">
        <f t="shared" si="17"/>
        <v>2</v>
      </c>
      <c r="L31" s="347">
        <f t="shared" si="18"/>
        <v>0.83000000000000007</v>
      </c>
      <c r="M31" s="347">
        <f t="shared" si="19"/>
        <v>0.33500000000000002</v>
      </c>
      <c r="N31" s="261">
        <f t="shared" si="20"/>
        <v>0.27805000000000002</v>
      </c>
      <c r="O31" s="259">
        <f t="shared" si="21"/>
        <v>0.55610000000000004</v>
      </c>
      <c r="P31" s="252">
        <f t="shared" si="22"/>
        <v>18609.790815757056</v>
      </c>
      <c r="Q31" s="329">
        <f t="shared" si="23"/>
        <v>21609.790815757056</v>
      </c>
      <c r="R31" s="298"/>
      <c r="S31" s="46"/>
      <c r="T31" s="9"/>
      <c r="W31" s="4"/>
    </row>
    <row r="32" spans="2:24" ht="17.399999999999999" x14ac:dyDescent="0.3">
      <c r="B32" s="326">
        <v>1</v>
      </c>
      <c r="C32" s="326" t="s">
        <v>171</v>
      </c>
      <c r="D32" s="327">
        <v>0.78</v>
      </c>
      <c r="E32" s="327">
        <v>0.39</v>
      </c>
      <c r="F32" s="326" t="s">
        <v>177</v>
      </c>
      <c r="G32" s="328">
        <f t="shared" si="7"/>
        <v>24665.129606403738</v>
      </c>
      <c r="H32" s="328">
        <f t="shared" si="16"/>
        <v>24665.129606403738</v>
      </c>
      <c r="I32" s="265"/>
      <c r="J32" s="47"/>
      <c r="K32" s="346">
        <f t="shared" si="17"/>
        <v>1</v>
      </c>
      <c r="L32" s="347">
        <f t="shared" si="18"/>
        <v>0.83000000000000007</v>
      </c>
      <c r="M32" s="347">
        <f t="shared" si="19"/>
        <v>0.39</v>
      </c>
      <c r="N32" s="261">
        <f t="shared" si="20"/>
        <v>0.32370000000000004</v>
      </c>
      <c r="O32" s="259">
        <f t="shared" si="21"/>
        <v>0.32370000000000004</v>
      </c>
      <c r="P32" s="252">
        <f t="shared" si="22"/>
        <v>21665.129606403738</v>
      </c>
      <c r="Q32" s="329">
        <f t="shared" si="23"/>
        <v>24665.129606403738</v>
      </c>
      <c r="R32" s="298"/>
      <c r="S32" s="46"/>
      <c r="T32" s="9"/>
      <c r="W32" s="4"/>
    </row>
    <row r="33" spans="2:23" ht="17.399999999999999" x14ac:dyDescent="0.3">
      <c r="B33" s="286"/>
      <c r="C33" s="286"/>
      <c r="D33" s="287"/>
      <c r="E33" s="287"/>
      <c r="F33" s="286"/>
      <c r="G33" s="330"/>
      <c r="H33" s="330"/>
      <c r="I33" s="265"/>
      <c r="J33" s="47"/>
      <c r="K33" s="343"/>
      <c r="L33" s="39"/>
      <c r="M33" s="39"/>
      <c r="N33" s="261"/>
      <c r="O33" s="259"/>
      <c r="P33" s="252"/>
      <c r="Q33" s="329"/>
      <c r="R33" s="298"/>
      <c r="S33" s="46"/>
      <c r="T33" s="9"/>
      <c r="W33" s="4"/>
    </row>
    <row r="34" spans="2:23" ht="18" thickBot="1" x14ac:dyDescent="0.35">
      <c r="B34" s="286"/>
      <c r="C34" s="286"/>
      <c r="D34" s="287"/>
      <c r="E34" s="287"/>
      <c r="F34" s="286"/>
      <c r="G34" s="265"/>
      <c r="H34" s="233"/>
      <c r="I34" s="233"/>
      <c r="J34" s="47"/>
      <c r="K34" s="47"/>
      <c r="L34" s="39"/>
      <c r="M34" s="39"/>
      <c r="N34" s="261">
        <v>0</v>
      </c>
      <c r="O34" s="259"/>
      <c r="P34" s="252"/>
      <c r="Q34" s="258"/>
      <c r="R34" s="298"/>
      <c r="S34" s="14"/>
      <c r="T34" s="9"/>
      <c r="W34" s="4"/>
    </row>
    <row r="35" spans="2:23" ht="17.399999999999999" x14ac:dyDescent="0.3">
      <c r="B35" s="286"/>
      <c r="C35" s="286"/>
      <c r="D35" s="287"/>
      <c r="E35" s="287"/>
      <c r="F35" s="286"/>
      <c r="G35" s="299" t="s">
        <v>29</v>
      </c>
      <c r="H35" s="300">
        <f>SUM(H21:H34)</f>
        <v>522112.06620000012</v>
      </c>
      <c r="I35" s="265"/>
      <c r="J35" s="47"/>
      <c r="K35" s="47"/>
      <c r="L35" s="39">
        <f>SUM(L21:L34)</f>
        <v>8.849000000000002</v>
      </c>
      <c r="M35" s="39"/>
      <c r="N35" s="261"/>
      <c r="O35" s="259"/>
      <c r="P35" s="252"/>
      <c r="Q35" s="258"/>
      <c r="R35" s="298"/>
      <c r="S35" s="46">
        <f>SUM(S21:S34)</f>
        <v>2.7839999999999998</v>
      </c>
      <c r="T35" s="9"/>
      <c r="W35" s="4"/>
    </row>
    <row r="36" spans="2:23" ht="17.399999999999999" x14ac:dyDescent="0.3">
      <c r="B36" s="280"/>
      <c r="C36" s="283"/>
      <c r="D36" s="284"/>
      <c r="E36" s="284"/>
      <c r="F36" s="285"/>
      <c r="G36" s="297" t="s">
        <v>52</v>
      </c>
      <c r="H36" s="295">
        <f>H35*19%</f>
        <v>99201.292578000022</v>
      </c>
      <c r="I36" s="265"/>
      <c r="J36" s="47"/>
      <c r="K36" s="47"/>
      <c r="L36" s="39"/>
      <c r="M36" s="12"/>
      <c r="N36" s="12"/>
      <c r="O36" s="253">
        <f>SUM(O21:O32)</f>
        <v>6.6355050000000002</v>
      </c>
      <c r="P36" s="14"/>
      <c r="Q36" s="12"/>
      <c r="R36" s="239"/>
      <c r="S36" s="46">
        <f>S35*20%</f>
        <v>0.55679999999999996</v>
      </c>
      <c r="T36" s="9"/>
      <c r="W36" s="4"/>
    </row>
    <row r="37" spans="2:23" ht="18" thickBot="1" x14ac:dyDescent="0.35">
      <c r="B37" s="276"/>
      <c r="C37" s="282"/>
      <c r="D37" s="272"/>
      <c r="E37" s="272"/>
      <c r="F37" s="273"/>
      <c r="G37" s="281" t="s">
        <v>6</v>
      </c>
      <c r="H37" s="296">
        <f>H35+H36</f>
        <v>621313.35877800011</v>
      </c>
      <c r="I37" s="265"/>
      <c r="J37" s="47"/>
      <c r="K37" s="47"/>
      <c r="L37" s="39"/>
      <c r="M37" s="12"/>
      <c r="N37" s="12"/>
      <c r="O37" s="253">
        <f>O36</f>
        <v>6.6355050000000002</v>
      </c>
      <c r="P37" s="14"/>
      <c r="Q37" s="12"/>
      <c r="R37" s="239">
        <f>SUM(R21:R36)</f>
        <v>6.6400000000000006</v>
      </c>
      <c r="S37" s="46">
        <f>S35+S36</f>
        <v>3.3407999999999998</v>
      </c>
      <c r="T37" s="9"/>
      <c r="W37" s="4"/>
    </row>
    <row r="38" spans="2:23" ht="17.399999999999999" x14ac:dyDescent="0.3">
      <c r="B38" s="276"/>
      <c r="C38" s="271"/>
      <c r="D38" s="272"/>
      <c r="E38" s="272"/>
      <c r="F38" s="273"/>
      <c r="I38" s="265"/>
      <c r="J38" s="47">
        <v>147074</v>
      </c>
      <c r="K38" s="47"/>
      <c r="L38" s="14"/>
      <c r="M38" s="12"/>
      <c r="N38" s="12"/>
      <c r="O38" s="39">
        <f>O37*20%</f>
        <v>1.3271010000000001</v>
      </c>
      <c r="P38" s="39" t="s">
        <v>131</v>
      </c>
      <c r="Q38" s="42"/>
      <c r="R38" s="240"/>
      <c r="S38" s="14"/>
      <c r="T38" s="9"/>
      <c r="W38" s="4"/>
    </row>
    <row r="39" spans="2:23" ht="17.399999999999999" x14ac:dyDescent="0.3">
      <c r="B39" s="271"/>
      <c r="C39" s="271"/>
      <c r="D39" s="272"/>
      <c r="E39" s="272"/>
      <c r="F39" s="273"/>
      <c r="G39" s="274"/>
      <c r="H39" s="275"/>
      <c r="I39" s="265"/>
      <c r="J39" s="47">
        <v>33749</v>
      </c>
      <c r="K39" s="47"/>
      <c r="L39" s="14"/>
      <c r="M39" s="12"/>
      <c r="N39" s="12"/>
      <c r="O39" s="46">
        <f>O37+O38</f>
        <v>7.9626060000000001</v>
      </c>
      <c r="P39" s="14"/>
      <c r="Q39" s="14"/>
      <c r="R39" s="238">
        <v>40</v>
      </c>
      <c r="S39" s="14"/>
      <c r="T39" s="9"/>
      <c r="W39" s="4"/>
    </row>
    <row r="40" spans="2:23" ht="17.399999999999999" x14ac:dyDescent="0.35">
      <c r="B40" s="269"/>
      <c r="C40" s="230"/>
      <c r="D40" s="230"/>
      <c r="E40" s="233"/>
      <c r="F40" s="234"/>
      <c r="G40" s="230"/>
      <c r="H40" s="275"/>
      <c r="I40" s="265"/>
      <c r="J40" s="47">
        <v>94650</v>
      </c>
      <c r="K40" s="47"/>
      <c r="L40" s="14"/>
      <c r="M40" s="14"/>
      <c r="N40" s="14"/>
      <c r="O40" s="14"/>
      <c r="P40" s="14"/>
      <c r="Q40" s="14"/>
      <c r="R40" s="238"/>
      <c r="S40" s="14"/>
      <c r="T40" s="305" t="s">
        <v>22</v>
      </c>
      <c r="U40" s="302" t="s">
        <v>152</v>
      </c>
      <c r="V40" s="306">
        <v>44971</v>
      </c>
      <c r="W40" s="307"/>
    </row>
    <row r="41" spans="2:23" ht="17.399999999999999" x14ac:dyDescent="0.35">
      <c r="B41" s="235"/>
      <c r="C41" s="236"/>
      <c r="D41" s="237"/>
      <c r="E41" s="235"/>
      <c r="F41" s="230"/>
      <c r="G41" s="230"/>
      <c r="I41" s="265"/>
      <c r="J41" s="47">
        <f>SUM(J38:J40)</f>
        <v>275473</v>
      </c>
      <c r="K41" s="47"/>
      <c r="L41" s="39">
        <f>O39</f>
        <v>7.9626060000000001</v>
      </c>
      <c r="M41" s="12">
        <v>3500</v>
      </c>
      <c r="N41" s="12">
        <f t="shared" ref="N41:N46" si="24">L41*M41</f>
        <v>27869.120999999999</v>
      </c>
      <c r="O41" s="14" t="s">
        <v>22</v>
      </c>
      <c r="P41" s="14"/>
      <c r="Q41" s="14"/>
      <c r="R41" s="241"/>
      <c r="S41" s="14"/>
      <c r="T41" s="305" t="s">
        <v>153</v>
      </c>
      <c r="U41" s="302">
        <v>3625</v>
      </c>
      <c r="V41" s="59" t="s">
        <v>154</v>
      </c>
      <c r="W41" s="307"/>
    </row>
    <row r="42" spans="2:23" ht="17.399999999999999" x14ac:dyDescent="0.35">
      <c r="B42" s="230"/>
      <c r="C42" s="230"/>
      <c r="D42" s="230"/>
      <c r="E42" s="230"/>
      <c r="F42" s="230"/>
      <c r="G42" s="230"/>
      <c r="I42" s="265"/>
      <c r="J42" s="47"/>
      <c r="K42" s="47"/>
      <c r="L42" s="249">
        <v>2.2000000000000002</v>
      </c>
      <c r="M42" s="12">
        <v>45000</v>
      </c>
      <c r="N42" s="12">
        <f t="shared" si="24"/>
        <v>99000.000000000015</v>
      </c>
      <c r="O42" s="39" t="s">
        <v>32</v>
      </c>
      <c r="P42" s="42"/>
      <c r="Q42" s="14"/>
      <c r="R42" s="240"/>
      <c r="S42" s="14"/>
      <c r="T42" s="305"/>
      <c r="U42" s="59">
        <v>906.25</v>
      </c>
      <c r="V42" s="59" t="s">
        <v>155</v>
      </c>
      <c r="W42" s="307"/>
    </row>
    <row r="43" spans="2:23" s="230" customFormat="1" ht="17.399999999999999" x14ac:dyDescent="0.35">
      <c r="I43" s="262"/>
      <c r="J43" s="232"/>
      <c r="K43" s="250"/>
      <c r="L43" s="14"/>
      <c r="M43" s="250">
        <v>40000</v>
      </c>
      <c r="N43" s="12">
        <f t="shared" si="24"/>
        <v>0</v>
      </c>
      <c r="O43" s="39" t="s">
        <v>31</v>
      </c>
      <c r="P43" s="42"/>
      <c r="R43" s="240"/>
      <c r="S43" s="256"/>
      <c r="T43" s="59"/>
      <c r="U43" s="59">
        <f>U42*20%</f>
        <v>181.25</v>
      </c>
      <c r="V43" s="307" t="s">
        <v>156</v>
      </c>
      <c r="W43" s="59"/>
    </row>
    <row r="44" spans="2:23" s="230" customFormat="1" ht="17.399999999999999" x14ac:dyDescent="0.35">
      <c r="B44" s="24" t="s">
        <v>151</v>
      </c>
      <c r="I44" s="262"/>
      <c r="J44" s="232"/>
      <c r="K44" s="250"/>
      <c r="L44" s="14">
        <v>3</v>
      </c>
      <c r="M44" s="250">
        <v>25000</v>
      </c>
      <c r="N44" s="12">
        <f t="shared" si="24"/>
        <v>75000</v>
      </c>
      <c r="O44" s="14"/>
      <c r="P44" s="17"/>
      <c r="R44" s="238"/>
      <c r="S44" s="256"/>
      <c r="T44" s="59"/>
      <c r="U44" s="59">
        <f>U42+U43</f>
        <v>1087.5</v>
      </c>
      <c r="V44" s="307" t="s">
        <v>157</v>
      </c>
      <c r="W44" s="59"/>
    </row>
    <row r="45" spans="2:23" s="230" customFormat="1" ht="17.399999999999999" x14ac:dyDescent="0.35">
      <c r="B45" s="24" t="s">
        <v>144</v>
      </c>
      <c r="C45"/>
      <c r="D45"/>
      <c r="E45"/>
      <c r="F45"/>
      <c r="I45" s="262"/>
      <c r="J45" s="230">
        <v>27000</v>
      </c>
      <c r="K45" s="250"/>
      <c r="L45" s="249"/>
      <c r="M45" s="250">
        <v>300</v>
      </c>
      <c r="N45" s="12">
        <f t="shared" si="24"/>
        <v>0</v>
      </c>
      <c r="O45" s="14" t="s">
        <v>33</v>
      </c>
      <c r="P45" s="14"/>
      <c r="Q45" s="230">
        <v>1.52</v>
      </c>
      <c r="R45" s="238"/>
      <c r="S45" s="238"/>
    </row>
    <row r="46" spans="2:23" s="230" customFormat="1" ht="17.399999999999999" x14ac:dyDescent="0.35">
      <c r="B46" s="29" t="s">
        <v>126</v>
      </c>
      <c r="C46"/>
      <c r="D46"/>
      <c r="E46"/>
      <c r="F46" s="229" t="s">
        <v>16</v>
      </c>
      <c r="I46" s="294"/>
      <c r="J46" s="230">
        <f>J45*19%</f>
        <v>5130</v>
      </c>
      <c r="K46" s="250"/>
      <c r="L46" s="266"/>
      <c r="M46" s="12">
        <v>1500</v>
      </c>
      <c r="N46" s="12">
        <f t="shared" si="24"/>
        <v>0</v>
      </c>
      <c r="O46" s="14" t="s">
        <v>23</v>
      </c>
      <c r="P46" s="14"/>
      <c r="Q46">
        <v>2.44</v>
      </c>
      <c r="R46"/>
      <c r="S46" s="238"/>
      <c r="W46" s="231"/>
    </row>
    <row r="47" spans="2:23" s="230" customFormat="1" ht="17.399999999999999" x14ac:dyDescent="0.35">
      <c r="I47" s="230" t="s">
        <v>168</v>
      </c>
      <c r="J47" s="230">
        <f>J45+J46</f>
        <v>32130</v>
      </c>
      <c r="K47" s="250"/>
      <c r="L47" s="14"/>
      <c r="M47" s="12"/>
      <c r="N47" s="12">
        <f>SUM(N41:N46)</f>
        <v>201869.12100000001</v>
      </c>
      <c r="O47" s="39" t="s">
        <v>24</v>
      </c>
      <c r="P47" s="14"/>
      <c r="Q47">
        <f>Q45*Q46</f>
        <v>3.7088000000000001</v>
      </c>
      <c r="R47"/>
      <c r="S47" s="238"/>
      <c r="W47" s="231"/>
    </row>
    <row r="48" spans="2:23" s="230" customFormat="1" ht="17.399999999999999" x14ac:dyDescent="0.35">
      <c r="K48" s="250"/>
      <c r="L48" s="254" t="s">
        <v>34</v>
      </c>
      <c r="M48" s="12"/>
      <c r="N48" s="255">
        <f>N47*2.2</f>
        <v>444112.06620000006</v>
      </c>
      <c r="O48" s="14" t="s">
        <v>141</v>
      </c>
      <c r="P48" s="14"/>
      <c r="Q48" s="40">
        <f>O39/Q47</f>
        <v>2.1469494176013804</v>
      </c>
      <c r="R48"/>
      <c r="S48" s="257"/>
    </row>
    <row r="49" spans="2:22" s="230" customFormat="1" ht="17.399999999999999" x14ac:dyDescent="0.35">
      <c r="G49"/>
      <c r="H49" s="260"/>
      <c r="I49" s="230" t="s">
        <v>167</v>
      </c>
      <c r="J49" s="230">
        <v>23560</v>
      </c>
      <c r="K49" s="250">
        <v>0</v>
      </c>
      <c r="L49" s="14"/>
      <c r="M49" s="12"/>
      <c r="N49" s="12">
        <f>N48/O37</f>
        <v>66929.655873968906</v>
      </c>
      <c r="O49" s="45" t="s">
        <v>25</v>
      </c>
      <c r="P49" s="14"/>
      <c r="Q49" s="14"/>
      <c r="R49"/>
      <c r="S49" s="238"/>
      <c r="T49" s="59" t="s">
        <v>158</v>
      </c>
      <c r="U49" s="302">
        <v>43650</v>
      </c>
    </row>
    <row r="50" spans="2:22" s="230" customFormat="1" ht="17.399999999999999" x14ac:dyDescent="0.35">
      <c r="G50"/>
      <c r="J50" s="230">
        <f>J49/1.19</f>
        <v>19798.319327731093</v>
      </c>
      <c r="K50" s="250"/>
      <c r="L50" s="13"/>
      <c r="M50" s="14"/>
      <c r="N50" s="17">
        <f>N48/N47</f>
        <v>2.2000000000000002</v>
      </c>
      <c r="O50" s="15"/>
      <c r="P50"/>
      <c r="Q50"/>
      <c r="R50"/>
      <c r="S50" s="238"/>
      <c r="T50" s="59" t="s">
        <v>160</v>
      </c>
      <c r="U50" s="303" t="s">
        <v>159</v>
      </c>
      <c r="V50" s="59">
        <v>2.4</v>
      </c>
    </row>
    <row r="51" spans="2:22" s="230" customFormat="1" ht="17.399999999999999" x14ac:dyDescent="0.35">
      <c r="G51" s="23"/>
      <c r="K51" s="12"/>
      <c r="S51" s="238"/>
      <c r="T51" s="59" t="s">
        <v>161</v>
      </c>
      <c r="U51" s="304">
        <v>395.37</v>
      </c>
    </row>
    <row r="52" spans="2:22" s="230" customFormat="1" ht="17.399999999999999" x14ac:dyDescent="0.35">
      <c r="B52"/>
      <c r="C52" s="228"/>
      <c r="D52" s="22"/>
      <c r="E52" s="22"/>
      <c r="F52" s="21"/>
      <c r="G52" s="23"/>
      <c r="I52" s="230" t="s">
        <v>169</v>
      </c>
      <c r="K52" s="12"/>
      <c r="S52" s="238"/>
      <c r="T52" s="59" t="s">
        <v>156</v>
      </c>
      <c r="U52" s="59">
        <v>474.45</v>
      </c>
    </row>
    <row r="53" spans="2:22" ht="14.4" customHeight="1" x14ac:dyDescent="0.3">
      <c r="I53" t="s">
        <v>170</v>
      </c>
      <c r="J53">
        <v>8990</v>
      </c>
      <c r="K53" s="12"/>
      <c r="T53" s="59"/>
      <c r="U53" s="59"/>
    </row>
    <row r="54" spans="2:22" x14ac:dyDescent="0.3">
      <c r="K54" s="250"/>
    </row>
    <row r="55" spans="2:22" x14ac:dyDescent="0.3">
      <c r="I55">
        <v>46850</v>
      </c>
      <c r="K55" s="250"/>
      <c r="S55" s="270"/>
    </row>
    <row r="56" spans="2:22" x14ac:dyDescent="0.3">
      <c r="K56" s="250"/>
    </row>
    <row r="57" spans="2:22" ht="15" customHeight="1" x14ac:dyDescent="0.3">
      <c r="I57">
        <f>I55/1.19</f>
        <v>39369.747899159665</v>
      </c>
    </row>
    <row r="59" spans="2:22" x14ac:dyDescent="0.3">
      <c r="N59">
        <v>40935</v>
      </c>
      <c r="O59" t="s">
        <v>17</v>
      </c>
      <c r="P59" t="s">
        <v>27</v>
      </c>
    </row>
    <row r="61" spans="2:22" x14ac:dyDescent="0.3">
      <c r="N61" s="54"/>
      <c r="O61" s="54"/>
    </row>
    <row r="62" spans="2:22" x14ac:dyDescent="0.3">
      <c r="R62" s="18"/>
      <c r="S62" s="18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3" spans="14:19" x14ac:dyDescent="0.3">
      <c r="N73" s="43"/>
    </row>
    <row r="74" spans="14:19" x14ac:dyDescent="0.3">
      <c r="N74" s="43"/>
    </row>
    <row r="75" spans="14:19" x14ac:dyDescent="0.3">
      <c r="N75" s="6"/>
    </row>
    <row r="76" spans="14:19" x14ac:dyDescent="0.3">
      <c r="N76" s="6"/>
    </row>
    <row r="84" spans="3:3" x14ac:dyDescent="0.3">
      <c r="C84" t="s">
        <v>148</v>
      </c>
    </row>
    <row r="85" spans="3:3" x14ac:dyDescent="0.3">
      <c r="C85" t="s">
        <v>147</v>
      </c>
    </row>
    <row r="88" spans="3:3" x14ac:dyDescent="0.3">
      <c r="C88" t="s">
        <v>147</v>
      </c>
    </row>
    <row r="165" spans="3:3" x14ac:dyDescent="0.3">
      <c r="C165" t="s">
        <v>147</v>
      </c>
    </row>
    <row r="166" spans="3:3" x14ac:dyDescent="0.3">
      <c r="C166" t="s">
        <v>149</v>
      </c>
    </row>
    <row r="167" spans="3:3" x14ac:dyDescent="0.3">
      <c r="C167" t="s">
        <v>150</v>
      </c>
    </row>
    <row r="592" spans="3:3" x14ac:dyDescent="0.3">
      <c r="C592" t="s">
        <v>147</v>
      </c>
    </row>
  </sheetData>
  <mergeCells count="2">
    <mergeCell ref="F17:H17"/>
    <mergeCell ref="B19:H19"/>
  </mergeCells>
  <phoneticPr fontId="34" type="noConversion"/>
  <hyperlinks>
    <hyperlink ref="F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45681</v>
      </c>
    </row>
    <row r="6" spans="2:31" ht="16.2" thickBot="1" x14ac:dyDescent="0.35">
      <c r="B6" s="140" t="s">
        <v>2</v>
      </c>
      <c r="C6" s="139" t="str">
        <f>'2229'!C10</f>
        <v>CONSTRUCCIONES JARAMILLO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11267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-43925.294458454126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'2229'!H35</f>
        <v>522112.06620000012</v>
      </c>
      <c r="E11" s="132">
        <f>D11*0.19</f>
        <v>99201.292578000022</v>
      </c>
      <c r="F11" s="131">
        <f>E11+D11</f>
        <v>621313.35877800011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62064.705541545874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156703.21178743962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44064.705541545874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365408.85441256047</v>
      </c>
      <c r="E13" s="221">
        <f>(D11/D12)-1</f>
        <v>2.3318529993387758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35064.705541545874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-3935.2944584541256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258560.29944927536</v>
      </c>
      <c r="F15" s="216">
        <f>E15-D12</f>
        <v>101857.08766183574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-3935.2944584541256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36064.705541545874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'2229'!N42</f>
        <v>99000.000000000015</v>
      </c>
      <c r="E19" s="123">
        <f>D19*0.19</f>
        <v>18810.000000000004</v>
      </c>
      <c r="F19" s="120">
        <f>SUM(D19:E19)</f>
        <v>117810.00000000001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'2229'!N41</f>
        <v>27869.120999999999</v>
      </c>
      <c r="E20" s="121">
        <f>D20*0.19</f>
        <v>5295.1329900000001</v>
      </c>
      <c r="F20" s="120">
        <f>SUM(D20:E20)</f>
        <v>33164.253989999997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126869.12100000001</v>
      </c>
      <c r="E21" s="116">
        <f>SUM(E18:E20)</f>
        <v>24105.132990000006</v>
      </c>
      <c r="F21" s="115">
        <f>SUM(F18:F20)</f>
        <v>150974.25399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75096.15958800001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522112.06620000012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126869.12100000001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365408.85441256047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365408.85441256047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2025-01-24T20:20:05Z</dcterms:modified>
</cp:coreProperties>
</file>