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1 ENERO 2025\"/>
    </mc:Choice>
  </mc:AlternateContent>
  <xr:revisionPtr revIDLastSave="0" documentId="13_ncr:1_{DE5EBDBD-CEF1-473C-AD33-793D7CAB9C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K31" i="1" l="1"/>
  <c r="K33" i="1"/>
  <c r="N21" i="1"/>
  <c r="K34" i="1" l="1"/>
  <c r="K35" i="1" s="1"/>
  <c r="K36" i="1" s="1"/>
  <c r="M21" i="1"/>
  <c r="M25" i="1" s="1"/>
  <c r="T21" i="1" l="1"/>
  <c r="T24" i="1" s="1"/>
  <c r="S26" i="1"/>
  <c r="O21" i="1"/>
  <c r="P21" i="1" s="1"/>
  <c r="P25" i="1" s="1"/>
  <c r="K39" i="1"/>
  <c r="S27" i="1" l="1"/>
  <c r="S28" i="1" s="1"/>
  <c r="S29" i="1" s="1"/>
  <c r="V32" i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F15" i="3"/>
  <c r="R21" i="1" l="1"/>
  <c r="H21" i="1" l="1"/>
  <c r="H24" i="1" s="1"/>
  <c r="H25" i="1" s="1"/>
  <c r="H26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<sst xmlns="http://schemas.openxmlformats.org/spreadsheetml/2006/main" count="230" uniqueCount="174">
  <si>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</si>
  <si>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</si>
  <si>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</si>
  <si>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</si>
  <si>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</si>
  <si>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</si>
  <si>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</si>
  <si>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</si>
  <si>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</si>
  <si>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</si>
  <si>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</si>
  <si>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</si>
  <si>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</si>
  <si>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</si>
  <si>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</si>
  <si>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</si>
  <si>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</si>
  <si>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</si>
  <si>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</si>
  <si>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</si>
  <si>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</si>
  <si>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</si>
  <si>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</si>
  <si>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</si>
  <si>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</si>
  <si>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</si>
  <si>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</si>
  <si>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</si>
  <si>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</si>
  <si>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</si>
  <si>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</si>
  <si>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</si>
  <si>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</si>
  <si>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</si>
  <si>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</si>
  <si>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</si>
  <si>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</si>
  <si>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</si>
  <si>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</si>
  <si>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</si>
  <si>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</si>
  <si>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</si>
  <si>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</si>
  <si>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</si>
  <si>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</si>
  <si>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</si>
  <si>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</si>
  <si>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</si>
  <si>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</si>
  <si>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</si>
  <si>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</si>
  <si>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</si>
  <si>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</si>
  <si>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</si>
  <si>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</si>
  <si>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</si>
  <si>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</si>
  <si>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</si>
  <si>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</si>
  <si>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</si>
  <si>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</si>
  <si>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</si>
  <si>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</si>
  <si>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</si>
  <si>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</si>
  <si>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</si>
  <si>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</si>
  <si>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</si>
  <si>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</si>
  <si>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</si>
  <si>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</si>
  <si>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</si>
  <si>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</si>
  <si>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</si>
  <si>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</si>
  <si>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</si>
  <si>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</si>
  <si>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</si>
  <si>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</si>
  <si>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</si>
  <si>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</si>
  <si>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</si>
  <si>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</si>
  <si>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</si>
  <si>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</si>
  <si>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</si>
  <si>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</si>
  <si>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</si>
  <si>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</si>
  <si>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</si>
  <si>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</si>
  <si>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</si>
  <si>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</si>
  <si>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</si>
  <si>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</si>
  <si>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</si>
  <si>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</si>
  <si>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</si>
  <si>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</si>
  <si>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</si>
  <si>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</si>
  <si>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</si>
  <si>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</si>
  <si>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</si>
  <si>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</si>
  <si>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</si>
  <si>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</si>
  <si>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</si>
  <si>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</si>
  <si>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</si>
  <si>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</si>
  <si>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</si>
  <si>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</si>
  <si>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</si>
  <si>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</si>
  <si>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</si>
  <si>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</si>
  <si>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</si>
  <si>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</si>
  <si>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</si>
  <si>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</si>
  <si>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</si>
  <si>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</si>
  <si>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</si>
  <si>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</si>
  <si>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</si>
  <si>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</si>
  <si>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</si>
  <si>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</si>
  <si>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</si>
  <si>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</si>
  <si>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</si>
  <si>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</si>
  <si>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</si>
  <si>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</si>
  <si>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</si>
  <si>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</si>
  <si>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</si>
  <si>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</si>
  <si>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</si>
  <si>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</si>
  <si>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</si>
  <si>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</si>
  <si>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</si>
  <si>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</si>
  <si>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</si>
  <si>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</si>
  <si>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</si>
  <si>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</si>
  <si>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</si>
  <si>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</si>
  <si>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</si>
  <si>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</si>
  <si>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</si>
  <si>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</si>
  <si>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</si>
  <si>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</si>
  <si>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</si>
  <si>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</si>
  <si>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</si>
  <si>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</si>
  <si>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</si>
  <si>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</si>
  <si>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</si>
  <si>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</si>
  <si>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</si>
  <si>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</si>
  <si>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MUEBLES ASENJO</t>
  </si>
  <si>
    <t>MIGUEL ASENJO</t>
  </si>
  <si>
    <t>+569 9884 4786</t>
  </si>
  <si>
    <t>CUB MESA 90° 2 LADOS</t>
  </si>
  <si>
    <t>BLANCO OPACO</t>
  </si>
  <si>
    <t>10 DIAS HABILES</t>
  </si>
  <si>
    <t>N° 11270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</si>
</sst>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</a:t>
          </a:r>
          <a:r>
            <a:rPr lang="es-CL" sz="1200" b="1" baseline="0"/>
            <a:t>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C1" zoomScale="93" zoomScaleNormal="93" workbookViewId="0">
      <selection activeCell="C12" sqref="C12"/>
    </sheetView>
  </sheetViews>
  <sheetFormatPr baseColWidth="10" defaultRowHeight="14.4" x14ac:dyDescent="0.3"/>
  <cols>
    <col min="1" max="1" width="6" customWidth="1"/>
    <col min="2" max="2" width="10.5546875" customWidth="1"/>
    <col min="3" max="3" width="33.21875" customWidth="1"/>
    <col min="4" max="4" width="11.109375" customWidth="1"/>
    <col min="5" max="5" width="10.5546875" customWidth="1"/>
    <col min="6" max="6" width="22.109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173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167</v>
      </c>
      <c r="D10" s="243"/>
      <c r="E10" s="243"/>
      <c r="F10" s="244" t="s">
        <v>0</v>
      </c>
      <c r="G10" s="276">
        <v>45686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172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C13" t="s">
        <v>168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169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1:25" ht="15" thickBot="1" x14ac:dyDescent="0.35">
      <c r="B17" s="311" t="s">
        <v>13</v>
      </c>
      <c r="C17" s="312" t="s">
        <v>166</v>
      </c>
      <c r="D17" s="313"/>
      <c r="E17" s="119"/>
      <c r="F17" s="334" t="s">
        <v>165</v>
      </c>
      <c r="G17" s="334"/>
      <c r="H17" s="33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O38</f>
        <v>50226.411290322583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30">
        <v>10</v>
      </c>
      <c r="C21" s="330" t="s">
        <v>170</v>
      </c>
      <c r="D21" s="331">
        <v>2.4</v>
      </c>
      <c r="E21" s="331">
        <v>0.8</v>
      </c>
      <c r="F21" s="330" t="s">
        <v>171</v>
      </c>
      <c r="G21" s="332">
        <v>99649</v>
      </c>
      <c r="H21" s="332">
        <f>G21*B21</f>
        <v>996490</v>
      </c>
      <c r="I21" s="320"/>
      <c r="J21" s="265"/>
      <c r="K21" s="47"/>
      <c r="L21" s="333">
        <f>B21</f>
        <v>10</v>
      </c>
      <c r="M21" s="39">
        <f>D21+M$19</f>
        <v>2.48</v>
      </c>
      <c r="N21" s="39">
        <f>E21+$N$19</f>
        <v>0.8</v>
      </c>
      <c r="O21" s="261">
        <f t="shared" ref="O21" si="1">M21*N21</f>
        <v>1.984</v>
      </c>
      <c r="P21" s="259">
        <f t="shared" ref="P21" si="2">O21*L21</f>
        <v>19.84</v>
      </c>
      <c r="Q21" s="252">
        <f t="shared" ref="Q21" si="3">Q$20*O21</f>
        <v>99649.200000000012</v>
      </c>
      <c r="R21" s="319">
        <f t="shared" ref="R21" si="4">Q21+R$20</f>
        <v>102649.20000000001</v>
      </c>
      <c r="S21" s="297"/>
      <c r="T21" s="46">
        <f>N21*2*L21*2</f>
        <v>32</v>
      </c>
      <c r="U21" s="9"/>
      <c r="X21" s="4"/>
    </row>
    <row r="22" spans="1:25" ht="17.399999999999999" x14ac:dyDescent="0.3">
      <c r="B22" s="285"/>
      <c r="C22" s="285"/>
      <c r="D22" s="286"/>
      <c r="E22" s="286"/>
      <c r="F22" s="285"/>
      <c r="G22" s="320"/>
      <c r="H22" s="320"/>
      <c r="I22" s="320"/>
      <c r="J22" s="265"/>
      <c r="K22" s="47"/>
      <c r="L22" s="47"/>
      <c r="M22" s="39"/>
      <c r="N22" s="39"/>
      <c r="O22" s="261"/>
      <c r="P22" s="259"/>
      <c r="Q22" s="252"/>
      <c r="R22" s="319"/>
      <c r="S22" s="297"/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21"/>
      <c r="I23" s="323"/>
      <c r="J23" s="233"/>
      <c r="K23" s="47"/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4" t="s">
        <v>28</v>
      </c>
      <c r="H24" s="325">
        <f>SUM(H21:H23)</f>
        <v>996490</v>
      </c>
      <c r="I24" s="322"/>
      <c r="J24" s="265"/>
      <c r="K24" s="47">
        <v>2600000</v>
      </c>
      <c r="L24" s="47"/>
      <c r="M24" s="39"/>
      <c r="N24" s="39"/>
      <c r="O24" s="261"/>
      <c r="P24" s="259"/>
      <c r="Q24" s="252"/>
      <c r="R24" s="258"/>
      <c r="S24" s="297"/>
      <c r="T24" s="46">
        <f>SUM(T21:T23)</f>
        <v>32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51</v>
      </c>
      <c r="H25" s="294">
        <f>H24*19%</f>
        <v>189333.1</v>
      </c>
      <c r="I25" s="322"/>
      <c r="J25" s="265"/>
      <c r="K25" s="47"/>
      <c r="L25" s="47"/>
      <c r="M25" s="39">
        <f>SUM(M21:M24)</f>
        <v>2.48</v>
      </c>
      <c r="N25" s="12"/>
      <c r="O25" s="12"/>
      <c r="P25" s="253">
        <f>SUM(P21:P23)</f>
        <v>19.84</v>
      </c>
      <c r="Q25" s="14"/>
      <c r="R25" s="12"/>
      <c r="S25" s="239"/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1185823.1000000001</v>
      </c>
      <c r="I26" s="322"/>
      <c r="J26" s="265"/>
      <c r="K26" s="47"/>
      <c r="L26" s="47"/>
      <c r="M26" s="39"/>
      <c r="N26" s="12"/>
      <c r="O26" s="12"/>
      <c r="P26" s="253">
        <f>P25</f>
        <v>19.84</v>
      </c>
      <c r="Q26" s="14"/>
      <c r="R26" s="12"/>
      <c r="S26" s="239">
        <f>SUM(S21:S25)</f>
        <v>0</v>
      </c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3.968</v>
      </c>
      <c r="Q27" s="39" t="s">
        <v>130</v>
      </c>
      <c r="R27" s="42"/>
      <c r="S27" s="240">
        <f>S26+T24</f>
        <v>32</v>
      </c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23.808</v>
      </c>
      <c r="Q28" s="14"/>
      <c r="R28" s="14"/>
      <c r="S28" s="238">
        <f>S27*20%</f>
        <v>6.4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>
        <f>S27+S28</f>
        <v>38.4</v>
      </c>
      <c r="T29" s="14"/>
      <c r="U29" s="302" t="s">
        <v>21</v>
      </c>
      <c r="V29" s="299" t="s">
        <v>152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23.808</v>
      </c>
      <c r="N30" s="12">
        <v>2500</v>
      </c>
      <c r="O30" s="12">
        <f t="shared" ref="O30:O35" si="5">M30*N30</f>
        <v>59520</v>
      </c>
      <c r="P30" s="14" t="s">
        <v>21</v>
      </c>
      <c r="Q30" s="14"/>
      <c r="R30" s="14"/>
      <c r="S30" s="241"/>
      <c r="T30" s="14"/>
      <c r="U30" s="302" t="s">
        <v>153</v>
      </c>
      <c r="V30" s="299">
        <v>3625</v>
      </c>
      <c r="W30" s="59" t="s">
        <v>154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>
        <f>23500*1.19</f>
        <v>27965</v>
      </c>
      <c r="L31" s="47"/>
      <c r="M31" s="249">
        <v>10</v>
      </c>
      <c r="N31" s="12">
        <v>23500</v>
      </c>
      <c r="O31" s="12">
        <f t="shared" si="5"/>
        <v>235000</v>
      </c>
      <c r="P31" s="39" t="s">
        <v>31</v>
      </c>
      <c r="Q31" s="42"/>
      <c r="R31" s="14"/>
      <c r="S31" s="240"/>
      <c r="T31" s="14"/>
      <c r="U31" s="302"/>
      <c r="V31" s="59">
        <v>906.25</v>
      </c>
      <c r="W31" s="59" t="s">
        <v>155</v>
      </c>
      <c r="X31" s="304"/>
    </row>
    <row r="32" spans="1:25" s="230" customFormat="1" ht="17.399999999999999" x14ac:dyDescent="0.35">
      <c r="B32" s="24" t="s">
        <v>151</v>
      </c>
      <c r="J32" s="262"/>
      <c r="K32" s="232"/>
      <c r="L32" s="250"/>
      <c r="M32" s="14"/>
      <c r="N32" s="250">
        <v>46893</v>
      </c>
      <c r="O32" s="12">
        <f t="shared" si="5"/>
        <v>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4" t="s">
        <v>156</v>
      </c>
      <c r="X32" s="59"/>
    </row>
    <row r="33" spans="2:24" s="230" customFormat="1" ht="17.399999999999999" x14ac:dyDescent="0.35">
      <c r="B33" s="24" t="s">
        <v>144</v>
      </c>
      <c r="C33"/>
      <c r="D33"/>
      <c r="E33"/>
      <c r="F33"/>
      <c r="J33" s="262"/>
      <c r="K33" s="232">
        <f>N33*1.19</f>
        <v>21420</v>
      </c>
      <c r="L33" s="250"/>
      <c r="M33" s="14">
        <v>10</v>
      </c>
      <c r="N33" s="250">
        <v>18000</v>
      </c>
      <c r="O33" s="12">
        <f t="shared" si="5"/>
        <v>180000</v>
      </c>
      <c r="P33" s="14" t="s">
        <v>141</v>
      </c>
      <c r="Q33" s="17"/>
      <c r="S33" s="238"/>
      <c r="T33" s="256"/>
      <c r="U33" s="59"/>
      <c r="V33" s="59">
        <f>V31+V32</f>
        <v>1087.5</v>
      </c>
      <c r="W33" s="304" t="s">
        <v>157</v>
      </c>
      <c r="X33" s="59"/>
    </row>
    <row r="34" spans="2:24" s="230" customFormat="1" ht="17.399999999999999" x14ac:dyDescent="0.35">
      <c r="B34" s="29" t="s">
        <v>125</v>
      </c>
      <c r="C34"/>
      <c r="D34"/>
      <c r="E34"/>
      <c r="F34" s="229" t="s">
        <v>15</v>
      </c>
      <c r="J34" s="262"/>
      <c r="K34" s="260">
        <f>SUM(K31:K33)</f>
        <v>49385</v>
      </c>
      <c r="L34" s="250"/>
      <c r="M34" s="249"/>
      <c r="N34" s="250">
        <v>900</v>
      </c>
      <c r="O34" s="12">
        <f t="shared" si="5"/>
        <v>0</v>
      </c>
      <c r="P34" s="14" t="s">
        <v>32</v>
      </c>
      <c r="Q34" s="14"/>
      <c r="R34" s="230">
        <v>1.52</v>
      </c>
      <c r="S34" s="238"/>
      <c r="T34" s="238"/>
    </row>
    <row r="35" spans="2:24" s="230" customFormat="1" ht="17.399999999999999" x14ac:dyDescent="0.35">
      <c r="J35" s="293"/>
      <c r="K35" s="260">
        <f>K34/1.19</f>
        <v>41500</v>
      </c>
      <c r="L35" s="250"/>
      <c r="M35" s="266"/>
      <c r="N35" s="12">
        <v>500</v>
      </c>
      <c r="O35" s="12">
        <f t="shared" si="5"/>
        <v>0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K36" s="260">
        <f>K34-K35</f>
        <v>7885</v>
      </c>
      <c r="L36" s="250"/>
      <c r="M36" s="14"/>
      <c r="N36" s="12"/>
      <c r="O36" s="12">
        <f>SUM(O30:O35)</f>
        <v>474520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L37" s="250"/>
      <c r="M37" s="254" t="s">
        <v>33</v>
      </c>
      <c r="N37" s="12"/>
      <c r="O37" s="255">
        <f>O36*2.1</f>
        <v>996492</v>
      </c>
      <c r="P37" s="14" t="s">
        <v>140</v>
      </c>
      <c r="Q37" s="14"/>
      <c r="R37" s="40">
        <f>P28/R36</f>
        <v>6.4193270060396888</v>
      </c>
      <c r="S37"/>
      <c r="T37" s="257"/>
    </row>
    <row r="38" spans="2:24" s="230" customFormat="1" ht="17.399999999999999" x14ac:dyDescent="0.35">
      <c r="G38"/>
      <c r="H38" s="260"/>
      <c r="I38" s="260"/>
      <c r="J38" s="260"/>
      <c r="K38" s="230">
        <v>40000</v>
      </c>
      <c r="L38" s="250"/>
      <c r="M38" s="14"/>
      <c r="N38" s="12"/>
      <c r="O38" s="12">
        <f>O37/P26</f>
        <v>50226.411290322583</v>
      </c>
      <c r="P38" s="45" t="s">
        <v>24</v>
      </c>
      <c r="Q38" s="14"/>
      <c r="R38" s="14"/>
      <c r="S38"/>
      <c r="T38" s="238"/>
      <c r="U38" s="59" t="s">
        <v>158</v>
      </c>
      <c r="V38" s="299">
        <v>43650</v>
      </c>
    </row>
    <row r="39" spans="2:24" s="230" customFormat="1" ht="17.399999999999999" x14ac:dyDescent="0.35">
      <c r="G39"/>
      <c r="K39" s="230">
        <f>K38/1.19</f>
        <v>33613.445378151264</v>
      </c>
      <c r="L39" s="250"/>
      <c r="M39" s="13"/>
      <c r="N39" s="14"/>
      <c r="O39" s="17">
        <f>O37/O36</f>
        <v>2.1</v>
      </c>
      <c r="P39" s="15"/>
      <c r="Q39"/>
      <c r="R39"/>
      <c r="S39"/>
      <c r="T39" s="238"/>
      <c r="U39" s="59" t="s">
        <v>160</v>
      </c>
      <c r="V39" s="300" t="s">
        <v>159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161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156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148</v>
      </c>
    </row>
    <row r="74" spans="3:15" x14ac:dyDescent="0.3">
      <c r="C74" t="s">
        <v>147</v>
      </c>
    </row>
    <row r="77" spans="3:15" x14ac:dyDescent="0.3">
      <c r="C77" t="s">
        <v>147</v>
      </c>
    </row>
    <row r="154" spans="3:3" x14ac:dyDescent="0.3">
      <c r="C154" t="s">
        <v>147</v>
      </c>
    </row>
    <row r="155" spans="3:3" x14ac:dyDescent="0.3">
      <c r="C155" t="s">
        <v>149</v>
      </c>
    </row>
    <row r="156" spans="3:3" x14ac:dyDescent="0.3">
      <c r="C156" t="s">
        <v>150</v>
      </c>
    </row>
    <row r="581" spans="3:3" x14ac:dyDescent="0.3">
      <c r="C581" t="s">
        <v>147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45686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11270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-76884.291700120782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996490</v>
      </c>
      <c r="E11" s="132">
        <f>D11*0.19</f>
        <v>189333.1</v>
      </c>
      <c r="F11" s="131">
        <f>E11+D11</f>
        <v>1185823.1000000001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29105.708299879218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324354.09078743961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11105.708299879218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672135.90921256039</v>
      </c>
      <c r="E13" s="221">
        <f>(D11/D12)-1</f>
        <v>2.0722288643895483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2105.7082998792175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-36894.291700120782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535184.24979927531</v>
      </c>
      <c r="F15" s="216">
        <f>E15-D12</f>
        <v>210830.1590118357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-36894.291700120782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3105.7082998792175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235000</v>
      </c>
      <c r="E19" s="123">
        <f>D19*0.19</f>
        <v>44650</v>
      </c>
      <c r="F19" s="120">
        <f>SUM(D19:E19)</f>
        <v>279650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59520</v>
      </c>
      <c r="E20" s="121">
        <f>D20*0.19</f>
        <v>11308.8</v>
      </c>
      <c r="F20" s="120">
        <f>SUM(D20:E20)</f>
        <v>70828.800000000003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294520</v>
      </c>
      <c r="E21" s="116">
        <f>SUM(E18:E20)</f>
        <v>55958.8</v>
      </c>
      <c r="F21" s="115">
        <f>SUM(F18:F20)</f>
        <v>350478.8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133374.29999999999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996490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294520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672135.90921256039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672135.90921256039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2025-01-29T19:22:31Z</cp:lastPrinted>
  <dcterms:created xsi:type="dcterms:W3CDTF">2013-03-18T13:35:42Z</dcterms:created>
  <dcterms:modified xsi:type="dcterms:W3CDTF">2025-01-29T19:23:30Z</dcterms:modified>
</cp:coreProperties>
</file>