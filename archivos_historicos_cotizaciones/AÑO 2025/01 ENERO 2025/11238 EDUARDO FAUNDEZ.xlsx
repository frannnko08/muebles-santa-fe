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4853A4B0-6C2F-4DC6-922C-63E5F8895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H22" i="1"/>
  <c r="L21" i="1"/>
  <c r="K32" i="1" l="1"/>
  <c r="K34" i="1"/>
  <c r="N21" i="1"/>
  <c r="K35" i="1" l="1"/>
  <c r="K36" i="1" s="1"/>
  <c r="K37" i="1" s="1"/>
  <c r="M21" i="1"/>
  <c r="M26" i="1" s="1"/>
  <c r="T21" i="1" l="1"/>
  <c r="T25" i="1" s="1"/>
  <c r="S27" i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<sst xmlns="http://schemas.openxmlformats.org/spreadsheetml/2006/main" count="231" uniqueCount="173">
  <si>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</si>
  <si>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</si>
  <si>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</si>
  <si>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</si>
  <si>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</si>
  <si>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</si>
  <si>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</si>
  <si>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</si>
  <si>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</si>
  <si>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</si>
  <si>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</si>
  <si>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</si>
  <si>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</si>
  <si>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</si>
  <si>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</si>
  <si>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</si>
  <si>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</si>
  <si>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</si>
  <si>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</si>
  <si>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</si>
  <si>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</si>
  <si>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</si>
  <si>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</si>
  <si>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</si>
  <si>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</si>
  <si>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</si>
  <si>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</si>
  <si>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</si>
  <si>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</si>
  <si>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</si>
  <si>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</si>
  <si>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</si>
  <si>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</si>
  <si>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</si>
  <si>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</si>
  <si>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</si>
  <si>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</si>
  <si>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</si>
  <si>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</si>
  <si>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</si>
  <si>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</si>
  <si>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</si>
  <si>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</si>
  <si>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</si>
  <si>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</si>
  <si>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</si>
  <si>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</si>
  <si>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</si>
  <si>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</si>
  <si>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</si>
  <si>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</si>
  <si>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</si>
  <si>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</si>
  <si>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</si>
  <si>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</si>
  <si>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</si>
  <si>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</si>
  <si>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</si>
  <si>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</si>
  <si>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</si>
  <si>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</si>
  <si>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</si>
  <si>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</si>
  <si>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</si>
  <si>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</si>
  <si>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</si>
  <si>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</si>
  <si>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</si>
  <si>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</si>
  <si>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</si>
  <si>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</si>
  <si>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</si>
  <si>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</si>
  <si>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</si>
  <si>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</si>
  <si>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</si>
  <si>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</si>
  <si>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</si>
  <si>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</si>
  <si>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</si>
  <si>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</si>
  <si>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</si>
  <si>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</si>
  <si>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</si>
  <si>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</si>
  <si>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</si>
  <si>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</si>
  <si>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</si>
  <si>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</si>
  <si>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</si>
  <si>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</si>
  <si>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</si>
  <si>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</si>
  <si>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</si>
  <si>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</si>
  <si>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</si>
  <si>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</si>
  <si>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</si>
  <si>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</si>
  <si>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</si>
  <si>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</si>
  <si>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</si>
  <si>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</si>
  <si>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</si>
  <si>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</si>
  <si>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</si>
  <si>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</si>
  <si>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</si>
  <si>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</si>
  <si>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</si>
  <si>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</si>
  <si>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</si>
  <si>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</si>
  <si>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</si>
  <si>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</si>
  <si>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</si>
  <si>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</si>
  <si>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</si>
  <si>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</si>
  <si>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</si>
  <si>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</si>
  <si>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</si>
  <si>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</si>
  <si>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</si>
  <si>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</si>
  <si>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</si>
  <si>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</si>
  <si>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</si>
  <si>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</si>
  <si>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</si>
  <si>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</si>
  <si>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</si>
  <si>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</si>
  <si>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</si>
  <si>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</si>
  <si>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</si>
  <si>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</si>
  <si>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</si>
  <si>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</si>
  <si>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</si>
  <si>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</si>
  <si>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</si>
  <si>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</si>
  <si>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</si>
  <si>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</si>
  <si>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</si>
  <si>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</si>
  <si>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</si>
  <si>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</si>
  <si>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</si>
  <si>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</si>
  <si>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</si>
  <si>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</si>
  <si>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</si>
  <si>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</si>
  <si>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</si>
  <si>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</si>
  <si>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</si>
  <si>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</si>
  <si>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</si>
  <si>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</si>
  <si>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</si>
  <si>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</si>
  <si>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</si>
  <si>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</si>
  <si>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</si>
  <si>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</si>
  <si>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11238</t>
  </si>
  <si>
    <t>EDUARDO FAUNDEZ</t>
  </si>
  <si>
    <t>+569 5003 4840</t>
  </si>
  <si>
    <t>5 DIAS HABILES</t>
  </si>
  <si>
    <t>CUB CON RESPALDO Y FRENTE 90°</t>
  </si>
  <si>
    <t>ALMENDRA 920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</si>
</sst>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J18" sqref="J18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45664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97336.825295432762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1">
        <v>3.2</v>
      </c>
      <c r="E21" s="331">
        <v>0.6</v>
      </c>
      <c r="F21" s="330" t="s">
        <v>172</v>
      </c>
      <c r="G21" s="332">
        <v>197323</v>
      </c>
      <c r="H21" s="332">
        <f>G21*B21</f>
        <v>197323</v>
      </c>
      <c r="I21" s="320"/>
      <c r="J21" s="265"/>
      <c r="K21" s="47"/>
      <c r="L21" s="333">
        <f>B21</f>
        <v>1</v>
      </c>
      <c r="M21" s="39">
        <f>D21+M$19</f>
        <v>3.22</v>
      </c>
      <c r="N21" s="39">
        <f>E21+$N$19</f>
        <v>0.62</v>
      </c>
      <c r="O21" s="261">
        <f t="shared" ref="O21" si="1">M21*N21</f>
        <v>1.9964000000000002</v>
      </c>
      <c r="P21" s="259">
        <f t="shared" ref="P21" si="2">O21*L21</f>
        <v>1.9964000000000002</v>
      </c>
      <c r="Q21" s="252">
        <f t="shared" ref="Q21" si="3">Q$20*O21</f>
        <v>194323.238019802</v>
      </c>
      <c r="R21" s="319">
        <f t="shared" ref="R21" si="4">Q21+R$20</f>
        <v>197323.238019802</v>
      </c>
      <c r="S21" s="297"/>
      <c r="T21" s="46">
        <f>N21*2*L21*2</f>
        <v>2.48</v>
      </c>
      <c r="U21" s="9"/>
      <c r="X21" s="4"/>
    </row>
    <row r="22" spans="1:25" ht="17.399999999999999" x14ac:dyDescent="0.3">
      <c r="B22" s="330">
        <v>1</v>
      </c>
      <c r="C22" s="330" t="s">
        <v>171</v>
      </c>
      <c r="D22" s="331">
        <v>0.8</v>
      </c>
      <c r="E22" s="331">
        <v>0.6</v>
      </c>
      <c r="F22" s="330" t="s">
        <v>172</v>
      </c>
      <c r="G22" s="332">
        <v>52486</v>
      </c>
      <c r="H22" s="332">
        <f>G22*B22</f>
        <v>52486</v>
      </c>
      <c r="I22" s="320"/>
      <c r="J22" s="265"/>
      <c r="K22" s="47"/>
      <c r="L22" s="333">
        <f>B22</f>
        <v>1</v>
      </c>
      <c r="M22" s="39">
        <f>D22+M$19</f>
        <v>0.82000000000000006</v>
      </c>
      <c r="N22" s="39">
        <f>E22+$N$19</f>
        <v>0.62</v>
      </c>
      <c r="O22" s="261">
        <f t="shared" ref="O22" si="5">M22*N22</f>
        <v>0.50840000000000007</v>
      </c>
      <c r="P22" s="259">
        <f t="shared" ref="P22" si="6">O22*L22</f>
        <v>0.50840000000000007</v>
      </c>
      <c r="Q22" s="252">
        <f t="shared" ref="Q22" si="7">Q$20*O22</f>
        <v>49486.041980198024</v>
      </c>
      <c r="R22" s="319">
        <f t="shared" ref="R22" si="8">Q22+R$20</f>
        <v>52486.041980198024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249809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47463.71</v>
      </c>
      <c r="I26" s="322"/>
      <c r="J26" s="265"/>
      <c r="K26" s="47"/>
      <c r="L26" s="47"/>
      <c r="M26" s="39">
        <f>SUM(M21:M25)</f>
        <v>4.04</v>
      </c>
      <c r="N26" s="12"/>
      <c r="O26" s="12"/>
      <c r="P26" s="253">
        <f>SUM(P21:P24)</f>
        <v>2.5048000000000004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297272.71000000002</v>
      </c>
      <c r="I27" s="322"/>
      <c r="J27" s="265"/>
      <c r="K27" s="47"/>
      <c r="L27" s="47"/>
      <c r="M27" s="39"/>
      <c r="N27" s="12"/>
      <c r="O27" s="12"/>
      <c r="P27" s="253">
        <f>P26</f>
        <v>2.5048000000000004</v>
      </c>
      <c r="Q27" s="14"/>
      <c r="R27" s="12"/>
      <c r="S27" s="239">
        <f>SUM(S21:S26)</f>
        <v>0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0.50096000000000007</v>
      </c>
      <c r="Q28" s="39" t="s">
        <v>130</v>
      </c>
      <c r="R28" s="42"/>
      <c r="S28" s="240">
        <f>S27+T25</f>
        <v>2.48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3.0057600000000004</v>
      </c>
      <c r="Q29" s="14"/>
      <c r="R29" s="14"/>
      <c r="S29" s="238">
        <f>S28*20%</f>
        <v>0.496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2.976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P29*2.5</f>
        <v>7.5144000000000011</v>
      </c>
      <c r="N31" s="12">
        <v>3500</v>
      </c>
      <c r="O31" s="12">
        <f t="shared" ref="O31:O36" si="9">M31*N31</f>
        <v>26300.400000000005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1</v>
      </c>
      <c r="N32" s="12">
        <v>25000</v>
      </c>
      <c r="O32" s="12">
        <f t="shared" si="9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>
        <v>1</v>
      </c>
      <c r="N33" s="250">
        <v>53462</v>
      </c>
      <c r="O33" s="12">
        <f t="shared" si="9"/>
        <v>53462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74259.569999999992</v>
      </c>
      <c r="L34" s="250"/>
      <c r="M34" s="14"/>
      <c r="N34" s="250">
        <v>62403</v>
      </c>
      <c r="O34" s="12">
        <f t="shared" si="9"/>
        <v>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102224.56999999999</v>
      </c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85903</v>
      </c>
      <c r="L36" s="250"/>
      <c r="M36" s="266">
        <v>4.04</v>
      </c>
      <c r="N36" s="12">
        <v>1500</v>
      </c>
      <c r="O36" s="12">
        <f t="shared" si="9"/>
        <v>6060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16321.569999999992</v>
      </c>
      <c r="L37" s="250"/>
      <c r="M37" s="14"/>
      <c r="N37" s="12"/>
      <c r="O37" s="12">
        <f>SUM(O31:O36)</f>
        <v>110822.40000000001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243809.28000000003</v>
      </c>
      <c r="P38" s="14" t="s">
        <v>140</v>
      </c>
      <c r="Q38" s="14"/>
      <c r="R38" s="40">
        <f>P29/R37</f>
        <v>0.8104400345125109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63620</v>
      </c>
      <c r="L39" s="250"/>
      <c r="M39" s="14"/>
      <c r="N39" s="12"/>
      <c r="O39" s="12">
        <f>O38/P27</f>
        <v>97336.825295432762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53462.184873949584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45664</v>
      </c>
    </row>
    <row r="6" spans="2:31" ht="16.2" thickBot="1" x14ac:dyDescent="0.35">
      <c r="B6" s="140" t="s">
        <v>2</v>
      </c>
      <c r="C6" s="139" t="str">
        <f>'2229'!C10</f>
        <v>EDUARDO FAUNDEZ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-4620.798366787436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249809</v>
      </c>
      <c r="E11" s="132">
        <f>D11*0.19</f>
        <v>47463.71</v>
      </c>
      <c r="F11" s="131">
        <f>E11+D11</f>
        <v>297272.71000000002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101369.20163321256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134596.49078743963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83369.201633212564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115212.50921256037</v>
      </c>
      <c r="E13" s="221">
        <f>(D11/D12)-1</f>
        <v>0.85598449512705899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74369.201633212564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35369.201633212564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222084.20979927538</v>
      </c>
      <c r="F15" s="216">
        <f>E15-D12</f>
        <v>87487.719011835754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35369.201633212564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75369.201633212564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53462</v>
      </c>
      <c r="E18" s="123">
        <f>D18*0.19</f>
        <v>10157.780000000001</v>
      </c>
      <c r="F18" s="120">
        <f>SUM(D18:E18)</f>
        <v>63619.78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26300.400000000005</v>
      </c>
      <c r="E20" s="121">
        <f>D20*0.19</f>
        <v>4997.0760000000009</v>
      </c>
      <c r="F20" s="120">
        <f>SUM(D20:E20)</f>
        <v>31297.476000000006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104762.40000000001</v>
      </c>
      <c r="E21" s="116">
        <f>SUM(E18:E20)</f>
        <v>19904.856</v>
      </c>
      <c r="F21" s="115">
        <f>SUM(F18:F20)</f>
        <v>124667.25600000001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27558.853999999999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249809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104762.40000000001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115212.50921256037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115212.50921256037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2025-01-07T21:12:44Z</dcterms:modified>
</cp:coreProperties>
</file>