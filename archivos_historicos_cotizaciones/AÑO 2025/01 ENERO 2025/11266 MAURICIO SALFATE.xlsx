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47BDC286-E064-4A9C-BA14-F20CFB14D3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5" i="1" s="1"/>
  <c r="S21" i="1" l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l="1"/>
  <c r="H25" i="1" s="1"/>
  <c r="H26" i="1" s="1"/>
  <c r="D11" i="3" l="1"/>
  <c r="X9" i="3" s="1"/>
  <c r="X15" i="3" s="1"/>
  <c r="E11" i="3" l="1"/>
  <c r="D40" i="3" s="1"/>
  <c r="X14" i="3"/>
  <c r="M42" i="3"/>
  <c r="M46" i="3" s="1"/>
  <c r="M49" i="3" s="1"/>
  <c r="X11" i="3"/>
  <c r="X12" i="3"/>
  <c r="E13" i="3"/>
  <c r="D13" i="3"/>
  <c r="X13" i="3"/>
  <c r="X16" i="3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<sst xmlns="http://schemas.openxmlformats.org/spreadsheetml/2006/main" count="231" uniqueCount="175">
  <si>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</si>
  <si>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</si>
  <si>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</si>
  <si>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</si>
  <si>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</si>
  <si>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</si>
  <si>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</si>
  <si>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</si>
  <si>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</si>
  <si>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</si>
  <si>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</si>
  <si>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</si>
  <si>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</si>
  <si>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</si>
  <si>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</si>
  <si>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</si>
  <si>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</si>
  <si>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</si>
  <si>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</si>
  <si>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</si>
  <si>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</si>
  <si>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</si>
  <si>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</si>
  <si>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</si>
  <si>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</si>
  <si>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</si>
  <si>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</si>
  <si>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</si>
  <si>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</si>
  <si>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</si>
  <si>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</si>
  <si>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</si>
  <si>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</si>
  <si>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</si>
  <si>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</si>
  <si>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</si>
  <si>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</si>
  <si>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</si>
  <si>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</si>
  <si>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</si>
  <si>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</si>
  <si>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</si>
  <si>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</si>
  <si>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</si>
  <si>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</si>
  <si>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</si>
  <si>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</si>
  <si>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</si>
  <si>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</si>
  <si>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</si>
  <si>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</si>
  <si>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</si>
  <si>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</si>
  <si>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</si>
  <si>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</si>
  <si>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</si>
  <si>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</si>
  <si>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</si>
  <si>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</si>
  <si>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</si>
  <si>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</si>
  <si>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</si>
  <si>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</si>
  <si>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</si>
  <si>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</si>
  <si>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</si>
  <si>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</si>
  <si>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</si>
  <si>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</si>
  <si>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</si>
  <si>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</si>
  <si>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</si>
  <si>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</si>
  <si>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</si>
  <si>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</si>
  <si>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</si>
  <si>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</si>
  <si>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</si>
  <si>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</si>
  <si>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</si>
  <si>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</si>
  <si>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</si>
  <si>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</si>
  <si>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</si>
  <si>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</si>
  <si>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</si>
  <si>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</si>
  <si>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</si>
  <si>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</si>
  <si>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</si>
  <si>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</si>
  <si>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</si>
  <si>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</si>
  <si>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</si>
  <si>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</si>
  <si>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</si>
  <si>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</si>
  <si>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</si>
  <si>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</si>
  <si>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</si>
  <si>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</si>
  <si>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</si>
  <si>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</si>
  <si>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</si>
  <si>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</si>
  <si>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</si>
  <si>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</si>
  <si>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</si>
  <si>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</si>
  <si>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</si>
  <si>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</si>
  <si>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</si>
  <si>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</si>
  <si>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</si>
  <si>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</si>
  <si>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</si>
  <si>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</si>
  <si>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</si>
  <si>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</si>
  <si>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</si>
  <si>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</si>
  <si>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</si>
  <si>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</si>
  <si>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</si>
  <si>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</si>
  <si>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</si>
  <si>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</si>
  <si>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</si>
  <si>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</si>
  <si>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</si>
  <si>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</si>
  <si>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</si>
  <si>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</si>
  <si>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</si>
  <si>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</si>
  <si>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</si>
  <si>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</si>
  <si>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</si>
  <si>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</si>
  <si>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</si>
  <si>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</si>
  <si>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</si>
  <si>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</si>
  <si>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</si>
  <si>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</si>
  <si>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</si>
  <si>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</si>
  <si>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</si>
  <si>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</si>
  <si>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</si>
  <si>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</si>
  <si>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</si>
  <si>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</si>
  <si>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</si>
  <si>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</si>
  <si>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</si>
  <si>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</si>
  <si>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</si>
  <si>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</si>
  <si>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</si>
  <si>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</si>
  <si>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</si>
  <si>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</si>
  <si>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</si>
  <si>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</si>
  <si>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BALANCE</t>
  </si>
  <si>
    <t>LAMINA 153X366</t>
  </si>
  <si>
    <t>alternativa 2</t>
  </si>
  <si>
    <t>19 de 153x366</t>
  </si>
  <si>
    <t>10 DIAS HABILES</t>
  </si>
  <si>
    <t>N° 11266</t>
  </si>
  <si>
    <t>MAURICIO SALFATE</t>
  </si>
  <si>
    <t>+569 3379 2496</t>
  </si>
  <si>
    <t>CUB C/R 90° R8</t>
  </si>
  <si>
    <t>DOVE GREY 22079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</si>
</sst>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171</v>
      </c>
      <c r="D10" s="243"/>
      <c r="E10" s="243"/>
      <c r="F10" s="244" t="s">
        <v>0</v>
      </c>
      <c r="G10" s="276">
        <v>45681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172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1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O38</f>
        <v>78760.877192982458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30">
        <v>1</v>
      </c>
      <c r="C21" s="330" t="s">
        <v>173</v>
      </c>
      <c r="D21" s="332">
        <v>2</v>
      </c>
      <c r="E21" s="332">
        <v>0.56999999999999995</v>
      </c>
      <c r="F21" s="330" t="s">
        <v>174</v>
      </c>
      <c r="G21" s="331">
        <v>96379</v>
      </c>
      <c r="H21" s="331">
        <f>G21*B21</f>
        <v>96379</v>
      </c>
      <c r="I21" s="320"/>
      <c r="J21" s="265"/>
      <c r="K21" s="47"/>
      <c r="L21" s="47">
        <f>B21</f>
        <v>1</v>
      </c>
      <c r="M21" s="39">
        <f>D21+M$19</f>
        <v>2.08</v>
      </c>
      <c r="N21" s="39">
        <f>E21+$N$19</f>
        <v>0.56999999999999995</v>
      </c>
      <c r="O21" s="261">
        <f t="shared" ref="O21" si="1">M21*N21</f>
        <v>1.1856</v>
      </c>
      <c r="P21" s="259">
        <f t="shared" ref="P21" si="2">O21*L21</f>
        <v>1.1856</v>
      </c>
      <c r="Q21" s="252">
        <f t="shared" ref="Q21" si="3">Q$20*O21</f>
        <v>93378.896000000008</v>
      </c>
      <c r="R21" s="319">
        <f t="shared" ref="R21" si="4">Q21+R$20</f>
        <v>96378.896000000008</v>
      </c>
      <c r="S21" s="297">
        <f t="shared" ref="S21" si="5">L21*M21*2</f>
        <v>4.16</v>
      </c>
      <c r="T21" s="46">
        <f>N21*2*L21*2</f>
        <v>2.2799999999999998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96379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2.2799999999999998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50</v>
      </c>
      <c r="H25" s="294">
        <f>H24*19%</f>
        <v>18312.009999999998</v>
      </c>
      <c r="I25" s="322"/>
      <c r="J25" s="265"/>
      <c r="K25" s="47"/>
      <c r="L25" s="47"/>
      <c r="M25" s="39">
        <f>SUM(M21:M24)</f>
        <v>2.08</v>
      </c>
      <c r="N25" s="12"/>
      <c r="O25" s="12"/>
      <c r="P25" s="253">
        <f>SUM(P21:P23)</f>
        <v>1.1856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114691.01</v>
      </c>
      <c r="I26" s="322"/>
      <c r="J26" s="265"/>
      <c r="K26" s="47"/>
      <c r="L26" s="47"/>
      <c r="M26" s="39"/>
      <c r="N26" s="12"/>
      <c r="O26" s="12"/>
      <c r="P26" s="253">
        <f>P25</f>
        <v>1.1856</v>
      </c>
      <c r="Q26" s="14"/>
      <c r="R26" s="12"/>
      <c r="S26" s="239">
        <f>SUM(S21:S25)</f>
        <v>4.16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0.23712</v>
      </c>
      <c r="Q27" s="39" t="s">
        <v>129</v>
      </c>
      <c r="R27" s="42"/>
      <c r="S27" s="240">
        <f>S26+T24</f>
        <v>6.4399999999999995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1.42272</v>
      </c>
      <c r="Q28" s="14"/>
      <c r="R28" s="14"/>
      <c r="S28" s="238">
        <f>S27*20%</f>
        <v>1.288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7.7279999999999998</v>
      </c>
      <c r="T29" s="14"/>
      <c r="U29" s="302" t="s">
        <v>21</v>
      </c>
      <c r="V29" s="299" t="s">
        <v>150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1.42272</v>
      </c>
      <c r="N30" s="12">
        <v>3500</v>
      </c>
      <c r="O30" s="12">
        <f t="shared" ref="O30:O32" si="6">M30*N30</f>
        <v>4979.5199999999995</v>
      </c>
      <c r="P30" s="14" t="s">
        <v>21</v>
      </c>
      <c r="Q30" s="14"/>
      <c r="R30" s="14"/>
      <c r="S30" s="241"/>
      <c r="T30" s="14"/>
      <c r="U30" s="302" t="s">
        <v>151</v>
      </c>
      <c r="V30" s="299">
        <v>3625</v>
      </c>
      <c r="W30" s="59" t="s">
        <v>152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0.3</v>
      </c>
      <c r="N31" s="12">
        <v>25000</v>
      </c>
      <c r="O31" s="12">
        <f t="shared" si="6"/>
        <v>7500</v>
      </c>
      <c r="P31" s="39" t="s">
        <v>30</v>
      </c>
      <c r="Q31" s="42"/>
      <c r="R31" s="14"/>
      <c r="S31" s="240"/>
      <c r="T31" s="14"/>
      <c r="U31" s="302"/>
      <c r="V31" s="59">
        <v>906.25</v>
      </c>
      <c r="W31" s="59" t="s">
        <v>153</v>
      </c>
      <c r="X31" s="304"/>
    </row>
    <row r="32" spans="1:25" s="230" customFormat="1" ht="17.399999999999999" x14ac:dyDescent="0.35">
      <c r="B32" s="24" t="s">
        <v>149</v>
      </c>
      <c r="J32" s="262"/>
      <c r="K32" s="232"/>
      <c r="L32" s="250"/>
      <c r="M32" s="14"/>
      <c r="N32" s="250">
        <v>15041</v>
      </c>
      <c r="O32" s="12">
        <f t="shared" si="6"/>
        <v>0</v>
      </c>
      <c r="P32" s="39" t="s">
        <v>165</v>
      </c>
      <c r="Q32" s="42"/>
      <c r="S32" s="240"/>
      <c r="T32" s="256"/>
      <c r="U32" s="59"/>
      <c r="V32" s="59">
        <f>V31*20%</f>
        <v>181.25</v>
      </c>
      <c r="W32" s="304" t="s">
        <v>154</v>
      </c>
      <c r="X32" s="59"/>
    </row>
    <row r="33" spans="2:24" s="230" customFormat="1" ht="17.399999999999999" x14ac:dyDescent="0.35">
      <c r="B33" s="24" t="s">
        <v>142</v>
      </c>
      <c r="C33"/>
      <c r="D33"/>
      <c r="E33"/>
      <c r="F33"/>
      <c r="J33" s="262"/>
      <c r="K33" s="232"/>
      <c r="L33" s="250"/>
      <c r="M33" s="14">
        <v>1</v>
      </c>
      <c r="N33" s="250">
        <v>25000</v>
      </c>
      <c r="O33" s="12">
        <f>M33*N33</f>
        <v>25000</v>
      </c>
      <c r="P33" s="14" t="s">
        <v>166</v>
      </c>
      <c r="S33" s="238"/>
      <c r="T33" s="256"/>
      <c r="U33" s="59"/>
      <c r="V33" s="59">
        <f>V31+V32</f>
        <v>1087.5</v>
      </c>
      <c r="W33" s="304" t="s">
        <v>155</v>
      </c>
      <c r="X33" s="59"/>
    </row>
    <row r="34" spans="2:24" s="230" customFormat="1" ht="17.399999999999999" x14ac:dyDescent="0.35">
      <c r="B34" s="29" t="s">
        <v>124</v>
      </c>
      <c r="C34"/>
      <c r="D34"/>
      <c r="E34"/>
      <c r="F34" s="229" t="s">
        <v>15</v>
      </c>
      <c r="I34" s="230" t="s">
        <v>167</v>
      </c>
      <c r="J34" s="262"/>
      <c r="K34" s="260"/>
      <c r="L34" s="250"/>
      <c r="M34" s="249"/>
      <c r="N34" s="250">
        <v>900</v>
      </c>
      <c r="O34" s="12">
        <f>M34*N34</f>
        <v>0</v>
      </c>
      <c r="P34" s="14" t="s">
        <v>31</v>
      </c>
      <c r="Q34" s="17"/>
      <c r="R34" s="230">
        <v>2.12</v>
      </c>
      <c r="S34" s="238"/>
      <c r="T34" s="238"/>
    </row>
    <row r="35" spans="2:24" s="230" customFormat="1" ht="17.399999999999999" x14ac:dyDescent="0.35">
      <c r="I35" s="230" t="s">
        <v>168</v>
      </c>
      <c r="J35" s="293"/>
      <c r="K35" s="260"/>
      <c r="L35" s="250"/>
      <c r="M35" s="266">
        <v>2.08</v>
      </c>
      <c r="N35" s="12">
        <v>1500</v>
      </c>
      <c r="O35" s="12">
        <f>M35*N35</f>
        <v>3120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40599.520000000004</v>
      </c>
      <c r="P36" s="39" t="s">
        <v>23</v>
      </c>
      <c r="Q36" s="14"/>
      <c r="R36">
        <f>R34*R35</f>
        <v>5.1728000000000005</v>
      </c>
      <c r="S36"/>
      <c r="T36" s="238"/>
      <c r="X36" s="231"/>
    </row>
    <row r="37" spans="2:24" s="230" customFormat="1" ht="17.399999999999999" x14ac:dyDescent="0.35">
      <c r="L37" s="250"/>
      <c r="M37" s="254" t="s">
        <v>32</v>
      </c>
      <c r="N37" s="12"/>
      <c r="O37" s="255">
        <f>O36*2.3</f>
        <v>93378.896000000008</v>
      </c>
      <c r="P37" s="14" t="s">
        <v>139</v>
      </c>
      <c r="Q37" s="14"/>
      <c r="R37" s="40">
        <f>P28/R36</f>
        <v>0.2750386637797711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74260</v>
      </c>
      <c r="L38" s="250"/>
      <c r="M38" s="14"/>
      <c r="N38" s="12"/>
      <c r="O38" s="12">
        <f>O37/P26</f>
        <v>78760.877192982458</v>
      </c>
      <c r="P38" s="45" t="s">
        <v>24</v>
      </c>
      <c r="Q38" s="14"/>
      <c r="R38" s="14"/>
      <c r="S38"/>
      <c r="T38" s="238"/>
      <c r="U38" s="59" t="s">
        <v>156</v>
      </c>
      <c r="V38" s="299">
        <v>43650</v>
      </c>
    </row>
    <row r="39" spans="2:24" s="230" customFormat="1" ht="17.399999999999999" x14ac:dyDescent="0.35">
      <c r="G39"/>
      <c r="K39" s="230">
        <f>K38/1.19</f>
        <v>62403.361344537821</v>
      </c>
      <c r="L39" s="250"/>
      <c r="M39" s="13"/>
      <c r="N39" s="14"/>
      <c r="O39" s="17">
        <f>O37/O36</f>
        <v>2.2999999999999998</v>
      </c>
      <c r="P39" s="15"/>
      <c r="Q39" s="14"/>
      <c r="R39"/>
      <c r="S39"/>
      <c r="T39" s="238"/>
      <c r="U39" s="59" t="s">
        <v>158</v>
      </c>
      <c r="V39" s="300" t="s">
        <v>157</v>
      </c>
      <c r="W39" s="59">
        <v>2.4</v>
      </c>
    </row>
    <row r="40" spans="2:24" s="230" customFormat="1" ht="17.399999999999999" x14ac:dyDescent="0.35">
      <c r="G40" s="23"/>
      <c r="L40" s="12"/>
      <c r="Q40"/>
      <c r="T40" s="238"/>
      <c r="U40" s="59" t="s">
        <v>159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154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146</v>
      </c>
    </row>
    <row r="74" spans="3:15" x14ac:dyDescent="0.3">
      <c r="C74" t="s">
        <v>145</v>
      </c>
    </row>
    <row r="77" spans="3:15" x14ac:dyDescent="0.3">
      <c r="C77" t="s">
        <v>145</v>
      </c>
    </row>
    <row r="154" spans="3:3" x14ac:dyDescent="0.3">
      <c r="C154" t="s">
        <v>145</v>
      </c>
    </row>
    <row r="155" spans="3:3" x14ac:dyDescent="0.3">
      <c r="C155" t="s">
        <v>147</v>
      </c>
    </row>
    <row r="156" spans="3:3" x14ac:dyDescent="0.3">
      <c r="C156" t="s">
        <v>148</v>
      </c>
    </row>
    <row r="581" spans="3:3" x14ac:dyDescent="0.3">
      <c r="C581" t="s">
        <v>145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45681</v>
      </c>
    </row>
    <row r="6" spans="2:31" ht="16.2" thickBot="1" x14ac:dyDescent="0.35">
      <c r="B6" s="140" t="s">
        <v>2</v>
      </c>
      <c r="C6" s="139" t="str">
        <f>'2229'!C10</f>
        <v>MAURICIO SALFATE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11266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-4426.9237001207757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'2229'!H24</f>
        <v>96379</v>
      </c>
      <c r="E11" s="132">
        <f>D11*0.19</f>
        <v>18312.009999999998</v>
      </c>
      <c r="F11" s="131">
        <f>E11+D11</f>
        <v>114691.01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101563.07629987922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42313.610787439611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83563.07629987922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54065.389212560389</v>
      </c>
      <c r="E13" s="221">
        <f>(D11/D12)-1</f>
        <v>1.2777304561446026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74563.07629987922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35563.076299879227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69817.457799275347</v>
      </c>
      <c r="F15" s="216">
        <f>E15-D12</f>
        <v>27503.847011835736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35563.076299879227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75563.07629987922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'2229'!O31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4979.5199999999995</v>
      </c>
      <c r="E20" s="121">
        <f>D20*0.19</f>
        <v>946.10879999999997</v>
      </c>
      <c r="F20" s="120">
        <f>SUM(D20:E20)</f>
        <v>5925.6287999999995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12479.52</v>
      </c>
      <c r="E21" s="116">
        <f>SUM(E18:E20)</f>
        <v>2371.1088</v>
      </c>
      <c r="F21" s="115">
        <f>SUM(F18:F20)</f>
        <v>14850.628799999999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15940.901199999998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96379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12479.52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54065.389212560389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54065.389212560389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2025-01-03T15:29:49Z</cp:lastPrinted>
  <dcterms:created xsi:type="dcterms:W3CDTF">2013-03-18T13:35:42Z</dcterms:created>
  <dcterms:modified xsi:type="dcterms:W3CDTF">2025-01-24T20:12:35Z</dcterms:modified>
</cp:coreProperties>
</file>