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912B0A9E-A927-469C-8325-B2686A92D3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I46" i="1"/>
  <c r="J30" i="1"/>
  <c r="J35" i="1"/>
  <c r="J36" i="1" s="1"/>
  <c r="N33" i="1"/>
  <c r="N32" i="1" l="1"/>
  <c r="N34" i="1"/>
  <c r="N35" i="1"/>
  <c r="J39" i="1" l="1"/>
  <c r="L21" i="1"/>
  <c r="L24" i="1" s="1"/>
  <c r="M21" i="1"/>
  <c r="S21" i="1" l="1"/>
  <c r="S24" i="1" s="1"/>
  <c r="S25" i="1" s="1"/>
  <c r="S26" i="1" s="1"/>
  <c r="R21" i="1"/>
  <c r="R26" i="1" s="1"/>
  <c r="N21" i="1"/>
  <c r="O21" i="1" s="1"/>
  <c r="O25" i="1" s="1"/>
  <c r="U32" i="1"/>
  <c r="U33" i="1" s="1"/>
  <c r="N31" i="1" l="1"/>
  <c r="O26" i="1" l="1"/>
  <c r="O27" i="1" s="1"/>
  <c r="O28" i="1" s="1"/>
  <c r="M20" i="1"/>
  <c r="K20" i="1"/>
  <c r="Q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0" i="1" l="1"/>
  <c r="N36" i="1" s="1"/>
  <c r="N37" i="1" s="1"/>
  <c r="Q37" i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E15" i="3"/>
  <c r="P21" i="1" l="1"/>
  <c r="F15" i="3"/>
  <c r="Q21" i="1" l="1"/>
  <c r="H21" i="1" l="1"/>
  <c r="H24" i="1" s="1"/>
  <c r="H25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<sst xmlns="http://schemas.openxmlformats.org/spreadsheetml/2006/main" count="233" uniqueCount="178">
  <si>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</si>
  <si>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</si>
  <si>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</si>
  <si>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</si>
  <si>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</si>
  <si>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</si>
  <si>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</si>
  <si>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</si>
  <si>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</si>
  <si>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</si>
  <si>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</si>
  <si>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</si>
  <si>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</si>
  <si>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</si>
  <si>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</si>
  <si>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</si>
  <si>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</si>
  <si>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</si>
  <si>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</si>
  <si>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</si>
  <si>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</si>
  <si>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</si>
  <si>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</si>
  <si>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</si>
  <si>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</si>
  <si>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</si>
  <si>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</si>
  <si>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</si>
  <si>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</si>
  <si>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</si>
  <si>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</si>
  <si>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</si>
  <si>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</si>
  <si>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</si>
  <si>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</si>
  <si>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</si>
  <si>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</si>
  <si>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</si>
  <si>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</si>
  <si>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</si>
  <si>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</si>
  <si>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</si>
  <si>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</si>
  <si>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</si>
  <si>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</si>
  <si>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</si>
  <si>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</si>
  <si>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</si>
  <si>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</si>
  <si>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</si>
  <si>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</si>
  <si>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</si>
  <si>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</si>
  <si>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</si>
  <si>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</si>
  <si>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</si>
  <si>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</si>
  <si>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</si>
  <si>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</si>
  <si>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</si>
  <si>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</si>
  <si>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</si>
  <si>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</si>
  <si>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</si>
  <si>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</si>
  <si>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</si>
  <si>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</si>
  <si>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</si>
  <si>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</si>
  <si>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</si>
  <si>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</si>
  <si>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</si>
  <si>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</si>
  <si>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</si>
  <si>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</si>
  <si>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</si>
  <si>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</si>
  <si>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</si>
  <si>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</si>
  <si>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</si>
  <si>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</si>
  <si>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</si>
  <si>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</si>
  <si>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</si>
  <si>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</si>
  <si>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</si>
  <si>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</si>
  <si>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</si>
  <si>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</si>
  <si>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</si>
  <si>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</si>
  <si>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</si>
  <si>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</si>
  <si>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</si>
  <si>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</si>
  <si>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</si>
  <si>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</si>
  <si>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</si>
  <si>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</si>
  <si>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</si>
  <si>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</si>
  <si>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</si>
  <si>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</si>
  <si>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</si>
  <si>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</si>
  <si>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</si>
  <si>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</si>
  <si>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</si>
  <si>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</si>
  <si>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</si>
  <si>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</si>
  <si>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</si>
  <si>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</si>
  <si>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</si>
  <si>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</si>
  <si>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</si>
  <si>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</si>
  <si>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</si>
  <si>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</si>
  <si>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</si>
  <si>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</si>
  <si>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</si>
  <si>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</si>
  <si>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</si>
  <si>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</si>
  <si>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</si>
  <si>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</si>
  <si>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</si>
  <si>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</si>
  <si>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</si>
  <si>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</si>
  <si>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</si>
  <si>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</si>
  <si>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</si>
  <si>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</si>
  <si>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</si>
  <si>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</si>
  <si>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</si>
  <si>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</si>
  <si>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</si>
  <si>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</si>
  <si>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</si>
  <si>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</si>
  <si>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</si>
  <si>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</si>
  <si>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</si>
  <si>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</si>
  <si>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</si>
  <si>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</si>
  <si>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</si>
  <si>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</si>
  <si>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</si>
  <si>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</si>
  <si>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</si>
  <si>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</si>
  <si>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</si>
  <si>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</si>
  <si>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</si>
  <si>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</si>
  <si>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</si>
  <si>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</si>
  <si>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</si>
  <si>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</si>
  <si>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</si>
  <si>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</si>
  <si>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</si>
  <si>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</si>
  <si>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GRIS NUBE</t>
  </si>
  <si>
    <t>KING</t>
  </si>
  <si>
    <t>MDF 3MM</t>
  </si>
  <si>
    <t>152X244</t>
  </si>
  <si>
    <t>LAMINA BALANCE</t>
  </si>
  <si>
    <t>N° 11243</t>
  </si>
  <si>
    <t>ANDREA GOMEZ</t>
  </si>
  <si>
    <t>CUB C/R R6</t>
  </si>
  <si>
    <t>GRIS NUBE 2189 MT</t>
  </si>
  <si>
    <t>+569 9220 8443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</si>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</sst>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22</xdr:row>
      <xdr:rowOff>206170</xdr:rowOff>
    </xdr:from>
    <xdr:to>
      <xdr:col>5</xdr:col>
      <xdr:colOff>1643259</xdr:colOff>
      <xdr:row>26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SE</a:t>
          </a:r>
          <a:r>
            <a:rPr lang="es-CL" sz="1200" b="1" baseline="0"/>
            <a:t> ENTREGA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zoomScale="93" zoomScaleNormal="93" workbookViewId="0">
      <selection activeCell="G16" sqref="G16"/>
    </sheetView>
  </sheetViews>
  <sheetFormatPr baseColWidth="10" defaultRowHeight="14.4" x14ac:dyDescent="0.3"/>
  <cols>
    <col min="1" max="1" width="6" customWidth="1"/>
    <col min="2" max="2" width="10.5546875" customWidth="1"/>
    <col min="3" max="3" width="48.7773437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173</v>
      </c>
      <c r="D10" s="243"/>
      <c r="E10" s="243"/>
      <c r="F10" s="244" t="s">
        <v>0</v>
      </c>
      <c r="G10" s="277">
        <v>45666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177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176</v>
      </c>
      <c r="D15" s="316"/>
      <c r="F15" t="s">
        <v>135</v>
      </c>
      <c r="G15" s="314" t="s">
        <v>166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2" t="s">
        <v>164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147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87031.286727456943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1</v>
      </c>
      <c r="C21" s="326" t="s">
        <v>174</v>
      </c>
      <c r="D21" s="327">
        <v>3.24</v>
      </c>
      <c r="E21" s="327">
        <v>0.6</v>
      </c>
      <c r="F21" s="326" t="s">
        <v>175</v>
      </c>
      <c r="G21" s="328">
        <v>171000</v>
      </c>
      <c r="H21" s="328">
        <f>G21*B21</f>
        <v>171000</v>
      </c>
      <c r="I21" s="265"/>
      <c r="J21" s="47"/>
      <c r="K21" s="330">
        <v>1</v>
      </c>
      <c r="L21" s="39">
        <f t="shared" ref="L21" si="1">D21+L$19</f>
        <v>3.29</v>
      </c>
      <c r="M21" s="39">
        <f t="shared" ref="M21" si="2">E21+M$19</f>
        <v>0.6</v>
      </c>
      <c r="N21" s="261">
        <f t="shared" ref="N21" si="3">L21*M21</f>
        <v>1.974</v>
      </c>
      <c r="O21" s="259">
        <f t="shared" ref="O21" si="4">N21*K21</f>
        <v>1.974</v>
      </c>
      <c r="P21" s="252">
        <f t="shared" ref="P21" si="5">P$20*N21</f>
        <v>171799.76</v>
      </c>
      <c r="Q21" s="329">
        <f t="shared" ref="Q21" si="6">P21+Q$20</f>
        <v>174799.76</v>
      </c>
      <c r="R21" s="298">
        <f>L21*K21*2</f>
        <v>6.58</v>
      </c>
      <c r="S21" s="46">
        <f>M21*2*K21</f>
        <v>1.2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31"/>
      <c r="H22" s="331"/>
      <c r="I22" s="265"/>
      <c r="J22" s="47"/>
      <c r="K22" s="330"/>
      <c r="L22" s="39"/>
      <c r="M22" s="39"/>
      <c r="N22" s="261"/>
      <c r="O22" s="259"/>
      <c r="P22" s="252"/>
      <c r="Q22" s="329"/>
      <c r="R22" s="29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>
        <v>0</v>
      </c>
      <c r="O23" s="259"/>
      <c r="P23" s="252"/>
      <c r="Q23" s="258"/>
      <c r="R23" s="29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299" t="s">
        <v>29</v>
      </c>
      <c r="H24" s="300">
        <f>SUM(H21:H23)</f>
        <v>171000</v>
      </c>
      <c r="I24" s="265"/>
      <c r="J24" s="47"/>
      <c r="K24" s="47"/>
      <c r="L24" s="39">
        <f>SUM(L21:L23)</f>
        <v>3.29</v>
      </c>
      <c r="M24" s="39"/>
      <c r="N24" s="261"/>
      <c r="O24" s="259"/>
      <c r="P24" s="252"/>
      <c r="Q24" s="258"/>
      <c r="R24" s="298"/>
      <c r="S24" s="46">
        <f>SUM(S21:S23)</f>
        <v>1.2</v>
      </c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7" t="s">
        <v>52</v>
      </c>
      <c r="H25" s="295">
        <f>H24*19%</f>
        <v>32490</v>
      </c>
      <c r="I25" s="265"/>
      <c r="J25" s="47"/>
      <c r="K25" s="47"/>
      <c r="L25" s="39"/>
      <c r="M25" s="12"/>
      <c r="N25" s="12"/>
      <c r="O25" s="253">
        <f>SUM(O21:O21)</f>
        <v>1.974</v>
      </c>
      <c r="P25" s="14"/>
      <c r="Q25" s="12"/>
      <c r="R25" s="239"/>
      <c r="S25" s="46">
        <f>S24*20%</f>
        <v>0.24</v>
      </c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203490</v>
      </c>
      <c r="I26" s="265"/>
      <c r="J26" s="47"/>
      <c r="K26" s="47"/>
      <c r="L26" s="39"/>
      <c r="M26" s="12"/>
      <c r="N26" s="12"/>
      <c r="O26" s="253">
        <f>O25</f>
        <v>1.974</v>
      </c>
      <c r="P26" s="14"/>
      <c r="Q26" s="12"/>
      <c r="R26" s="239">
        <f>SUM(R21:R25)</f>
        <v>6.58</v>
      </c>
      <c r="S26" s="46">
        <f>S24+S25</f>
        <v>1.44</v>
      </c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>
        <v>147074</v>
      </c>
      <c r="K27" s="47"/>
      <c r="L27" s="14"/>
      <c r="M27" s="12"/>
      <c r="N27" s="12"/>
      <c r="O27" s="39">
        <f>O26*20%</f>
        <v>0.39480000000000004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>
        <v>33749</v>
      </c>
      <c r="K28" s="47"/>
      <c r="L28" s="14"/>
      <c r="M28" s="12"/>
      <c r="N28" s="12"/>
      <c r="O28" s="46">
        <f>O26+O27</f>
        <v>2.3688000000000002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>
        <v>94650</v>
      </c>
      <c r="K29" s="47"/>
      <c r="L29" s="14"/>
      <c r="M29" s="14"/>
      <c r="N29" s="14"/>
      <c r="O29" s="14"/>
      <c r="P29" s="14"/>
      <c r="Q29" s="14"/>
      <c r="R29" s="238"/>
      <c r="S29" s="14"/>
      <c r="T29" s="305" t="s">
        <v>22</v>
      </c>
      <c r="U29" s="302" t="s">
        <v>152</v>
      </c>
      <c r="V29" s="306">
        <v>44971</v>
      </c>
      <c r="W29" s="30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>
        <f>SUM(J27:J29)</f>
        <v>275473</v>
      </c>
      <c r="K30" s="47"/>
      <c r="L30" s="39">
        <f>O28</f>
        <v>2.3688000000000002</v>
      </c>
      <c r="M30" s="12">
        <v>3500</v>
      </c>
      <c r="N30" s="12">
        <f t="shared" ref="N30:N35" si="7">L30*M30</f>
        <v>8290.8000000000011</v>
      </c>
      <c r="O30" s="14" t="s">
        <v>22</v>
      </c>
      <c r="P30" s="14"/>
      <c r="Q30" s="14"/>
      <c r="R30" s="241"/>
      <c r="S30" s="14"/>
      <c r="T30" s="305" t="s">
        <v>153</v>
      </c>
      <c r="U30" s="302">
        <v>3625</v>
      </c>
      <c r="V30" s="59" t="s">
        <v>154</v>
      </c>
      <c r="W30" s="30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</v>
      </c>
      <c r="M31" s="12">
        <v>25000</v>
      </c>
      <c r="N31" s="12">
        <f t="shared" si="7"/>
        <v>25000</v>
      </c>
      <c r="O31" s="39" t="s">
        <v>32</v>
      </c>
      <c r="P31" s="42"/>
      <c r="Q31" s="14"/>
      <c r="R31" s="240"/>
      <c r="S31" s="14"/>
      <c r="T31" s="305"/>
      <c r="U31" s="59">
        <v>906.25</v>
      </c>
      <c r="V31" s="59" t="s">
        <v>155</v>
      </c>
      <c r="W31" s="307"/>
    </row>
    <row r="32" spans="2:24" s="230" customFormat="1" ht="17.399999999999999" x14ac:dyDescent="0.35">
      <c r="I32" s="262"/>
      <c r="J32" s="232"/>
      <c r="K32" s="250"/>
      <c r="L32" s="14">
        <v>1</v>
      </c>
      <c r="M32" s="250">
        <v>40000</v>
      </c>
      <c r="N32" s="12">
        <f t="shared" si="7"/>
        <v>40000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7" t="s">
        <v>156</v>
      </c>
      <c r="W32" s="59"/>
    </row>
    <row r="33" spans="2:23" s="230" customFormat="1" ht="17.399999999999999" x14ac:dyDescent="0.35">
      <c r="B33" s="24" t="s">
        <v>151</v>
      </c>
      <c r="I33" s="262"/>
      <c r="J33" s="232"/>
      <c r="K33" s="250"/>
      <c r="L33" s="14"/>
      <c r="M33" s="250">
        <v>23900</v>
      </c>
      <c r="N33" s="12">
        <f t="shared" si="7"/>
        <v>0</v>
      </c>
      <c r="O33" s="14" t="s">
        <v>171</v>
      </c>
      <c r="P33" s="17"/>
      <c r="R33" s="238"/>
      <c r="S33" s="256"/>
      <c r="T33" s="59"/>
      <c r="U33" s="59">
        <f>U31+U32</f>
        <v>1087.5</v>
      </c>
      <c r="V33" s="307" t="s">
        <v>157</v>
      </c>
      <c r="W33" s="59"/>
    </row>
    <row r="34" spans="2:23" s="230" customFormat="1" ht="17.399999999999999" x14ac:dyDescent="0.35">
      <c r="B34" s="24" t="s">
        <v>144</v>
      </c>
      <c r="C34"/>
      <c r="D34"/>
      <c r="E34"/>
      <c r="F34"/>
      <c r="I34" s="262"/>
      <c r="J34" s="230">
        <v>27000</v>
      </c>
      <c r="K34" s="250"/>
      <c r="L34" s="249"/>
      <c r="M34" s="250">
        <v>300</v>
      </c>
      <c r="N34" s="12">
        <f t="shared" si="7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4"/>
      <c r="J35" s="230">
        <f>J34*19%</f>
        <v>5130</v>
      </c>
      <c r="K35" s="250"/>
      <c r="L35" s="266">
        <v>3.2</v>
      </c>
      <c r="M35" s="12">
        <v>1500</v>
      </c>
      <c r="N35" s="12">
        <f t="shared" si="7"/>
        <v>4800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I36" s="230" t="s">
        <v>168</v>
      </c>
      <c r="J36" s="230">
        <f>J34+J35</f>
        <v>32130</v>
      </c>
      <c r="K36" s="250"/>
      <c r="L36" s="14"/>
      <c r="M36" s="12"/>
      <c r="N36" s="12">
        <f>SUM(N30:N35)</f>
        <v>78090.8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171799.76</v>
      </c>
      <c r="O37" s="14" t="s">
        <v>141</v>
      </c>
      <c r="P37" s="14"/>
      <c r="Q37" s="40">
        <f>O28/Q36</f>
        <v>0.63869715271786032</v>
      </c>
      <c r="R37"/>
      <c r="S37" s="257"/>
    </row>
    <row r="38" spans="2:23" s="230" customFormat="1" ht="17.399999999999999" x14ac:dyDescent="0.35">
      <c r="G38"/>
      <c r="H38" s="260"/>
      <c r="I38" s="230" t="s">
        <v>167</v>
      </c>
      <c r="J38" s="230">
        <v>23560</v>
      </c>
      <c r="K38" s="250">
        <v>0</v>
      </c>
      <c r="L38" s="14"/>
      <c r="M38" s="12"/>
      <c r="N38" s="12">
        <f>N37/O26</f>
        <v>87031.286727456943</v>
      </c>
      <c r="O38" s="45" t="s">
        <v>25</v>
      </c>
      <c r="P38" s="14"/>
      <c r="Q38" s="14"/>
      <c r="R38"/>
      <c r="S38" s="238"/>
      <c r="T38" s="59" t="s">
        <v>158</v>
      </c>
      <c r="U38" s="302">
        <v>43650</v>
      </c>
    </row>
    <row r="39" spans="2:23" s="230" customFormat="1" ht="17.399999999999999" x14ac:dyDescent="0.35">
      <c r="G39"/>
      <c r="J39" s="230">
        <f>J38/1.19</f>
        <v>19798.319327731093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160</v>
      </c>
      <c r="U39" s="303" t="s">
        <v>159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161</v>
      </c>
      <c r="U40" s="30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I41" s="230" t="s">
        <v>169</v>
      </c>
      <c r="K41" s="12"/>
      <c r="S41" s="238"/>
      <c r="T41" s="59" t="s">
        <v>156</v>
      </c>
      <c r="U41" s="59">
        <v>474.45</v>
      </c>
    </row>
    <row r="42" spans="2:23" ht="14.4" customHeight="1" x14ac:dyDescent="0.3">
      <c r="I42" t="s">
        <v>170</v>
      </c>
      <c r="J42">
        <v>8990</v>
      </c>
      <c r="K42" s="12"/>
      <c r="T42" s="59"/>
      <c r="U42" s="59"/>
    </row>
    <row r="43" spans="2:23" x14ac:dyDescent="0.3">
      <c r="K43" s="250"/>
    </row>
    <row r="44" spans="2:23" x14ac:dyDescent="0.3">
      <c r="I44">
        <v>46850</v>
      </c>
      <c r="K44" s="250"/>
      <c r="S44" s="270"/>
    </row>
    <row r="45" spans="2:23" x14ac:dyDescent="0.3">
      <c r="K45" s="250"/>
    </row>
    <row r="46" spans="2:23" ht="15" customHeight="1" x14ac:dyDescent="0.3">
      <c r="I46">
        <f>I44/1.19</f>
        <v>39369.747899159665</v>
      </c>
    </row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148</v>
      </c>
    </row>
    <row r="74" spans="3:14" x14ac:dyDescent="0.3">
      <c r="C74" t="s">
        <v>147</v>
      </c>
    </row>
    <row r="77" spans="3:14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45666</v>
      </c>
    </row>
    <row r="6" spans="2:31" ht="16.2" thickBot="1" x14ac:dyDescent="0.35">
      <c r="B6" s="140" t="s">
        <v>2</v>
      </c>
      <c r="C6" s="139" t="str">
        <f>'2229'!C10</f>
        <v>ANDREA GOMEZ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11243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-140.65503345410494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171000</v>
      </c>
      <c r="E11" s="132">
        <f>D11*0.19</f>
        <v>32490</v>
      </c>
      <c r="F11" s="131">
        <f>E11+D11</f>
        <v>203490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105849.34496654589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103124.89078743962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87849.34496654589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67875.109212560375</v>
      </c>
      <c r="E13" s="221">
        <f>(D11/D12)-1</f>
        <v>0.65818357424944218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78849.34496654589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39849.344966545897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170156.06979927537</v>
      </c>
      <c r="F15" s="216">
        <f>E15-D12</f>
        <v>67031.179011835746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39849.344966545897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79849.34496654589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40000</v>
      </c>
      <c r="E18" s="123">
        <f>D18*0.19</f>
        <v>7600</v>
      </c>
      <c r="F18" s="120">
        <f>SUM(D18:E18)</f>
        <v>47600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8290.8000000000011</v>
      </c>
      <c r="E20" s="121">
        <f>D20*0.19</f>
        <v>1575.2520000000002</v>
      </c>
      <c r="F20" s="120">
        <f>SUM(D20:E20)</f>
        <v>9866.0520000000015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73290.8</v>
      </c>
      <c r="E21" s="116">
        <f>SUM(E18:E20)</f>
        <v>13925.252</v>
      </c>
      <c r="F21" s="115">
        <f>SUM(F18:F20)</f>
        <v>87216.051999999996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18564.748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171000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73290.8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67875.109212560375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67875.109212560375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2024-07-09T14:32:16Z</cp:lastPrinted>
  <dcterms:created xsi:type="dcterms:W3CDTF">2013-03-18T13:35:42Z</dcterms:created>
  <dcterms:modified xsi:type="dcterms:W3CDTF">2025-01-09T19:02:24Z</dcterms:modified>
</cp:coreProperties>
</file>