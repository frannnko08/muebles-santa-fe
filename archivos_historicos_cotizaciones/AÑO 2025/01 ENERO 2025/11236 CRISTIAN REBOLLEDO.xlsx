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4499105B-7562-4E17-B497-6E9B8E76F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<sst xmlns="http://schemas.openxmlformats.org/spreadsheetml/2006/main" count="229" uniqueCount="173">
  <si>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</si>
  <si>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</si>
  <si>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</si>
  <si>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</si>
  <si>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</si>
  <si>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</si>
  <si>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</si>
  <si>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</si>
  <si>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</si>
  <si>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</si>
  <si>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</si>
  <si>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</si>
  <si>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</si>
  <si>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</si>
  <si>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</si>
  <si>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</si>
  <si>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</si>
  <si>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</si>
  <si>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</si>
  <si>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</si>
  <si>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</si>
  <si>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</si>
  <si>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</si>
  <si>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</si>
  <si>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</si>
  <si>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</si>
  <si>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</si>
  <si>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</si>
  <si>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</si>
  <si>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</si>
  <si>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</si>
  <si>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</si>
  <si>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</si>
  <si>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</si>
  <si>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</si>
  <si>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</si>
  <si>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</si>
  <si>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</si>
  <si>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</si>
  <si>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</si>
  <si>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</si>
  <si>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</si>
  <si>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</si>
  <si>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</si>
  <si>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</si>
  <si>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</si>
  <si>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</si>
  <si>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</si>
  <si>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</si>
  <si>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</si>
  <si>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</si>
  <si>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</si>
  <si>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</si>
  <si>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</si>
  <si>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</si>
  <si>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</si>
  <si>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</si>
  <si>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</si>
  <si>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</si>
  <si>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</si>
  <si>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</si>
  <si>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</si>
  <si>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</si>
  <si>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</si>
  <si>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</si>
  <si>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</si>
  <si>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</si>
  <si>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</si>
  <si>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</si>
  <si>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</si>
  <si>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</si>
  <si>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</si>
  <si>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</si>
  <si>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</si>
  <si>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</si>
  <si>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</si>
  <si>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</si>
  <si>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</si>
  <si>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</si>
  <si>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</si>
  <si>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</si>
  <si>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</si>
  <si>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</si>
  <si>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</si>
  <si>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</si>
  <si>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</si>
  <si>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</si>
  <si>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</si>
  <si>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</si>
  <si>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</si>
  <si>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</si>
  <si>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</si>
  <si>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</si>
  <si>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</si>
  <si>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</si>
  <si>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</si>
  <si>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</si>
  <si>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</si>
  <si>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</si>
  <si>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</si>
  <si>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</si>
  <si>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</si>
  <si>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</si>
  <si>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</si>
  <si>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</si>
  <si>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</si>
  <si>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</si>
  <si>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</si>
  <si>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</si>
  <si>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</si>
  <si>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</si>
  <si>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</si>
  <si>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</si>
  <si>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</si>
  <si>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</si>
  <si>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</si>
  <si>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</si>
  <si>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</si>
  <si>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</si>
  <si>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</si>
  <si>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</si>
  <si>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</si>
  <si>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</si>
  <si>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</si>
  <si>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</si>
  <si>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</si>
  <si>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</si>
  <si>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</si>
  <si>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</si>
  <si>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</si>
  <si>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</si>
  <si>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</si>
  <si>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</si>
  <si>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</si>
  <si>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</si>
  <si>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</si>
  <si>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</si>
  <si>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</si>
  <si>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</si>
  <si>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</si>
  <si>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</si>
  <si>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</si>
  <si>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</si>
  <si>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</si>
  <si>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</si>
  <si>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</si>
  <si>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</si>
  <si>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</si>
  <si>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</si>
  <si>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</si>
  <si>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</si>
  <si>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</si>
  <si>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</si>
  <si>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</si>
  <si>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</si>
  <si>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</si>
  <si>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</si>
  <si>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</si>
  <si>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</si>
  <si>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</si>
  <si>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</si>
  <si>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</si>
  <si>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</si>
  <si>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</si>
  <si>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</si>
  <si>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</si>
  <si>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</si>
  <si>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</si>
  <si>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11236</t>
  </si>
  <si>
    <t>CRISTIAN REBOLLEDO</t>
  </si>
  <si>
    <t>ENCHAPE RECTO 1 CARA</t>
  </si>
  <si>
    <t>PUERTO MADURO PP-7984 UP</t>
  </si>
  <si>
    <t>+569 4977 4632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</si>
</sst>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NO INCLUYE INSTALACION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48239.557001626832</v>
      </c>
      <c r="R20" s="258">
        <v>15000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2.6</v>
      </c>
      <c r="E21" s="331">
        <v>1.2</v>
      </c>
      <c r="F21" s="330" t="s">
        <v>171</v>
      </c>
      <c r="G21" s="332">
        <v>154193</v>
      </c>
      <c r="H21" s="332">
        <f>G21*B21</f>
        <v>154193</v>
      </c>
      <c r="I21" s="320"/>
      <c r="J21" s="265"/>
      <c r="K21" s="47"/>
      <c r="L21" s="333">
        <f>B21</f>
        <v>1</v>
      </c>
      <c r="M21" s="39">
        <f>D21+M$19</f>
        <v>2.62</v>
      </c>
      <c r="N21" s="39">
        <f>E21+$N$19</f>
        <v>1.22</v>
      </c>
      <c r="O21" s="261">
        <f t="shared" ref="O21" si="1">M21*N21</f>
        <v>3.1964000000000001</v>
      </c>
      <c r="P21" s="259">
        <f t="shared" ref="P21" si="2">O21*L21</f>
        <v>3.1964000000000001</v>
      </c>
      <c r="Q21" s="252">
        <f t="shared" ref="Q21" si="3">Q$20*O21</f>
        <v>154192.92000000001</v>
      </c>
      <c r="R21" s="319">
        <f t="shared" ref="R21" si="4">Q21+R$20</f>
        <v>169192.92</v>
      </c>
      <c r="S21" s="297"/>
      <c r="T21" s="46">
        <f>N21*2*L21*2</f>
        <v>4.88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154193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4.88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29296.670000000002</v>
      </c>
      <c r="I25" s="322"/>
      <c r="J25" s="265"/>
      <c r="K25" s="47"/>
      <c r="L25" s="47"/>
      <c r="M25" s="39">
        <f>SUM(M21:M24)</f>
        <v>2.62</v>
      </c>
      <c r="N25" s="12"/>
      <c r="O25" s="12"/>
      <c r="P25" s="253">
        <f>SUM(P21:P23)</f>
        <v>3.1964000000000001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183489.67</v>
      </c>
      <c r="I26" s="322"/>
      <c r="J26" s="265"/>
      <c r="K26" s="47"/>
      <c r="L26" s="47"/>
      <c r="M26" s="39"/>
      <c r="N26" s="12"/>
      <c r="O26" s="12"/>
      <c r="P26" s="253">
        <f>P25</f>
        <v>3.1964000000000001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0.63928000000000007</v>
      </c>
      <c r="Q27" s="39" t="s">
        <v>130</v>
      </c>
      <c r="R27" s="42"/>
      <c r="S27" s="240">
        <f>S26+T24</f>
        <v>4.88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3.83568</v>
      </c>
      <c r="Q28" s="14"/>
      <c r="R28" s="14"/>
      <c r="S28" s="238">
        <f>S27*20%</f>
        <v>0.97599999999999998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5.8559999999999999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3.83568</v>
      </c>
      <c r="N30" s="12">
        <v>2500</v>
      </c>
      <c r="O30" s="12">
        <f t="shared" ref="O30:O35" si="5">M30*N30</f>
        <v>9589.2000000000007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1</v>
      </c>
      <c r="N31" s="12">
        <v>23500</v>
      </c>
      <c r="O31" s="12">
        <f t="shared" si="5"/>
        <v>23500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47999.839999999997</v>
      </c>
      <c r="L33" s="250"/>
      <c r="M33" s="14">
        <v>1</v>
      </c>
      <c r="N33" s="250">
        <v>40336</v>
      </c>
      <c r="O33" s="12">
        <f t="shared" si="5"/>
        <v>40336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75964.84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63836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12128.839999999997</v>
      </c>
      <c r="L36" s="250"/>
      <c r="M36" s="14"/>
      <c r="N36" s="12"/>
      <c r="O36" s="12">
        <f>SUM(O30:O35)</f>
        <v>73425.2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154192.92000000001</v>
      </c>
      <c r="P37" s="14" t="s">
        <v>140</v>
      </c>
      <c r="Q37" s="14"/>
      <c r="R37" s="40">
        <f>P28/R36</f>
        <v>1.0342105263157895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48000</v>
      </c>
      <c r="L38" s="250"/>
      <c r="M38" s="14"/>
      <c r="N38" s="12"/>
      <c r="O38" s="12">
        <f>O37/P26</f>
        <v>48239.557001626832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40336.134453781517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CRISTIAN REBOLLEDO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-8394.9283667874406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154193</v>
      </c>
      <c r="E11" s="132">
        <f>D11*0.19</f>
        <v>29296.670000000002</v>
      </c>
      <c r="F11" s="131">
        <f>E11+D11</f>
        <v>183489.67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97595.071633212559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62923.290787439611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79595.071633212559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91269.709212560381</v>
      </c>
      <c r="E13" s="221">
        <f>(D11/D12)-1</f>
        <v>1.4504916712140417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70595.071633212559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31595.071633212559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103823.42979927536</v>
      </c>
      <c r="F15" s="216">
        <f>E15-D12</f>
        <v>40900.139011835745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31595.071633212559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71595.071633212559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9589.2000000000007</v>
      </c>
      <c r="E20" s="121">
        <f>D20*0.19</f>
        <v>1821.9480000000001</v>
      </c>
      <c r="F20" s="120">
        <f>SUM(D20:E20)</f>
        <v>11411.148000000001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33089.199999999997</v>
      </c>
      <c r="E21" s="116">
        <f>SUM(E18:E20)</f>
        <v>6286.9480000000003</v>
      </c>
      <c r="F21" s="115">
        <f>SUM(F18:F20)</f>
        <v>39376.148000000001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23009.722000000002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154193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33089.199999999997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91269.709212560381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91269.709212560381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2025-01-07T16:41:59Z</dcterms:modified>
</cp:coreProperties>
</file>