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A2979386-26BE-4133-9938-23E57CE73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M22" i="1" l="1"/>
  <c r="N22" i="1"/>
  <c r="H22" i="1"/>
  <c r="K32" i="1"/>
  <c r="K34" i="1"/>
  <c r="N21" i="1"/>
  <c r="O22" i="1" l="1"/>
  <c r="P22" i="1" s="1"/>
  <c r="K35" i="1"/>
  <c r="K36" i="1" s="1"/>
  <c r="K37" i="1" s="1"/>
  <c r="M21" i="1"/>
  <c r="M26" i="1" s="1"/>
  <c r="T21" i="1" l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<sst xmlns="http://schemas.openxmlformats.org/spreadsheetml/2006/main" count="232" uniqueCount="175">
  <si>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</si>
  <si>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</si>
  <si>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</si>
  <si>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</si>
  <si>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</si>
  <si>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</si>
  <si>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</si>
  <si>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</si>
  <si>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</si>
  <si>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</si>
  <si>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</si>
  <si>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</si>
  <si>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</si>
  <si>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</si>
  <si>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</si>
  <si>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</si>
  <si>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</si>
  <si>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</si>
  <si>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</si>
  <si>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</si>
  <si>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</si>
  <si>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</si>
  <si>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</si>
  <si>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</si>
  <si>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</si>
  <si>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</si>
  <si>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</si>
  <si>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</si>
  <si>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</si>
  <si>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</si>
  <si>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</si>
  <si>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</si>
  <si>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</si>
  <si>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</si>
  <si>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</si>
  <si>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</si>
  <si>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</si>
  <si>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</si>
  <si>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</si>
  <si>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</si>
  <si>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</si>
  <si>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</si>
  <si>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</si>
  <si>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</si>
  <si>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</si>
  <si>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</si>
  <si>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</si>
  <si>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</si>
  <si>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</si>
  <si>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</si>
  <si>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</si>
  <si>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</si>
  <si>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</si>
  <si>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</si>
  <si>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</si>
  <si>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</si>
  <si>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</si>
  <si>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</si>
  <si>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</si>
  <si>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</si>
  <si>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</si>
  <si>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</si>
  <si>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</si>
  <si>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</si>
  <si>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</si>
  <si>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</si>
  <si>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</si>
  <si>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</si>
  <si>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</si>
  <si>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</si>
  <si>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</si>
  <si>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</si>
  <si>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</si>
  <si>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</si>
  <si>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</si>
  <si>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</si>
  <si>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</si>
  <si>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</si>
  <si>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</si>
  <si>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</si>
  <si>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</si>
  <si>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</si>
  <si>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</si>
  <si>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</si>
  <si>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</si>
  <si>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</si>
  <si>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</si>
  <si>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</si>
  <si>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</si>
  <si>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</si>
  <si>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</si>
  <si>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</si>
  <si>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</si>
  <si>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</si>
  <si>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</si>
  <si>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</si>
  <si>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</si>
  <si>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</si>
  <si>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</si>
  <si>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</si>
  <si>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</si>
  <si>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</si>
  <si>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</si>
  <si>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</si>
  <si>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</si>
  <si>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</si>
  <si>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</si>
  <si>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</si>
  <si>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</si>
  <si>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</si>
  <si>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</si>
  <si>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</si>
  <si>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</si>
  <si>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</si>
  <si>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</si>
  <si>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</si>
  <si>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</si>
  <si>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</si>
  <si>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</si>
  <si>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</si>
  <si>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</si>
  <si>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</si>
  <si>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</si>
  <si>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</si>
  <si>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</si>
  <si>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</si>
  <si>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</si>
  <si>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</si>
  <si>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</si>
  <si>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</si>
  <si>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</si>
  <si>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</si>
  <si>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</si>
  <si>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</si>
  <si>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</si>
  <si>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</si>
  <si>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</si>
  <si>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</si>
  <si>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</si>
  <si>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</si>
  <si>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</si>
  <si>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</si>
  <si>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</si>
  <si>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</si>
  <si>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</si>
  <si>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</si>
  <si>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</si>
  <si>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</si>
  <si>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</si>
  <si>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</si>
  <si>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</si>
  <si>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</si>
  <si>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</si>
  <si>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</si>
  <si>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</si>
  <si>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</si>
  <si>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</si>
  <si>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</si>
  <si>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</si>
  <si>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</si>
  <si>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</si>
  <si>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</si>
  <si>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</si>
  <si>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</si>
  <si>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</si>
  <si>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</si>
  <si>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</si>
  <si>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</si>
  <si>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</si>
  <si>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</si>
  <si>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N° 11233</t>
  </si>
  <si>
    <t>CUB C/R 90°</t>
  </si>
  <si>
    <t>BLANCO MERINO OPACO</t>
  </si>
  <si>
    <t>3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</si>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</sst>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45663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174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57331.250000000007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171</v>
      </c>
      <c r="D21" s="331">
        <v>1.4</v>
      </c>
      <c r="E21" s="331">
        <v>0.56000000000000005</v>
      </c>
      <c r="F21" s="330" t="s">
        <v>172</v>
      </c>
      <c r="G21" s="332">
        <v>47516</v>
      </c>
      <c r="H21" s="332">
        <f>G21*B21</f>
        <v>47516</v>
      </c>
      <c r="I21" s="320"/>
      <c r="J21" s="265"/>
      <c r="K21" s="47"/>
      <c r="L21" s="333">
        <f>B21</f>
        <v>1</v>
      </c>
      <c r="M21" s="39">
        <f>D21+M$19</f>
        <v>1.48</v>
      </c>
      <c r="N21" s="39">
        <f>E21+$N$19</f>
        <v>0.56000000000000005</v>
      </c>
      <c r="O21" s="261">
        <f t="shared" ref="O21" si="1">M21*N21</f>
        <v>0.82880000000000009</v>
      </c>
      <c r="P21" s="259">
        <f t="shared" ref="P21" si="2">O21*L21</f>
        <v>0.82880000000000009</v>
      </c>
      <c r="Q21" s="252">
        <f t="shared" ref="Q21" si="3">Q$20*O21</f>
        <v>47516.140000000014</v>
      </c>
      <c r="R21" s="319">
        <f t="shared" ref="R21" si="4">Q21+R$20</f>
        <v>50516.140000000014</v>
      </c>
      <c r="S21" s="297"/>
      <c r="T21" s="46">
        <f>N21*2*L21*2</f>
        <v>2.2400000000000002</v>
      </c>
      <c r="U21" s="9"/>
      <c r="X21" s="4"/>
    </row>
    <row r="22" spans="1:25" ht="17.399999999999999" x14ac:dyDescent="0.3">
      <c r="B22" s="330">
        <v>1</v>
      </c>
      <c r="C22" s="330" t="s">
        <v>171</v>
      </c>
      <c r="D22" s="331">
        <v>2.4</v>
      </c>
      <c r="E22" s="331">
        <v>0.56000000000000005</v>
      </c>
      <c r="F22" s="330" t="s">
        <v>172</v>
      </c>
      <c r="G22" s="332">
        <v>79622</v>
      </c>
      <c r="H22" s="332">
        <f t="shared" ref="H22" si="5">G22*B22</f>
        <v>79622</v>
      </c>
      <c r="I22" s="320"/>
      <c r="J22" s="265"/>
      <c r="K22" s="47"/>
      <c r="L22" s="333">
        <f>B22</f>
        <v>1</v>
      </c>
      <c r="M22" s="39">
        <f t="shared" ref="M22" si="6">D22+M$19</f>
        <v>2.48</v>
      </c>
      <c r="N22" s="39">
        <f t="shared" ref="N22" si="7">E22+$N$19</f>
        <v>0.56000000000000005</v>
      </c>
      <c r="O22" s="261">
        <f t="shared" ref="O22" si="8">M22*N22</f>
        <v>1.3888</v>
      </c>
      <c r="P22" s="259">
        <f t="shared" ref="P22" si="9">O22*L22</f>
        <v>1.3888</v>
      </c>
      <c r="Q22" s="252">
        <f t="shared" ref="Q22" si="10">Q$20*O22</f>
        <v>79621.640000000014</v>
      </c>
      <c r="R22" s="319">
        <f t="shared" ref="R22" si="11">Q22+R$20</f>
        <v>82621.640000000014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127138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2.2400000000000002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24156.22</v>
      </c>
      <c r="I26" s="322"/>
      <c r="J26" s="265"/>
      <c r="K26" s="47"/>
      <c r="L26" s="47"/>
      <c r="M26" s="39">
        <f>SUM(M21:M25)</f>
        <v>3.96</v>
      </c>
      <c r="N26" s="12"/>
      <c r="O26" s="12"/>
      <c r="P26" s="253">
        <f>SUM(P21:P24)</f>
        <v>2.2176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151294.22</v>
      </c>
      <c r="I27" s="322"/>
      <c r="J27" s="265"/>
      <c r="K27" s="47"/>
      <c r="L27" s="47"/>
      <c r="M27" s="39"/>
      <c r="N27" s="12"/>
      <c r="O27" s="12"/>
      <c r="P27" s="253">
        <f>P26</f>
        <v>2.2176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0.44352000000000003</v>
      </c>
      <c r="Q28" s="39" t="s">
        <v>130</v>
      </c>
      <c r="R28" s="42"/>
      <c r="S28" s="240">
        <f>S27+T25</f>
        <v>2.2400000000000002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2.6611199999999999</v>
      </c>
      <c r="Q29" s="14"/>
      <c r="R29" s="14"/>
      <c r="S29" s="238">
        <f>S28*20%</f>
        <v>0.44800000000000006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2.6880000000000002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2.6611199999999999</v>
      </c>
      <c r="N31" s="12">
        <v>2500</v>
      </c>
      <c r="O31" s="12">
        <f t="shared" ref="O31:O36" si="12">M31*N31</f>
        <v>6652.8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0.72</v>
      </c>
      <c r="N32" s="12">
        <v>23500</v>
      </c>
      <c r="O32" s="12">
        <f t="shared" si="12"/>
        <v>16920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1</v>
      </c>
      <c r="N33" s="250">
        <v>34989</v>
      </c>
      <c r="O33" s="12">
        <f t="shared" si="12"/>
        <v>34989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33853.119999999995</v>
      </c>
      <c r="L34" s="250"/>
      <c r="M34" s="14"/>
      <c r="N34" s="250">
        <v>28448</v>
      </c>
      <c r="O34" s="12">
        <f t="shared" si="12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61818.119999999995</v>
      </c>
      <c r="L35" s="250"/>
      <c r="M35" s="249"/>
      <c r="N35" s="250">
        <v>900</v>
      </c>
      <c r="O35" s="12">
        <f t="shared" si="12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51948</v>
      </c>
      <c r="L36" s="250"/>
      <c r="M36" s="266">
        <v>3.96</v>
      </c>
      <c r="N36" s="12">
        <v>500</v>
      </c>
      <c r="O36" s="12">
        <f t="shared" si="12"/>
        <v>1980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9870.1199999999953</v>
      </c>
      <c r="L37" s="250"/>
      <c r="M37" s="14"/>
      <c r="N37" s="12"/>
      <c r="O37" s="12">
        <f>SUM(O31:O36)</f>
        <v>60541.8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127137.78000000001</v>
      </c>
      <c r="P38" s="14" t="s">
        <v>140</v>
      </c>
      <c r="Q38" s="14"/>
      <c r="R38" s="40">
        <f>P29/R37</f>
        <v>0.71751509922346846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57331.250000000007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3119.2032998792274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127138</v>
      </c>
      <c r="E11" s="132">
        <f>D11*0.19</f>
        <v>24156.22</v>
      </c>
      <c r="F11" s="131">
        <f>E11+D11</f>
        <v>151294.22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109109.20329987923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88395.890787439625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91109.203299879227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38742.109212560375</v>
      </c>
      <c r="E13" s="221">
        <f>(D11/D12)-1</f>
        <v>0.43827952710744489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82109.203299879227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43109.203299879227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145853.21979927536</v>
      </c>
      <c r="F15" s="216">
        <f>E15-D12</f>
        <v>57457.32901183574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43109.203299879227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83109.203299879227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34989</v>
      </c>
      <c r="E18" s="123">
        <f>D18*0.19</f>
        <v>6647.91</v>
      </c>
      <c r="F18" s="120">
        <f>SUM(D18:E18)</f>
        <v>41636.910000000003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16920</v>
      </c>
      <c r="E19" s="123">
        <f>D19*0.19</f>
        <v>3214.8</v>
      </c>
      <c r="F19" s="120">
        <f>SUM(D19:E19)</f>
        <v>20134.8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6652.8</v>
      </c>
      <c r="E20" s="121">
        <f>D20*0.19</f>
        <v>1264.0320000000002</v>
      </c>
      <c r="F20" s="120">
        <f>SUM(D20:E20)</f>
        <v>7916.8320000000003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58561.8</v>
      </c>
      <c r="E21" s="116">
        <f>SUM(E18:E20)</f>
        <v>11126.741999999998</v>
      </c>
      <c r="F21" s="115">
        <f>SUM(F18:F20)</f>
        <v>69688.542000000001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13029.478000000003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127138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58561.8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38742.109212560375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38742.109212560375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2025-01-06T15:35:31Z</dcterms:modified>
</cp:coreProperties>
</file>