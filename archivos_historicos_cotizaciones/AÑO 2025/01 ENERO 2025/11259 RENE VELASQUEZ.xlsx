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8CFA0E6D-9671-454D-AFA7-3D98417E9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P27" i="1"/>
  <c r="L23" i="1"/>
  <c r="M23" i="1"/>
  <c r="N23" i="1"/>
  <c r="H23" i="1"/>
  <c r="O23" i="1" l="1"/>
  <c r="P23" i="1" s="1"/>
  <c r="L22" i="1"/>
  <c r="M22" i="1"/>
  <c r="N22" i="1"/>
  <c r="H22" i="1"/>
  <c r="L21" i="1"/>
  <c r="N21" i="1"/>
  <c r="S22" i="1" l="1"/>
  <c r="O22" i="1"/>
  <c r="P22" i="1" s="1"/>
  <c r="M21" i="1"/>
  <c r="S21" i="1" l="1"/>
  <c r="S27" i="1" s="1"/>
  <c r="T21" i="1"/>
  <c r="T26" i="1" s="1"/>
  <c r="O21" i="1"/>
  <c r="P21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l="1"/>
  <c r="H27" i="1" s="1"/>
  <c r="D11" i="3" l="1"/>
  <c r="X9" i="3" s="1"/>
  <c r="X15" i="3" s="1"/>
  <c r="H28" i="1"/>
  <c r="D13" i="3"/>
  <c r="E13" i="3"/>
  <c r="X16" i="3"/>
  <c r="M42" i="3" l="1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<sst xmlns="http://schemas.openxmlformats.org/spreadsheetml/2006/main" count="233" uniqueCount="173">
  <si>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</si>
  <si>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</si>
  <si>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</si>
  <si>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</si>
  <si>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</si>
  <si>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</si>
  <si>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</si>
  <si>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</si>
  <si>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</si>
  <si>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</si>
  <si>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</si>
  <si>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</si>
  <si>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</si>
  <si>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</si>
  <si>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</si>
  <si>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</si>
  <si>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</si>
  <si>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</si>
  <si>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</si>
  <si>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</si>
  <si>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</si>
  <si>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</si>
  <si>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</si>
  <si>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</si>
  <si>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</si>
  <si>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</si>
  <si>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</si>
  <si>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</si>
  <si>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</si>
  <si>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</si>
  <si>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</si>
  <si>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</si>
  <si>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</si>
  <si>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</si>
  <si>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</si>
  <si>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</si>
  <si>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</si>
  <si>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</si>
  <si>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</si>
  <si>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</si>
  <si>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</si>
  <si>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</si>
  <si>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</si>
  <si>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</si>
  <si>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</si>
  <si>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</si>
  <si>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</si>
  <si>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</si>
  <si>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</si>
  <si>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</si>
  <si>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</si>
  <si>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</si>
  <si>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</si>
  <si>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</si>
  <si>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</si>
  <si>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</si>
  <si>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</si>
  <si>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</si>
  <si>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</si>
  <si>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</si>
  <si>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</si>
  <si>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</si>
  <si>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</si>
  <si>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</si>
  <si>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</si>
  <si>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</si>
  <si>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</si>
  <si>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</si>
  <si>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</si>
  <si>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</si>
  <si>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</si>
  <si>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</si>
  <si>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</si>
  <si>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</si>
  <si>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</si>
  <si>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</si>
  <si>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</si>
  <si>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</si>
  <si>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</si>
  <si>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</si>
  <si>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</si>
  <si>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</si>
  <si>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</si>
  <si>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</si>
  <si>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</si>
  <si>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</si>
  <si>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</si>
  <si>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</si>
  <si>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</si>
  <si>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</si>
  <si>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</si>
  <si>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</si>
  <si>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</si>
  <si>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</si>
  <si>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</si>
  <si>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</si>
  <si>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</si>
  <si>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</si>
  <si>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</si>
  <si>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</si>
  <si>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</si>
  <si>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</si>
  <si>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</si>
  <si>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</si>
  <si>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</si>
  <si>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</si>
  <si>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</si>
  <si>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</si>
  <si>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</si>
  <si>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</si>
  <si>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</si>
  <si>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</si>
  <si>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</si>
  <si>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</si>
  <si>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</si>
  <si>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</si>
  <si>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</si>
  <si>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</si>
  <si>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</si>
  <si>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</si>
  <si>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</si>
  <si>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</si>
  <si>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</si>
  <si>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</si>
  <si>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</si>
  <si>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</si>
  <si>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</si>
  <si>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</si>
  <si>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</si>
  <si>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</si>
  <si>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</si>
  <si>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</si>
  <si>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</si>
  <si>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</si>
  <si>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</si>
  <si>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</si>
  <si>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</si>
  <si>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</si>
  <si>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</si>
  <si>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</si>
  <si>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</si>
  <si>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</si>
  <si>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</si>
  <si>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</si>
  <si>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</si>
  <si>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</si>
  <si>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</si>
  <si>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</si>
  <si>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</si>
  <si>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</si>
  <si>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</si>
  <si>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</si>
  <si>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</si>
  <si>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</si>
  <si>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</si>
  <si>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</si>
  <si>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</si>
  <si>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</si>
  <si>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</si>
  <si>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</si>
  <si>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</si>
  <si>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</si>
  <si>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</si>
  <si>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</si>
  <si>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</si>
  <si>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</si>
  <si>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</si>
  <si>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11259</t>
  </si>
  <si>
    <t>RENE VELASQUEZ</t>
  </si>
  <si>
    <t>7 DIAS HABILES</t>
  </si>
  <si>
    <t>+569 6644 8046</t>
  </si>
  <si>
    <t>CUB SIN RESPALDO FRENTE RECTO ENCHAPADO</t>
  </si>
  <si>
    <t>WHITE LILY MOSAIC K-1081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</si>
</sst>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FRENTE RECTO ENCHAPADO CON</a:t>
          </a:r>
          <a:r>
            <a:rPr lang="es-CL" sz="1200" b="1" baseline="0"/>
            <a:t> LA MISMA LAMINA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H35" sqref="H35"/>
    </sheetView>
  </sheetViews>
  <sheetFormatPr baseColWidth="10" defaultRowHeight="14.4" x14ac:dyDescent="0.3"/>
  <cols>
    <col min="1" max="1" width="6" customWidth="1"/>
    <col min="2" max="2" width="10.5546875" customWidth="1"/>
    <col min="3" max="3" width="48.66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45674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72322.49822165315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1">
        <v>2.335</v>
      </c>
      <c r="E21" s="331">
        <v>0.63</v>
      </c>
      <c r="F21" s="330" t="s">
        <v>172</v>
      </c>
      <c r="G21" s="332">
        <v>115035</v>
      </c>
      <c r="H21" s="332">
        <f>G21*B21</f>
        <v>115035</v>
      </c>
      <c r="I21" s="320"/>
      <c r="J21" s="265"/>
      <c r="K21" s="47"/>
      <c r="L21" s="47">
        <f>B21</f>
        <v>1</v>
      </c>
      <c r="M21" s="39">
        <f>D21+M$19</f>
        <v>2.415</v>
      </c>
      <c r="N21" s="39">
        <f>E21+$N$19</f>
        <v>0.63</v>
      </c>
      <c r="O21" s="261">
        <f t="shared" ref="O21" si="1">M21*N21</f>
        <v>1.52145</v>
      </c>
      <c r="P21" s="259">
        <f t="shared" ref="P21" si="2">O21*L21</f>
        <v>1.52145</v>
      </c>
      <c r="Q21" s="252">
        <f t="shared" ref="Q21" si="3">Q$20*O21</f>
        <v>110035.06491933418</v>
      </c>
      <c r="R21" s="319">
        <f t="shared" ref="R21" si="4">Q21+R$20</f>
        <v>115035.06491933418</v>
      </c>
      <c r="S21" s="297">
        <f>M21*L21</f>
        <v>2.415</v>
      </c>
      <c r="T21" s="46">
        <f>N21*2*L21*2</f>
        <v>2.52</v>
      </c>
      <c r="U21" s="9"/>
      <c r="X21" s="4"/>
    </row>
    <row r="22" spans="2:25" ht="17.399999999999999" x14ac:dyDescent="0.3">
      <c r="B22" s="330">
        <v>1</v>
      </c>
      <c r="C22" s="330" t="s">
        <v>171</v>
      </c>
      <c r="D22" s="331">
        <v>1.07</v>
      </c>
      <c r="E22" s="331">
        <v>0.63</v>
      </c>
      <c r="F22" s="330" t="s">
        <v>172</v>
      </c>
      <c r="G22" s="332">
        <v>57398</v>
      </c>
      <c r="H22" s="332">
        <f t="shared" ref="H22:H23" si="5">G22*B22</f>
        <v>57398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1.1500000000000001</v>
      </c>
      <c r="N22" s="39">
        <f t="shared" ref="N22" si="8">E22+$N$19</f>
        <v>0.63</v>
      </c>
      <c r="O22" s="261">
        <f t="shared" ref="O22" si="9">M22*N22</f>
        <v>0.72450000000000014</v>
      </c>
      <c r="P22" s="259">
        <f t="shared" ref="P22" si="10">O22*L22</f>
        <v>0.72450000000000014</v>
      </c>
      <c r="Q22" s="252">
        <f t="shared" ref="Q22" si="11">Q$20*O22</f>
        <v>52397.649961587718</v>
      </c>
      <c r="R22" s="319">
        <f t="shared" ref="R22" si="12">Q22+R$20</f>
        <v>57397.649961587718</v>
      </c>
      <c r="S22" s="297">
        <f>M22*L22</f>
        <v>1.1500000000000001</v>
      </c>
      <c r="T22" s="46"/>
      <c r="U22" s="9"/>
      <c r="X22" s="4"/>
    </row>
    <row r="23" spans="2:25" ht="17.399999999999999" x14ac:dyDescent="0.3">
      <c r="B23" s="330">
        <v>1</v>
      </c>
      <c r="C23" s="330" t="s">
        <v>171</v>
      </c>
      <c r="D23" s="331">
        <v>1.72</v>
      </c>
      <c r="E23" s="331">
        <v>0.9</v>
      </c>
      <c r="F23" s="330" t="s">
        <v>172</v>
      </c>
      <c r="G23" s="332">
        <v>122162</v>
      </c>
      <c r="H23" s="332">
        <f t="shared" si="5"/>
        <v>122162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1.8</v>
      </c>
      <c r="N23" s="39">
        <f t="shared" ref="N23" si="15">E23+$N$19</f>
        <v>0.9</v>
      </c>
      <c r="O23" s="261">
        <f t="shared" ref="O23" si="16">M23*N23</f>
        <v>1.62</v>
      </c>
      <c r="P23" s="259">
        <f t="shared" ref="P23" si="17">O23*L23</f>
        <v>1.62</v>
      </c>
      <c r="Q23" s="252">
        <f t="shared" ref="Q23" si="18">Q$20*O23</f>
        <v>117162.4471190781</v>
      </c>
      <c r="R23" s="319">
        <f t="shared" ref="R23" si="19">Q23+R$20</f>
        <v>122162.4471190781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294595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2.52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55973.05</v>
      </c>
      <c r="I27" s="322"/>
      <c r="J27" s="265"/>
      <c r="K27" s="47"/>
      <c r="L27" s="47"/>
      <c r="M27" s="39">
        <f>SUM(M21:M22)</f>
        <v>3.5650000000000004</v>
      </c>
      <c r="N27" s="12"/>
      <c r="O27" s="12"/>
      <c r="P27" s="253">
        <f>SUM(P21:P25)</f>
        <v>3.8659500000000002</v>
      </c>
      <c r="Q27" s="14"/>
      <c r="R27" s="12"/>
      <c r="S27" s="239">
        <f>SUM(S21:S26)</f>
        <v>3.5650000000000004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350568.05</v>
      </c>
      <c r="I28" s="322"/>
      <c r="J28" s="265"/>
      <c r="K28" s="47"/>
      <c r="L28" s="47"/>
      <c r="M28" s="39"/>
      <c r="N28" s="12"/>
      <c r="O28" s="12"/>
      <c r="P28" s="253">
        <f>P27</f>
        <v>3.8659500000000002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0.77319000000000004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4.6391400000000003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4.6391400000000003</v>
      </c>
      <c r="N32" s="12">
        <v>1500</v>
      </c>
      <c r="O32" s="12">
        <f t="shared" ref="O32:O37" si="20">M32*N32</f>
        <v>6958.71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1.3</v>
      </c>
      <c r="N33" s="12">
        <v>25000</v>
      </c>
      <c r="O33" s="12">
        <f t="shared" si="20"/>
        <v>32500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20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2</v>
      </c>
      <c r="N35" s="250">
        <v>43815</v>
      </c>
      <c r="O35" s="12">
        <f t="shared" si="20"/>
        <v>87630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/>
      <c r="N37" s="12">
        <v>500</v>
      </c>
      <c r="O37" s="12">
        <f t="shared" si="20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127088.70999999999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279595.16200000001</v>
      </c>
      <c r="P39" s="14" t="s">
        <v>140</v>
      </c>
      <c r="Q39" s="14"/>
      <c r="R39" s="40">
        <f>P30/R38</f>
        <v>1.2508466350301986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60910</v>
      </c>
      <c r="L40" s="250"/>
      <c r="M40" s="14"/>
      <c r="N40" s="12"/>
      <c r="O40" s="12">
        <f>O39/P28</f>
        <v>72322.49822165315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51184.873949579836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45674</v>
      </c>
    </row>
    <row r="6" spans="2:31" ht="16.2" thickBot="1" x14ac:dyDescent="0.35">
      <c r="B6" s="140" t="s">
        <v>2</v>
      </c>
      <c r="C6" s="139" t="str">
        <f>'2229'!C10</f>
        <v>RENE VELASQUEZ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-30043.64645012077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294595</v>
      </c>
      <c r="E11" s="132">
        <f>D11*0.19</f>
        <v>55973.05</v>
      </c>
      <c r="F11" s="131">
        <f>E11+D11</f>
        <v>350568.05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75946.353549879233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69292.800787439613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57946.353549879233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225302.19921256037</v>
      </c>
      <c r="E13" s="221">
        <f>(D11/D12)-1</f>
        <v>3.251451761975825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48946.353549879233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9946.3535498792298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114333.12129927536</v>
      </c>
      <c r="F15" s="216">
        <f>E15-D12</f>
        <v>45040.320511835744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9946.3535498792298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49946.353549879233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32500</v>
      </c>
      <c r="E19" s="123">
        <f>D19*0.19</f>
        <v>6175</v>
      </c>
      <c r="F19" s="120">
        <f>SUM(D19:E19)</f>
        <v>38675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6958.71</v>
      </c>
      <c r="E20" s="121">
        <f>D20*0.19</f>
        <v>1322.1549</v>
      </c>
      <c r="F20" s="120">
        <f>SUM(D20:E20)</f>
        <v>8280.8649000000005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39458.71</v>
      </c>
      <c r="E21" s="116">
        <f>SUM(E18:E20)</f>
        <v>7497.1548999999995</v>
      </c>
      <c r="F21" s="115">
        <f>SUM(F18:F20)</f>
        <v>46955.8649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48475.895100000002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294595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39458.71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225302.19921256037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225302.19921256037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2025-01-17T20:24:09Z</dcterms:modified>
</cp:coreProperties>
</file>