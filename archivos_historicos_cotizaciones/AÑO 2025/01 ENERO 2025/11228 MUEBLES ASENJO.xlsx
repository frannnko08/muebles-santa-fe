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AÑOS ANTERIORES\01 ENERO 2025\"/>
    </mc:Choice>
  </mc:AlternateContent>
  <xr:revisionPtr revIDLastSave="0" documentId="13_ncr:1_{0DBA53E9-4F87-4950-939F-01C234CC82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M32" i="1"/>
  <c r="N32" i="1"/>
  <c r="O32" i="1"/>
  <c r="P32" i="1"/>
  <c r="S32" i="1"/>
  <c r="L33" i="1"/>
  <c r="S33" i="1" s="1"/>
  <c r="M33" i="1"/>
  <c r="O33" i="1" s="1"/>
  <c r="P33" i="1" s="1"/>
  <c r="N33" i="1"/>
  <c r="L34" i="1"/>
  <c r="S34" i="1" s="1"/>
  <c r="M34" i="1"/>
  <c r="O34" i="1" s="1"/>
  <c r="P34" i="1" s="1"/>
  <c r="N34" i="1"/>
  <c r="H33" i="1"/>
  <c r="H34" i="1"/>
  <c r="H32" i="1"/>
  <c r="H24" i="1"/>
  <c r="H25" i="1"/>
  <c r="H26" i="1"/>
  <c r="H27" i="1"/>
  <c r="H28" i="1"/>
  <c r="H29" i="1"/>
  <c r="H30" i="1"/>
  <c r="H31" i="1"/>
  <c r="M24" i="1"/>
  <c r="N24" i="1"/>
  <c r="O24" i="1" s="1"/>
  <c r="S25" i="1"/>
  <c r="M25" i="1"/>
  <c r="N25" i="1"/>
  <c r="O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O31" i="1" l="1"/>
  <c r="P31" i="1"/>
  <c r="S31" i="1"/>
  <c r="P25" i="1"/>
  <c r="O29" i="1"/>
  <c r="P29" i="1" s="1"/>
  <c r="O28" i="1"/>
  <c r="P28" i="1" s="1"/>
  <c r="S24" i="1"/>
  <c r="S30" i="1"/>
  <c r="S29" i="1"/>
  <c r="S28" i="1"/>
  <c r="S27" i="1"/>
  <c r="S26" i="1"/>
  <c r="P24" i="1"/>
  <c r="O26" i="1"/>
  <c r="P26" i="1" s="1"/>
  <c r="O30" i="1"/>
  <c r="P30" i="1" s="1"/>
  <c r="O27" i="1"/>
  <c r="P27" i="1" s="1"/>
  <c r="M22" i="1"/>
  <c r="N22" i="1"/>
  <c r="M23" i="1"/>
  <c r="N23" i="1"/>
  <c r="H22" i="1"/>
  <c r="H23" i="1"/>
  <c r="K44" i="1"/>
  <c r="K46" i="1"/>
  <c r="N21" i="1"/>
  <c r="S23" i="1" l="1"/>
  <c r="O23" i="1"/>
  <c r="P23" i="1" s="1"/>
  <c r="O22" i="1"/>
  <c r="P22" i="1" s="1"/>
  <c r="K47" i="1"/>
  <c r="K48" i="1" s="1"/>
  <c r="K49" i="1" s="1"/>
  <c r="M21" i="1"/>
  <c r="M38" i="1" s="1"/>
  <c r="T21" i="1" l="1"/>
  <c r="T37" i="1" s="1"/>
  <c r="S39" i="1"/>
  <c r="O21" i="1"/>
  <c r="P21" i="1" s="1"/>
  <c r="P38" i="1" s="1"/>
  <c r="K52" i="1"/>
  <c r="S40" i="1" l="1"/>
  <c r="S41" i="1" s="1"/>
  <c r="S42" i="1" s="1"/>
  <c r="V45" i="1"/>
  <c r="V46" i="1" s="1"/>
  <c r="O44" i="1" l="1"/>
  <c r="P39" i="1" l="1"/>
  <c r="N20" i="1"/>
  <c r="L20" i="1"/>
  <c r="P40" i="1" l="1"/>
  <c r="P41" i="1" s="1"/>
  <c r="M43" i="1" s="1"/>
  <c r="O45" i="1"/>
  <c r="R49" i="1"/>
  <c r="R50" i="1" l="1"/>
  <c r="O4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8" i="1"/>
  <c r="O47" i="1"/>
  <c r="F18" i="3" l="1"/>
  <c r="O43" i="1" l="1"/>
  <c r="O49" i="1" s="1"/>
  <c r="O50" i="1" s="1"/>
  <c r="D20" i="3" l="1"/>
  <c r="E20" i="3" s="1"/>
  <c r="E21" i="3" s="1"/>
  <c r="O51" i="1" l="1"/>
  <c r="Q20" i="1" s="1"/>
  <c r="D21" i="3"/>
  <c r="M43" i="3" s="1"/>
  <c r="D12" i="3" s="1"/>
  <c r="F20" i="3"/>
  <c r="F21" i="3" s="1"/>
  <c r="Q32" i="1" l="1"/>
  <c r="R32" i="1" s="1"/>
  <c r="Q33" i="1"/>
  <c r="R33" i="1" s="1"/>
  <c r="Q34" i="1"/>
  <c r="R34" i="1" s="1"/>
  <c r="Q25" i="1"/>
  <c r="R25" i="1" s="1"/>
  <c r="Q29" i="1"/>
  <c r="R29" i="1" s="1"/>
  <c r="Q24" i="1"/>
  <c r="R24" i="1" s="1"/>
  <c r="Q28" i="1"/>
  <c r="R28" i="1" s="1"/>
  <c r="Q27" i="1"/>
  <c r="R27" i="1" s="1"/>
  <c r="Q31" i="1"/>
  <c r="R31" i="1" s="1"/>
  <c r="Q26" i="1"/>
  <c r="R26" i="1" s="1"/>
  <c r="Q30" i="1"/>
  <c r="R30" i="1" s="1"/>
  <c r="Q23" i="1"/>
  <c r="R23" i="1" s="1"/>
  <c r="Q22" i="1"/>
  <c r="R22" i="1" s="1"/>
  <c r="O52" i="1"/>
  <c r="E15" i="3"/>
  <c r="Q21" i="1" l="1"/>
  <c r="F15" i="3"/>
  <c r="R21" i="1" l="1"/>
  <c r="H21" i="1" l="1"/>
  <c r="H37" i="1" s="1"/>
  <c r="H38" i="1" s="1"/>
  <c r="H39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<sst xmlns="http://schemas.openxmlformats.org/spreadsheetml/2006/main" count="256" uniqueCount="176">
  <si>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</si>
  <si>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</si>
  <si>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</si>
  <si>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</si>
  <si>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</si>
  <si>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</si>
  <si>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</si>
  <si>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</si>
  <si>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</si>
  <si>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</si>
  <si>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</si>
  <si>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</si>
  <si>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</si>
  <si>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</si>
  <si>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</si>
  <si>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</si>
  <si>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</si>
  <si>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</si>
  <si>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</si>
  <si>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</si>
  <si>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</si>
  <si>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</si>
  <si>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</si>
  <si>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</si>
  <si>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</si>
  <si>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</si>
  <si>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</si>
  <si>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</si>
  <si>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</si>
  <si>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</si>
  <si>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</si>
  <si>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</si>
  <si>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</si>
  <si>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</si>
  <si>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</si>
  <si>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</si>
  <si>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</si>
  <si>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</si>
  <si>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</si>
  <si>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</si>
  <si>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</si>
  <si>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</si>
  <si>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</si>
  <si>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</si>
  <si>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</si>
  <si>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</si>
  <si>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</si>
  <si>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</si>
  <si>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</si>
  <si>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</si>
  <si>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</si>
  <si>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</si>
  <si>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</si>
  <si>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</si>
  <si>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</si>
  <si>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</si>
  <si>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</si>
  <si>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</si>
  <si>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</si>
  <si>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</si>
  <si>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</si>
  <si>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</si>
  <si>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</si>
  <si>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</si>
  <si>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</si>
  <si>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</si>
  <si>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</si>
  <si>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</si>
  <si>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</si>
  <si>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</si>
  <si>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</si>
  <si>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</si>
  <si>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</si>
  <si>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</si>
  <si>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</si>
  <si>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</si>
  <si>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</si>
  <si>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</si>
  <si>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</si>
  <si>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</si>
  <si>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</si>
  <si>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</si>
  <si>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</si>
  <si>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</si>
  <si>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</si>
  <si>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</si>
  <si>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</si>
  <si>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</si>
  <si>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</si>
  <si>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</si>
  <si>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</si>
  <si>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</si>
  <si>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</si>
  <si>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</si>
  <si>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</si>
  <si>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</si>
  <si>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</si>
  <si>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</si>
  <si>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</si>
  <si>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</si>
  <si>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</si>
  <si>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</si>
  <si>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</si>
  <si>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</si>
  <si>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</si>
  <si>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</si>
  <si>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</si>
  <si>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</si>
  <si>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</si>
  <si>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</si>
  <si>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</si>
  <si>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</si>
  <si>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</si>
  <si>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</si>
  <si>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</si>
  <si>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</si>
  <si>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</si>
  <si>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</si>
  <si>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</si>
  <si>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</si>
  <si>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</si>
  <si>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</si>
  <si>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</si>
  <si>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</si>
  <si>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</si>
  <si>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</si>
  <si>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</si>
  <si>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</si>
  <si>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</si>
  <si>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</si>
  <si>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</si>
  <si>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</si>
  <si>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</si>
  <si>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</si>
  <si>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</si>
  <si>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</si>
  <si>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</si>
  <si>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</si>
  <si>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</si>
  <si>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</si>
  <si>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</si>
  <si>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</si>
  <si>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</si>
  <si>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</si>
  <si>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</si>
  <si>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</si>
  <si>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</si>
  <si>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</si>
  <si>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</si>
  <si>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</si>
  <si>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</si>
  <si>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</si>
  <si>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</si>
  <si>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</si>
  <si>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</si>
  <si>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</si>
  <si>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</si>
  <si>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</si>
  <si>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</si>
  <si>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</si>
  <si>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</si>
  <si>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</si>
  <si>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</si>
  <si>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</si>
  <si>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</si>
  <si>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</si>
  <si>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</si>
  <si>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</si>
  <si>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</si>
  <si>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+569 9884 4786</t>
  </si>
  <si>
    <t>N° 11228</t>
  </si>
  <si>
    <t>5 DIAS HABILES</t>
  </si>
  <si>
    <t>CUB S/R 180°</t>
  </si>
  <si>
    <t>CUB C/R 180°</t>
  </si>
  <si>
    <t>CUB MESA 180° 2LADOS</t>
  </si>
  <si>
    <t>HUMO 2108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</si>
</sst>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40</xdr:row>
      <xdr:rowOff>8194</xdr:rowOff>
    </xdr:from>
    <xdr:to>
      <xdr:col>8</xdr:col>
      <xdr:colOff>8193</xdr:colOff>
      <xdr:row>43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42</xdr:row>
      <xdr:rowOff>154305</xdr:rowOff>
    </xdr:from>
    <xdr:to>
      <xdr:col>7</xdr:col>
      <xdr:colOff>853440</xdr:colOff>
      <xdr:row>42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40</xdr:row>
      <xdr:rowOff>9525</xdr:rowOff>
    </xdr:from>
    <xdr:to>
      <xdr:col>5</xdr:col>
      <xdr:colOff>1745226</xdr:colOff>
      <xdr:row>43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36</xdr:row>
      <xdr:rowOff>9525</xdr:rowOff>
    </xdr:from>
    <xdr:to>
      <xdr:col>5</xdr:col>
      <xdr:colOff>1728839</xdr:colOff>
      <xdr:row>39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4"/>
  <sheetViews>
    <sheetView tabSelected="1" topLeftCell="A17" zoomScale="93" zoomScaleNormal="93" workbookViewId="0">
      <selection activeCell="G35" sqref="G35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22.109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45659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O51</f>
        <v>49481.825197761915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4</v>
      </c>
      <c r="C21" s="330" t="s">
        <v>172</v>
      </c>
      <c r="D21" s="331">
        <v>1.77</v>
      </c>
      <c r="E21" s="331">
        <v>0.7</v>
      </c>
      <c r="F21" s="330" t="s">
        <v>175</v>
      </c>
      <c r="G21" s="332">
        <v>64079</v>
      </c>
      <c r="H21" s="332">
        <f>G21*B21</f>
        <v>256316</v>
      </c>
      <c r="I21" s="320"/>
      <c r="J21" s="265"/>
      <c r="K21" s="47"/>
      <c r="L21" s="333">
        <v>4</v>
      </c>
      <c r="M21" s="39">
        <f>D21+M$19</f>
        <v>1.85</v>
      </c>
      <c r="N21" s="39">
        <f>E21+$N$19</f>
        <v>0.7</v>
      </c>
      <c r="O21" s="261">
        <f t="shared" ref="O21" si="1">M21*N21</f>
        <v>1.2949999999999999</v>
      </c>
      <c r="P21" s="259">
        <f t="shared" ref="P21" si="2">O21*L21</f>
        <v>5.18</v>
      </c>
      <c r="Q21" s="252">
        <f t="shared" ref="Q21" si="3">Q$20*O21</f>
        <v>64078.963631101673</v>
      </c>
      <c r="R21" s="319">
        <f t="shared" ref="R21" si="4">Q21+R$20</f>
        <v>67078.96363110168</v>
      </c>
      <c r="S21" s="297"/>
      <c r="T21" s="46">
        <f>N21*2*L21*2</f>
        <v>11.2</v>
      </c>
      <c r="U21" s="9"/>
      <c r="X21" s="4"/>
    </row>
    <row r="22" spans="2:25" ht="17.399999999999999" x14ac:dyDescent="0.3">
      <c r="B22" s="330">
        <v>3</v>
      </c>
      <c r="C22" s="330" t="s">
        <v>174</v>
      </c>
      <c r="D22" s="331">
        <v>3</v>
      </c>
      <c r="E22" s="331">
        <v>1.2</v>
      </c>
      <c r="F22" s="330" t="s">
        <v>175</v>
      </c>
      <c r="G22" s="332">
        <v>182885</v>
      </c>
      <c r="H22" s="332">
        <f t="shared" ref="H22:H31" si="5">G22*B22</f>
        <v>548655</v>
      </c>
      <c r="I22" s="320"/>
      <c r="J22" s="265"/>
      <c r="K22" s="47"/>
      <c r="L22" s="47">
        <v>3</v>
      </c>
      <c r="M22" s="39">
        <f t="shared" ref="M22:M23" si="6">D22+M$19</f>
        <v>3.08</v>
      </c>
      <c r="N22" s="39">
        <f t="shared" ref="N22:N23" si="7">E22+$N$19</f>
        <v>1.2</v>
      </c>
      <c r="O22" s="261">
        <f t="shared" ref="O22:O23" si="8">M22*N22</f>
        <v>3.6959999999999997</v>
      </c>
      <c r="P22" s="259">
        <f t="shared" ref="P22:P23" si="9">O22*L22</f>
        <v>11.087999999999999</v>
      </c>
      <c r="Q22" s="252">
        <f t="shared" ref="Q22:Q23" si="10">Q$20*O22</f>
        <v>182884.82593092803</v>
      </c>
      <c r="R22" s="319">
        <f t="shared" ref="R22:R23" si="11">Q22+R$20</f>
        <v>185884.82593092803</v>
      </c>
      <c r="S22" s="297"/>
      <c r="T22" s="46"/>
      <c r="U22" s="9"/>
      <c r="X22" s="4"/>
    </row>
    <row r="23" spans="2:25" ht="17.399999999999999" x14ac:dyDescent="0.3">
      <c r="B23" s="330">
        <v>1</v>
      </c>
      <c r="C23" s="330" t="s">
        <v>173</v>
      </c>
      <c r="D23" s="331">
        <v>2.89</v>
      </c>
      <c r="E23" s="331">
        <v>0.7</v>
      </c>
      <c r="F23" s="330" t="s">
        <v>175</v>
      </c>
      <c r="G23" s="332">
        <v>102873</v>
      </c>
      <c r="H23" s="332">
        <f t="shared" si="5"/>
        <v>102873</v>
      </c>
      <c r="I23" s="320"/>
      <c r="J23" s="265"/>
      <c r="K23" s="47"/>
      <c r="L23" s="47">
        <v>1</v>
      </c>
      <c r="M23" s="39">
        <f t="shared" si="6"/>
        <v>2.97</v>
      </c>
      <c r="N23" s="39">
        <f t="shared" si="7"/>
        <v>0.7</v>
      </c>
      <c r="O23" s="261">
        <f t="shared" si="8"/>
        <v>2.0790000000000002</v>
      </c>
      <c r="P23" s="259">
        <f t="shared" si="9"/>
        <v>2.0790000000000002</v>
      </c>
      <c r="Q23" s="252">
        <f t="shared" si="10"/>
        <v>102872.71458614703</v>
      </c>
      <c r="R23" s="319">
        <f t="shared" si="11"/>
        <v>105872.71458614703</v>
      </c>
      <c r="S23" s="297">
        <f t="shared" ref="S23:S31" si="12">L23*M23*2</f>
        <v>5.94</v>
      </c>
      <c r="T23" s="46"/>
      <c r="U23" s="9"/>
      <c r="X23" s="4"/>
    </row>
    <row r="24" spans="2:25" ht="17.399999999999999" x14ac:dyDescent="0.3">
      <c r="B24" s="330">
        <v>1</v>
      </c>
      <c r="C24" s="330" t="s">
        <v>173</v>
      </c>
      <c r="D24" s="331">
        <v>3</v>
      </c>
      <c r="E24" s="331">
        <v>0.7</v>
      </c>
      <c r="F24" s="330" t="s">
        <v>175</v>
      </c>
      <c r="G24" s="332">
        <v>106683</v>
      </c>
      <c r="H24" s="332">
        <f t="shared" si="5"/>
        <v>106683</v>
      </c>
      <c r="I24" s="320"/>
      <c r="J24" s="265"/>
      <c r="K24" s="47"/>
      <c r="L24" s="47">
        <v>1</v>
      </c>
      <c r="M24" s="39">
        <f t="shared" ref="M24:M31" si="13">D24+M$19</f>
        <v>3.08</v>
      </c>
      <c r="N24" s="39">
        <f t="shared" ref="N24:N31" si="14">E24+$N$19</f>
        <v>0.7</v>
      </c>
      <c r="O24" s="261">
        <f t="shared" ref="O24:O31" si="15">M24*N24</f>
        <v>2.1559999999999997</v>
      </c>
      <c r="P24" s="259">
        <f t="shared" ref="P24:P31" si="16">O24*L24</f>
        <v>2.1559999999999997</v>
      </c>
      <c r="Q24" s="252">
        <f t="shared" ref="Q24:Q31" si="17">Q$20*O24</f>
        <v>106682.81512637467</v>
      </c>
      <c r="R24" s="319">
        <f t="shared" ref="R24:R31" si="18">Q24+R$20</f>
        <v>109682.81512637467</v>
      </c>
      <c r="S24" s="297">
        <f t="shared" si="12"/>
        <v>6.16</v>
      </c>
      <c r="T24" s="46"/>
      <c r="U24" s="9"/>
      <c r="X24" s="4"/>
    </row>
    <row r="25" spans="2:25" ht="17.399999999999999" x14ac:dyDescent="0.3">
      <c r="B25" s="330">
        <v>1</v>
      </c>
      <c r="C25" s="330" t="s">
        <v>173</v>
      </c>
      <c r="D25" s="331">
        <v>1.4</v>
      </c>
      <c r="E25" s="331">
        <v>0.7</v>
      </c>
      <c r="F25" s="330" t="s">
        <v>175</v>
      </c>
      <c r="G25" s="332">
        <v>51263</v>
      </c>
      <c r="H25" s="332">
        <f t="shared" si="5"/>
        <v>51263</v>
      </c>
      <c r="I25" s="320"/>
      <c r="J25" s="265"/>
      <c r="K25" s="47"/>
      <c r="L25" s="47">
        <v>1</v>
      </c>
      <c r="M25" s="39">
        <f t="shared" si="13"/>
        <v>1.48</v>
      </c>
      <c r="N25" s="39">
        <f t="shared" si="14"/>
        <v>0.7</v>
      </c>
      <c r="O25" s="261">
        <f t="shared" si="15"/>
        <v>1.036</v>
      </c>
      <c r="P25" s="259">
        <f t="shared" si="16"/>
        <v>1.036</v>
      </c>
      <c r="Q25" s="252">
        <f t="shared" si="17"/>
        <v>51263.170904881343</v>
      </c>
      <c r="R25" s="319">
        <f t="shared" si="18"/>
        <v>54263.170904881343</v>
      </c>
      <c r="S25" s="297">
        <f t="shared" si="12"/>
        <v>2.96</v>
      </c>
      <c r="T25" s="46"/>
      <c r="U25" s="9"/>
      <c r="X25" s="4"/>
    </row>
    <row r="26" spans="2:25" ht="17.399999999999999" x14ac:dyDescent="0.3">
      <c r="B26" s="330">
        <v>1</v>
      </c>
      <c r="C26" s="330" t="s">
        <v>173</v>
      </c>
      <c r="D26" s="331">
        <v>2.5099999999999998</v>
      </c>
      <c r="E26" s="331">
        <v>0.7</v>
      </c>
      <c r="F26" s="330" t="s">
        <v>175</v>
      </c>
      <c r="G26" s="332">
        <v>89711</v>
      </c>
      <c r="H26" s="332">
        <f t="shared" si="5"/>
        <v>89711</v>
      </c>
      <c r="I26" s="320"/>
      <c r="J26" s="265"/>
      <c r="K26" s="47"/>
      <c r="L26" s="47">
        <f t="shared" ref="L26:L31" si="19">B26</f>
        <v>1</v>
      </c>
      <c r="M26" s="39">
        <f t="shared" si="13"/>
        <v>2.59</v>
      </c>
      <c r="N26" s="39">
        <f t="shared" si="14"/>
        <v>0.7</v>
      </c>
      <c r="O26" s="261">
        <f t="shared" si="15"/>
        <v>1.8129999999999997</v>
      </c>
      <c r="P26" s="259">
        <f t="shared" si="16"/>
        <v>1.8129999999999997</v>
      </c>
      <c r="Q26" s="252">
        <f t="shared" si="17"/>
        <v>89710.549083542341</v>
      </c>
      <c r="R26" s="319">
        <f t="shared" si="18"/>
        <v>92710.549083542341</v>
      </c>
      <c r="S26" s="297">
        <f t="shared" si="12"/>
        <v>5.18</v>
      </c>
      <c r="T26" s="46"/>
      <c r="U26" s="9"/>
      <c r="X26" s="4"/>
    </row>
    <row r="27" spans="2:25" ht="17.399999999999999" x14ac:dyDescent="0.3">
      <c r="B27" s="330">
        <v>1</v>
      </c>
      <c r="C27" s="330" t="s">
        <v>173</v>
      </c>
      <c r="D27" s="331">
        <v>2.0699999999999998</v>
      </c>
      <c r="E27" s="331">
        <v>0.7</v>
      </c>
      <c r="F27" s="330" t="s">
        <v>175</v>
      </c>
      <c r="G27" s="332">
        <v>74470</v>
      </c>
      <c r="H27" s="332">
        <f t="shared" si="5"/>
        <v>74470</v>
      </c>
      <c r="I27" s="320"/>
      <c r="J27" s="265"/>
      <c r="K27" s="47"/>
      <c r="L27" s="47">
        <f t="shared" si="19"/>
        <v>1</v>
      </c>
      <c r="M27" s="39">
        <f t="shared" si="13"/>
        <v>2.15</v>
      </c>
      <c r="N27" s="39">
        <f t="shared" si="14"/>
        <v>0.7</v>
      </c>
      <c r="O27" s="261">
        <f t="shared" si="15"/>
        <v>1.5049999999999999</v>
      </c>
      <c r="P27" s="259">
        <f t="shared" si="16"/>
        <v>1.5049999999999999</v>
      </c>
      <c r="Q27" s="252">
        <f t="shared" si="17"/>
        <v>74470.146922631669</v>
      </c>
      <c r="R27" s="319">
        <f t="shared" si="18"/>
        <v>77470.146922631669</v>
      </c>
      <c r="S27" s="297">
        <f t="shared" si="12"/>
        <v>4.3</v>
      </c>
      <c r="T27" s="46"/>
      <c r="U27" s="9"/>
      <c r="X27" s="4"/>
    </row>
    <row r="28" spans="2:25" ht="17.399999999999999" x14ac:dyDescent="0.3">
      <c r="B28" s="330">
        <v>1</v>
      </c>
      <c r="C28" s="330" t="s">
        <v>173</v>
      </c>
      <c r="D28" s="331">
        <v>2.12</v>
      </c>
      <c r="E28" s="331">
        <v>0.7</v>
      </c>
      <c r="F28" s="330" t="s">
        <v>175</v>
      </c>
      <c r="G28" s="332">
        <v>76202</v>
      </c>
      <c r="H28" s="332">
        <f t="shared" si="5"/>
        <v>76202</v>
      </c>
      <c r="I28" s="320"/>
      <c r="J28" s="265"/>
      <c r="K28" s="47"/>
      <c r="L28" s="47">
        <f t="shared" si="19"/>
        <v>1</v>
      </c>
      <c r="M28" s="39">
        <f t="shared" si="13"/>
        <v>2.2000000000000002</v>
      </c>
      <c r="N28" s="39">
        <f t="shared" si="14"/>
        <v>0.7</v>
      </c>
      <c r="O28" s="261">
        <f t="shared" si="15"/>
        <v>1.54</v>
      </c>
      <c r="P28" s="259">
        <f t="shared" si="16"/>
        <v>1.54</v>
      </c>
      <c r="Q28" s="252">
        <f t="shared" si="17"/>
        <v>76202.010804553356</v>
      </c>
      <c r="R28" s="319">
        <f t="shared" si="18"/>
        <v>79202.010804553356</v>
      </c>
      <c r="S28" s="297">
        <f t="shared" si="12"/>
        <v>4.4000000000000004</v>
      </c>
      <c r="T28" s="46"/>
      <c r="U28" s="9"/>
      <c r="X28" s="4"/>
    </row>
    <row r="29" spans="2:25" ht="17.399999999999999" x14ac:dyDescent="0.3">
      <c r="B29" s="330">
        <v>1</v>
      </c>
      <c r="C29" s="330" t="s">
        <v>173</v>
      </c>
      <c r="D29" s="331">
        <v>2.1419999999999999</v>
      </c>
      <c r="E29" s="331">
        <v>0.7</v>
      </c>
      <c r="F29" s="330" t="s">
        <v>175</v>
      </c>
      <c r="G29" s="332">
        <v>76964</v>
      </c>
      <c r="H29" s="332">
        <f t="shared" si="5"/>
        <v>76964</v>
      </c>
      <c r="I29" s="320"/>
      <c r="J29" s="265"/>
      <c r="K29" s="47"/>
      <c r="L29" s="47">
        <f t="shared" si="19"/>
        <v>1</v>
      </c>
      <c r="M29" s="39">
        <f t="shared" si="13"/>
        <v>2.222</v>
      </c>
      <c r="N29" s="39">
        <f t="shared" si="14"/>
        <v>0.7</v>
      </c>
      <c r="O29" s="261">
        <f t="shared" si="15"/>
        <v>1.5553999999999999</v>
      </c>
      <c r="P29" s="259">
        <f t="shared" si="16"/>
        <v>1.5553999999999999</v>
      </c>
      <c r="Q29" s="252">
        <f t="shared" si="17"/>
        <v>76964.030912598872</v>
      </c>
      <c r="R29" s="319">
        <f t="shared" si="18"/>
        <v>79964.030912598872</v>
      </c>
      <c r="S29" s="297">
        <f t="shared" si="12"/>
        <v>4.444</v>
      </c>
      <c r="T29" s="46"/>
      <c r="U29" s="9"/>
      <c r="X29" s="4"/>
    </row>
    <row r="30" spans="2:25" ht="17.399999999999999" x14ac:dyDescent="0.3">
      <c r="B30" s="330">
        <v>1</v>
      </c>
      <c r="C30" s="330" t="s">
        <v>173</v>
      </c>
      <c r="D30" s="331">
        <v>2.1</v>
      </c>
      <c r="E30" s="331">
        <v>0.7</v>
      </c>
      <c r="F30" s="330" t="s">
        <v>175</v>
      </c>
      <c r="G30" s="332">
        <v>75509</v>
      </c>
      <c r="H30" s="332">
        <f t="shared" si="5"/>
        <v>75509</v>
      </c>
      <c r="I30" s="320"/>
      <c r="J30" s="265"/>
      <c r="K30" s="47"/>
      <c r="L30" s="47">
        <f t="shared" si="19"/>
        <v>1</v>
      </c>
      <c r="M30" s="39">
        <f t="shared" si="13"/>
        <v>2.1800000000000002</v>
      </c>
      <c r="N30" s="39">
        <f t="shared" si="14"/>
        <v>0.7</v>
      </c>
      <c r="O30" s="261">
        <f t="shared" si="15"/>
        <v>1.526</v>
      </c>
      <c r="P30" s="259">
        <f t="shared" si="16"/>
        <v>1.526</v>
      </c>
      <c r="Q30" s="252">
        <f t="shared" si="17"/>
        <v>75509.265251784687</v>
      </c>
      <c r="R30" s="319">
        <f t="shared" si="18"/>
        <v>78509.265251784687</v>
      </c>
      <c r="S30" s="297">
        <f t="shared" si="12"/>
        <v>4.3600000000000003</v>
      </c>
      <c r="T30" s="46"/>
      <c r="U30" s="9"/>
      <c r="X30" s="4"/>
    </row>
    <row r="31" spans="2:25" ht="17.399999999999999" x14ac:dyDescent="0.3">
      <c r="B31" s="330">
        <v>1</v>
      </c>
      <c r="C31" s="330" t="s">
        <v>173</v>
      </c>
      <c r="D31" s="331">
        <v>2.528</v>
      </c>
      <c r="E31" s="331">
        <v>0.7</v>
      </c>
      <c r="F31" s="330" t="s">
        <v>175</v>
      </c>
      <c r="G31" s="332">
        <v>90334</v>
      </c>
      <c r="H31" s="332">
        <f t="shared" si="5"/>
        <v>90334</v>
      </c>
      <c r="I31" s="320"/>
      <c r="J31" s="265"/>
      <c r="K31" s="47"/>
      <c r="L31" s="47">
        <f t="shared" si="19"/>
        <v>1</v>
      </c>
      <c r="M31" s="39">
        <f t="shared" si="13"/>
        <v>2.6080000000000001</v>
      </c>
      <c r="N31" s="39">
        <f t="shared" si="14"/>
        <v>0.7</v>
      </c>
      <c r="O31" s="261">
        <f t="shared" si="15"/>
        <v>1.8255999999999999</v>
      </c>
      <c r="P31" s="259">
        <f t="shared" si="16"/>
        <v>1.8255999999999999</v>
      </c>
      <c r="Q31" s="252">
        <f t="shared" si="17"/>
        <v>90334.020081034148</v>
      </c>
      <c r="R31" s="319">
        <f t="shared" si="18"/>
        <v>93334.020081034148</v>
      </c>
      <c r="S31" s="297">
        <f t="shared" si="12"/>
        <v>5.2160000000000002</v>
      </c>
      <c r="T31" s="46"/>
      <c r="U31" s="9"/>
      <c r="X31" s="4"/>
    </row>
    <row r="32" spans="2:25" ht="17.399999999999999" x14ac:dyDescent="0.3">
      <c r="B32" s="330">
        <v>1</v>
      </c>
      <c r="C32" s="330" t="s">
        <v>173</v>
      </c>
      <c r="D32" s="331">
        <v>2.6349999999999998</v>
      </c>
      <c r="E32" s="331">
        <v>0.7</v>
      </c>
      <c r="F32" s="330" t="s">
        <v>175</v>
      </c>
      <c r="G32" s="332">
        <v>94040</v>
      </c>
      <c r="H32" s="332">
        <f t="shared" ref="H32" si="20">G32*B32</f>
        <v>94040</v>
      </c>
      <c r="I32" s="320"/>
      <c r="J32" s="265"/>
      <c r="K32" s="47"/>
      <c r="L32" s="47">
        <f t="shared" ref="L32:L34" si="21">B32</f>
        <v>1</v>
      </c>
      <c r="M32" s="39">
        <f t="shared" ref="M32:M34" si="22">D32+M$19</f>
        <v>2.7149999999999999</v>
      </c>
      <c r="N32" s="39">
        <f t="shared" ref="N32:N34" si="23">E32+$N$19</f>
        <v>0.7</v>
      </c>
      <c r="O32" s="261">
        <f t="shared" ref="O32:O34" si="24">M32*N32</f>
        <v>1.9004999999999999</v>
      </c>
      <c r="P32" s="259">
        <f t="shared" ref="P32:P34" si="25">O32*L32</f>
        <v>1.9004999999999999</v>
      </c>
      <c r="Q32" s="252">
        <f t="shared" ref="Q32:Q34" si="26">Q$20*O32</f>
        <v>94040.208788346514</v>
      </c>
      <c r="R32" s="319">
        <f t="shared" ref="R32:R34" si="27">Q32+R$20</f>
        <v>97040.208788346514</v>
      </c>
      <c r="S32" s="297">
        <f t="shared" ref="S32:S34" si="28">L32*M32*2</f>
        <v>5.43</v>
      </c>
      <c r="T32" s="46"/>
      <c r="U32" s="9"/>
      <c r="X32" s="4"/>
    </row>
    <row r="33" spans="1:24" ht="17.399999999999999" x14ac:dyDescent="0.3">
      <c r="B33" s="330">
        <v>1</v>
      </c>
      <c r="C33" s="330" t="s">
        <v>173</v>
      </c>
      <c r="D33" s="331">
        <v>2.1</v>
      </c>
      <c r="E33" s="331">
        <v>0.7</v>
      </c>
      <c r="F33" s="330" t="s">
        <v>175</v>
      </c>
      <c r="G33" s="332">
        <v>75509</v>
      </c>
      <c r="H33" s="332">
        <f t="shared" ref="H33:H34" si="29">G33*B33</f>
        <v>75509</v>
      </c>
      <c r="I33" s="320"/>
      <c r="J33" s="265"/>
      <c r="K33" s="47"/>
      <c r="L33" s="47">
        <f t="shared" si="21"/>
        <v>1</v>
      </c>
      <c r="M33" s="39">
        <f t="shared" si="22"/>
        <v>2.1800000000000002</v>
      </c>
      <c r="N33" s="39">
        <f t="shared" si="23"/>
        <v>0.7</v>
      </c>
      <c r="O33" s="261">
        <f t="shared" si="24"/>
        <v>1.526</v>
      </c>
      <c r="P33" s="259">
        <f t="shared" si="25"/>
        <v>1.526</v>
      </c>
      <c r="Q33" s="252">
        <f t="shared" si="26"/>
        <v>75509.265251784687</v>
      </c>
      <c r="R33" s="319">
        <f t="shared" si="27"/>
        <v>78509.265251784687</v>
      </c>
      <c r="S33" s="297">
        <f t="shared" si="28"/>
        <v>4.3600000000000003</v>
      </c>
      <c r="T33" s="46"/>
      <c r="U33" s="9"/>
      <c r="X33" s="4"/>
    </row>
    <row r="34" spans="1:24" ht="17.399999999999999" x14ac:dyDescent="0.3">
      <c r="B34" s="330">
        <v>1</v>
      </c>
      <c r="C34" s="330" t="s">
        <v>173</v>
      </c>
      <c r="D34" s="331">
        <v>2.1349999999999998</v>
      </c>
      <c r="E34" s="331">
        <v>0.7</v>
      </c>
      <c r="F34" s="330" t="s">
        <v>175</v>
      </c>
      <c r="G34" s="332">
        <v>76722</v>
      </c>
      <c r="H34" s="332">
        <f t="shared" si="29"/>
        <v>76722</v>
      </c>
      <c r="I34" s="320"/>
      <c r="J34" s="265"/>
      <c r="K34" s="47"/>
      <c r="L34" s="47">
        <f t="shared" si="21"/>
        <v>1</v>
      </c>
      <c r="M34" s="39">
        <f t="shared" si="22"/>
        <v>2.2149999999999999</v>
      </c>
      <c r="N34" s="39">
        <f t="shared" si="23"/>
        <v>0.7</v>
      </c>
      <c r="O34" s="261">
        <f t="shared" si="24"/>
        <v>1.5504999999999998</v>
      </c>
      <c r="P34" s="259">
        <f t="shared" si="25"/>
        <v>1.5504999999999998</v>
      </c>
      <c r="Q34" s="252">
        <f t="shared" si="26"/>
        <v>76721.569969129836</v>
      </c>
      <c r="R34" s="319">
        <f t="shared" si="27"/>
        <v>79721.569969129836</v>
      </c>
      <c r="S34" s="297">
        <f t="shared" si="28"/>
        <v>4.43</v>
      </c>
      <c r="T34" s="46"/>
      <c r="U34" s="9"/>
      <c r="X34" s="4"/>
    </row>
    <row r="35" spans="1:24" ht="17.399999999999999" x14ac:dyDescent="0.3">
      <c r="B35" s="285"/>
      <c r="C35" s="285"/>
      <c r="D35" s="286"/>
      <c r="E35" s="286"/>
      <c r="F35" s="285"/>
      <c r="G35" s="320"/>
      <c r="H35" s="320"/>
      <c r="I35" s="320"/>
      <c r="J35" s="265"/>
      <c r="K35" s="47"/>
      <c r="L35" s="47"/>
      <c r="M35" s="39"/>
      <c r="N35" s="39"/>
      <c r="O35" s="261"/>
      <c r="P35" s="259"/>
      <c r="Q35" s="252"/>
      <c r="R35" s="319"/>
      <c r="S35" s="297"/>
      <c r="T35" s="46"/>
      <c r="U35" s="9"/>
      <c r="X35" s="4"/>
    </row>
    <row r="36" spans="1:24" ht="18" thickBot="1" x14ac:dyDescent="0.35">
      <c r="B36" s="285"/>
      <c r="C36" s="285"/>
      <c r="D36" s="286"/>
      <c r="E36" s="286"/>
      <c r="F36" s="285"/>
      <c r="G36" s="265"/>
      <c r="H36" s="321"/>
      <c r="I36" s="323"/>
      <c r="J36" s="233"/>
      <c r="K36" s="47"/>
      <c r="L36" s="47"/>
      <c r="M36" s="39"/>
      <c r="N36" s="39"/>
      <c r="O36" s="261"/>
      <c r="P36" s="259"/>
      <c r="Q36" s="252"/>
      <c r="R36" s="258"/>
      <c r="S36" s="297"/>
      <c r="T36" s="14"/>
      <c r="U36" s="9"/>
      <c r="X36" s="4"/>
    </row>
    <row r="37" spans="1:24" ht="17.399999999999999" x14ac:dyDescent="0.3">
      <c r="B37" s="285"/>
      <c r="C37" s="285"/>
      <c r="D37" s="286"/>
      <c r="E37" s="286"/>
      <c r="F37" s="285"/>
      <c r="G37" s="324" t="s">
        <v>28</v>
      </c>
      <c r="H37" s="325">
        <f>SUM(H21:H36)</f>
        <v>1795251</v>
      </c>
      <c r="I37" s="322"/>
      <c r="J37" s="265"/>
      <c r="K37" s="47">
        <v>2600000</v>
      </c>
      <c r="L37" s="47"/>
      <c r="M37" s="39"/>
      <c r="N37" s="39"/>
      <c r="O37" s="261"/>
      <c r="P37" s="259"/>
      <c r="Q37" s="252"/>
      <c r="R37" s="258"/>
      <c r="S37" s="297"/>
      <c r="T37" s="46">
        <f>SUM(T21:T36)</f>
        <v>11.2</v>
      </c>
      <c r="U37" s="9"/>
      <c r="X37" s="4"/>
    </row>
    <row r="38" spans="1:24" ht="17.399999999999999" x14ac:dyDescent="0.3">
      <c r="B38" s="279"/>
      <c r="C38" s="282"/>
      <c r="D38" s="283"/>
      <c r="E38" s="283"/>
      <c r="F38" s="284"/>
      <c r="G38" s="296" t="s">
        <v>51</v>
      </c>
      <c r="H38" s="294">
        <f>H37*19%</f>
        <v>341097.69</v>
      </c>
      <c r="I38" s="322"/>
      <c r="J38" s="265"/>
      <c r="K38" s="47"/>
      <c r="L38" s="47"/>
      <c r="M38" s="39">
        <f>SUM(M21:M37)</f>
        <v>33.519999999999996</v>
      </c>
      <c r="N38" s="12"/>
      <c r="O38" s="12"/>
      <c r="P38" s="253">
        <f>SUM(P21:P36)</f>
        <v>36.280999999999999</v>
      </c>
      <c r="Q38" s="14"/>
      <c r="R38" s="12"/>
      <c r="S38" s="239"/>
      <c r="T38" s="46"/>
      <c r="U38" s="9"/>
      <c r="X38" s="4"/>
    </row>
    <row r="39" spans="1:24" ht="18" thickBot="1" x14ac:dyDescent="0.35">
      <c r="B39" s="275"/>
      <c r="C39" s="281"/>
      <c r="D39" s="272"/>
      <c r="E39" s="272"/>
      <c r="F39" s="273"/>
      <c r="G39" s="280" t="s">
        <v>6</v>
      </c>
      <c r="H39" s="295">
        <f>H37+H38</f>
        <v>2136348.69</v>
      </c>
      <c r="I39" s="322"/>
      <c r="J39" s="265"/>
      <c r="K39" s="47"/>
      <c r="L39" s="47"/>
      <c r="M39" s="39"/>
      <c r="N39" s="12"/>
      <c r="O39" s="12"/>
      <c r="P39" s="253">
        <f>P38</f>
        <v>36.280999999999999</v>
      </c>
      <c r="Q39" s="14"/>
      <c r="R39" s="12"/>
      <c r="S39" s="239">
        <f>SUM(S21:S38)</f>
        <v>57.180000000000007</v>
      </c>
      <c r="T39" s="46"/>
      <c r="U39" s="9"/>
      <c r="X39" s="4"/>
    </row>
    <row r="40" spans="1:24" ht="17.399999999999999" x14ac:dyDescent="0.3">
      <c r="B40" s="275"/>
      <c r="C40" s="271"/>
      <c r="D40" s="272"/>
      <c r="E40" s="272"/>
      <c r="F40" s="273"/>
      <c r="J40" s="265"/>
      <c r="K40" s="47"/>
      <c r="L40" s="47"/>
      <c r="M40" s="14"/>
      <c r="N40" s="12"/>
      <c r="O40" s="12"/>
      <c r="P40" s="39">
        <f>P39*20%</f>
        <v>7.2561999999999998</v>
      </c>
      <c r="Q40" s="39" t="s">
        <v>130</v>
      </c>
      <c r="R40" s="42"/>
      <c r="S40" s="240">
        <f>S39+T37</f>
        <v>68.38000000000001</v>
      </c>
      <c r="T40" s="14"/>
      <c r="U40" s="9"/>
      <c r="X40" s="4"/>
    </row>
    <row r="41" spans="1:24" ht="17.399999999999999" x14ac:dyDescent="0.35">
      <c r="B41" s="269"/>
      <c r="C41" s="230"/>
      <c r="D41" s="230"/>
      <c r="E41" s="233"/>
      <c r="F41" s="234"/>
      <c r="G41" s="230"/>
      <c r="H41" s="274"/>
      <c r="I41" s="274"/>
      <c r="J41" s="265"/>
      <c r="K41" s="47"/>
      <c r="L41" s="47"/>
      <c r="M41" s="14"/>
      <c r="N41" s="12"/>
      <c r="O41" s="12"/>
      <c r="P41" s="46">
        <f>P39+P40</f>
        <v>43.537199999999999</v>
      </c>
      <c r="Q41" s="14"/>
      <c r="R41" s="14"/>
      <c r="S41" s="238">
        <f>S40*20%</f>
        <v>13.676000000000002</v>
      </c>
      <c r="T41" s="14"/>
      <c r="U41" s="9"/>
      <c r="X41" s="4"/>
    </row>
    <row r="42" spans="1:24" ht="17.399999999999999" x14ac:dyDescent="0.35">
      <c r="B42" s="235"/>
      <c r="C42" s="236"/>
      <c r="D42" s="237"/>
      <c r="E42" s="235"/>
      <c r="F42" s="230"/>
      <c r="G42" s="230"/>
      <c r="I42" s="274"/>
      <c r="J42" s="265"/>
      <c r="K42" s="47"/>
      <c r="L42" s="47"/>
      <c r="M42" s="14"/>
      <c r="N42" s="14"/>
      <c r="O42" s="14"/>
      <c r="P42" s="14"/>
      <c r="Q42" s="14"/>
      <c r="R42" s="14"/>
      <c r="S42" s="240">
        <f>S40+S41</f>
        <v>82.056000000000012</v>
      </c>
      <c r="T42" s="14"/>
      <c r="U42" s="302" t="s">
        <v>21</v>
      </c>
      <c r="V42" s="299" t="s">
        <v>152</v>
      </c>
      <c r="W42" s="303">
        <v>44971</v>
      </c>
      <c r="X42" s="304"/>
    </row>
    <row r="43" spans="1:24" ht="17.399999999999999" x14ac:dyDescent="0.35">
      <c r="B43" s="230"/>
      <c r="C43" s="230"/>
      <c r="D43" s="230"/>
      <c r="E43" s="230"/>
      <c r="F43" s="230"/>
      <c r="G43" s="230"/>
      <c r="J43" s="265"/>
      <c r="K43" s="47"/>
      <c r="L43" s="47"/>
      <c r="M43" s="39">
        <f>P41</f>
        <v>43.537199999999999</v>
      </c>
      <c r="N43" s="12">
        <v>2500</v>
      </c>
      <c r="O43" s="12">
        <f t="shared" ref="O43:O48" si="30">M43*N43</f>
        <v>108843</v>
      </c>
      <c r="P43" s="14" t="s">
        <v>21</v>
      </c>
      <c r="Q43" s="14"/>
      <c r="R43" s="14"/>
      <c r="S43" s="241"/>
      <c r="T43" s="14"/>
      <c r="U43" s="302" t="s">
        <v>153</v>
      </c>
      <c r="V43" s="299">
        <v>3625</v>
      </c>
      <c r="W43" s="59" t="s">
        <v>154</v>
      </c>
      <c r="X43" s="304"/>
    </row>
    <row r="44" spans="1:24" ht="17.399999999999999" x14ac:dyDescent="0.35">
      <c r="A44" s="230"/>
      <c r="B44" s="230"/>
      <c r="C44" s="230"/>
      <c r="D44" s="230"/>
      <c r="E44" s="230"/>
      <c r="F44" s="230"/>
      <c r="G44" s="230"/>
      <c r="H44" s="230"/>
      <c r="J44" s="265"/>
      <c r="K44" s="47">
        <f>23500*1.19</f>
        <v>27965</v>
      </c>
      <c r="L44" s="47"/>
      <c r="M44" s="249">
        <v>8</v>
      </c>
      <c r="N44" s="12">
        <v>23500</v>
      </c>
      <c r="O44" s="12">
        <f t="shared" si="30"/>
        <v>188000</v>
      </c>
      <c r="P44" s="39" t="s">
        <v>31</v>
      </c>
      <c r="Q44" s="42"/>
      <c r="R44" s="14"/>
      <c r="S44" s="240"/>
      <c r="T44" s="14"/>
      <c r="U44" s="302"/>
      <c r="V44" s="59">
        <v>906.25</v>
      </c>
      <c r="W44" s="59" t="s">
        <v>155</v>
      </c>
      <c r="X44" s="304"/>
    </row>
    <row r="45" spans="1:24" s="230" customFormat="1" ht="17.399999999999999" x14ac:dyDescent="0.35">
      <c r="B45" s="24" t="s">
        <v>151</v>
      </c>
      <c r="J45" s="262"/>
      <c r="K45" s="232"/>
      <c r="L45" s="250"/>
      <c r="M45" s="14">
        <v>4</v>
      </c>
      <c r="N45" s="250">
        <v>46893</v>
      </c>
      <c r="O45" s="12">
        <f t="shared" si="30"/>
        <v>187572</v>
      </c>
      <c r="P45" s="39" t="s">
        <v>30</v>
      </c>
      <c r="Q45" s="42"/>
      <c r="S45" s="240"/>
      <c r="T45" s="256"/>
      <c r="U45" s="59"/>
      <c r="V45" s="59">
        <f>V44*20%</f>
        <v>181.25</v>
      </c>
      <c r="W45" s="304" t="s">
        <v>156</v>
      </c>
      <c r="X45" s="59"/>
    </row>
    <row r="46" spans="1:24" s="230" customFormat="1" ht="17.399999999999999" x14ac:dyDescent="0.35">
      <c r="B46" s="24" t="s">
        <v>144</v>
      </c>
      <c r="C46"/>
      <c r="D46"/>
      <c r="E46"/>
      <c r="F46"/>
      <c r="J46" s="262"/>
      <c r="K46" s="232">
        <f>N46*1.19</f>
        <v>33853.119999999995</v>
      </c>
      <c r="L46" s="250"/>
      <c r="M46" s="14">
        <v>12</v>
      </c>
      <c r="N46" s="250">
        <v>28448</v>
      </c>
      <c r="O46" s="12">
        <f t="shared" si="30"/>
        <v>341376</v>
      </c>
      <c r="P46" s="14" t="s">
        <v>141</v>
      </c>
      <c r="Q46" s="17"/>
      <c r="S46" s="238"/>
      <c r="T46" s="256"/>
      <c r="U46" s="59"/>
      <c r="V46" s="59">
        <f>V44+V45</f>
        <v>1087.5</v>
      </c>
      <c r="W46" s="304" t="s">
        <v>157</v>
      </c>
      <c r="X46" s="59"/>
    </row>
    <row r="47" spans="1:24" s="230" customFormat="1" ht="17.399999999999999" x14ac:dyDescent="0.35">
      <c r="B47" s="29" t="s">
        <v>125</v>
      </c>
      <c r="C47"/>
      <c r="D47"/>
      <c r="E47"/>
      <c r="F47" s="229" t="s">
        <v>15</v>
      </c>
      <c r="J47" s="262"/>
      <c r="K47" s="260">
        <f>SUM(K44:K46)</f>
        <v>61818.119999999995</v>
      </c>
      <c r="L47" s="250"/>
      <c r="M47" s="249"/>
      <c r="N47" s="250">
        <v>900</v>
      </c>
      <c r="O47" s="12">
        <f t="shared" si="30"/>
        <v>0</v>
      </c>
      <c r="P47" s="14" t="s">
        <v>32</v>
      </c>
      <c r="Q47" s="14"/>
      <c r="R47" s="230">
        <v>1.52</v>
      </c>
      <c r="S47" s="238"/>
      <c r="T47" s="238"/>
    </row>
    <row r="48" spans="1:24" s="230" customFormat="1" ht="17.399999999999999" x14ac:dyDescent="0.35">
      <c r="J48" s="293"/>
      <c r="K48" s="260">
        <f>K47/1.19</f>
        <v>51948</v>
      </c>
      <c r="L48" s="250"/>
      <c r="M48" s="266">
        <v>58.18</v>
      </c>
      <c r="N48" s="12">
        <v>500</v>
      </c>
      <c r="O48" s="12">
        <f t="shared" si="30"/>
        <v>29090</v>
      </c>
      <c r="P48" s="14" t="s">
        <v>22</v>
      </c>
      <c r="Q48" s="14"/>
      <c r="R48">
        <v>2.44</v>
      </c>
      <c r="S48"/>
      <c r="T48" s="238"/>
      <c r="X48" s="231"/>
    </row>
    <row r="49" spans="2:24" s="230" customFormat="1" ht="17.399999999999999" x14ac:dyDescent="0.35">
      <c r="K49" s="260">
        <f>K47-K48</f>
        <v>9870.1199999999953</v>
      </c>
      <c r="L49" s="250"/>
      <c r="M49" s="14"/>
      <c r="N49" s="12"/>
      <c r="O49" s="12">
        <f>SUM(O43:O48)</f>
        <v>854881</v>
      </c>
      <c r="P49" s="39" t="s">
        <v>23</v>
      </c>
      <c r="Q49" s="14"/>
      <c r="R49">
        <f>R47*R48</f>
        <v>3.7088000000000001</v>
      </c>
      <c r="S49"/>
      <c r="T49" s="238"/>
      <c r="X49" s="231"/>
    </row>
    <row r="50" spans="2:24" s="230" customFormat="1" ht="17.399999999999999" x14ac:dyDescent="0.35">
      <c r="L50" s="250"/>
      <c r="M50" s="254" t="s">
        <v>33</v>
      </c>
      <c r="N50" s="12"/>
      <c r="O50" s="255">
        <f>O49*2.1</f>
        <v>1795250.1</v>
      </c>
      <c r="P50" s="14" t="s">
        <v>140</v>
      </c>
      <c r="Q50" s="14"/>
      <c r="R50" s="40">
        <f>P41/R49</f>
        <v>11.738891285591025</v>
      </c>
      <c r="S50"/>
      <c r="T50" s="257"/>
    </row>
    <row r="51" spans="2:24" s="230" customFormat="1" ht="17.399999999999999" x14ac:dyDescent="0.35">
      <c r="G51"/>
      <c r="H51" s="260"/>
      <c r="I51" s="260"/>
      <c r="J51" s="260"/>
      <c r="K51" s="230">
        <v>40000</v>
      </c>
      <c r="L51" s="250"/>
      <c r="M51" s="14"/>
      <c r="N51" s="12"/>
      <c r="O51" s="12">
        <f>O50/P39</f>
        <v>49481.825197761915</v>
      </c>
      <c r="P51" s="45" t="s">
        <v>24</v>
      </c>
      <c r="Q51" s="14"/>
      <c r="R51" s="14"/>
      <c r="S51"/>
      <c r="T51" s="238"/>
      <c r="U51" s="59" t="s">
        <v>158</v>
      </c>
      <c r="V51" s="299">
        <v>43650</v>
      </c>
    </row>
    <row r="52" spans="2:24" s="230" customFormat="1" ht="17.399999999999999" x14ac:dyDescent="0.35">
      <c r="G52"/>
      <c r="K52" s="230">
        <f>K51/1.19</f>
        <v>33613.445378151264</v>
      </c>
      <c r="L52" s="250"/>
      <c r="M52" s="13"/>
      <c r="N52" s="14"/>
      <c r="O52" s="17">
        <f>O50/O49</f>
        <v>2.1</v>
      </c>
      <c r="P52" s="15"/>
      <c r="Q52"/>
      <c r="R52"/>
      <c r="S52"/>
      <c r="T52" s="238"/>
      <c r="U52" s="59" t="s">
        <v>160</v>
      </c>
      <c r="V52" s="300" t="s">
        <v>159</v>
      </c>
      <c r="W52" s="59">
        <v>2.4</v>
      </c>
    </row>
    <row r="53" spans="2:24" s="230" customFormat="1" ht="17.399999999999999" x14ac:dyDescent="0.35">
      <c r="G53" s="23"/>
      <c r="L53" s="12"/>
      <c r="T53" s="238"/>
      <c r="U53" s="59" t="s">
        <v>161</v>
      </c>
      <c r="V53" s="301">
        <v>395.37</v>
      </c>
    </row>
    <row r="54" spans="2:24" s="230" customFormat="1" ht="17.399999999999999" x14ac:dyDescent="0.35">
      <c r="B54"/>
      <c r="C54" s="228"/>
      <c r="D54" s="22"/>
      <c r="E54" s="22"/>
      <c r="F54" s="21"/>
      <c r="G54" s="23"/>
      <c r="L54" s="12"/>
      <c r="T54" s="238"/>
      <c r="U54" s="59" t="s">
        <v>156</v>
      </c>
      <c r="V54" s="59">
        <v>474.45</v>
      </c>
    </row>
    <row r="55" spans="2:24" ht="14.4" customHeight="1" x14ac:dyDescent="0.3">
      <c r="L55" s="12"/>
      <c r="U55" s="59"/>
      <c r="V55" s="59"/>
    </row>
    <row r="56" spans="2:24" x14ac:dyDescent="0.3">
      <c r="L56" s="250"/>
    </row>
    <row r="57" spans="2:24" x14ac:dyDescent="0.3">
      <c r="L57" s="250"/>
      <c r="T57" s="270"/>
    </row>
    <row r="58" spans="2:24" x14ac:dyDescent="0.3">
      <c r="L58" s="250"/>
    </row>
    <row r="59" spans="2:24" ht="15" customHeight="1" x14ac:dyDescent="0.3"/>
    <row r="61" spans="2:24" x14ac:dyDescent="0.3">
      <c r="O61">
        <v>40935</v>
      </c>
      <c r="P61" t="s">
        <v>16</v>
      </c>
      <c r="Q61" t="s">
        <v>26</v>
      </c>
    </row>
    <row r="63" spans="2:24" x14ac:dyDescent="0.3">
      <c r="O63" s="54"/>
      <c r="P63" s="54"/>
    </row>
    <row r="64" spans="2:24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1" spans="15:20" x14ac:dyDescent="0.3">
      <c r="S71" s="18"/>
      <c r="T71" s="18"/>
    </row>
    <row r="72" spans="15:20" x14ac:dyDescent="0.3">
      <c r="S72" s="18"/>
      <c r="T72" s="18"/>
    </row>
    <row r="75" spans="15:20" x14ac:dyDescent="0.3">
      <c r="O75" s="43"/>
    </row>
    <row r="76" spans="15:20" x14ac:dyDescent="0.3">
      <c r="O76" s="43"/>
    </row>
    <row r="77" spans="15:20" x14ac:dyDescent="0.3">
      <c r="O77" s="6"/>
    </row>
    <row r="78" spans="15:20" x14ac:dyDescent="0.3">
      <c r="O78" s="6"/>
    </row>
    <row r="86" spans="3:3" x14ac:dyDescent="0.3">
      <c r="C86" t="s">
        <v>148</v>
      </c>
    </row>
    <row r="87" spans="3:3" x14ac:dyDescent="0.3">
      <c r="C87" t="s">
        <v>147</v>
      </c>
    </row>
    <row r="90" spans="3:3" x14ac:dyDescent="0.3">
      <c r="C90" t="s">
        <v>147</v>
      </c>
    </row>
    <row r="167" spans="3:3" x14ac:dyDescent="0.3">
      <c r="C167" t="s">
        <v>147</v>
      </c>
    </row>
    <row r="168" spans="3:3" x14ac:dyDescent="0.3">
      <c r="C168" t="s">
        <v>149</v>
      </c>
    </row>
    <row r="169" spans="3:3" x14ac:dyDescent="0.3">
      <c r="C169" t="s">
        <v>150</v>
      </c>
    </row>
    <row r="594" spans="3:3" x14ac:dyDescent="0.3">
      <c r="C594" t="s">
        <v>147</v>
      </c>
    </row>
  </sheetData>
  <mergeCells count="2">
    <mergeCell ref="F17:H17"/>
    <mergeCell ref="B19:H19"/>
  </mergeCells>
  <phoneticPr fontId="34" type="noConversion"/>
  <hyperlinks>
    <hyperlink ref="F4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45659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11228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-157790.00003345413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'2229'!H37</f>
        <v>1795251</v>
      </c>
      <c r="E11" s="132">
        <f>D11*0.19</f>
        <v>341097.69</v>
      </c>
      <c r="F11" s="131">
        <f>E11+D11</f>
        <v>2136348.69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-51800.000033454126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514249.09078743961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-69800.000033454126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1281001.9092125604</v>
      </c>
      <c r="E13" s="221">
        <f>(D11/D12)-1</f>
        <v>2.4910144367023324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-78800.000033454126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-117800.00003345413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848510.99979927531</v>
      </c>
      <c r="F15" s="216">
        <f>E15-D12</f>
        <v>334261.9090118357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-117800.00003345413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-77800.000033454126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'2229'!O45</f>
        <v>187572</v>
      </c>
      <c r="E18" s="123">
        <f>D18*0.19</f>
        <v>35638.68</v>
      </c>
      <c r="F18" s="120">
        <f>SUM(D18:E18)</f>
        <v>223210.68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'2229'!O44</f>
        <v>188000</v>
      </c>
      <c r="E19" s="123">
        <f>D19*0.19</f>
        <v>35720</v>
      </c>
      <c r="F19" s="120">
        <f>SUM(D19:E19)</f>
        <v>223720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'2229'!O43</f>
        <v>108843</v>
      </c>
      <c r="E20" s="121">
        <f>D20*0.19</f>
        <v>20680.170000000002</v>
      </c>
      <c r="F20" s="120">
        <f>SUM(D20:E20)</f>
        <v>129523.17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484415</v>
      </c>
      <c r="E21" s="116">
        <f>SUM(E18:E20)</f>
        <v>92038.849999999991</v>
      </c>
      <c r="F21" s="115">
        <f>SUM(F18:F20)</f>
        <v>576453.85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249058.84000000003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1795251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484415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1281001.9092125604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1281001.9092125604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2025-01-03T13:27:38Z</cp:lastPrinted>
  <dcterms:created xsi:type="dcterms:W3CDTF">2013-03-18T13:35:42Z</dcterms:created>
  <dcterms:modified xsi:type="dcterms:W3CDTF">2025-01-03T14:56:09Z</dcterms:modified>
</cp:coreProperties>
</file>