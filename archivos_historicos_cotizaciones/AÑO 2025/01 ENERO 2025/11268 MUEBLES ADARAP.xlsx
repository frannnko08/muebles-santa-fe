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1 ENERO 2025\"/>
    </mc:Choice>
  </mc:AlternateContent>
  <xr:revisionPtr revIDLastSave="0" documentId="13_ncr:1_{EE9DDF61-4040-4CF5-8713-414F46AA5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I46" i="1"/>
  <c r="J30" i="1"/>
  <c r="J35" i="1"/>
  <c r="J36" i="1" s="1"/>
  <c r="N33" i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G21" i="1" s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<sst xmlns="http://schemas.openxmlformats.org/spreadsheetml/2006/main" count="233" uniqueCount="177">
  <si>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</si>
  <si>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</si>
  <si>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</si>
  <si>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</si>
  <si>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</si>
  <si>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</si>
  <si>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</si>
  <si>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</si>
  <si>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</si>
  <si>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</si>
  <si>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</si>
  <si>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</si>
  <si>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</si>
  <si>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</si>
  <si>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</si>
  <si>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</si>
  <si>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</si>
  <si>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</si>
  <si>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</si>
  <si>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</si>
  <si>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</si>
  <si>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</si>
  <si>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</si>
  <si>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</si>
  <si>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</si>
  <si>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</si>
  <si>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</si>
  <si>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</si>
  <si>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</si>
  <si>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</si>
  <si>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</si>
  <si>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</si>
  <si>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</si>
  <si>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</si>
  <si>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</si>
  <si>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</si>
  <si>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</si>
  <si>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</si>
  <si>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</si>
  <si>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</si>
  <si>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</si>
  <si>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</si>
  <si>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</si>
  <si>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</si>
  <si>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</si>
  <si>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</si>
  <si>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</si>
  <si>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</si>
  <si>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</si>
  <si>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</si>
  <si>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</si>
  <si>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</si>
  <si>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</si>
  <si>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</si>
  <si>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</si>
  <si>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</si>
  <si>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</si>
  <si>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</si>
  <si>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</si>
  <si>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</si>
  <si>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</si>
  <si>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</si>
  <si>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</si>
  <si>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</si>
  <si>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</si>
  <si>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</si>
  <si>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</si>
  <si>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</si>
  <si>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</si>
  <si>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</si>
  <si>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</si>
  <si>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</si>
  <si>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</si>
  <si>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</si>
  <si>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</si>
  <si>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</si>
  <si>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</si>
  <si>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</si>
  <si>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</si>
  <si>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</si>
  <si>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</si>
  <si>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</si>
  <si>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</si>
  <si>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</si>
  <si>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</si>
  <si>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</si>
  <si>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</si>
  <si>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</si>
  <si>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</si>
  <si>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</si>
  <si>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</si>
  <si>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</si>
  <si>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</si>
  <si>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</si>
  <si>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</si>
  <si>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</si>
  <si>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</si>
  <si>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</si>
  <si>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</si>
  <si>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</si>
  <si>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</si>
  <si>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</si>
  <si>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</si>
  <si>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</si>
  <si>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</si>
  <si>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</si>
  <si>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</si>
  <si>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</si>
  <si>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</si>
  <si>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</si>
  <si>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</si>
  <si>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</si>
  <si>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</si>
  <si>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</si>
  <si>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</si>
  <si>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</si>
  <si>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</si>
  <si>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</si>
  <si>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</si>
  <si>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</si>
  <si>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</si>
  <si>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</si>
  <si>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</si>
  <si>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</si>
  <si>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</si>
  <si>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</si>
  <si>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</si>
  <si>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</si>
  <si>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</si>
  <si>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</si>
  <si>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</si>
  <si>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</si>
  <si>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</si>
  <si>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</si>
  <si>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</si>
  <si>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</si>
  <si>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</si>
  <si>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</si>
  <si>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</si>
  <si>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</si>
  <si>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</si>
  <si>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</si>
  <si>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</si>
  <si>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</si>
  <si>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</si>
  <si>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</si>
  <si>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</si>
  <si>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</si>
  <si>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</si>
  <si>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</si>
  <si>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</si>
  <si>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</si>
  <si>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</si>
  <si>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</si>
  <si>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</si>
  <si>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</si>
  <si>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</si>
  <si>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</si>
  <si>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</si>
  <si>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</si>
  <si>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</si>
  <si>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</si>
  <si>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</si>
  <si>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</si>
  <si>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</si>
  <si>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</si>
  <si>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GRIS NUBE</t>
  </si>
  <si>
    <t>KING</t>
  </si>
  <si>
    <t>MDF 3MM</t>
  </si>
  <si>
    <t>152X244</t>
  </si>
  <si>
    <t>N° 11267</t>
  </si>
  <si>
    <t>10 DIAS HABILES</t>
  </si>
  <si>
    <t>MUEBLES ADARAP</t>
  </si>
  <si>
    <t>EDUARDO PARADA</t>
  </si>
  <si>
    <t>+569 7936 8390</t>
  </si>
  <si>
    <t>CUBIERTA C/R FRENTE 180°</t>
  </si>
  <si>
    <t>HAYA 1750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</si>
</sst>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 SE ENTREGA CORTADA A LA MEDIDA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7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45684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173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174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83538.92802936997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175</v>
      </c>
      <c r="D21" s="327">
        <v>2.0129999999999999</v>
      </c>
      <c r="E21" s="327">
        <v>0.61</v>
      </c>
      <c r="F21" s="326" t="s">
        <v>176</v>
      </c>
      <c r="G21" s="328">
        <f>Q21</f>
        <v>108127.89320000003</v>
      </c>
      <c r="H21" s="328">
        <f>G21*B21</f>
        <v>108127.89320000003</v>
      </c>
      <c r="I21" s="265"/>
      <c r="J21" s="47"/>
      <c r="K21" s="331">
        <f>B21</f>
        <v>1</v>
      </c>
      <c r="L21" s="332">
        <f t="shared" ref="L21" si="1">D21+L$19</f>
        <v>2.0629999999999997</v>
      </c>
      <c r="M21" s="332">
        <f t="shared" ref="M21" si="2">E21+M$19</f>
        <v>0.61</v>
      </c>
      <c r="N21" s="261">
        <f t="shared" ref="N21" si="3">L21*M21</f>
        <v>1.2584299999999997</v>
      </c>
      <c r="O21" s="259">
        <f t="shared" ref="O21" si="4">N21*K21</f>
        <v>1.2584299999999997</v>
      </c>
      <c r="P21" s="252">
        <f t="shared" ref="P21" si="5">P$20*N21</f>
        <v>105127.89320000003</v>
      </c>
      <c r="Q21" s="329">
        <f t="shared" ref="Q21" si="6">P21+Q$20</f>
        <v>108127.89320000003</v>
      </c>
      <c r="R21" s="298">
        <f>L21*K21*2</f>
        <v>4.1259999999999994</v>
      </c>
      <c r="S21" s="46">
        <f>M21*2*K21</f>
        <v>1.22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0"/>
      <c r="H22" s="330"/>
      <c r="I22" s="265"/>
      <c r="J22" s="47"/>
      <c r="K22" s="47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108127.89320000003</v>
      </c>
      <c r="I24" s="265"/>
      <c r="J24" s="47"/>
      <c r="K24" s="47"/>
      <c r="L24" s="39">
        <f>SUM(L21:L23)</f>
        <v>2.0629999999999997</v>
      </c>
      <c r="M24" s="39"/>
      <c r="N24" s="261"/>
      <c r="O24" s="259"/>
      <c r="P24" s="252"/>
      <c r="Q24" s="258"/>
      <c r="R24" s="298"/>
      <c r="S24" s="46">
        <f>SUM(S21:S23)</f>
        <v>1.22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20544.299708000006</v>
      </c>
      <c r="I25" s="265"/>
      <c r="J25" s="47"/>
      <c r="K25" s="47"/>
      <c r="L25" s="39"/>
      <c r="M25" s="12"/>
      <c r="N25" s="12"/>
      <c r="O25" s="253">
        <f>SUM(O21:O21)</f>
        <v>1.2584299999999997</v>
      </c>
      <c r="P25" s="14"/>
      <c r="Q25" s="12"/>
      <c r="R25" s="239"/>
      <c r="S25" s="46">
        <f>S24*20%</f>
        <v>0.24399999999999999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128672.19290800004</v>
      </c>
      <c r="I26" s="265"/>
      <c r="J26" s="47"/>
      <c r="K26" s="47"/>
      <c r="L26" s="39"/>
      <c r="M26" s="12"/>
      <c r="N26" s="12"/>
      <c r="O26" s="253">
        <f>O25</f>
        <v>1.2584299999999997</v>
      </c>
      <c r="P26" s="14"/>
      <c r="Q26" s="12"/>
      <c r="R26" s="239">
        <f>SUM(R21:R25)</f>
        <v>4.1259999999999994</v>
      </c>
      <c r="S26" s="46">
        <f>S24+S25</f>
        <v>1.464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0.25168599999999997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1.5101159999999996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</f>
        <v>1.5101159999999996</v>
      </c>
      <c r="M30" s="12">
        <v>3500</v>
      </c>
      <c r="N30" s="12">
        <f t="shared" ref="N30:N35" si="7">L30*M30</f>
        <v>5285.4059999999981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7"/>
        <v>12500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40000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1</v>
      </c>
      <c r="M33" s="250">
        <v>30000</v>
      </c>
      <c r="N33" s="12">
        <f t="shared" si="7"/>
        <v>30000</v>
      </c>
      <c r="O33" s="14"/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/>
      <c r="M35" s="12">
        <v>1500</v>
      </c>
      <c r="N35" s="12">
        <f t="shared" si="7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167</v>
      </c>
      <c r="J36" s="230">
        <f>J34+J35</f>
        <v>32130</v>
      </c>
      <c r="K36" s="250"/>
      <c r="L36" s="14"/>
      <c r="M36" s="12"/>
      <c r="N36" s="12">
        <f>SUM(N30:N35)</f>
        <v>47785.406000000003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105127.89320000002</v>
      </c>
      <c r="O37" s="14" t="s">
        <v>141</v>
      </c>
      <c r="P37" s="14"/>
      <c r="Q37" s="40">
        <f>O28/Q36</f>
        <v>0.40717105263157882</v>
      </c>
      <c r="R37"/>
      <c r="S37" s="257"/>
    </row>
    <row r="38" spans="2:23" s="230" customFormat="1" ht="17.399999999999999" x14ac:dyDescent="0.35">
      <c r="G38"/>
      <c r="H38" s="260"/>
      <c r="I38" s="230" t="s">
        <v>166</v>
      </c>
      <c r="J38" s="230">
        <v>23560</v>
      </c>
      <c r="K38" s="250">
        <v>0</v>
      </c>
      <c r="L38" s="14"/>
      <c r="M38" s="12"/>
      <c r="N38" s="12">
        <f>N37/O26</f>
        <v>83538.92802936997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J39" s="230">
        <f>J38/1.19</f>
        <v>19798.319327731093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168</v>
      </c>
      <c r="K41" s="12"/>
      <c r="S41" s="238"/>
      <c r="T41" s="59" t="s">
        <v>156</v>
      </c>
      <c r="U41" s="59">
        <v>474.45</v>
      </c>
    </row>
    <row r="42" spans="2:23" ht="14.4" customHeight="1" x14ac:dyDescent="0.3">
      <c r="I42" t="s">
        <v>169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45684</v>
      </c>
    </row>
    <row r="6" spans="2:31" ht="16.2" thickBot="1" x14ac:dyDescent="0.35">
      <c r="B6" s="140" t="s">
        <v>2</v>
      </c>
      <c r="C6" s="139" t="str">
        <f>'2229'!C10</f>
        <v>MUEBLES ADARAP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11267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-4925.9539167874464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108127.89320000003</v>
      </c>
      <c r="E11" s="132">
        <f>D11*0.19</f>
        <v>20544.299708000006</v>
      </c>
      <c r="F11" s="131">
        <f>E11+D11</f>
        <v>128672.19290800004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101064.04608321255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47619.49678743961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83064.046083212554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60508.396412560425</v>
      </c>
      <c r="E13" s="221">
        <f>(D11/D12)-1</f>
        <v>1.2706643390763523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74064.046083212554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35064.046083212554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78572.169699275357</v>
      </c>
      <c r="F15" s="216">
        <f>E15-D12</f>
        <v>30952.672911835747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35064.046083212554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75064.046083212554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5285.4059999999981</v>
      </c>
      <c r="E20" s="121">
        <f>D20*0.19</f>
        <v>1004.2271399999996</v>
      </c>
      <c r="F20" s="120">
        <f>SUM(D20:E20)</f>
        <v>6289.6331399999981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17785.405999999999</v>
      </c>
      <c r="E21" s="116">
        <f>SUM(E18:E20)</f>
        <v>3379.2271399999995</v>
      </c>
      <c r="F21" s="115">
        <f>SUM(F18:F20)</f>
        <v>21164.633139999998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17165.072568000007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108127.89320000003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17785.405999999999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60508.396412560425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60508.396412560425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2024-07-09T14:32:16Z</cp:lastPrinted>
  <dcterms:created xsi:type="dcterms:W3CDTF">2013-03-18T13:35:42Z</dcterms:created>
  <dcterms:modified xsi:type="dcterms:W3CDTF">2025-01-28T01:52:19Z</dcterms:modified>
</cp:coreProperties>
</file>