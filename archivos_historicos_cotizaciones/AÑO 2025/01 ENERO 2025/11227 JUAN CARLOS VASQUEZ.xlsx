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AÑOS ANTERIORES\01 ENERO 2025\"/>
    </mc:Choice>
  </mc:AlternateContent>
  <xr:revisionPtr revIDLastSave="0" documentId="13_ncr:1_{03FE26F0-D06D-4C98-AF9D-0FA824539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l="1"/>
  <c r="H25" i="1" s="1"/>
  <c r="D11" i="3" l="1"/>
  <c r="X9" i="3" s="1"/>
  <c r="X15" i="3" s="1"/>
  <c r="H26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<sst xmlns="http://schemas.openxmlformats.org/spreadsheetml/2006/main" count="229" uniqueCount="173">
  <si>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</si>
  <si>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</si>
  <si>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</si>
  <si>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</si>
  <si>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</si>
  <si>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</si>
  <si>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</si>
  <si>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</si>
  <si>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</si>
  <si>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</si>
  <si>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</si>
  <si>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</si>
  <si>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</si>
  <si>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</si>
  <si>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</si>
  <si>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</si>
  <si>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</si>
  <si>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</si>
  <si>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</si>
  <si>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</si>
  <si>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</si>
  <si>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</si>
  <si>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</si>
  <si>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</si>
  <si>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</si>
  <si>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</si>
  <si>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</si>
  <si>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</si>
  <si>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</si>
  <si>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</si>
  <si>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</si>
  <si>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</si>
  <si>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</si>
  <si>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</si>
  <si>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</si>
  <si>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</si>
  <si>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</si>
  <si>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</si>
  <si>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</si>
  <si>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</si>
  <si>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</si>
  <si>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</si>
  <si>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</si>
  <si>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</si>
  <si>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</si>
  <si>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</si>
  <si>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</si>
  <si>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</si>
  <si>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</si>
  <si>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</si>
  <si>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</si>
  <si>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</si>
  <si>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</si>
  <si>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</si>
  <si>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</si>
  <si>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</si>
  <si>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</si>
  <si>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</si>
  <si>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</si>
  <si>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</si>
  <si>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</si>
  <si>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</si>
  <si>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</si>
  <si>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</si>
  <si>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</si>
  <si>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</si>
  <si>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</si>
  <si>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</si>
  <si>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</si>
  <si>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</si>
  <si>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</si>
  <si>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</si>
  <si>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</si>
  <si>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</si>
  <si>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</si>
  <si>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</si>
  <si>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</si>
  <si>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</si>
  <si>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</si>
  <si>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</si>
  <si>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</si>
  <si>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</si>
  <si>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</si>
  <si>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</si>
  <si>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</si>
  <si>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</si>
  <si>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</si>
  <si>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</si>
  <si>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</si>
  <si>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</si>
  <si>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</si>
  <si>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</si>
  <si>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</si>
  <si>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</si>
  <si>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</si>
  <si>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</si>
  <si>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</si>
  <si>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</si>
  <si>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</si>
  <si>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</si>
  <si>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</si>
  <si>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</si>
  <si>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</si>
  <si>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</si>
  <si>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</si>
  <si>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</si>
  <si>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</si>
  <si>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</si>
  <si>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</si>
  <si>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</si>
  <si>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</si>
  <si>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</si>
  <si>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</si>
  <si>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</si>
  <si>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</si>
  <si>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</si>
  <si>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</si>
  <si>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</si>
  <si>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</si>
  <si>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</si>
  <si>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</si>
  <si>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</si>
  <si>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</si>
  <si>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</si>
  <si>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</si>
  <si>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</si>
  <si>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</si>
  <si>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</si>
  <si>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</si>
  <si>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</si>
  <si>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</si>
  <si>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</si>
  <si>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</si>
  <si>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</si>
  <si>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</si>
  <si>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</si>
  <si>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</si>
  <si>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</si>
  <si>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</si>
  <si>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</si>
  <si>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</si>
  <si>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</si>
  <si>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</si>
  <si>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</si>
  <si>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</si>
  <si>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</si>
  <si>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</si>
  <si>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</si>
  <si>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</si>
  <si>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</si>
  <si>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</si>
  <si>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</si>
  <si>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</si>
  <si>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</si>
  <si>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</si>
  <si>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</si>
  <si>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</si>
  <si>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</si>
  <si>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</si>
  <si>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</si>
  <si>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</si>
  <si>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</si>
  <si>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</si>
  <si>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</si>
  <si>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</si>
  <si>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</si>
  <si>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</si>
  <si>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</si>
  <si>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JUAN CARLOS VASQUEZ</t>
  </si>
  <si>
    <t>+569 9439 0288</t>
  </si>
  <si>
    <t>CUB MESA 4 LADOS</t>
  </si>
  <si>
    <t>PALAZZO 3171 BR</t>
  </si>
  <si>
    <t>N° 11227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</si>
</sst>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CORTADAS EN LAS ESQUINAS Y ENCHAPADAS CON LA MISMA LAMINA.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45659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/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76193.79310344829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1.8</v>
      </c>
      <c r="E21" s="331">
        <v>1.45</v>
      </c>
      <c r="F21" s="330" t="s">
        <v>171</v>
      </c>
      <c r="G21" s="332">
        <f>Q21</f>
        <v>198865.80000000002</v>
      </c>
      <c r="H21" s="332">
        <f>G21*B21</f>
        <v>198865.80000000002</v>
      </c>
      <c r="I21" s="320"/>
      <c r="J21" s="265"/>
      <c r="K21" s="47"/>
      <c r="L21" s="47">
        <f>B21</f>
        <v>1</v>
      </c>
      <c r="M21" s="39">
        <f>D21+M$19</f>
        <v>1.8</v>
      </c>
      <c r="N21" s="39">
        <f>E21+$N$19</f>
        <v>1.45</v>
      </c>
      <c r="O21" s="261">
        <f t="shared" ref="O21" si="1">M21*N21</f>
        <v>2.61</v>
      </c>
      <c r="P21" s="259">
        <f t="shared" ref="P21" si="2">O21*L21</f>
        <v>2.61</v>
      </c>
      <c r="Q21" s="252">
        <f t="shared" ref="Q21" si="3">Q$20*O21</f>
        <v>198865.80000000002</v>
      </c>
      <c r="R21" s="319">
        <f t="shared" ref="R21" si="4">Q21+R$20</f>
        <v>201865.80000000002</v>
      </c>
      <c r="S21" s="297">
        <f>M21*L21</f>
        <v>1.8</v>
      </c>
      <c r="T21" s="46">
        <f>N21*2*L21*2</f>
        <v>5.8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198865.80000000002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5.8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37784.502</v>
      </c>
      <c r="I25" s="322"/>
      <c r="J25" s="265"/>
      <c r="K25" s="47"/>
      <c r="L25" s="47"/>
      <c r="M25" s="39">
        <f>SUM(M21:M24)</f>
        <v>1.8</v>
      </c>
      <c r="N25" s="12"/>
      <c r="O25" s="12"/>
      <c r="P25" s="253">
        <f>SUM(P21:P23)</f>
        <v>2.61</v>
      </c>
      <c r="Q25" s="14"/>
      <c r="R25" s="12"/>
      <c r="S25" s="239">
        <f>SUM(S21:S24)</f>
        <v>1.8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236650.30200000003</v>
      </c>
      <c r="I26" s="322"/>
      <c r="J26" s="265"/>
      <c r="K26" s="47"/>
      <c r="L26" s="47"/>
      <c r="M26" s="39"/>
      <c r="N26" s="12"/>
      <c r="O26" s="12"/>
      <c r="P26" s="253">
        <f>P25</f>
        <v>2.61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0.52200000000000002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3.1319999999999997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3.1319999999999997</v>
      </c>
      <c r="N30" s="12">
        <v>1500</v>
      </c>
      <c r="O30" s="12">
        <f t="shared" ref="O30:O35" si="5">M30*N30</f>
        <v>4697.9999999999991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0.85</v>
      </c>
      <c r="N31" s="12">
        <v>25000</v>
      </c>
      <c r="O31" s="12">
        <f t="shared" si="5"/>
        <v>21250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68750</v>
      </c>
      <c r="O33" s="12">
        <f t="shared" si="5"/>
        <v>68750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94698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198865.80000000002</v>
      </c>
      <c r="P37" s="14" t="s">
        <v>140</v>
      </c>
      <c r="Q37" s="14"/>
      <c r="R37" s="40">
        <f>P28/R36</f>
        <v>0.84447799827437431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76193.79310344829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45659</v>
      </c>
    </row>
    <row r="6" spans="2:31" ht="16.2" thickBot="1" x14ac:dyDescent="0.35">
      <c r="B6" s="140" t="s">
        <v>2</v>
      </c>
      <c r="C6" s="139" t="str">
        <f>'2229'!C10</f>
        <v>JUAN CARLOS VASQUEZ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-17804.22503345411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198865.80000000002</v>
      </c>
      <c r="E11" s="132">
        <f>D11*0.19</f>
        <v>37784.502</v>
      </c>
      <c r="F11" s="131">
        <f>E11+D11</f>
        <v>236650.30200000003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88185.774966545898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55782.090787439614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70185.774966545898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143083.70921256041</v>
      </c>
      <c r="E13" s="221">
        <f>(D11/D12)-1</f>
        <v>2.5650474407240824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61185.77496654589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22185.77496654589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92040.44979927536</v>
      </c>
      <c r="F15" s="216">
        <f>E15-D12</f>
        <v>36258.359011835746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22185.77496654589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62185.77496654589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21250</v>
      </c>
      <c r="E19" s="123">
        <f>D19*0.19</f>
        <v>4037.5</v>
      </c>
      <c r="F19" s="120">
        <f>SUM(D19:E19)</f>
        <v>25287.5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4697.9999999999991</v>
      </c>
      <c r="E20" s="121">
        <f>D20*0.19</f>
        <v>892.61999999999989</v>
      </c>
      <c r="F20" s="120">
        <f>SUM(D20:E20)</f>
        <v>5590.619999999999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25948</v>
      </c>
      <c r="E21" s="116">
        <f>SUM(E18:E20)</f>
        <v>4930.12</v>
      </c>
      <c r="F21" s="115">
        <f>SUM(F18:F20)</f>
        <v>30878.12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32854.381999999998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198865.80000000002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25948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143083.70921256041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143083.70921256041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2025-01-02T18:32:53Z</dcterms:modified>
</cp:coreProperties>
</file>