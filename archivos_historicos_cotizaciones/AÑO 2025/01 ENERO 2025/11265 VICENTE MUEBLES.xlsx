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289FC9BD-0EAF-426C-9EAC-1EB0E559D7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" l="1"/>
  <c r="M29" i="1"/>
  <c r="H23" i="1"/>
  <c r="H24" i="1"/>
  <c r="H25" i="1"/>
  <c r="L23" i="1"/>
  <c r="M23" i="1"/>
  <c r="S23" i="1" s="1"/>
  <c r="N23" i="1"/>
  <c r="L24" i="1"/>
  <c r="M24" i="1"/>
  <c r="N24" i="1"/>
  <c r="L25" i="1"/>
  <c r="M25" i="1"/>
  <c r="N25" i="1"/>
  <c r="H22" i="1"/>
  <c r="N22" i="1"/>
  <c r="L22" i="1"/>
  <c r="M22" i="1"/>
  <c r="L21" i="1"/>
  <c r="N21" i="1"/>
  <c r="O24" i="1" l="1"/>
  <c r="P24" i="1"/>
  <c r="S24" i="1"/>
  <c r="O25" i="1"/>
  <c r="P25" i="1" s="1"/>
  <c r="O23" i="1"/>
  <c r="P23" i="1" s="1"/>
  <c r="S25" i="1"/>
  <c r="S22" i="1"/>
  <c r="O22" i="1"/>
  <c r="P22" i="1" s="1"/>
  <c r="M21" i="1"/>
  <c r="S21" i="1" l="1"/>
  <c r="S30" i="1" s="1"/>
  <c r="T21" i="1"/>
  <c r="T28" i="1" s="1"/>
  <c r="O21" i="1"/>
  <c r="P21" i="1" s="1"/>
  <c r="P29" i="1" s="1"/>
  <c r="K43" i="1"/>
  <c r="S31" i="1" l="1"/>
  <c r="S32" i="1" s="1"/>
  <c r="S33" i="1" s="1"/>
  <c r="V36" i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2" i="1" l="1"/>
  <c r="R22" i="1" s="1"/>
  <c r="Q24" i="1"/>
  <c r="R24" i="1" s="1"/>
  <c r="Q25" i="1"/>
  <c r="R25" i="1" s="1"/>
  <c r="Q23" i="1"/>
  <c r="R23" i="1" s="1"/>
  <c r="O43" i="1"/>
  <c r="E15" i="3"/>
  <c r="Q21" i="1" l="1"/>
  <c r="F15" i="3"/>
  <c r="R21" i="1" l="1"/>
  <c r="H21" i="1" l="1"/>
  <c r="H28" i="1" l="1"/>
  <c r="H29" i="1" s="1"/>
  <c r="H30" i="1" s="1"/>
  <c r="D11" i="3" l="1"/>
  <c r="X9" i="3" s="1"/>
  <c r="X15" i="3" s="1"/>
  <c r="E11" i="3" l="1"/>
  <c r="D40" i="3" s="1"/>
  <c r="X14" i="3"/>
  <c r="M42" i="3"/>
  <c r="M46" i="3" s="1"/>
  <c r="M49" i="3" s="1"/>
  <c r="X11" i="3"/>
  <c r="X12" i="3"/>
  <c r="E13" i="3"/>
  <c r="D13" i="3"/>
  <c r="X13" i="3"/>
  <c r="X16" i="3"/>
  <c r="F11" i="3"/>
</calcChain>
</file>

<file path=xl/sharedStrings.xml><?xml version="1.0" encoding="utf-8"?>
<sst xmlns="http://schemas.openxmlformats.org/spreadsheetml/2006/main" count="240" uniqueCount="176">
  <si>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</si>
  <si>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</si>
  <si>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</si>
  <si>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</si>
  <si>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</si>
  <si>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</si>
  <si>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</si>
  <si>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</si>
  <si>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</si>
  <si>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</si>
  <si>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</si>
  <si>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</si>
  <si>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</si>
  <si>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</si>
  <si>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</si>
  <si>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</si>
  <si>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</si>
  <si>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</si>
  <si>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</si>
  <si>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</si>
  <si>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</si>
  <si>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</si>
  <si>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</si>
  <si>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</si>
  <si>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</si>
  <si>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</si>
  <si>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</si>
  <si>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</si>
  <si>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</si>
  <si>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</si>
  <si>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</si>
  <si>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</si>
  <si>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</si>
  <si>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</si>
  <si>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</si>
  <si>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</si>
  <si>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</si>
  <si>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</si>
  <si>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</si>
  <si>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</si>
  <si>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</si>
  <si>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</si>
  <si>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</si>
  <si>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</si>
  <si>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</si>
  <si>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</si>
  <si>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</si>
  <si>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</si>
  <si>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</si>
  <si>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</si>
  <si>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</si>
  <si>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</si>
  <si>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</si>
  <si>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</si>
  <si>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</si>
  <si>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</si>
  <si>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</si>
  <si>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</si>
  <si>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</si>
  <si>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</si>
  <si>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</si>
  <si>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</si>
  <si>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</si>
  <si>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</si>
  <si>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</si>
  <si>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</si>
  <si>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</si>
  <si>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</si>
  <si>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</si>
  <si>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</si>
  <si>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</si>
  <si>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</si>
  <si>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</si>
  <si>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</si>
  <si>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</si>
  <si>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</si>
  <si>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</si>
  <si>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</si>
  <si>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</si>
  <si>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</si>
  <si>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</si>
  <si>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</si>
  <si>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</si>
  <si>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</si>
  <si>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</si>
  <si>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</si>
  <si>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</si>
  <si>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</si>
  <si>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</si>
  <si>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</si>
  <si>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</si>
  <si>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</si>
  <si>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</si>
  <si>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</si>
  <si>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</si>
  <si>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</si>
  <si>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</si>
  <si>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</si>
  <si>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</si>
  <si>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</si>
  <si>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</si>
  <si>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</si>
  <si>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</si>
  <si>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</si>
  <si>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</si>
  <si>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</si>
  <si>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</si>
  <si>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</si>
  <si>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</si>
  <si>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</si>
  <si>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</si>
  <si>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</si>
  <si>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</si>
  <si>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</si>
  <si>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</si>
  <si>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</si>
  <si>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</si>
  <si>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</si>
  <si>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</si>
  <si>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</si>
  <si>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</si>
  <si>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</si>
  <si>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</si>
  <si>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</si>
  <si>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</si>
  <si>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</si>
  <si>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</si>
  <si>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</si>
  <si>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</si>
  <si>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</si>
  <si>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</si>
  <si>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</si>
  <si>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</si>
  <si>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</si>
  <si>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</si>
  <si>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</si>
  <si>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</si>
  <si>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</si>
  <si>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</si>
  <si>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</si>
  <si>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</si>
  <si>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</si>
  <si>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</si>
  <si>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</si>
  <si>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</si>
  <si>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</si>
  <si>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</si>
  <si>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</si>
  <si>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</si>
  <si>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</si>
  <si>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</si>
  <si>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</si>
  <si>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</si>
  <si>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</si>
  <si>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</si>
  <si>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</si>
  <si>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</si>
  <si>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</si>
  <si>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</si>
  <si>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</si>
  <si>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</si>
  <si>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</si>
  <si>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</si>
  <si>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</si>
  <si>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</si>
  <si>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BALANCE</t>
  </si>
  <si>
    <t>LAMINA 153X366</t>
  </si>
  <si>
    <t>alternativa 2</t>
  </si>
  <si>
    <t>19 de 153x366</t>
  </si>
  <si>
    <t>10 DIAS HABILES</t>
  </si>
  <si>
    <t>N° 11265</t>
  </si>
  <si>
    <t>VICENTE MUEBLES</t>
  </si>
  <si>
    <t>THAYSHA TEJEDA</t>
  </si>
  <si>
    <t>+569 8150 1779</t>
  </si>
  <si>
    <t>CUB C/R FALDON 30CMS</t>
  </si>
  <si>
    <t>PALE GREY 22169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</si>
</sst>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zoomScale="93" zoomScaleNormal="93" workbookViewId="0">
      <selection activeCell="J28" sqref="J28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171</v>
      </c>
      <c r="D10" s="243"/>
      <c r="E10" s="243"/>
      <c r="F10" s="244" t="s">
        <v>0</v>
      </c>
      <c r="G10" s="276">
        <v>45679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172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173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2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>
        <v>0.3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69456.14198365889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30">
        <v>1</v>
      </c>
      <c r="C21" s="330" t="s">
        <v>174</v>
      </c>
      <c r="D21" s="332">
        <v>2.36</v>
      </c>
      <c r="E21" s="332">
        <v>0.55000000000000004</v>
      </c>
      <c r="F21" s="330" t="s">
        <v>175</v>
      </c>
      <c r="G21" s="331">
        <v>147052</v>
      </c>
      <c r="H21" s="331">
        <f>G21*B21</f>
        <v>147052</v>
      </c>
      <c r="I21" s="320"/>
      <c r="J21" s="265"/>
      <c r="K21" s="47"/>
      <c r="L21" s="47">
        <f>B21</f>
        <v>1</v>
      </c>
      <c r="M21" s="39">
        <f>D21+M$19</f>
        <v>2.44</v>
      </c>
      <c r="N21" s="39">
        <f>E21+$N$19</f>
        <v>0.85000000000000009</v>
      </c>
      <c r="O21" s="261">
        <f t="shared" ref="O21" si="1">M21*N21</f>
        <v>2.0740000000000003</v>
      </c>
      <c r="P21" s="259">
        <f t="shared" ref="P21" si="2">O21*L21</f>
        <v>2.0740000000000003</v>
      </c>
      <c r="Q21" s="252">
        <f t="shared" ref="Q21" si="3">Q$20*O21</f>
        <v>144052.03847410856</v>
      </c>
      <c r="R21" s="319">
        <f t="shared" ref="R21" si="4">Q21+R$20</f>
        <v>147052.03847410856</v>
      </c>
      <c r="S21" s="297">
        <f t="shared" ref="S21" si="5">L21*M21*2</f>
        <v>4.88</v>
      </c>
      <c r="T21" s="46">
        <f>N21*2*L21*2</f>
        <v>3.4000000000000004</v>
      </c>
      <c r="U21" s="9"/>
      <c r="X21" s="4"/>
    </row>
    <row r="22" spans="2:25" ht="17.399999999999999" x14ac:dyDescent="0.3">
      <c r="B22" s="330">
        <v>1</v>
      </c>
      <c r="C22" s="330" t="s">
        <v>174</v>
      </c>
      <c r="D22" s="332">
        <v>2.2599999999999998</v>
      </c>
      <c r="E22" s="332">
        <v>0.56000000000000005</v>
      </c>
      <c r="F22" s="330" t="s">
        <v>175</v>
      </c>
      <c r="G22" s="331">
        <v>94015</v>
      </c>
      <c r="H22" s="331">
        <f>G22*B22</f>
        <v>94015</v>
      </c>
      <c r="I22" s="320"/>
      <c r="J22" s="265"/>
      <c r="K22" s="47"/>
      <c r="L22" s="47">
        <f>B22</f>
        <v>1</v>
      </c>
      <c r="M22" s="39">
        <f>D22+M$19</f>
        <v>2.34</v>
      </c>
      <c r="N22" s="39">
        <f>E22</f>
        <v>0.56000000000000005</v>
      </c>
      <c r="O22" s="261">
        <f t="shared" ref="O22" si="6">M22*N22</f>
        <v>1.3104</v>
      </c>
      <c r="P22" s="259">
        <f t="shared" ref="P22" si="7">O22*L22</f>
        <v>1.3104</v>
      </c>
      <c r="Q22" s="252">
        <f t="shared" ref="Q22" si="8">Q$20*O22</f>
        <v>91015.328455386611</v>
      </c>
      <c r="R22" s="319">
        <f t="shared" ref="R22" si="9">Q22+R$20</f>
        <v>94015.328455386611</v>
      </c>
      <c r="S22" s="297">
        <f t="shared" ref="S22" si="10">L22*M22*2</f>
        <v>4.68</v>
      </c>
      <c r="T22" s="46"/>
      <c r="U22" s="9"/>
      <c r="X22" s="4"/>
    </row>
    <row r="23" spans="2:25" ht="17.399999999999999" x14ac:dyDescent="0.3">
      <c r="B23" s="330">
        <v>1</v>
      </c>
      <c r="C23" s="330" t="s">
        <v>174</v>
      </c>
      <c r="D23" s="332">
        <v>2.82</v>
      </c>
      <c r="E23" s="332">
        <v>0.6</v>
      </c>
      <c r="F23" s="330" t="s">
        <v>175</v>
      </c>
      <c r="G23" s="331">
        <v>123854</v>
      </c>
      <c r="H23" s="331">
        <f t="shared" ref="H23:H25" si="11">G23*B23</f>
        <v>123854</v>
      </c>
      <c r="I23" s="320"/>
      <c r="J23" s="265"/>
      <c r="K23" s="47"/>
      <c r="L23" s="47">
        <f t="shared" ref="L23:L25" si="12">B23</f>
        <v>1</v>
      </c>
      <c r="M23" s="39">
        <f t="shared" ref="M23:M25" si="13">D23+M$19</f>
        <v>2.9</v>
      </c>
      <c r="N23" s="39">
        <f t="shared" ref="N23:N25" si="14">E23</f>
        <v>0.6</v>
      </c>
      <c r="O23" s="261">
        <f t="shared" ref="O23:O25" si="15">M23*N23</f>
        <v>1.74</v>
      </c>
      <c r="P23" s="259">
        <f t="shared" ref="P23:P25" si="16">O23*L23</f>
        <v>1.74</v>
      </c>
      <c r="Q23" s="252">
        <f t="shared" ref="Q23:Q25" si="17">Q$20*O23</f>
        <v>120853.68705156646</v>
      </c>
      <c r="R23" s="319">
        <f t="shared" ref="R23:R25" si="18">Q23+R$20</f>
        <v>123853.68705156646</v>
      </c>
      <c r="S23" s="297">
        <f t="shared" ref="S23:S25" si="19">L23*M23*2</f>
        <v>5.8</v>
      </c>
      <c r="T23" s="46"/>
      <c r="U23" s="9"/>
      <c r="X23" s="4"/>
    </row>
    <row r="24" spans="2:25" ht="17.399999999999999" x14ac:dyDescent="0.3">
      <c r="B24" s="330">
        <v>1</v>
      </c>
      <c r="C24" s="330" t="s">
        <v>174</v>
      </c>
      <c r="D24" s="332">
        <v>2.65</v>
      </c>
      <c r="E24" s="332">
        <v>0.6</v>
      </c>
      <c r="F24" s="330" t="s">
        <v>175</v>
      </c>
      <c r="G24" s="331">
        <v>116769</v>
      </c>
      <c r="H24" s="331">
        <f t="shared" si="11"/>
        <v>116769</v>
      </c>
      <c r="I24" s="320"/>
      <c r="J24" s="265"/>
      <c r="K24" s="47"/>
      <c r="L24" s="47">
        <f t="shared" si="12"/>
        <v>1</v>
      </c>
      <c r="M24" s="39">
        <f t="shared" si="13"/>
        <v>2.73</v>
      </c>
      <c r="N24" s="39">
        <f t="shared" si="14"/>
        <v>0.6</v>
      </c>
      <c r="O24" s="261">
        <f t="shared" si="15"/>
        <v>1.6379999999999999</v>
      </c>
      <c r="P24" s="259">
        <f t="shared" si="16"/>
        <v>1.6379999999999999</v>
      </c>
      <c r="Q24" s="252">
        <f t="shared" si="17"/>
        <v>113769.16056923325</v>
      </c>
      <c r="R24" s="319">
        <f t="shared" si="18"/>
        <v>116769.16056923325</v>
      </c>
      <c r="S24" s="297">
        <f t="shared" si="19"/>
        <v>5.46</v>
      </c>
      <c r="T24" s="46"/>
      <c r="U24" s="9"/>
      <c r="X24" s="4"/>
    </row>
    <row r="25" spans="2:25" ht="17.399999999999999" x14ac:dyDescent="0.3">
      <c r="B25" s="330">
        <v>1</v>
      </c>
      <c r="C25" s="330" t="s">
        <v>174</v>
      </c>
      <c r="D25" s="332">
        <v>0.97</v>
      </c>
      <c r="E25" s="332">
        <v>0.6</v>
      </c>
      <c r="F25" s="330" t="s">
        <v>175</v>
      </c>
      <c r="G25" s="331">
        <v>46757</v>
      </c>
      <c r="H25" s="331">
        <f t="shared" si="11"/>
        <v>46757</v>
      </c>
      <c r="I25" s="320"/>
      <c r="J25" s="265"/>
      <c r="K25" s="47"/>
      <c r="L25" s="47">
        <f t="shared" si="12"/>
        <v>1</v>
      </c>
      <c r="M25" s="39">
        <f t="shared" si="13"/>
        <v>1.05</v>
      </c>
      <c r="N25" s="39">
        <f t="shared" si="14"/>
        <v>0.6</v>
      </c>
      <c r="O25" s="261">
        <f t="shared" si="15"/>
        <v>0.63</v>
      </c>
      <c r="P25" s="259">
        <f t="shared" si="16"/>
        <v>0.63</v>
      </c>
      <c r="Q25" s="252">
        <f t="shared" si="17"/>
        <v>43757.369449705104</v>
      </c>
      <c r="R25" s="319">
        <f t="shared" si="18"/>
        <v>46757.369449705104</v>
      </c>
      <c r="S25" s="297">
        <f t="shared" si="19"/>
        <v>2.1</v>
      </c>
      <c r="T25" s="46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0"/>
      <c r="H26" s="320"/>
      <c r="I26" s="320"/>
      <c r="J26" s="265"/>
      <c r="K26" s="47"/>
      <c r="L26" s="47"/>
      <c r="M26" s="39"/>
      <c r="N26" s="39"/>
      <c r="O26" s="261"/>
      <c r="P26" s="259"/>
      <c r="Q26" s="252"/>
      <c r="R26" s="319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1"/>
      <c r="I27" s="323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4" t="s">
        <v>28</v>
      </c>
      <c r="H28" s="325">
        <f>SUM(H21:H27)</f>
        <v>528447</v>
      </c>
      <c r="I28" s="322"/>
      <c r="J28" s="265"/>
      <c r="K28" s="47">
        <v>2600000</v>
      </c>
      <c r="L28" s="47"/>
      <c r="M28" s="39"/>
      <c r="N28" s="39"/>
      <c r="O28" s="261"/>
      <c r="P28" s="259"/>
      <c r="Q28" s="252"/>
      <c r="R28" s="258"/>
      <c r="S28" s="297"/>
      <c r="T28" s="46">
        <f>SUM(T21:T27)</f>
        <v>3.4000000000000004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100404.93000000001</v>
      </c>
      <c r="I29" s="322"/>
      <c r="J29" s="265"/>
      <c r="K29" s="47"/>
      <c r="L29" s="47"/>
      <c r="M29" s="39">
        <f>SUM(M21:M28)</f>
        <v>11.46</v>
      </c>
      <c r="N29" s="12"/>
      <c r="O29" s="12"/>
      <c r="P29" s="253">
        <f>SUM(P21:P27)</f>
        <v>7.3924000000000003</v>
      </c>
      <c r="Q29" s="14"/>
      <c r="R29" s="12"/>
      <c r="S29" s="239"/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628851.93000000005</v>
      </c>
      <c r="I30" s="322"/>
      <c r="J30" s="265"/>
      <c r="K30" s="47"/>
      <c r="L30" s="47"/>
      <c r="M30" s="39"/>
      <c r="N30" s="12"/>
      <c r="O30" s="12"/>
      <c r="P30" s="253">
        <f>P29</f>
        <v>7.3924000000000003</v>
      </c>
      <c r="Q30" s="14"/>
      <c r="R30" s="12"/>
      <c r="S30" s="239">
        <f>SUM(S21:S29)</f>
        <v>22.92</v>
      </c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1.4784800000000002</v>
      </c>
      <c r="Q31" s="39" t="s">
        <v>129</v>
      </c>
      <c r="R31" s="42"/>
      <c r="S31" s="240">
        <f>S30+T28</f>
        <v>26.32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8.8708799999999997</v>
      </c>
      <c r="Q32" s="14"/>
      <c r="R32" s="14"/>
      <c r="S32" s="238">
        <f>S31*20%</f>
        <v>5.2640000000000002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31.584</v>
      </c>
      <c r="T33" s="14"/>
      <c r="U33" s="302" t="s">
        <v>21</v>
      </c>
      <c r="V33" s="299" t="s">
        <v>150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8.8708799999999997</v>
      </c>
      <c r="N34" s="12">
        <v>3500</v>
      </c>
      <c r="O34" s="12">
        <f t="shared" ref="O34:O36" si="20">M34*N34</f>
        <v>31048.079999999998</v>
      </c>
      <c r="P34" s="14" t="s">
        <v>21</v>
      </c>
      <c r="Q34" s="14"/>
      <c r="R34" s="14"/>
      <c r="S34" s="241"/>
      <c r="T34" s="14"/>
      <c r="U34" s="302" t="s">
        <v>151</v>
      </c>
      <c r="V34" s="299">
        <v>3625</v>
      </c>
      <c r="W34" s="59" t="s">
        <v>152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2</v>
      </c>
      <c r="N35" s="12">
        <v>25000</v>
      </c>
      <c r="O35" s="12">
        <f t="shared" si="20"/>
        <v>50000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153</v>
      </c>
      <c r="X35" s="304"/>
    </row>
    <row r="36" spans="1:24" s="230" customFormat="1" ht="17.399999999999999" x14ac:dyDescent="0.35">
      <c r="B36" s="24" t="s">
        <v>149</v>
      </c>
      <c r="J36" s="262"/>
      <c r="K36" s="232"/>
      <c r="L36" s="250"/>
      <c r="M36" s="14"/>
      <c r="N36" s="250">
        <v>15041</v>
      </c>
      <c r="O36" s="12">
        <f t="shared" si="20"/>
        <v>0</v>
      </c>
      <c r="P36" s="39" t="s">
        <v>165</v>
      </c>
      <c r="Q36" s="42"/>
      <c r="S36" s="240"/>
      <c r="T36" s="256"/>
      <c r="U36" s="59"/>
      <c r="V36" s="59">
        <f>V35*20%</f>
        <v>181.25</v>
      </c>
      <c r="W36" s="304" t="s">
        <v>154</v>
      </c>
      <c r="X36" s="59"/>
    </row>
    <row r="37" spans="1:24" s="230" customFormat="1" ht="17.399999999999999" x14ac:dyDescent="0.35">
      <c r="B37" s="24" t="s">
        <v>142</v>
      </c>
      <c r="C37"/>
      <c r="D37"/>
      <c r="E37"/>
      <c r="F37"/>
      <c r="J37" s="262"/>
      <c r="K37" s="232"/>
      <c r="L37" s="250"/>
      <c r="M37" s="14">
        <v>5</v>
      </c>
      <c r="N37" s="250">
        <v>25000</v>
      </c>
      <c r="O37" s="12">
        <f>M37*N37</f>
        <v>125000</v>
      </c>
      <c r="P37" s="14" t="s">
        <v>166</v>
      </c>
      <c r="S37" s="238"/>
      <c r="T37" s="256"/>
      <c r="U37" s="59"/>
      <c r="V37" s="59">
        <f>V35+V36</f>
        <v>1087.5</v>
      </c>
      <c r="W37" s="304" t="s">
        <v>155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I38" s="230" t="s">
        <v>167</v>
      </c>
      <c r="J38" s="262"/>
      <c r="K38" s="260"/>
      <c r="L38" s="250"/>
      <c r="M38" s="249"/>
      <c r="N38" s="250">
        <v>900</v>
      </c>
      <c r="O38" s="12">
        <f>M38*N38</f>
        <v>0</v>
      </c>
      <c r="P38" s="14" t="s">
        <v>31</v>
      </c>
      <c r="Q38" s="17"/>
      <c r="R38" s="230">
        <v>2.12</v>
      </c>
      <c r="S38" s="238"/>
      <c r="T38" s="238"/>
    </row>
    <row r="39" spans="1:24" s="230" customFormat="1" ht="17.399999999999999" x14ac:dyDescent="0.35">
      <c r="I39" s="230" t="s">
        <v>168</v>
      </c>
      <c r="J39" s="293"/>
      <c r="K39" s="260"/>
      <c r="L39" s="250"/>
      <c r="M39" s="266">
        <v>11.46</v>
      </c>
      <c r="N39" s="12">
        <v>1500</v>
      </c>
      <c r="O39" s="12">
        <f>M39*N39</f>
        <v>17190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60"/>
      <c r="L40" s="250"/>
      <c r="M40" s="14"/>
      <c r="N40" s="12"/>
      <c r="O40" s="12">
        <f>SUM(O34:O39)</f>
        <v>223238.08000000002</v>
      </c>
      <c r="P40" s="39" t="s">
        <v>23</v>
      </c>
      <c r="Q40" s="14"/>
      <c r="R40">
        <f>R38*R39</f>
        <v>5.1728000000000005</v>
      </c>
      <c r="S40"/>
      <c r="T40" s="238"/>
      <c r="X40" s="231"/>
    </row>
    <row r="41" spans="1:24" s="230" customFormat="1" ht="17.399999999999999" x14ac:dyDescent="0.35">
      <c r="L41" s="250"/>
      <c r="M41" s="254" t="s">
        <v>32</v>
      </c>
      <c r="N41" s="12"/>
      <c r="O41" s="255">
        <f>O40*2.3</f>
        <v>513447.58399999997</v>
      </c>
      <c r="P41" s="14" t="s">
        <v>139</v>
      </c>
      <c r="Q41" s="14"/>
      <c r="R41" s="40">
        <f>P32/R40</f>
        <v>1.71490875347974</v>
      </c>
      <c r="S41"/>
      <c r="T41" s="257"/>
    </row>
    <row r="42" spans="1:24" s="230" customFormat="1" ht="17.399999999999999" x14ac:dyDescent="0.35">
      <c r="G42"/>
      <c r="H42" s="260"/>
      <c r="I42" s="260"/>
      <c r="J42" s="260"/>
      <c r="K42" s="230">
        <v>74260</v>
      </c>
      <c r="L42" s="250"/>
      <c r="M42" s="14"/>
      <c r="N42" s="12"/>
      <c r="O42" s="12">
        <f>O41/P30</f>
        <v>69456.14198365889</v>
      </c>
      <c r="P42" s="45" t="s">
        <v>24</v>
      </c>
      <c r="Q42" s="14"/>
      <c r="R42" s="14"/>
      <c r="S42"/>
      <c r="T42" s="238"/>
      <c r="U42" s="59" t="s">
        <v>156</v>
      </c>
      <c r="V42" s="299">
        <v>43650</v>
      </c>
    </row>
    <row r="43" spans="1:24" s="230" customFormat="1" ht="17.399999999999999" x14ac:dyDescent="0.35">
      <c r="G43"/>
      <c r="K43" s="230">
        <f>K42/1.19</f>
        <v>62403.361344537821</v>
      </c>
      <c r="L43" s="250"/>
      <c r="M43" s="13"/>
      <c r="N43" s="14"/>
      <c r="O43" s="17">
        <f>O41/O40</f>
        <v>2.2999999999999998</v>
      </c>
      <c r="P43" s="15"/>
      <c r="Q43" s="14"/>
      <c r="R43"/>
      <c r="S43"/>
      <c r="T43" s="238"/>
      <c r="U43" s="59" t="s">
        <v>158</v>
      </c>
      <c r="V43" s="300" t="s">
        <v>157</v>
      </c>
      <c r="W43" s="59">
        <v>2.4</v>
      </c>
    </row>
    <row r="44" spans="1:24" s="230" customFormat="1" ht="17.399999999999999" x14ac:dyDescent="0.35">
      <c r="G44" s="23"/>
      <c r="L44" s="12"/>
      <c r="Q44"/>
      <c r="T44" s="238"/>
      <c r="U44" s="59" t="s">
        <v>159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154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146</v>
      </c>
    </row>
    <row r="78" spans="3:15" x14ac:dyDescent="0.3">
      <c r="C78" t="s">
        <v>145</v>
      </c>
    </row>
    <row r="81" spans="3:3" x14ac:dyDescent="0.3">
      <c r="C81" t="s">
        <v>145</v>
      </c>
    </row>
    <row r="158" spans="3:3" x14ac:dyDescent="0.3">
      <c r="C158" t="s">
        <v>145</v>
      </c>
    </row>
    <row r="159" spans="3:3" x14ac:dyDescent="0.3">
      <c r="C159" t="s">
        <v>147</v>
      </c>
    </row>
    <row r="160" spans="3:3" x14ac:dyDescent="0.3">
      <c r="C160" t="s">
        <v>148</v>
      </c>
    </row>
    <row r="585" spans="3:3" x14ac:dyDescent="0.3">
      <c r="C585" t="s">
        <v>145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45679</v>
      </c>
    </row>
    <row r="6" spans="2:31" ht="16.2" thickBot="1" x14ac:dyDescent="0.35">
      <c r="B6" s="140" t="s">
        <v>2</v>
      </c>
      <c r="C6" s="139" t="str">
        <f>'2229'!C10</f>
        <v>VICENTE MUEBLES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11265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-57581.903033454109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'2229'!H28</f>
        <v>528447</v>
      </c>
      <c r="E11" s="132">
        <f>D11*0.19</f>
        <v>100404.93000000001</v>
      </c>
      <c r="F11" s="131">
        <f>E11+D11</f>
        <v>628851.93000000005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48408.096966545891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110882.17078743962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30408.096966545891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417564.82921256038</v>
      </c>
      <c r="E13" s="221">
        <f>(D11/D12)-1</f>
        <v>3.7658428424262125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21408.096966545891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-17591.903033454109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182955.58179927536</v>
      </c>
      <c r="F15" s="216">
        <f>E15-D12</f>
        <v>72073.411011835735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-17591.903033454109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22408.096966545891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'2229'!O35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31048.079999999998</v>
      </c>
      <c r="E20" s="121">
        <f>D20*0.19</f>
        <v>5899.1351999999997</v>
      </c>
      <c r="F20" s="120">
        <f>SUM(D20:E20)</f>
        <v>36947.215199999999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81048.08</v>
      </c>
      <c r="E21" s="116">
        <f>SUM(E18:E20)</f>
        <v>15399.135200000001</v>
      </c>
      <c r="F21" s="115">
        <f>SUM(F18:F20)</f>
        <v>96447.215200000006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85005.794800000003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528447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81048.08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417564.82921256038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417564.82921256038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2025-01-03T15:29:49Z</cp:lastPrinted>
  <dcterms:created xsi:type="dcterms:W3CDTF">2013-03-18T13:35:42Z</dcterms:created>
  <dcterms:modified xsi:type="dcterms:W3CDTF">2025-01-22T17:28:01Z</dcterms:modified>
</cp:coreProperties>
</file>