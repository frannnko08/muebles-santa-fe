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29E5958A-46CF-42FC-81A4-97A20EC07C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N33" i="1" l="1"/>
  <c r="N32" i="1" l="1"/>
  <c r="N34" i="1"/>
  <c r="N35" i="1"/>
  <c r="J39" i="1" l="1"/>
  <c r="L21" i="1"/>
  <c r="L24" i="1" s="1"/>
  <c r="M21" i="1"/>
  <c r="S21" i="1" l="1"/>
  <c r="S24" i="1" s="1"/>
  <c r="S25" i="1" s="1"/>
  <c r="S26" i="1" s="1"/>
  <c r="R21" i="1"/>
  <c r="R26" i="1" s="1"/>
  <c r="N21" i="1"/>
  <c r="O21" i="1" s="1"/>
  <c r="O25" i="1" s="1"/>
  <c r="U32" i="1"/>
  <c r="U33" i="1" s="1"/>
  <c r="N31" i="1" l="1"/>
  <c r="O26" i="1" l="1"/>
  <c r="O27" i="1" s="1"/>
  <c r="O28" i="1" s="1"/>
  <c r="L30" i="1" s="1"/>
  <c r="M20" i="1"/>
  <c r="K20" i="1"/>
  <c r="Q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0" i="1" l="1"/>
  <c r="N36" i="1" s="1"/>
  <c r="N37" i="1" s="1"/>
  <c r="Q37" i="1"/>
  <c r="D20" i="3" l="1"/>
  <c r="E20" i="3" s="1"/>
  <c r="E21" i="3" s="1"/>
  <c r="N38" i="1" l="1"/>
  <c r="D21" i="3"/>
  <c r="M43" i="3" s="1"/>
  <c r="D12" i="3" s="1"/>
  <c r="F20" i="3"/>
  <c r="F21" i="3" s="1"/>
  <c r="N39" i="1" l="1"/>
  <c r="P20" i="1"/>
  <c r="E15" i="3"/>
  <c r="P21" i="1" l="1"/>
  <c r="F15" i="3"/>
  <c r="Q21" i="1" l="1"/>
  <c r="G21" i="1" s="1"/>
  <c r="H21" i="1" l="1"/>
  <c r="H24" i="1" s="1"/>
  <c r="H25" i="1" s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<sst xmlns="http://schemas.openxmlformats.org/spreadsheetml/2006/main" count="227" uniqueCount="172">
  <si>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</si>
  <si>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</si>
  <si>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</si>
  <si>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</si>
  <si>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</si>
  <si>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</si>
  <si>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</si>
  <si>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</si>
  <si>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</si>
  <si>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</si>
  <si>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</si>
  <si>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</si>
  <si>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</si>
  <si>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</si>
  <si>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</si>
  <si>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</si>
  <si>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</si>
  <si>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</si>
  <si>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</si>
  <si>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</si>
  <si>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</si>
  <si>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</si>
  <si>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</si>
  <si>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</si>
  <si>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</si>
  <si>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</si>
  <si>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</si>
  <si>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</si>
  <si>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</si>
  <si>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</si>
  <si>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</si>
  <si>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</si>
  <si>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</si>
  <si>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</si>
  <si>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</si>
  <si>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</si>
  <si>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</si>
  <si>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</si>
  <si>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</si>
  <si>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</si>
  <si>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</si>
  <si>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</si>
  <si>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</si>
  <si>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</si>
  <si>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</si>
  <si>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</si>
  <si>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</si>
  <si>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</si>
  <si>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</si>
  <si>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</si>
  <si>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</si>
  <si>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</si>
  <si>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</si>
  <si>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</si>
  <si>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</si>
  <si>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</si>
  <si>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</si>
  <si>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</si>
  <si>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</si>
  <si>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</si>
  <si>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</si>
  <si>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</si>
  <si>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</si>
  <si>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</si>
  <si>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</si>
  <si>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</si>
  <si>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</si>
  <si>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</si>
  <si>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</si>
  <si>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</si>
  <si>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</si>
  <si>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</si>
  <si>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</si>
  <si>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</si>
  <si>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</si>
  <si>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</si>
  <si>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</si>
  <si>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</si>
  <si>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</si>
  <si>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</si>
  <si>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</si>
  <si>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</si>
  <si>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</si>
  <si>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</si>
  <si>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</si>
  <si>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</si>
  <si>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</si>
  <si>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</si>
  <si>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</si>
  <si>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</si>
  <si>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</si>
  <si>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</si>
  <si>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</si>
  <si>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</si>
  <si>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</si>
  <si>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</si>
  <si>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</si>
  <si>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</si>
  <si>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</si>
  <si>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</si>
  <si>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</si>
  <si>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</si>
  <si>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</si>
  <si>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</si>
  <si>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</si>
  <si>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</si>
  <si>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</si>
  <si>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</si>
  <si>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</si>
  <si>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</si>
  <si>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</si>
  <si>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</si>
  <si>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</si>
  <si>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</si>
  <si>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</si>
  <si>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</si>
  <si>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</si>
  <si>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</si>
  <si>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</si>
  <si>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</si>
  <si>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</si>
  <si>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</si>
  <si>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</si>
  <si>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</si>
  <si>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</si>
  <si>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</si>
  <si>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</si>
  <si>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</si>
  <si>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</si>
  <si>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</si>
  <si>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</si>
  <si>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</si>
  <si>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</si>
  <si>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</si>
  <si>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</si>
  <si>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</si>
  <si>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</si>
  <si>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</si>
  <si>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</si>
  <si>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</si>
  <si>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</si>
  <si>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</si>
  <si>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</si>
  <si>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</si>
  <si>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</si>
  <si>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</si>
  <si>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</si>
  <si>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</si>
  <si>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</si>
  <si>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</si>
  <si>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</si>
  <si>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</si>
  <si>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</si>
  <si>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</si>
  <si>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</si>
  <si>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</si>
  <si>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</si>
  <si>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</si>
  <si>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</si>
  <si>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</si>
  <si>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</si>
  <si>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</si>
  <si>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</si>
  <si>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</si>
  <si>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</si>
  <si>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FASHION WHITE 2125 MT</t>
  </si>
  <si>
    <t>N° 11253</t>
  </si>
  <si>
    <t>FELIPE CHACON</t>
  </si>
  <si>
    <t>+569 7468 8362</t>
  </si>
  <si>
    <t>5 DIAS HABILES</t>
  </si>
  <si>
    <t>CUB C/R 90° R8</t>
  </si>
  <si>
    <t>NEGRO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</si>
</sst>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0" fillId="0" borderId="0" xfId="2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22</xdr:row>
      <xdr:rowOff>206170</xdr:rowOff>
    </xdr:from>
    <xdr:to>
      <xdr:col>5</xdr:col>
      <xdr:colOff>1643259</xdr:colOff>
      <xdr:row>26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 SE ENTREGA CON SOBRE</a:t>
          </a:r>
          <a:r>
            <a:rPr lang="es-CL" sz="1200" b="1" baseline="0"/>
            <a:t> MEDIDA EN EL LARGO</a:t>
          </a:r>
          <a:r>
            <a:rPr lang="es-CL" sz="1200" b="1"/>
            <a:t>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3" zoomScale="93" zoomScaleNormal="93" workbookViewId="0">
      <selection activeCell="G37" sqref="G37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141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8" t="s">
        <v>138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8" t="s">
        <v>142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8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8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8" t="s">
        <v>124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1" t="s">
        <v>126</v>
      </c>
      <c r="C8" s="292"/>
      <c r="D8" s="324" t="s">
        <v>166</v>
      </c>
      <c r="F8" s="58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7" t="s">
        <v>161</v>
      </c>
      <c r="C10" s="278" t="s">
        <v>167</v>
      </c>
      <c r="D10" s="242"/>
      <c r="E10" s="242"/>
      <c r="F10" s="243" t="s">
        <v>0</v>
      </c>
      <c r="G10" s="276">
        <v>45672</v>
      </c>
      <c r="H10" s="244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00"/>
      <c r="F11" t="s">
        <v>123</v>
      </c>
      <c r="G11" s="288" t="s">
        <v>169</v>
      </c>
      <c r="H11" s="289"/>
      <c r="P11" s="19"/>
      <c r="Q11" s="25" t="s">
        <v>19</v>
      </c>
      <c r="R11" s="19"/>
    </row>
    <row r="12" spans="2:23" ht="16.8" x14ac:dyDescent="0.4">
      <c r="B12" s="245" t="s">
        <v>144</v>
      </c>
      <c r="C12" s="311"/>
      <c r="D12" s="246"/>
      <c r="E12" s="246"/>
      <c r="F12" s="246" t="s">
        <v>127</v>
      </c>
      <c r="G12" s="277" t="s">
        <v>135</v>
      </c>
      <c r="H12" s="247"/>
      <c r="P12" s="19"/>
      <c r="Q12" s="25"/>
      <c r="R12" s="19"/>
    </row>
    <row r="13" spans="2:23" x14ac:dyDescent="0.3">
      <c r="B13" s="287" t="s">
        <v>145</v>
      </c>
      <c r="G13" s="312"/>
      <c r="H13" s="289"/>
      <c r="P13" s="19"/>
      <c r="Q13" s="25"/>
      <c r="R13" s="19"/>
    </row>
    <row r="14" spans="2:23" x14ac:dyDescent="0.3">
      <c r="B14" s="245" t="s">
        <v>139</v>
      </c>
      <c r="C14" s="319"/>
      <c r="D14" s="246"/>
      <c r="E14" s="246"/>
      <c r="F14" s="320" t="s">
        <v>136</v>
      </c>
      <c r="G14" s="290" t="s">
        <v>135</v>
      </c>
      <c r="H14" s="247"/>
      <c r="J14" s="29"/>
      <c r="P14" s="20"/>
      <c r="Q14" s="26" t="s">
        <v>18</v>
      </c>
      <c r="R14" s="20"/>
    </row>
    <row r="15" spans="2:23" ht="15.6" x14ac:dyDescent="0.3">
      <c r="B15" s="287" t="s">
        <v>4</v>
      </c>
      <c r="C15" s="314" t="s">
        <v>168</v>
      </c>
      <c r="D15" s="315"/>
      <c r="F15" t="s">
        <v>134</v>
      </c>
      <c r="G15" s="313" t="s">
        <v>135</v>
      </c>
      <c r="H15" s="289"/>
    </row>
    <row r="16" spans="2:23" ht="16.8" x14ac:dyDescent="0.4">
      <c r="B16" s="321" t="s">
        <v>3</v>
      </c>
      <c r="C16" s="311"/>
      <c r="D16" s="246"/>
      <c r="E16" s="246"/>
      <c r="F16" s="322" t="s">
        <v>129</v>
      </c>
      <c r="G16" s="323" t="s">
        <v>162</v>
      </c>
      <c r="H16" s="247"/>
    </row>
    <row r="17" spans="2:24" ht="15" thickBot="1" x14ac:dyDescent="0.35">
      <c r="B17" s="316" t="s">
        <v>13</v>
      </c>
      <c r="C17" s="317" t="s">
        <v>164</v>
      </c>
      <c r="D17" s="318"/>
      <c r="E17" s="118"/>
      <c r="F17" s="332" t="s">
        <v>163</v>
      </c>
      <c r="G17" s="332"/>
      <c r="H17" s="333"/>
      <c r="I17" s="262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146</v>
      </c>
      <c r="C19" s="335"/>
      <c r="D19" s="335"/>
      <c r="E19" s="335"/>
      <c r="F19" s="335"/>
      <c r="G19" s="335"/>
      <c r="H19" s="336"/>
      <c r="I19" s="263"/>
      <c r="J19" s="5"/>
      <c r="K19" s="249"/>
      <c r="L19" s="14">
        <v>0.05</v>
      </c>
      <c r="M19" s="14"/>
      <c r="N19" s="14"/>
      <c r="O19" s="250" t="s">
        <v>6</v>
      </c>
      <c r="P19" s="36" t="s">
        <v>21</v>
      </c>
      <c r="Q19" s="37" t="s">
        <v>133</v>
      </c>
      <c r="R19" s="10" t="s">
        <v>137</v>
      </c>
      <c r="T19" s="9"/>
      <c r="U19" s="9"/>
      <c r="W19" s="6"/>
      <c r="X19" s="6"/>
    </row>
    <row r="20" spans="2:24" ht="17.399999999999999" x14ac:dyDescent="0.3">
      <c r="B20" s="308" t="s">
        <v>7</v>
      </c>
      <c r="C20" s="309" t="s">
        <v>1</v>
      </c>
      <c r="D20" s="309" t="s">
        <v>10</v>
      </c>
      <c r="E20" s="309" t="s">
        <v>11</v>
      </c>
      <c r="F20" s="309" t="s">
        <v>8</v>
      </c>
      <c r="G20" s="309" t="s">
        <v>5</v>
      </c>
      <c r="H20" s="310" t="s">
        <v>6</v>
      </c>
      <c r="I20" s="264"/>
      <c r="J20" s="47"/>
      <c r="K20" s="267" t="str">
        <f>B20</f>
        <v>UNIDAD</v>
      </c>
      <c r="L20" s="266" t="s">
        <v>131</v>
      </c>
      <c r="M20" s="39" t="str">
        <f t="shared" ref="M20" si="0">E20</f>
        <v>ANCHO</v>
      </c>
      <c r="N20" s="260" t="s">
        <v>132</v>
      </c>
      <c r="O20" s="258" t="s">
        <v>17</v>
      </c>
      <c r="P20" s="251">
        <f>N38</f>
        <v>79305.217391304337</v>
      </c>
      <c r="Q20" s="257">
        <v>3000</v>
      </c>
      <c r="R20" s="38"/>
      <c r="S20" s="14" t="s">
        <v>128</v>
      </c>
      <c r="T20" s="9"/>
      <c r="W20" s="4"/>
    </row>
    <row r="21" spans="2:24" ht="17.399999999999999" x14ac:dyDescent="0.3">
      <c r="B21" s="325">
        <v>1</v>
      </c>
      <c r="C21" s="325" t="s">
        <v>170</v>
      </c>
      <c r="D21" s="330">
        <v>1.1000000000000001</v>
      </c>
      <c r="E21" s="330">
        <v>0.4</v>
      </c>
      <c r="F21" s="325" t="s">
        <v>171</v>
      </c>
      <c r="G21" s="326">
        <f>Q21</f>
        <v>39480.400000000001</v>
      </c>
      <c r="H21" s="326">
        <f>G21*B21</f>
        <v>39480.400000000001</v>
      </c>
      <c r="I21" s="264"/>
      <c r="J21" s="47"/>
      <c r="K21" s="328">
        <f t="shared" ref="K21" si="1">B21</f>
        <v>1</v>
      </c>
      <c r="L21" s="39">
        <f t="shared" ref="L21" si="2">D21+L$19</f>
        <v>1.1500000000000001</v>
      </c>
      <c r="M21" s="39">
        <f t="shared" ref="M21" si="3">E21+M$19</f>
        <v>0.4</v>
      </c>
      <c r="N21" s="260">
        <f t="shared" ref="N21" si="4">L21*M21</f>
        <v>0.46000000000000008</v>
      </c>
      <c r="O21" s="258">
        <f t="shared" ref="O21" si="5">N21*K21</f>
        <v>0.46000000000000008</v>
      </c>
      <c r="P21" s="251">
        <f t="shared" ref="P21" si="6">P$20*N21</f>
        <v>36480.400000000001</v>
      </c>
      <c r="Q21" s="327">
        <f t="shared" ref="Q21" si="7">P21+Q$20</f>
        <v>39480.400000000001</v>
      </c>
      <c r="R21" s="297">
        <f>L21*K21*2</f>
        <v>2.3000000000000003</v>
      </c>
      <c r="S21" s="46">
        <f>M21*2*K21</f>
        <v>0.8</v>
      </c>
      <c r="T21" s="9"/>
      <c r="W21" s="4"/>
    </row>
    <row r="22" spans="2:24" ht="17.399999999999999" x14ac:dyDescent="0.3">
      <c r="B22" s="285"/>
      <c r="C22" s="285"/>
      <c r="D22" s="286"/>
      <c r="E22" s="286"/>
      <c r="F22" s="285"/>
      <c r="G22" s="329"/>
      <c r="H22" s="329"/>
      <c r="I22" s="264"/>
      <c r="J22" s="47"/>
      <c r="K22" s="328"/>
      <c r="L22" s="39"/>
      <c r="M22" s="39"/>
      <c r="N22" s="260"/>
      <c r="O22" s="258"/>
      <c r="P22" s="251"/>
      <c r="Q22" s="327"/>
      <c r="R22" s="297"/>
      <c r="S22" s="46"/>
      <c r="T22" s="9"/>
      <c r="W22" s="4"/>
    </row>
    <row r="23" spans="2:24" ht="18" thickBot="1" x14ac:dyDescent="0.35">
      <c r="B23" s="285"/>
      <c r="C23" s="285"/>
      <c r="D23" s="286"/>
      <c r="E23" s="286"/>
      <c r="F23" s="285"/>
      <c r="G23" s="264"/>
      <c r="H23" s="232"/>
      <c r="I23" s="232"/>
      <c r="J23" s="47"/>
      <c r="K23" s="47"/>
      <c r="L23" s="39"/>
      <c r="M23" s="39"/>
      <c r="N23" s="260">
        <v>0</v>
      </c>
      <c r="O23" s="258"/>
      <c r="P23" s="251"/>
      <c r="Q23" s="257"/>
      <c r="R23" s="297"/>
      <c r="S23" s="14"/>
      <c r="T23" s="9"/>
      <c r="W23" s="4"/>
    </row>
    <row r="24" spans="2:24" ht="17.399999999999999" x14ac:dyDescent="0.3">
      <c r="B24" s="285"/>
      <c r="C24" s="285"/>
      <c r="D24" s="286"/>
      <c r="E24" s="286"/>
      <c r="F24" s="285"/>
      <c r="G24" s="298" t="s">
        <v>28</v>
      </c>
      <c r="H24" s="299">
        <f>SUM(H21:H23)</f>
        <v>39480.400000000001</v>
      </c>
      <c r="I24" s="264"/>
      <c r="J24" s="47"/>
      <c r="K24" s="47"/>
      <c r="L24" s="39">
        <f>SUM(L21:L23)</f>
        <v>1.1500000000000001</v>
      </c>
      <c r="M24" s="39"/>
      <c r="N24" s="260"/>
      <c r="O24" s="258"/>
      <c r="P24" s="251"/>
      <c r="Q24" s="257"/>
      <c r="R24" s="297"/>
      <c r="S24" s="46">
        <f>SUM(S21:S23)</f>
        <v>0.8</v>
      </c>
      <c r="T24" s="9"/>
      <c r="W24" s="4"/>
    </row>
    <row r="25" spans="2:24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7501.2760000000007</v>
      </c>
      <c r="I25" s="264"/>
      <c r="J25" s="47"/>
      <c r="K25" s="47"/>
      <c r="L25" s="39"/>
      <c r="M25" s="12"/>
      <c r="N25" s="12"/>
      <c r="O25" s="252">
        <f>SUM(O21:O22)</f>
        <v>0.46000000000000008</v>
      </c>
      <c r="P25" s="14"/>
      <c r="Q25" s="12"/>
      <c r="R25" s="238"/>
      <c r="S25" s="46">
        <f>S24*20%</f>
        <v>0.16000000000000003</v>
      </c>
      <c r="T25" s="9"/>
      <c r="W25" s="4"/>
    </row>
    <row r="26" spans="2:24" ht="18" thickBot="1" x14ac:dyDescent="0.35">
      <c r="B26" s="275"/>
      <c r="C26" s="281"/>
      <c r="D26" s="271"/>
      <c r="E26" s="271"/>
      <c r="F26" s="272"/>
      <c r="G26" s="280" t="s">
        <v>6</v>
      </c>
      <c r="H26" s="295">
        <f>H24+H25</f>
        <v>46981.675999999999</v>
      </c>
      <c r="I26" s="264"/>
      <c r="J26" s="47"/>
      <c r="K26" s="47"/>
      <c r="L26" s="39"/>
      <c r="M26" s="12"/>
      <c r="N26" s="12"/>
      <c r="O26" s="252">
        <f>O25</f>
        <v>0.46000000000000008</v>
      </c>
      <c r="P26" s="14"/>
      <c r="Q26" s="12"/>
      <c r="R26" s="238">
        <f>SUM(R21:R25)</f>
        <v>2.3000000000000003</v>
      </c>
      <c r="S26" s="46">
        <f>S24+S25</f>
        <v>0.96000000000000008</v>
      </c>
      <c r="T26" s="9"/>
      <c r="W26" s="4"/>
    </row>
    <row r="27" spans="2:24" ht="17.399999999999999" x14ac:dyDescent="0.3">
      <c r="B27" s="275"/>
      <c r="C27" s="270"/>
      <c r="D27" s="271"/>
      <c r="E27" s="271"/>
      <c r="F27" s="272"/>
      <c r="I27" s="264"/>
      <c r="J27" s="47"/>
      <c r="K27" s="47"/>
      <c r="L27" s="14"/>
      <c r="M27" s="12"/>
      <c r="N27" s="12"/>
      <c r="O27" s="39">
        <f>O26*20%</f>
        <v>9.2000000000000026E-2</v>
      </c>
      <c r="P27" s="39" t="s">
        <v>130</v>
      </c>
      <c r="Q27" s="42"/>
      <c r="R27" s="239"/>
      <c r="S27" s="14"/>
      <c r="T27" s="9"/>
      <c r="W27" s="4"/>
    </row>
    <row r="28" spans="2:24" ht="17.399999999999999" x14ac:dyDescent="0.3">
      <c r="B28" s="270"/>
      <c r="C28" s="270"/>
      <c r="D28" s="271"/>
      <c r="E28" s="271"/>
      <c r="F28" s="272"/>
      <c r="G28" s="273"/>
      <c r="H28" s="274"/>
      <c r="I28" s="264"/>
      <c r="J28" s="47"/>
      <c r="K28" s="47"/>
      <c r="L28" s="14"/>
      <c r="M28" s="12"/>
      <c r="N28" s="12"/>
      <c r="O28" s="46">
        <f>O26+O27</f>
        <v>0.55200000000000005</v>
      </c>
      <c r="P28" s="14"/>
      <c r="Q28" s="14"/>
      <c r="R28" s="237">
        <v>40</v>
      </c>
      <c r="S28" s="14"/>
      <c r="T28" s="9"/>
      <c r="W28" s="4"/>
    </row>
    <row r="29" spans="2:24" ht="17.399999999999999" x14ac:dyDescent="0.35">
      <c r="B29" s="268"/>
      <c r="C29" s="229"/>
      <c r="D29" s="229"/>
      <c r="E29" s="232"/>
      <c r="F29" s="233"/>
      <c r="G29" s="229"/>
      <c r="H29" s="274"/>
      <c r="I29" s="264"/>
      <c r="J29" s="47"/>
      <c r="K29" s="47"/>
      <c r="L29" s="14"/>
      <c r="M29" s="14"/>
      <c r="N29" s="14"/>
      <c r="O29" s="14"/>
      <c r="P29" s="14"/>
      <c r="Q29" s="14"/>
      <c r="R29" s="237"/>
      <c r="S29" s="14"/>
      <c r="T29" s="304" t="s">
        <v>22</v>
      </c>
      <c r="U29" s="301" t="s">
        <v>151</v>
      </c>
      <c r="V29" s="305">
        <v>44971</v>
      </c>
      <c r="W29" s="306"/>
    </row>
    <row r="30" spans="2:24" ht="17.399999999999999" x14ac:dyDescent="0.35">
      <c r="B30" s="234"/>
      <c r="C30" s="235"/>
      <c r="D30" s="236"/>
      <c r="E30" s="234"/>
      <c r="F30" s="229"/>
      <c r="G30" s="229"/>
      <c r="I30" s="264"/>
      <c r="J30" s="47"/>
      <c r="K30" s="47"/>
      <c r="L30" s="39">
        <f>O28</f>
        <v>0.55200000000000005</v>
      </c>
      <c r="M30" s="12">
        <v>3500</v>
      </c>
      <c r="N30" s="12">
        <f t="shared" ref="N30:N35" si="8">L30*M30</f>
        <v>1932.0000000000002</v>
      </c>
      <c r="O30" s="14" t="s">
        <v>22</v>
      </c>
      <c r="P30" s="14"/>
      <c r="Q30" s="14"/>
      <c r="R30" s="240"/>
      <c r="S30" s="14"/>
      <c r="T30" s="304" t="s">
        <v>152</v>
      </c>
      <c r="U30" s="301">
        <v>3625</v>
      </c>
      <c r="V30" s="58" t="s">
        <v>153</v>
      </c>
      <c r="W30" s="306"/>
    </row>
    <row r="31" spans="2:24" ht="17.399999999999999" x14ac:dyDescent="0.35">
      <c r="B31" s="229"/>
      <c r="C31" s="229"/>
      <c r="D31" s="229"/>
      <c r="E31" s="229"/>
      <c r="F31" s="229"/>
      <c r="G31" s="229"/>
      <c r="I31" s="264"/>
      <c r="J31" s="47"/>
      <c r="K31" s="47"/>
      <c r="L31" s="248">
        <v>0.25</v>
      </c>
      <c r="M31" s="12">
        <v>25000</v>
      </c>
      <c r="N31" s="12">
        <f t="shared" si="8"/>
        <v>6250</v>
      </c>
      <c r="O31" s="39" t="s">
        <v>31</v>
      </c>
      <c r="P31" s="42"/>
      <c r="Q31" s="14"/>
      <c r="R31" s="239"/>
      <c r="S31" s="14"/>
      <c r="T31" s="304"/>
      <c r="U31" s="58">
        <v>906.25</v>
      </c>
      <c r="V31" s="58" t="s">
        <v>154</v>
      </c>
      <c r="W31" s="306"/>
    </row>
    <row r="32" spans="2:24" s="229" customFormat="1" ht="17.399999999999999" x14ac:dyDescent="0.35">
      <c r="I32" s="261"/>
      <c r="J32" s="231"/>
      <c r="K32" s="249"/>
      <c r="L32" s="14"/>
      <c r="M32" s="249">
        <v>40000</v>
      </c>
      <c r="N32" s="12">
        <f t="shared" si="8"/>
        <v>0</v>
      </c>
      <c r="O32" s="39" t="s">
        <v>30</v>
      </c>
      <c r="P32" s="42"/>
      <c r="R32" s="239"/>
      <c r="S32" s="255"/>
      <c r="T32" s="58"/>
      <c r="U32" s="58">
        <f>U31*20%</f>
        <v>181.25</v>
      </c>
      <c r="V32" s="306" t="s">
        <v>155</v>
      </c>
      <c r="W32" s="58"/>
    </row>
    <row r="33" spans="2:23" s="229" customFormat="1" ht="17.399999999999999" x14ac:dyDescent="0.35">
      <c r="B33" s="24" t="s">
        <v>150</v>
      </c>
      <c r="I33" s="261"/>
      <c r="J33" s="231"/>
      <c r="K33" s="249"/>
      <c r="L33" s="14">
        <v>0.3</v>
      </c>
      <c r="M33" s="249">
        <v>28000</v>
      </c>
      <c r="N33" s="12">
        <f t="shared" si="8"/>
        <v>8400</v>
      </c>
      <c r="O33" s="14"/>
      <c r="P33" s="17"/>
      <c r="R33" s="237"/>
      <c r="S33" s="255"/>
      <c r="T33" s="58"/>
      <c r="U33" s="58">
        <f>U31+U32</f>
        <v>1087.5</v>
      </c>
      <c r="V33" s="306" t="s">
        <v>156</v>
      </c>
      <c r="W33" s="58"/>
    </row>
    <row r="34" spans="2:23" s="229" customFormat="1" ht="17.399999999999999" x14ac:dyDescent="0.35">
      <c r="B34" s="24" t="s">
        <v>143</v>
      </c>
      <c r="C34"/>
      <c r="D34"/>
      <c r="E34"/>
      <c r="F34"/>
      <c r="I34" s="261"/>
      <c r="K34" s="249"/>
      <c r="L34" s="248"/>
      <c r="M34" s="249">
        <v>300</v>
      </c>
      <c r="N34" s="12">
        <f t="shared" si="8"/>
        <v>0</v>
      </c>
      <c r="O34" s="14" t="s">
        <v>32</v>
      </c>
      <c r="P34" s="14"/>
      <c r="Q34" s="229">
        <v>1.52</v>
      </c>
      <c r="R34" s="237"/>
      <c r="S34" s="237"/>
    </row>
    <row r="35" spans="2:23" s="229" customFormat="1" ht="17.399999999999999" x14ac:dyDescent="0.35">
      <c r="B35" s="29" t="s">
        <v>125</v>
      </c>
      <c r="C35"/>
      <c r="D35"/>
      <c r="E35"/>
      <c r="F35" s="228" t="s">
        <v>16</v>
      </c>
      <c r="I35" s="293"/>
      <c r="K35" s="249"/>
      <c r="L35" s="265"/>
      <c r="M35" s="12">
        <v>1500</v>
      </c>
      <c r="N35" s="12">
        <f t="shared" si="8"/>
        <v>0</v>
      </c>
      <c r="O35" s="14" t="s">
        <v>23</v>
      </c>
      <c r="P35" s="14"/>
      <c r="Q35">
        <v>2.44</v>
      </c>
      <c r="R35"/>
      <c r="S35" s="237"/>
      <c r="W35" s="230"/>
    </row>
    <row r="36" spans="2:23" s="229" customFormat="1" ht="17.399999999999999" x14ac:dyDescent="0.35">
      <c r="K36" s="249"/>
      <c r="L36" s="14"/>
      <c r="M36" s="12"/>
      <c r="N36" s="12">
        <f>SUM(N30:N35)</f>
        <v>16582</v>
      </c>
      <c r="O36" s="39" t="s">
        <v>24</v>
      </c>
      <c r="P36" s="14"/>
      <c r="Q36">
        <f>Q34*Q35</f>
        <v>3.7088000000000001</v>
      </c>
      <c r="R36"/>
      <c r="S36" s="237"/>
      <c r="W36" s="230"/>
    </row>
    <row r="37" spans="2:23" s="229" customFormat="1" ht="17.399999999999999" x14ac:dyDescent="0.35">
      <c r="K37" s="249"/>
      <c r="L37" s="253" t="s">
        <v>33</v>
      </c>
      <c r="M37" s="12"/>
      <c r="N37" s="254">
        <f>N36*2.2</f>
        <v>36480.400000000001</v>
      </c>
      <c r="O37" s="14" t="s">
        <v>140</v>
      </c>
      <c r="P37" s="14"/>
      <c r="Q37" s="40">
        <f>O28/Q36</f>
        <v>0.14883520276100087</v>
      </c>
      <c r="R37"/>
      <c r="S37" s="256"/>
    </row>
    <row r="38" spans="2:23" s="229" customFormat="1" ht="17.399999999999999" x14ac:dyDescent="0.35">
      <c r="G38"/>
      <c r="H38" s="259"/>
      <c r="J38" s="229">
        <v>23560</v>
      </c>
      <c r="K38" s="249">
        <v>0</v>
      </c>
      <c r="L38" s="14"/>
      <c r="M38" s="12"/>
      <c r="N38" s="12">
        <f>N37/O26</f>
        <v>79305.217391304337</v>
      </c>
      <c r="O38" s="45" t="s">
        <v>25</v>
      </c>
      <c r="P38" s="14"/>
      <c r="Q38" s="14"/>
      <c r="R38"/>
      <c r="S38" s="237"/>
      <c r="T38" s="58" t="s">
        <v>157</v>
      </c>
      <c r="U38" s="301">
        <v>43650</v>
      </c>
    </row>
    <row r="39" spans="2:23" s="229" customFormat="1" ht="17.399999999999999" x14ac:dyDescent="0.35">
      <c r="G39"/>
      <c r="J39" s="229">
        <f>J38/1.19</f>
        <v>19798.319327731093</v>
      </c>
      <c r="K39" s="249"/>
      <c r="L39" s="13"/>
      <c r="M39" s="14"/>
      <c r="N39" s="17">
        <f>N37/N36</f>
        <v>2.2000000000000002</v>
      </c>
      <c r="O39" s="15"/>
      <c r="P39"/>
      <c r="Q39"/>
      <c r="R39"/>
      <c r="S39" s="237"/>
      <c r="T39" s="58" t="s">
        <v>159</v>
      </c>
      <c r="U39" s="302" t="s">
        <v>158</v>
      </c>
      <c r="V39" s="58">
        <v>2.4</v>
      </c>
    </row>
    <row r="40" spans="2:23" s="229" customFormat="1" ht="17.399999999999999" x14ac:dyDescent="0.35">
      <c r="G40" s="23"/>
      <c r="K40" s="12"/>
      <c r="S40" s="237"/>
      <c r="T40" s="58" t="s">
        <v>160</v>
      </c>
      <c r="U40" s="303">
        <v>395.37</v>
      </c>
    </row>
    <row r="41" spans="2:23" s="229" customFormat="1" ht="17.399999999999999" x14ac:dyDescent="0.35">
      <c r="B41"/>
      <c r="C41" s="227"/>
      <c r="D41" s="22"/>
      <c r="E41" s="22"/>
      <c r="F41" s="21"/>
      <c r="G41" s="23"/>
      <c r="K41" s="12"/>
      <c r="S41" s="237"/>
      <c r="T41" s="58" t="s">
        <v>155</v>
      </c>
      <c r="U41" s="58">
        <v>474.45</v>
      </c>
    </row>
    <row r="42" spans="2:23" ht="14.4" customHeight="1" x14ac:dyDescent="0.3">
      <c r="K42" s="12"/>
      <c r="T42" s="58"/>
      <c r="U42" s="58"/>
    </row>
    <row r="43" spans="2:23" x14ac:dyDescent="0.3">
      <c r="K43" s="249"/>
    </row>
    <row r="44" spans="2:23" x14ac:dyDescent="0.3">
      <c r="I44">
        <v>5</v>
      </c>
      <c r="J44" t="s">
        <v>165</v>
      </c>
      <c r="K44" s="249"/>
      <c r="S44" s="269"/>
    </row>
    <row r="45" spans="2:23" x14ac:dyDescent="0.3">
      <c r="K45" s="249"/>
    </row>
    <row r="46" spans="2:23" ht="15" customHeight="1" x14ac:dyDescent="0.3">
      <c r="K46" s="331"/>
    </row>
    <row r="47" spans="2:23" x14ac:dyDescent="0.3">
      <c r="K47" s="331"/>
    </row>
    <row r="48" spans="2:23" x14ac:dyDescent="0.3">
      <c r="K48" s="331"/>
    </row>
    <row r="49" spans="11:19" x14ac:dyDescent="0.3">
      <c r="K49" s="331"/>
    </row>
    <row r="50" spans="11:19" x14ac:dyDescent="0.3">
      <c r="K50" s="331"/>
    </row>
    <row r="51" spans="11:19" x14ac:dyDescent="0.3">
      <c r="K51" s="331"/>
      <c r="R51" s="331"/>
      <c r="S51" s="18"/>
    </row>
    <row r="52" spans="11:19" x14ac:dyDescent="0.3">
      <c r="K52" s="331"/>
      <c r="R52" s="331"/>
      <c r="S52" s="18"/>
    </row>
    <row r="53" spans="11:19" x14ac:dyDescent="0.3">
      <c r="R53" s="18"/>
      <c r="S53" s="18"/>
    </row>
    <row r="54" spans="11:19" x14ac:dyDescent="0.3">
      <c r="R54" s="18"/>
      <c r="S54" s="18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2" spans="11:19" x14ac:dyDescent="0.3">
      <c r="N62" s="43"/>
    </row>
    <row r="63" spans="11:19" x14ac:dyDescent="0.3">
      <c r="N63" s="43"/>
    </row>
    <row r="64" spans="11:19" x14ac:dyDescent="0.3">
      <c r="N64" s="6"/>
    </row>
    <row r="65" spans="3:14" x14ac:dyDescent="0.3">
      <c r="N65" s="6"/>
    </row>
    <row r="73" spans="3:14" x14ac:dyDescent="0.3">
      <c r="C73" t="s">
        <v>147</v>
      </c>
    </row>
    <row r="74" spans="3:14" x14ac:dyDescent="0.3">
      <c r="C74" t="s">
        <v>146</v>
      </c>
    </row>
    <row r="77" spans="3:14" x14ac:dyDescent="0.3">
      <c r="C77" t="s">
        <v>146</v>
      </c>
    </row>
    <row r="154" spans="3:3" x14ac:dyDescent="0.3">
      <c r="C154" t="s">
        <v>146</v>
      </c>
    </row>
    <row r="155" spans="3:3" x14ac:dyDescent="0.3">
      <c r="C155" t="s">
        <v>148</v>
      </c>
    </row>
    <row r="156" spans="3:3" x14ac:dyDescent="0.3">
      <c r="C156" t="s">
        <v>149</v>
      </c>
    </row>
    <row r="581" spans="3:3" x14ac:dyDescent="0.3">
      <c r="C581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8"/>
      <c r="D2" s="48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45672</v>
      </c>
    </row>
    <row r="6" spans="2:31" ht="16.2" thickBot="1" x14ac:dyDescent="0.35">
      <c r="B6" s="139" t="s">
        <v>2</v>
      </c>
      <c r="C6" s="138" t="str">
        <f>'2229'!C10</f>
        <v>FELIPE CHACON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338" t="s">
        <v>98</v>
      </c>
      <c r="I7" s="339"/>
      <c r="J7" s="339"/>
      <c r="K7" s="340"/>
      <c r="N7" s="74"/>
      <c r="O7" s="337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11253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337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8" t="s">
        <v>9</v>
      </c>
      <c r="T9" s="28"/>
      <c r="W9" s="8"/>
      <c r="X9" s="175">
        <f>(E15-D11)/X8</f>
        <v>3874.3582998792263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'2229'!H24</f>
        <v>39480.400000000001</v>
      </c>
      <c r="E11" s="131">
        <f>D11*0.19</f>
        <v>7501.2760000000007</v>
      </c>
      <c r="F11" s="130">
        <f>E11+D11</f>
        <v>46981.675999999999</v>
      </c>
      <c r="H11" s="190">
        <v>3</v>
      </c>
      <c r="I11" s="173">
        <v>500</v>
      </c>
      <c r="J11" s="147" t="s">
        <v>23</v>
      </c>
      <c r="K11" s="157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4">
        <v>105990</v>
      </c>
      <c r="W11" s="49">
        <f t="shared" ref="W11:W18" si="1">V11*Q11</f>
        <v>105990</v>
      </c>
      <c r="X11" s="175">
        <f t="shared" ref="X11:X16" si="2">V11+$X$9</f>
        <v>109864.35829987923</v>
      </c>
      <c r="Y11" s="174">
        <v>108990</v>
      </c>
      <c r="AA11" s="6"/>
      <c r="AB11" s="6"/>
      <c r="AC11" s="224"/>
      <c r="AD11" s="53"/>
      <c r="AE11" s="221"/>
    </row>
    <row r="12" spans="2:31" ht="16.2" thickBot="1" x14ac:dyDescent="0.35">
      <c r="C12" s="136" t="s">
        <v>97</v>
      </c>
      <c r="D12" s="135">
        <f>SUM(M43:M45)</f>
        <v>38016.090787439614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4">
        <v>87990</v>
      </c>
      <c r="W12" s="49">
        <f t="shared" si="1"/>
        <v>87990</v>
      </c>
      <c r="X12" s="175">
        <f t="shared" si="2"/>
        <v>91864.358299879226</v>
      </c>
      <c r="Y12" s="174">
        <v>89990</v>
      </c>
      <c r="Z12" s="2"/>
      <c r="AA12" s="222"/>
      <c r="AB12" s="223"/>
      <c r="AC12" s="224"/>
      <c r="AD12" s="53"/>
      <c r="AE12" s="221"/>
    </row>
    <row r="13" spans="2:31" ht="16.2" thickBot="1" x14ac:dyDescent="0.35">
      <c r="C13" s="211" t="s">
        <v>91</v>
      </c>
      <c r="D13" s="216">
        <f>D11-D12</f>
        <v>1464.3092125603871</v>
      </c>
      <c r="E13" s="220">
        <f>(D11/D12)-1</f>
        <v>3.8518142771381214E-2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4">
        <v>78990</v>
      </c>
      <c r="W13" s="49">
        <f t="shared" si="1"/>
        <v>78990</v>
      </c>
      <c r="X13" s="175">
        <f t="shared" si="2"/>
        <v>82864.358299879226</v>
      </c>
      <c r="Y13" s="174">
        <v>81990</v>
      </c>
      <c r="Z13" s="2"/>
      <c r="AA13" s="222"/>
      <c r="AB13" s="223"/>
      <c r="AC13" s="224"/>
      <c r="AD13" s="53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4">
        <v>39990</v>
      </c>
      <c r="W14" s="49">
        <f t="shared" si="1"/>
        <v>39990</v>
      </c>
      <c r="X14" s="175">
        <f t="shared" si="2"/>
        <v>43864.358299879226</v>
      </c>
      <c r="Y14" s="174">
        <v>39990</v>
      </c>
      <c r="Z14" s="2"/>
      <c r="AA14" s="222"/>
      <c r="AB14" s="223"/>
      <c r="AC14" s="224"/>
      <c r="AD14" s="53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62726.549799275359</v>
      </c>
      <c r="F15" s="215">
        <f>E15-D12</f>
        <v>24710.459011835745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4">
        <v>39990</v>
      </c>
      <c r="W15" s="49">
        <f t="shared" si="1"/>
        <v>39990</v>
      </c>
      <c r="X15" s="175">
        <f t="shared" si="2"/>
        <v>43864.358299879226</v>
      </c>
      <c r="Y15" s="174">
        <v>39990</v>
      </c>
      <c r="Z15" s="100"/>
      <c r="AA15" s="100"/>
      <c r="AB15" s="123"/>
      <c r="AD15" s="40"/>
      <c r="AE15" s="41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4">
        <v>79990</v>
      </c>
      <c r="W16" s="49">
        <f t="shared" si="1"/>
        <v>79990</v>
      </c>
      <c r="X16" s="175">
        <f t="shared" si="2"/>
        <v>83864.358299879226</v>
      </c>
      <c r="Y16" s="174">
        <v>83990</v>
      </c>
      <c r="Z16" s="100"/>
      <c r="AA16" s="100"/>
      <c r="AB16" s="39"/>
      <c r="AC16" s="39"/>
      <c r="AD16" s="42"/>
      <c r="AE16" s="42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1"/>
      <c r="T17" s="51"/>
      <c r="U17" s="7"/>
      <c r="V17" s="54">
        <v>5000</v>
      </c>
      <c r="W17" s="49">
        <f t="shared" si="1"/>
        <v>30000</v>
      </c>
      <c r="X17" s="105"/>
      <c r="Y17" s="14"/>
      <c r="Z17" s="100"/>
      <c r="AA17" s="100"/>
      <c r="AB17" s="46"/>
    </row>
    <row r="18" spans="1:31" x14ac:dyDescent="0.3">
      <c r="C18" s="124" t="s">
        <v>85</v>
      </c>
      <c r="D18" s="121">
        <f>'2229'!N32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5"/>
    </row>
    <row r="19" spans="1:31" x14ac:dyDescent="0.3">
      <c r="C19" s="78" t="s">
        <v>31</v>
      </c>
      <c r="D19" s="121">
        <f>'2229'!N31</f>
        <v>6250</v>
      </c>
      <c r="E19" s="122">
        <f>D19*0.19</f>
        <v>1187.5</v>
      </c>
      <c r="F19" s="119">
        <f>SUM(D19:E19)</f>
        <v>7437.5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30" t="s">
        <v>28</v>
      </c>
      <c r="W19" s="34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22</v>
      </c>
      <c r="D20" s="121">
        <f>'2229'!N30</f>
        <v>1932.0000000000002</v>
      </c>
      <c r="E20" s="120">
        <f>D20*0.19</f>
        <v>367.08000000000004</v>
      </c>
      <c r="F20" s="119">
        <f>SUM(D20:E20)</f>
        <v>2299.0800000000004</v>
      </c>
      <c r="H20" s="191">
        <v>1</v>
      </c>
      <c r="I20" s="201"/>
      <c r="J20" s="183" t="s">
        <v>83</v>
      </c>
      <c r="K20" s="157">
        <f t="shared" si="0"/>
        <v>0</v>
      </c>
      <c r="V20" s="31" t="s">
        <v>29</v>
      </c>
      <c r="W20" s="35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8182</v>
      </c>
      <c r="E21" s="115">
        <f>SUM(E18:E20)</f>
        <v>1554.58</v>
      </c>
      <c r="F21" s="114">
        <f>SUM(F18:F20)</f>
        <v>9736.58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5"/>
      <c r="Y21" s="176">
        <f>SUM(Y19:Y20)</f>
        <v>577078.6</v>
      </c>
      <c r="Z21" s="100"/>
      <c r="AA21" s="100"/>
      <c r="AB21" s="39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50" t="s">
        <v>34</v>
      </c>
      <c r="R22" s="50"/>
      <c r="S22" s="50"/>
      <c r="T22" s="50"/>
      <c r="X22" s="95"/>
      <c r="Y22" s="14"/>
      <c r="Z22" s="100"/>
      <c r="AA22" s="100"/>
      <c r="AB22" s="39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26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50" t="s">
        <v>27</v>
      </c>
      <c r="R23" s="50"/>
      <c r="X23" s="103"/>
      <c r="Y23" s="27"/>
      <c r="Z23" s="100"/>
      <c r="AA23" s="100"/>
      <c r="AB23" s="14"/>
      <c r="AC23" s="11"/>
      <c r="AD23" s="43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3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9"/>
      <c r="AD25" s="43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4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5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23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5946.6960000000008</v>
      </c>
    </row>
    <row r="41" spans="2:16" ht="15" thickBot="1" x14ac:dyDescent="0.35">
      <c r="H41" s="341" t="s">
        <v>60</v>
      </c>
      <c r="I41" s="342"/>
      <c r="J41" s="342"/>
      <c r="K41" s="342"/>
      <c r="L41" s="342"/>
      <c r="M41" s="343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39480.400000000001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8182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1464.3092125603871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1464.3092125603871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2025-01-14T00:06:40Z</cp:lastPrinted>
  <dcterms:created xsi:type="dcterms:W3CDTF">2013-03-18T13:35:42Z</dcterms:created>
  <dcterms:modified xsi:type="dcterms:W3CDTF">2025-01-15T16:40:55Z</dcterms:modified>
</cp:coreProperties>
</file>