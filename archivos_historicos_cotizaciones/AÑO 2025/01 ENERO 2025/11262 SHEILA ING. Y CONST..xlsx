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A0EC716D-4863-4E41-B017-A32797D51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D11" i="3" l="1"/>
  <c r="X9" i="3" s="1"/>
  <c r="X15" i="3" s="1"/>
  <c r="H26" i="1"/>
  <c r="E13" i="3"/>
  <c r="D13" i="3" l="1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<sst xmlns="http://schemas.openxmlformats.org/spreadsheetml/2006/main" count="229" uniqueCount="174">
  <si>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</si>
  <si>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</si>
  <si>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</si>
  <si>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</si>
  <si>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</si>
  <si>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</si>
  <si>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</si>
  <si>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</si>
  <si>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</si>
  <si>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</si>
  <si>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</si>
  <si>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</si>
  <si>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</si>
  <si>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</si>
  <si>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</si>
  <si>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</si>
  <si>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</si>
  <si>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</si>
  <si>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</si>
  <si>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</si>
  <si>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</si>
  <si>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</si>
  <si>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</si>
  <si>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</si>
  <si>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</si>
  <si>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</si>
  <si>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</si>
  <si>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</si>
  <si>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</si>
  <si>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</si>
  <si>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</si>
  <si>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</si>
  <si>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</si>
  <si>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</si>
  <si>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</si>
  <si>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</si>
  <si>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</si>
  <si>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</si>
  <si>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</si>
  <si>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</si>
  <si>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</si>
  <si>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</si>
  <si>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</si>
  <si>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</si>
  <si>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</si>
  <si>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</si>
  <si>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</si>
  <si>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</si>
  <si>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</si>
  <si>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</si>
  <si>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</si>
  <si>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</si>
  <si>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</si>
  <si>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</si>
  <si>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</si>
  <si>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</si>
  <si>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</si>
  <si>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</si>
  <si>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</si>
  <si>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</si>
  <si>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</si>
  <si>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</si>
  <si>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</si>
  <si>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</si>
  <si>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</si>
  <si>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</si>
  <si>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</si>
  <si>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</si>
  <si>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</si>
  <si>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</si>
  <si>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</si>
  <si>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</si>
  <si>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</si>
  <si>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</si>
  <si>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</si>
  <si>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</si>
  <si>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</si>
  <si>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</si>
  <si>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</si>
  <si>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</si>
  <si>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</si>
  <si>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</si>
  <si>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</si>
  <si>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</si>
  <si>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</si>
  <si>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</si>
  <si>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</si>
  <si>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</si>
  <si>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</si>
  <si>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</si>
  <si>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</si>
  <si>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</si>
  <si>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</si>
  <si>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</si>
  <si>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</si>
  <si>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</si>
  <si>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</si>
  <si>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</si>
  <si>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</si>
  <si>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</si>
  <si>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</si>
  <si>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</si>
  <si>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</si>
  <si>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</si>
  <si>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</si>
  <si>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</si>
  <si>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</si>
  <si>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</si>
  <si>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</si>
  <si>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</si>
  <si>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</si>
  <si>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</si>
  <si>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</si>
  <si>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</si>
  <si>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</si>
  <si>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</si>
  <si>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</si>
  <si>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</si>
  <si>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</si>
  <si>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</si>
  <si>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</si>
  <si>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</si>
  <si>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</si>
  <si>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</si>
  <si>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</si>
  <si>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</si>
  <si>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</si>
  <si>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</si>
  <si>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</si>
  <si>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</si>
  <si>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</si>
  <si>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</si>
  <si>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</si>
  <si>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</si>
  <si>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</si>
  <si>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</si>
  <si>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</si>
  <si>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</si>
  <si>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</si>
  <si>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</si>
  <si>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</si>
  <si>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</si>
  <si>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</si>
  <si>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</si>
  <si>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</si>
  <si>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</si>
  <si>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</si>
  <si>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</si>
  <si>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</si>
  <si>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</si>
  <si>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</si>
  <si>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</si>
  <si>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</si>
  <si>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</si>
  <si>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</si>
  <si>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</si>
  <si>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</si>
  <si>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</si>
  <si>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</si>
  <si>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</si>
  <si>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</si>
  <si>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</si>
  <si>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</si>
  <si>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</si>
  <si>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</si>
  <si>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SI</t>
  </si>
  <si>
    <t>N° 11262</t>
  </si>
  <si>
    <t>SHEILA</t>
  </si>
  <si>
    <t>ING. Y CONSTRUCCION SERIA SPA</t>
  </si>
  <si>
    <t>+569 998937145</t>
  </si>
  <si>
    <t>CONCEPCION</t>
  </si>
  <si>
    <t>ENACHAPE RECTO 1 CARA MDF 25</t>
  </si>
  <si>
    <t>PALE GREY 22169 SF</t>
  </si>
  <si>
    <t>DURACION COTIZACION: 5 DIAS                           FERNANDO DONOSO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</si>
</sst>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7" fillId="0" borderId="0" xfId="0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ENCHAPE TRASCARA CUBIERTA DE MESON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K12" sqref="K12"/>
    </sheetView>
  </sheetViews>
  <sheetFormatPr baseColWidth="10" defaultRowHeight="14.4" x14ac:dyDescent="0.3"/>
  <cols>
    <col min="1" max="1" width="6" customWidth="1"/>
    <col min="2" max="2" width="10.5546875" customWidth="1"/>
    <col min="3" max="3" width="48.66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45677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/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165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169</v>
      </c>
      <c r="D15" s="309"/>
      <c r="F15" t="s">
        <v>134</v>
      </c>
      <c r="G15" s="332" t="s">
        <v>135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170</v>
      </c>
      <c r="D17" s="312"/>
      <c r="E17" s="119"/>
      <c r="F17" s="333" t="s">
        <v>173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36338.095238095237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8</v>
      </c>
      <c r="C21" s="329" t="s">
        <v>171</v>
      </c>
      <c r="D21" s="330">
        <v>1.6</v>
      </c>
      <c r="E21" s="330">
        <v>0.78</v>
      </c>
      <c r="F21" s="329" t="s">
        <v>172</v>
      </c>
      <c r="G21" s="331">
        <v>47617</v>
      </c>
      <c r="H21" s="331">
        <f>G21*B21</f>
        <v>380936</v>
      </c>
      <c r="I21" s="319"/>
      <c r="J21" s="265"/>
      <c r="K21" s="47"/>
      <c r="L21" s="47">
        <f>B21</f>
        <v>8</v>
      </c>
      <c r="M21" s="39">
        <f>D21+M$19</f>
        <v>1.6800000000000002</v>
      </c>
      <c r="N21" s="39">
        <f>E21+$N$19</f>
        <v>0.78</v>
      </c>
      <c r="O21" s="261">
        <f t="shared" ref="O21" si="1">M21*N21</f>
        <v>1.3104000000000002</v>
      </c>
      <c r="P21" s="259">
        <f t="shared" ref="P21" si="2">O21*L21</f>
        <v>10.483200000000002</v>
      </c>
      <c r="Q21" s="252">
        <f t="shared" ref="Q21" si="3">Q$20*O21</f>
        <v>47617.44000000001</v>
      </c>
      <c r="R21" s="318">
        <f t="shared" ref="R21" si="4">Q21+R$20</f>
        <v>50617.44000000001</v>
      </c>
      <c r="S21" s="297">
        <f>M21*L21</f>
        <v>13.440000000000001</v>
      </c>
      <c r="T21" s="46">
        <f>N21*2*L21*2</f>
        <v>24.96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380936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24.96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72377.84</v>
      </c>
      <c r="I25" s="321"/>
      <c r="J25" s="265"/>
      <c r="K25" s="47"/>
      <c r="L25" s="47"/>
      <c r="M25" s="39">
        <f>SUM(M21:M21)</f>
        <v>1.6800000000000002</v>
      </c>
      <c r="N25" s="12"/>
      <c r="O25" s="12"/>
      <c r="P25" s="253">
        <f>SUM(P21:P23)</f>
        <v>10.483200000000002</v>
      </c>
      <c r="Q25" s="14"/>
      <c r="R25" s="12"/>
      <c r="S25" s="239">
        <f>SUM(S21:S24)</f>
        <v>13.440000000000001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453313.83999999997</v>
      </c>
      <c r="I26" s="321"/>
      <c r="J26" s="265"/>
      <c r="K26" s="47"/>
      <c r="L26" s="47"/>
      <c r="M26" s="39"/>
      <c r="N26" s="12"/>
      <c r="O26" s="12"/>
      <c r="P26" s="253">
        <f>P25</f>
        <v>10.483200000000002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2.0966400000000003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12.579840000000003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12.579840000000003</v>
      </c>
      <c r="N30" s="12">
        <v>1500</v>
      </c>
      <c r="O30" s="12">
        <f t="shared" ref="O30:O35" si="5">M30*N30</f>
        <v>18869.760000000006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/>
      <c r="N31" s="12">
        <v>24000</v>
      </c>
      <c r="O31" s="12">
        <f t="shared" si="5"/>
        <v>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4</v>
      </c>
      <c r="N33" s="250">
        <v>42900</v>
      </c>
      <c r="O33" s="12">
        <f t="shared" si="5"/>
        <v>171600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190469.76000000001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</f>
        <v>380939.52000000002</v>
      </c>
      <c r="P37" s="14" t="s">
        <v>140</v>
      </c>
      <c r="Q37" s="14"/>
      <c r="R37" s="40">
        <f>P28/R36</f>
        <v>3.3918895599654881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65010</v>
      </c>
      <c r="L38" s="250"/>
      <c r="M38" s="14"/>
      <c r="N38" s="12"/>
      <c r="O38" s="12">
        <f>O37/P26</f>
        <v>36338.095238095237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54630.252100840342</v>
      </c>
      <c r="L39" s="250"/>
      <c r="M39" s="13"/>
      <c r="N39" s="14"/>
      <c r="O39" s="17">
        <f>O37/O36</f>
        <v>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45677</v>
      </c>
    </row>
    <row r="6" spans="2:31" ht="16.2" thickBot="1" x14ac:dyDescent="0.35">
      <c r="B6" s="140" t="s">
        <v>2</v>
      </c>
      <c r="C6" s="139" t="str">
        <f>'2229'!C10</f>
        <v>ING. Y CONSTRUCCION SERIA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11262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-50095.774366787438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380936</v>
      </c>
      <c r="E11" s="132">
        <f>D11*0.19</f>
        <v>72377.84</v>
      </c>
      <c r="F11" s="131">
        <f>E11+D11</f>
        <v>453313.83999999997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55894.225633212562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48703.850787439616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37894.225633212562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332232.14921256038</v>
      </c>
      <c r="E13" s="221">
        <f>(D11/D12)-1</f>
        <v>6.821475999147089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28894.225633212562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-10105.774366787438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80361.35379927537</v>
      </c>
      <c r="F15" s="216">
        <f>E15-D12</f>
        <v>31657.503011835754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-10105.774366787438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29894.225633212562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18869.760000000006</v>
      </c>
      <c r="E20" s="121">
        <f>D20*0.19</f>
        <v>3585.2544000000012</v>
      </c>
      <c r="F20" s="120">
        <f>SUM(D20:E20)</f>
        <v>22455.014400000007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18869.760000000006</v>
      </c>
      <c r="E21" s="116">
        <f>SUM(E18:E20)</f>
        <v>3585.2544000000012</v>
      </c>
      <c r="F21" s="115">
        <f>SUM(F18:F20)</f>
        <v>22455.014400000007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68792.585599999991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380936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18869.760000000006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332232.14921256038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332232.14921256038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2025-01-21T21:29:16Z</dcterms:modified>
</cp:coreProperties>
</file>