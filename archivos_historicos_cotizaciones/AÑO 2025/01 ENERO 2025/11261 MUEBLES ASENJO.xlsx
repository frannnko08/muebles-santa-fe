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1 ENERO 2025\"/>
    </mc:Choice>
  </mc:AlternateContent>
  <xr:revisionPtr revIDLastSave="0" documentId="13_ncr:1_{9B3DFAB0-FF3F-4F00-AF7B-33E1868B44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1" i="1" l="1"/>
  <c r="L21" i="1"/>
  <c r="K31" i="1" l="1"/>
  <c r="K33" i="1"/>
  <c r="N21" i="1"/>
  <c r="K34" i="1" l="1"/>
  <c r="K35" i="1" s="1"/>
  <c r="K36" i="1" s="1"/>
  <c r="M21" i="1"/>
  <c r="M25" i="1" s="1"/>
  <c r="T21" i="1" l="1"/>
  <c r="T24" i="1" s="1"/>
  <c r="S26" i="1"/>
  <c r="O21" i="1"/>
  <c r="P21" i="1" s="1"/>
  <c r="P25" i="1" s="1"/>
  <c r="K39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<sst xmlns="http://schemas.openxmlformats.org/spreadsheetml/2006/main" count="230" uniqueCount="175">
  <si>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</si>
  <si>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</si>
  <si>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</si>
  <si>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</si>
  <si>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</si>
  <si>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</si>
  <si>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</si>
  <si>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</si>
  <si>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</si>
  <si>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</si>
  <si>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</si>
  <si>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</si>
  <si>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</si>
  <si>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</si>
  <si>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</si>
  <si>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</si>
  <si>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</si>
  <si>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</si>
  <si>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</si>
  <si>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</si>
  <si>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</si>
  <si>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</si>
  <si>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</si>
  <si>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</si>
  <si>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</si>
  <si>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</si>
  <si>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</si>
  <si>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</si>
  <si>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</si>
  <si>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</si>
  <si>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</si>
  <si>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</si>
  <si>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</si>
  <si>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</si>
  <si>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</si>
  <si>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</si>
  <si>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</si>
  <si>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</si>
  <si>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</si>
  <si>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</si>
  <si>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</si>
  <si>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</si>
  <si>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</si>
  <si>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</si>
  <si>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</si>
  <si>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</si>
  <si>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</si>
  <si>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</si>
  <si>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</si>
  <si>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</si>
  <si>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</si>
  <si>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</si>
  <si>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</si>
  <si>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</si>
  <si>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</si>
  <si>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</si>
  <si>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</si>
  <si>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</si>
  <si>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</si>
  <si>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</si>
  <si>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</si>
  <si>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</si>
  <si>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</si>
  <si>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</si>
  <si>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</si>
  <si>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</si>
  <si>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</si>
  <si>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</si>
  <si>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</si>
  <si>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</si>
  <si>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</si>
  <si>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</si>
  <si>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</si>
  <si>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</si>
  <si>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</si>
  <si>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</si>
  <si>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</si>
  <si>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</si>
  <si>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</si>
  <si>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</si>
  <si>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</si>
  <si>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</si>
  <si>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</si>
  <si>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</si>
  <si>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</si>
  <si>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</si>
  <si>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</si>
  <si>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</si>
  <si>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</si>
  <si>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</si>
  <si>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</si>
  <si>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</si>
  <si>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</si>
  <si>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</si>
  <si>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</si>
  <si>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</si>
  <si>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</si>
  <si>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</si>
  <si>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</si>
  <si>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</si>
  <si>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</si>
  <si>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</si>
  <si>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</si>
  <si>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</si>
  <si>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</si>
  <si>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</si>
  <si>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</si>
  <si>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</si>
  <si>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</si>
  <si>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</si>
  <si>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</si>
  <si>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</si>
  <si>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</si>
  <si>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</si>
  <si>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</si>
  <si>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</si>
  <si>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</si>
  <si>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</si>
  <si>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</si>
  <si>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</si>
  <si>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</si>
  <si>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</si>
  <si>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</si>
  <si>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</si>
  <si>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</si>
  <si>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</si>
  <si>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</si>
  <si>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</si>
  <si>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</si>
  <si>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</si>
  <si>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</si>
  <si>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</si>
  <si>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</si>
  <si>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</si>
  <si>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</si>
  <si>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</si>
  <si>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</si>
  <si>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</si>
  <si>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</si>
  <si>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</si>
  <si>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</si>
  <si>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</si>
  <si>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</si>
  <si>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</si>
  <si>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</si>
  <si>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</si>
  <si>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</si>
  <si>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</si>
  <si>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</si>
  <si>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</si>
  <si>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</si>
  <si>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</si>
  <si>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</si>
  <si>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</si>
  <si>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</si>
  <si>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</si>
  <si>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</si>
  <si>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</si>
  <si>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</si>
  <si>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</si>
  <si>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</si>
  <si>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</si>
  <si>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</si>
  <si>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</si>
  <si>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</si>
  <si>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</si>
  <si>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</si>
  <si>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</si>
  <si>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</si>
  <si>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+569 9884 4786</t>
  </si>
  <si>
    <t>SI</t>
  </si>
  <si>
    <t>N° 11261</t>
  </si>
  <si>
    <t xml:space="preserve">INK </t>
  </si>
  <si>
    <t>CUB C/R 180°</t>
  </si>
  <si>
    <t>10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</si>
</sst>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OBSERVACIONES:CLIENTE</a:t>
          </a:r>
          <a:r>
            <a:rPr lang="es-CL" sz="1200" b="1" baseline="0"/>
            <a:t> APORTA LAMINAS Y SUSTRATO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3" zoomScale="93" zoomScaleNormal="93" workbookViewId="0">
      <selection activeCell="G22" sqref="G22"/>
    </sheetView>
  </sheetViews>
  <sheetFormatPr baseColWidth="10" defaultRowHeight="14.4" x14ac:dyDescent="0.3"/>
  <cols>
    <col min="1" max="1" width="6" customWidth="1"/>
    <col min="2" max="2" width="10.5546875" customWidth="1"/>
    <col min="3" max="3" width="33.21875" customWidth="1"/>
    <col min="4" max="4" width="11.109375" customWidth="1"/>
    <col min="5" max="5" width="10.5546875" customWidth="1"/>
    <col min="6" max="6" width="24.5546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46042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174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C13" t="s">
        <v>168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169</v>
      </c>
      <c r="D15" s="310"/>
      <c r="F15" t="s">
        <v>134</v>
      </c>
      <c r="G15" s="308" t="s">
        <v>170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v>30000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32</v>
      </c>
      <c r="C21" s="330" t="s">
        <v>173</v>
      </c>
      <c r="D21" s="331">
        <v>3</v>
      </c>
      <c r="E21" s="331">
        <v>0.6</v>
      </c>
      <c r="F21" s="330" t="s">
        <v>172</v>
      </c>
      <c r="G21" s="332">
        <v>45000</v>
      </c>
      <c r="H21" s="332">
        <f>G21*B21</f>
        <v>1440000</v>
      </c>
      <c r="I21" s="320"/>
      <c r="J21" s="265">
        <v>98981</v>
      </c>
      <c r="K21" s="47"/>
      <c r="L21" s="333">
        <f>B21</f>
        <v>32</v>
      </c>
      <c r="M21" s="39">
        <f>D21+M$19</f>
        <v>3.08</v>
      </c>
      <c r="N21" s="39">
        <f>E21+$N$19</f>
        <v>0.6</v>
      </c>
      <c r="O21" s="261">
        <f t="shared" ref="O21" si="1">M21*N21</f>
        <v>1.8479999999999999</v>
      </c>
      <c r="P21" s="259">
        <f t="shared" ref="P21" si="2">O21*L21</f>
        <v>59.135999999999996</v>
      </c>
      <c r="Q21" s="252">
        <f t="shared" ref="Q21" si="3">Q$20*O21</f>
        <v>55439.999999999993</v>
      </c>
      <c r="R21" s="319">
        <f t="shared" ref="R21" si="4">Q21+R$20</f>
        <v>58439.999999999993</v>
      </c>
      <c r="S21" s="297">
        <f>L21*M21</f>
        <v>98.56</v>
      </c>
      <c r="T21" s="46">
        <f>N21*2*L21*2</f>
        <v>76.8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1440000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76.8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273600</v>
      </c>
      <c r="I25" s="322"/>
      <c r="J25" s="265"/>
      <c r="K25" s="47"/>
      <c r="L25" s="47"/>
      <c r="M25" s="39">
        <f>SUM(M21:M24)</f>
        <v>3.08</v>
      </c>
      <c r="N25" s="12"/>
      <c r="O25" s="12"/>
      <c r="P25" s="253">
        <f>SUM(P21:P23)</f>
        <v>59.135999999999996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1713600</v>
      </c>
      <c r="I26" s="322"/>
      <c r="J26" s="265"/>
      <c r="K26" s="47"/>
      <c r="L26" s="47"/>
      <c r="M26" s="39"/>
      <c r="N26" s="12"/>
      <c r="O26" s="12"/>
      <c r="P26" s="253">
        <f>P25</f>
        <v>59.135999999999996</v>
      </c>
      <c r="Q26" s="14"/>
      <c r="R26" s="12"/>
      <c r="S26" s="239">
        <f>SUM(S21:S25)</f>
        <v>98.56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11.827199999999999</v>
      </c>
      <c r="Q27" s="39" t="s">
        <v>130</v>
      </c>
      <c r="R27" s="42"/>
      <c r="S27" s="240">
        <f>S26+T24</f>
        <v>175.36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70.963200000000001</v>
      </c>
      <c r="Q28" s="14"/>
      <c r="R28" s="14"/>
      <c r="S28" s="238">
        <f>S27*20%</f>
        <v>35.072000000000003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210.43200000000002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70.963200000000001</v>
      </c>
      <c r="N30" s="12">
        <v>2500</v>
      </c>
      <c r="O30" s="12">
        <f t="shared" ref="O30:O35" si="5">M30*N30</f>
        <v>177408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>
        <f>23500*1.19</f>
        <v>27965</v>
      </c>
      <c r="L31" s="47"/>
      <c r="M31" s="249">
        <v>20</v>
      </c>
      <c r="N31" s="12">
        <v>23500</v>
      </c>
      <c r="O31" s="12">
        <f t="shared" si="5"/>
        <v>470000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34989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>
        <f>N33*1.19</f>
        <v>33677</v>
      </c>
      <c r="L33" s="250"/>
      <c r="M33" s="14">
        <v>32</v>
      </c>
      <c r="N33" s="250">
        <v>28300</v>
      </c>
      <c r="O33" s="12">
        <f t="shared" si="5"/>
        <v>905600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>
        <f>SUM(K31:K33)</f>
        <v>61642</v>
      </c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>
        <f>K34/1.19</f>
        <v>51800</v>
      </c>
      <c r="L35" s="250"/>
      <c r="M35" s="266">
        <v>98.56</v>
      </c>
      <c r="N35" s="12">
        <v>500</v>
      </c>
      <c r="O35" s="12">
        <f t="shared" si="5"/>
        <v>49280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>
        <f>K34-K35</f>
        <v>9842</v>
      </c>
      <c r="L36" s="250"/>
      <c r="M36" s="14"/>
      <c r="N36" s="12"/>
      <c r="O36" s="12">
        <f>SUM(O30:O35)</f>
        <v>1602288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O36*2.1</f>
        <v>3364804.8000000003</v>
      </c>
      <c r="P37" s="14" t="s">
        <v>140</v>
      </c>
      <c r="Q37" s="14"/>
      <c r="R37" s="40">
        <f>P28/R36</f>
        <v>19.133735979292492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40000</v>
      </c>
      <c r="L38" s="250"/>
      <c r="M38" s="14"/>
      <c r="N38" s="12"/>
      <c r="O38" s="12">
        <f>O37/P26</f>
        <v>56899.431818181823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33613.445378151264</v>
      </c>
      <c r="L39" s="250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46042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11261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-53758.425033454121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1440000</v>
      </c>
      <c r="E11" s="132">
        <f>D11*0.19</f>
        <v>273600</v>
      </c>
      <c r="F11" s="131">
        <f>E11+D11</f>
        <v>1713600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52231.574966545879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677242.09078743961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34231.574966545879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762757.90921256039</v>
      </c>
      <c r="E13" s="221">
        <f>(D11/D12)-1</f>
        <v>1.1262706786663101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25231.574966545879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-13768.425033454121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1117449.4497992753</v>
      </c>
      <c r="F15" s="216">
        <f>E15-D12</f>
        <v>440207.35901183565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-13768.425033454121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26231.574966545879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470000</v>
      </c>
      <c r="E19" s="123">
        <f>D19*0.19</f>
        <v>89300</v>
      </c>
      <c r="F19" s="120">
        <f>SUM(D19:E19)</f>
        <v>559300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177408</v>
      </c>
      <c r="E20" s="121">
        <f>D20*0.19</f>
        <v>33707.519999999997</v>
      </c>
      <c r="F20" s="120">
        <f>SUM(D20:E20)</f>
        <v>211115.51999999999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647408</v>
      </c>
      <c r="E21" s="116">
        <f>SUM(E18:E20)</f>
        <v>123007.51999999999</v>
      </c>
      <c r="F21" s="115">
        <f>SUM(F18:F20)</f>
        <v>770415.52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150592.48000000001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1440000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647408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762757.90921256039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762757.90921256039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2025-01-20T21:09:38Z</cp:lastPrinted>
  <dcterms:created xsi:type="dcterms:W3CDTF">2013-03-18T13:35:42Z</dcterms:created>
  <dcterms:modified xsi:type="dcterms:W3CDTF">2025-01-20T21:23:28Z</dcterms:modified>
</cp:coreProperties>
</file>