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4DAC8365-5A3F-4ED2-97B9-3228B58EA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L22" i="1"/>
  <c r="M22" i="1"/>
  <c r="N22" i="1"/>
  <c r="L23" i="1"/>
  <c r="M23" i="1"/>
  <c r="N23" i="1"/>
  <c r="S22" i="1" l="1"/>
  <c r="T22" i="1"/>
  <c r="T23" i="1"/>
  <c r="O23" i="1"/>
  <c r="P23" i="1" s="1"/>
  <c r="O22" i="1"/>
  <c r="P22" i="1" s="1"/>
  <c r="S23" i="1"/>
  <c r="J36" i="1"/>
  <c r="M21" i="1"/>
  <c r="M27" i="1" l="1"/>
  <c r="L21" i="1"/>
  <c r="N21" i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R23" i="1" s="1"/>
  <c r="H23" i="1" s="1"/>
  <c r="Q22" i="1"/>
  <c r="R22" i="1" s="1"/>
  <c r="H22" i="1" s="1"/>
  <c r="O41" i="1"/>
  <c r="Q21" i="1" l="1"/>
  <c r="F15" i="3"/>
  <c r="R21" i="1" l="1"/>
  <c r="H21" i="1" l="1"/>
  <c r="H26" i="1" l="1"/>
  <c r="H27" i="1" s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<sst xmlns="http://schemas.openxmlformats.org/spreadsheetml/2006/main" count="239" uniqueCount="181">
  <si>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</si>
  <si>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</si>
  <si>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</si>
  <si>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</si>
  <si>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</si>
  <si>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</si>
  <si>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</si>
  <si>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</si>
  <si>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</si>
  <si>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</si>
  <si>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</si>
  <si>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</si>
  <si>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</si>
  <si>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</si>
  <si>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</si>
  <si>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</si>
  <si>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</si>
  <si>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</si>
  <si>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</si>
  <si>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</si>
  <si>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</si>
  <si>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</si>
  <si>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</si>
  <si>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</si>
  <si>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</si>
  <si>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</si>
  <si>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</si>
  <si>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</si>
  <si>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</si>
  <si>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</si>
  <si>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</si>
  <si>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</si>
  <si>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</si>
  <si>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</si>
  <si>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</si>
  <si>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</si>
  <si>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</si>
  <si>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</si>
  <si>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</si>
  <si>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</si>
  <si>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</si>
  <si>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</si>
  <si>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</si>
  <si>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</si>
  <si>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</si>
  <si>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</si>
  <si>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</si>
  <si>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</si>
  <si>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</si>
  <si>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</si>
  <si>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</si>
  <si>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</si>
  <si>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</si>
  <si>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</si>
  <si>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</si>
  <si>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</si>
  <si>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</si>
  <si>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</si>
  <si>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</si>
  <si>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</si>
  <si>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</si>
  <si>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</si>
  <si>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</si>
  <si>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</si>
  <si>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</si>
  <si>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</si>
  <si>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</si>
  <si>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</si>
  <si>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</si>
  <si>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</si>
  <si>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</si>
  <si>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</si>
  <si>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</si>
  <si>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</si>
  <si>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</si>
  <si>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</si>
  <si>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</si>
  <si>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</si>
  <si>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</si>
  <si>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</si>
  <si>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</si>
  <si>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</si>
  <si>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</si>
  <si>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</si>
  <si>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</si>
  <si>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</si>
  <si>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</si>
  <si>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</si>
  <si>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</si>
  <si>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</si>
  <si>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</si>
  <si>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</si>
  <si>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</si>
  <si>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</si>
  <si>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</si>
  <si>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</si>
  <si>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</si>
  <si>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</si>
  <si>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</si>
  <si>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</si>
  <si>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</si>
  <si>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</si>
  <si>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</si>
  <si>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</si>
  <si>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</si>
  <si>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</si>
  <si>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</si>
  <si>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</si>
  <si>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</si>
  <si>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</si>
  <si>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</si>
  <si>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</si>
  <si>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</si>
  <si>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</si>
  <si>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</si>
  <si>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</si>
  <si>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</si>
  <si>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</si>
  <si>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</si>
  <si>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</si>
  <si>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</si>
  <si>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</si>
  <si>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</si>
  <si>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</si>
  <si>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</si>
  <si>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</si>
  <si>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</si>
  <si>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</si>
  <si>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</si>
  <si>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</si>
  <si>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</si>
  <si>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</si>
  <si>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</si>
  <si>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</si>
  <si>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</si>
  <si>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</si>
  <si>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</si>
  <si>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</si>
  <si>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</si>
  <si>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</si>
  <si>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</si>
  <si>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</si>
  <si>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</si>
  <si>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</si>
  <si>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</si>
  <si>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</si>
  <si>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</si>
  <si>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</si>
  <si>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</si>
  <si>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</si>
  <si>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</si>
  <si>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</si>
  <si>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</si>
  <si>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</si>
  <si>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</si>
  <si>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</si>
  <si>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</si>
  <si>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</si>
  <si>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</si>
  <si>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</si>
  <si>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</si>
  <si>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</si>
  <si>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</si>
  <si>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</si>
  <si>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</si>
  <si>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</si>
  <si>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</si>
  <si>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</si>
  <si>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</si>
  <si>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</si>
  <si>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N° 11741</t>
  </si>
  <si>
    <t>RIOCA LTDA</t>
  </si>
  <si>
    <t>76.744.503-2</t>
  </si>
  <si>
    <t>FABRIACION DE MUEBLES</t>
  </si>
  <si>
    <t>JHON GANDICA</t>
  </si>
  <si>
    <t>+569 3251 5202</t>
  </si>
  <si>
    <t>BRASIL 937 LA CISTERNA</t>
  </si>
  <si>
    <t>3 DIAS HABILES</t>
  </si>
  <si>
    <t>CUB C/R 180°</t>
  </si>
  <si>
    <t>RESPALDOS</t>
  </si>
  <si>
    <t>GRIS NUBE 2189 MT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</si>
</sst>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13" borderId="0" xfId="0" applyNumberFormat="1" applyFill="1"/>
    <xf numFmtId="166" fontId="3" fillId="13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8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45971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172</v>
      </c>
      <c r="F11" t="s">
        <v>165</v>
      </c>
      <c r="G11" s="303" t="s">
        <v>177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173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174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175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 t="s">
        <v>176</v>
      </c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169</v>
      </c>
      <c r="D17" s="294"/>
      <c r="E17" s="116"/>
      <c r="F17" s="339" t="s">
        <v>162</v>
      </c>
      <c r="G17" s="339"/>
      <c r="H17" s="340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117817.26604203218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178</v>
      </c>
      <c r="D21" s="323">
        <v>1.53</v>
      </c>
      <c r="E21" s="323">
        <v>0.59</v>
      </c>
      <c r="F21" s="322" t="s">
        <v>180</v>
      </c>
      <c r="G21" s="324">
        <v>125138</v>
      </c>
      <c r="H21" s="324">
        <f>G21*B21</f>
        <v>125138</v>
      </c>
      <c r="I21" s="297"/>
      <c r="J21" s="260"/>
      <c r="K21" s="44"/>
      <c r="L21" s="335">
        <f>B21</f>
        <v>1</v>
      </c>
      <c r="M21" s="336">
        <f>D21+M$19</f>
        <v>1.61</v>
      </c>
      <c r="N21" s="336">
        <f>E21+$N$19</f>
        <v>0.59</v>
      </c>
      <c r="O21" s="256">
        <f t="shared" ref="O21" si="1">M21*N21</f>
        <v>0.94989999999999997</v>
      </c>
      <c r="P21" s="254">
        <f t="shared" ref="P21" si="2">O21*L21</f>
        <v>0.94989999999999997</v>
      </c>
      <c r="Q21" s="247">
        <f t="shared" ref="Q21" si="3">Q$20*O21</f>
        <v>111914.62101332637</v>
      </c>
      <c r="R21" s="296">
        <f t="shared" ref="R21" si="4">Q21+R$20</f>
        <v>114914.62101332637</v>
      </c>
      <c r="S21" s="284">
        <f>M21*L21</f>
        <v>1.61</v>
      </c>
      <c r="T21" s="43">
        <f>N21*2*L21*2</f>
        <v>2.36</v>
      </c>
      <c r="U21" s="9"/>
      <c r="X21" s="4"/>
    </row>
    <row r="22" spans="2:25" ht="17.399999999999999" x14ac:dyDescent="0.3">
      <c r="B22" s="322">
        <v>1</v>
      </c>
      <c r="C22" s="333" t="s">
        <v>178</v>
      </c>
      <c r="D22" s="323">
        <v>1.83</v>
      </c>
      <c r="E22" s="323">
        <v>0.58199999999999996</v>
      </c>
      <c r="F22" s="322" t="s">
        <v>180</v>
      </c>
      <c r="G22" s="324">
        <v>144102</v>
      </c>
      <c r="H22" s="324">
        <f t="shared" ref="H22:H23" si="5">G22*B22</f>
        <v>144102</v>
      </c>
      <c r="I22" s="297"/>
      <c r="J22" s="260">
        <v>5</v>
      </c>
      <c r="K22" s="44"/>
      <c r="L22" s="337">
        <f t="shared" ref="L22:L23" si="6">B22</f>
        <v>1</v>
      </c>
      <c r="M22" s="338">
        <f t="shared" ref="M22:M23" si="7">D22+M$19</f>
        <v>1.9100000000000001</v>
      </c>
      <c r="N22" s="338">
        <f t="shared" ref="N22:N23" si="8">E22+$N$19</f>
        <v>0.58199999999999996</v>
      </c>
      <c r="O22" s="256">
        <f t="shared" ref="O22:O23" si="9">M22*N22</f>
        <v>1.1116200000000001</v>
      </c>
      <c r="P22" s="254">
        <f t="shared" ref="P22:P23" si="10">O22*L22</f>
        <v>1.1116200000000001</v>
      </c>
      <c r="Q22" s="247">
        <f t="shared" ref="Q22:Q23" si="11">Q$20*O22</f>
        <v>130968.02927764381</v>
      </c>
      <c r="R22" s="296">
        <f t="shared" ref="R22:R23" si="12">Q22+R$20</f>
        <v>133968.02927764383</v>
      </c>
      <c r="S22" s="284">
        <f t="shared" ref="S22:S23" si="13">M22*L22</f>
        <v>1.9100000000000001</v>
      </c>
      <c r="T22" s="43">
        <f t="shared" ref="T22:T23" si="14">N22*2*L22*2</f>
        <v>2.3279999999999998</v>
      </c>
      <c r="U22" s="9"/>
      <c r="X22" s="4"/>
    </row>
    <row r="23" spans="2:25" ht="17.399999999999999" x14ac:dyDescent="0.3">
      <c r="B23" s="322">
        <v>2</v>
      </c>
      <c r="C23" s="333" t="s">
        <v>179</v>
      </c>
      <c r="D23" s="323">
        <v>0.6</v>
      </c>
      <c r="E23" s="323">
        <v>0.06</v>
      </c>
      <c r="F23" s="322" t="s">
        <v>180</v>
      </c>
      <c r="G23" s="324">
        <v>5289</v>
      </c>
      <c r="H23" s="324">
        <f t="shared" si="5"/>
        <v>10578</v>
      </c>
      <c r="I23" s="297"/>
      <c r="J23" s="260"/>
      <c r="K23" s="44"/>
      <c r="L23" s="44">
        <f t="shared" si="6"/>
        <v>2</v>
      </c>
      <c r="M23" s="36">
        <f t="shared" si="7"/>
        <v>0.67999999999999994</v>
      </c>
      <c r="N23" s="36">
        <f t="shared" si="8"/>
        <v>0.06</v>
      </c>
      <c r="O23" s="256">
        <f t="shared" si="9"/>
        <v>4.0799999999999996E-2</v>
      </c>
      <c r="P23" s="254">
        <f t="shared" si="10"/>
        <v>8.1599999999999992E-2</v>
      </c>
      <c r="Q23" s="247">
        <f t="shared" si="11"/>
        <v>4806.9444545149126</v>
      </c>
      <c r="R23" s="296">
        <f t="shared" si="12"/>
        <v>7806.9444545149126</v>
      </c>
      <c r="S23" s="284">
        <f t="shared" si="13"/>
        <v>1.3599999999999999</v>
      </c>
      <c r="T23" s="43">
        <f t="shared" si="14"/>
        <v>0.48</v>
      </c>
      <c r="U23" s="9"/>
      <c r="X23" s="4"/>
    </row>
    <row r="24" spans="2:25" ht="17.399999999999999" x14ac:dyDescent="0.3">
      <c r="B24" s="278"/>
      <c r="C24" s="334"/>
      <c r="D24" s="279"/>
      <c r="E24" s="279"/>
      <c r="F24" s="278"/>
      <c r="G24" s="297"/>
      <c r="H24" s="297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5">
        <f>SUM(H21:H25)</f>
        <v>279818</v>
      </c>
      <c r="I26" s="299"/>
      <c r="J26" s="260"/>
      <c r="K26" s="315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5.1679999999999993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26">
        <f>H26*19%</f>
        <v>53165.42</v>
      </c>
      <c r="I27" s="299"/>
      <c r="J27" s="260"/>
      <c r="K27" s="315"/>
      <c r="L27" s="44"/>
      <c r="M27" s="36">
        <f>SUM(M21:M21)</f>
        <v>1.61</v>
      </c>
      <c r="N27" s="12"/>
      <c r="O27" s="12"/>
      <c r="P27" s="248">
        <f>SUM(P21:P25)</f>
        <v>2.1431199999999997</v>
      </c>
      <c r="Q27" s="14"/>
      <c r="R27" s="12"/>
      <c r="S27" s="235">
        <f>SUM(S21:S26)</f>
        <v>4.8800000000000008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27">
        <f>H26+H27</f>
        <v>332983.42</v>
      </c>
      <c r="I28" s="299"/>
      <c r="J28" s="260"/>
      <c r="K28" s="315"/>
      <c r="L28" s="44"/>
      <c r="M28" s="36"/>
      <c r="N28" s="12"/>
      <c r="O28" s="12"/>
      <c r="P28" s="248">
        <f>P27</f>
        <v>2.1431199999999997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5"/>
      <c r="L29" s="44"/>
      <c r="M29" s="14"/>
      <c r="N29" s="12"/>
      <c r="O29" s="12"/>
      <c r="P29" s="36">
        <f>P28*20%</f>
        <v>0.42862399999999995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2.5717439999999998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2.5717439999999998</v>
      </c>
      <c r="N32" s="12">
        <v>3500</v>
      </c>
      <c r="O32" s="12">
        <f t="shared" ref="O32:O37" si="15">M32*N32</f>
        <v>9001.1039999999994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1</v>
      </c>
      <c r="N33" s="12">
        <v>23500</v>
      </c>
      <c r="O33" s="12">
        <f t="shared" si="15"/>
        <v>23500</v>
      </c>
      <c r="P33" s="36" t="s">
        <v>168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5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163</v>
      </c>
      <c r="C35"/>
      <c r="D35"/>
      <c r="E35"/>
      <c r="F35"/>
      <c r="J35" s="257">
        <v>46000</v>
      </c>
      <c r="K35" s="228"/>
      <c r="L35" s="245"/>
      <c r="M35" s="14">
        <v>2</v>
      </c>
      <c r="N35" s="245">
        <v>36000</v>
      </c>
      <c r="O35" s="12">
        <f t="shared" si="15"/>
        <v>72000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5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>
        <v>3.52</v>
      </c>
      <c r="N37" s="12">
        <v>1500</v>
      </c>
      <c r="O37" s="12">
        <f t="shared" si="15"/>
        <v>5280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109781.10399999999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O38*2.3</f>
        <v>252496.53919999997</v>
      </c>
      <c r="P39" s="14" t="s">
        <v>138</v>
      </c>
      <c r="Q39" s="14"/>
      <c r="R39" s="37">
        <f>P30/R38</f>
        <v>0.69341673856773078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117817.26604203218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2.2999999999999998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6"/>
      <c r="H42" s="320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1"/>
      <c r="D43" s="279"/>
      <c r="E43" s="279"/>
      <c r="F43" s="278"/>
      <c r="G43" s="316"/>
      <c r="H43" s="320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6"/>
      <c r="H44" s="320"/>
      <c r="L44" s="12"/>
      <c r="U44" s="56"/>
      <c r="V44" s="56"/>
    </row>
    <row r="45" spans="1:24" ht="17.399999999999999" x14ac:dyDescent="0.35">
      <c r="D45" s="279"/>
      <c r="E45" s="279"/>
      <c r="F45" s="278"/>
      <c r="G45" s="316"/>
      <c r="H45" s="320"/>
      <c r="L45" s="245"/>
    </row>
    <row r="46" spans="1:24" ht="17.399999999999999" x14ac:dyDescent="0.35">
      <c r="D46" s="279"/>
      <c r="E46" s="279"/>
      <c r="F46" s="278"/>
      <c r="G46" s="316"/>
      <c r="H46" s="320"/>
      <c r="L46" s="245"/>
      <c r="T46" s="265"/>
    </row>
    <row r="47" spans="1:24" ht="17.399999999999999" x14ac:dyDescent="0.35">
      <c r="D47" s="279"/>
      <c r="E47" s="279"/>
      <c r="F47" s="278"/>
      <c r="G47" s="316"/>
      <c r="H47" s="320"/>
      <c r="L47" s="245"/>
    </row>
    <row r="48" spans="1:24" ht="15" customHeight="1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6"/>
      <c r="H51" s="320"/>
    </row>
    <row r="52" spans="4:20" ht="17.399999999999999" x14ac:dyDescent="0.35">
      <c r="D52" s="279"/>
      <c r="E52" s="279"/>
      <c r="F52" s="278"/>
      <c r="G52" s="316"/>
      <c r="H52" s="320"/>
      <c r="O52" s="51"/>
      <c r="P52" s="51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3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45971</v>
      </c>
    </row>
    <row r="6" spans="1:31" ht="16.2" thickBot="1" x14ac:dyDescent="0.35">
      <c r="B6" s="137" t="s">
        <v>2</v>
      </c>
      <c r="C6" s="136" t="str">
        <f>'2229'!C10</f>
        <v>RIOCA LTDA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5" t="s">
        <v>98</v>
      </c>
      <c r="I7" s="346"/>
      <c r="J7" s="346"/>
      <c r="K7" s="347"/>
      <c r="N7" s="72"/>
      <c r="O7" s="34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11741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-32641.662859903383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279818</v>
      </c>
      <c r="E11" s="129">
        <f>D11*0.19</f>
        <v>53165.42</v>
      </c>
      <c r="F11" s="128">
        <f>E11+D11</f>
        <v>332983.42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73348.337140096613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52480.014275362315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55348.337140096613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227337.98572463769</v>
      </c>
      <c r="E13" s="218">
        <f>(D11/D12)-1</f>
        <v>4.3318964154963195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46348.337140096613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7348.3371400966171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99921.947180289848</v>
      </c>
      <c r="C15" s="210" t="s">
        <v>121</v>
      </c>
      <c r="D15" s="211">
        <v>0.6</v>
      </c>
      <c r="E15" s="212">
        <f>(100%+D15)*D12</f>
        <v>83968.02284057971</v>
      </c>
      <c r="F15" s="213">
        <f>E15-D12</f>
        <v>31488.008565217395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7348.3371400966171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47348.337140096613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9001.1039999999994</v>
      </c>
      <c r="E20" s="118">
        <f>D20*0.19</f>
        <v>1710.20976</v>
      </c>
      <c r="F20" s="117">
        <f>SUM(D20:E20)</f>
        <v>10711.313759999999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32501.103999999999</v>
      </c>
      <c r="E21" s="113">
        <f>SUM(E18:E20)</f>
        <v>6175.2097599999997</v>
      </c>
      <c r="F21" s="112">
        <f>SUM(F18:F20)</f>
        <v>38676.313759999997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46990.21024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279818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32501.103999999999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227337.98572463769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227337.98572463769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2025-11-11T11:45:14Z</dcterms:modified>
</cp:coreProperties>
</file>