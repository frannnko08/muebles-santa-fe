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D9361785-F2CF-4DA0-A2BC-B04D11E98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O33" i="1"/>
  <c r="P33" i="1" s="1"/>
  <c r="Q33" i="1" s="1"/>
  <c r="N33" i="1"/>
  <c r="T33" i="1" s="1"/>
  <c r="M33" i="1"/>
  <c r="M27" i="1"/>
  <c r="M26" i="1"/>
  <c r="I32" i="1"/>
  <c r="I31" i="1"/>
  <c r="I30" i="1"/>
  <c r="I29" i="1"/>
  <c r="I28" i="1"/>
  <c r="O32" i="1" l="1"/>
  <c r="N32" i="1"/>
  <c r="O31" i="1"/>
  <c r="N31" i="1"/>
  <c r="T31" i="1" s="1"/>
  <c r="O30" i="1"/>
  <c r="N30" i="1"/>
  <c r="O29" i="1"/>
  <c r="N29" i="1"/>
  <c r="M32" i="1"/>
  <c r="M31" i="1"/>
  <c r="M30" i="1"/>
  <c r="M29" i="1"/>
  <c r="O28" i="1"/>
  <c r="N28" i="1"/>
  <c r="M28" i="1"/>
  <c r="I22" i="1"/>
  <c r="I23" i="1"/>
  <c r="I24" i="1"/>
  <c r="I25" i="1"/>
  <c r="I26" i="1"/>
  <c r="I27" i="1"/>
  <c r="O27" i="1"/>
  <c r="N27" i="1"/>
  <c r="P32" i="1" l="1"/>
  <c r="Q32" i="1" s="1"/>
  <c r="T27" i="1"/>
  <c r="P29" i="1"/>
  <c r="Q29" i="1" s="1"/>
  <c r="P31" i="1"/>
  <c r="Q31" i="1" s="1"/>
  <c r="T28" i="1"/>
  <c r="T30" i="1"/>
  <c r="T32" i="1"/>
  <c r="T29" i="1"/>
  <c r="P28" i="1"/>
  <c r="Q28" i="1" s="1"/>
  <c r="P30" i="1"/>
  <c r="Q30" i="1" s="1"/>
  <c r="P27" i="1"/>
  <c r="Q27" i="1" s="1"/>
  <c r="N22" i="1" l="1"/>
  <c r="O22" i="1"/>
  <c r="N23" i="1"/>
  <c r="O23" i="1"/>
  <c r="N24" i="1"/>
  <c r="T24" i="1" s="1"/>
  <c r="O24" i="1"/>
  <c r="N25" i="1"/>
  <c r="O25" i="1"/>
  <c r="N26" i="1"/>
  <c r="O26" i="1"/>
  <c r="P22" i="1" l="1"/>
  <c r="Q22" i="1" s="1"/>
  <c r="P23" i="1"/>
  <c r="P25" i="1"/>
  <c r="Q25" i="1" s="1"/>
  <c r="P26" i="1"/>
  <c r="Q26" i="1" s="1"/>
  <c r="P24" i="1"/>
  <c r="Q24" i="1" s="1"/>
  <c r="T23" i="1"/>
  <c r="T26" i="1"/>
  <c r="Q23" i="1"/>
  <c r="T22" i="1"/>
  <c r="T25" i="1"/>
  <c r="L35" i="1"/>
  <c r="N14" i="1"/>
  <c r="N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N21" i="1"/>
  <c r="N36" i="1" l="1"/>
  <c r="T21" i="1"/>
  <c r="O21" i="1"/>
  <c r="U21" i="1" s="1"/>
  <c r="T36" i="1" l="1"/>
  <c r="U35" i="1"/>
  <c r="P21" i="1"/>
  <c r="Q21" i="1" s="1"/>
  <c r="Q36" i="1" s="1"/>
  <c r="T37" i="1" l="1"/>
  <c r="T38" i="1" s="1"/>
  <c r="T39" i="1" s="1"/>
  <c r="W43" i="1"/>
  <c r="W44" i="1" s="1"/>
  <c r="P42" i="1" l="1"/>
  <c r="Q37" i="1" l="1"/>
  <c r="O20" i="1"/>
  <c r="M20" i="1"/>
  <c r="Q38" i="1" l="1"/>
  <c r="Q39" i="1" s="1"/>
  <c r="N41" i="1" s="1"/>
  <c r="P43" i="1"/>
  <c r="S47" i="1"/>
  <c r="S48" i="1" l="1"/>
  <c r="P4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P46" i="1"/>
  <c r="P45" i="1"/>
  <c r="F18" i="3" l="1"/>
  <c r="P41" i="1" l="1"/>
  <c r="P47" i="1" s="1"/>
  <c r="P48" i="1" s="1"/>
  <c r="P49" i="1" l="1"/>
  <c r="D21" i="3"/>
  <c r="E21" i="3" s="1"/>
  <c r="E22" i="3" s="1"/>
  <c r="R20" i="1" l="1"/>
  <c r="R33" i="1" s="1"/>
  <c r="S33" i="1" s="1"/>
  <c r="D22" i="3"/>
  <c r="M45" i="3" s="1"/>
  <c r="D12" i="3" s="1"/>
  <c r="E15" i="3" s="1"/>
  <c r="A15" i="3" s="1"/>
  <c r="F21" i="3"/>
  <c r="F22" i="3" s="1"/>
  <c r="R31" i="1" l="1"/>
  <c r="S31" i="1" s="1"/>
  <c r="R32" i="1"/>
  <c r="S32" i="1" s="1"/>
  <c r="R29" i="1"/>
  <c r="S29" i="1" s="1"/>
  <c r="R30" i="1"/>
  <c r="S30" i="1" s="1"/>
  <c r="R27" i="1"/>
  <c r="S27" i="1" s="1"/>
  <c r="R28" i="1"/>
  <c r="S28" i="1" s="1"/>
  <c r="R22" i="1"/>
  <c r="S22" i="1" s="1"/>
  <c r="R23" i="1"/>
  <c r="S23" i="1" s="1"/>
  <c r="R24" i="1"/>
  <c r="S24" i="1" s="1"/>
  <c r="R25" i="1"/>
  <c r="S25" i="1" s="1"/>
  <c r="R26" i="1"/>
  <c r="S26" i="1" s="1"/>
  <c r="P50" i="1"/>
  <c r="R21" i="1" l="1"/>
  <c r="F15" i="3"/>
  <c r="S21" i="1" l="1"/>
  <c r="I21" i="1" l="1"/>
  <c r="I35" i="1" l="1"/>
  <c r="I36" i="1" s="1"/>
  <c r="I37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<sst xmlns="http://schemas.openxmlformats.org/spreadsheetml/2006/main" count="258" uniqueCount="187">
  <si>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</si>
  <si>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</si>
  <si>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</si>
  <si>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</si>
  <si>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</si>
  <si>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</si>
  <si>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</si>
  <si>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</si>
  <si>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</si>
  <si>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</si>
  <si>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</si>
  <si>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</si>
  <si>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</si>
  <si>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</si>
  <si>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</si>
  <si>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</si>
  <si>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</si>
  <si>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</si>
  <si>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</si>
  <si>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</si>
  <si>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</si>
  <si>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</si>
  <si>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</si>
  <si>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</si>
  <si>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</si>
  <si>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</si>
  <si>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</si>
  <si>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</si>
  <si>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</si>
  <si>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</si>
  <si>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</si>
  <si>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</si>
  <si>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</si>
  <si>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</si>
  <si>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</si>
  <si>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</si>
  <si>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</si>
  <si>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</si>
  <si>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</si>
  <si>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</si>
  <si>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</si>
  <si>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</si>
  <si>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</si>
  <si>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</si>
  <si>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</si>
  <si>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</si>
  <si>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</si>
  <si>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</si>
  <si>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</si>
  <si>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</si>
  <si>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</si>
  <si>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</si>
  <si>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</si>
  <si>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</si>
  <si>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</si>
  <si>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</si>
  <si>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</si>
  <si>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</si>
  <si>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</si>
  <si>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</si>
  <si>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</si>
  <si>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</si>
  <si>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</si>
  <si>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</si>
  <si>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</si>
  <si>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</si>
  <si>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</si>
  <si>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</si>
  <si>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</si>
  <si>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</si>
  <si>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</si>
  <si>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</si>
  <si>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</si>
  <si>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</si>
  <si>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</si>
  <si>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</si>
  <si>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</si>
  <si>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</si>
  <si>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</si>
  <si>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</si>
  <si>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</si>
  <si>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</si>
  <si>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</si>
  <si>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</si>
  <si>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</si>
  <si>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</si>
  <si>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</si>
  <si>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</si>
  <si>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</si>
  <si>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</si>
  <si>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</si>
  <si>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</si>
  <si>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</si>
  <si>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</si>
  <si>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</si>
  <si>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</si>
  <si>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</si>
  <si>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</si>
  <si>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</si>
  <si>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</si>
  <si>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</si>
  <si>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</si>
  <si>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</si>
  <si>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</si>
  <si>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</si>
  <si>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</si>
  <si>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</si>
  <si>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</si>
  <si>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</si>
  <si>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</si>
  <si>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</si>
  <si>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</si>
  <si>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</si>
  <si>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</si>
  <si>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</si>
  <si>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</si>
  <si>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</si>
  <si>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</si>
  <si>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</si>
  <si>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</si>
  <si>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</si>
  <si>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</si>
  <si>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</si>
  <si>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</si>
  <si>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</si>
  <si>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</si>
  <si>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</si>
  <si>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</si>
  <si>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</si>
  <si>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</si>
  <si>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</si>
  <si>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</si>
  <si>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</si>
  <si>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</si>
  <si>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</si>
  <si>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</si>
  <si>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</si>
  <si>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</si>
  <si>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</si>
  <si>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</si>
  <si>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</si>
  <si>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</si>
  <si>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</si>
  <si>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</si>
  <si>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</si>
  <si>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</si>
  <si>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</si>
  <si>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</si>
  <si>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</si>
  <si>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</si>
  <si>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</si>
  <si>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</si>
  <si>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</si>
  <si>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</si>
  <si>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</si>
  <si>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</si>
  <si>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</si>
  <si>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</si>
  <si>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</si>
  <si>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</si>
  <si>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</si>
  <si>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</si>
  <si>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</si>
  <si>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</si>
  <si>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</si>
  <si>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</si>
  <si>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</si>
  <si>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</si>
  <si>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</si>
  <si>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</si>
  <si>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</si>
  <si>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</si>
  <si>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OLLERO</t>
  </si>
  <si>
    <t>M. LAVAPLATOS</t>
  </si>
  <si>
    <t>FRENTE HORNO</t>
  </si>
  <si>
    <t>ESPECIERO</t>
  </si>
  <si>
    <t>CAJONERA</t>
  </si>
  <si>
    <t>DESPENSA</t>
  </si>
  <si>
    <t>LATERAL REFIGERADOR</t>
  </si>
  <si>
    <t>M.AEREO</t>
  </si>
  <si>
    <t>N° 11729</t>
  </si>
  <si>
    <t>CARLOS UBILLA</t>
  </si>
  <si>
    <t>+56 9 92374688</t>
  </si>
  <si>
    <t>LOS ANDES</t>
  </si>
  <si>
    <t>PR6</t>
  </si>
  <si>
    <t>BLANCO SHELL WHITE 22001 SF</t>
  </si>
  <si>
    <t>FASHION GREY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</si>
</sst>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  <xf numFmtId="0" fontId="39" fillId="0" borderId="0" xfId="0" applyFont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38</xdr:row>
      <xdr:rowOff>8194</xdr:rowOff>
    </xdr:from>
    <xdr:to>
      <xdr:col>9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40</xdr:row>
      <xdr:rowOff>154305</xdr:rowOff>
    </xdr:from>
    <xdr:to>
      <xdr:col>8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6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6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43307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92"/>
  <sheetViews>
    <sheetView tabSelected="1" topLeftCell="G14" zoomScale="93" zoomScaleNormal="93" workbookViewId="0">
      <selection activeCell="H34" sqref="H34"/>
    </sheetView>
  </sheetViews>
  <sheetFormatPr baseColWidth="10" defaultRowHeight="14.4" x14ac:dyDescent="0.3"/>
  <cols>
    <col min="1" max="1" width="6" customWidth="1"/>
    <col min="2" max="2" width="10.5546875" customWidth="1"/>
    <col min="3" max="3" width="28.109375" customWidth="1"/>
    <col min="4" max="4" width="11.109375" customWidth="1"/>
    <col min="5" max="5" width="14.44140625" customWidth="1"/>
    <col min="6" max="6" width="17.33203125" customWidth="1"/>
    <col min="7" max="7" width="31.77734375" customWidth="1"/>
    <col min="8" max="8" width="14" customWidth="1"/>
    <col min="9" max="9" width="14.21875" customWidth="1"/>
    <col min="10" max="10" width="15.44140625" customWidth="1"/>
    <col min="11" max="11" width="15.2187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35" t="s">
        <v>136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6" t="s">
        <v>132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6" t="s">
        <v>137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6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6" t="s">
        <v>156</v>
      </c>
      <c r="P6" s="30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6" t="s">
        <v>119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31" t="s">
        <v>121</v>
      </c>
      <c r="C8" s="332"/>
      <c r="D8" s="333" t="s">
        <v>180</v>
      </c>
      <c r="G8" s="56"/>
      <c r="L8" s="49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86" t="s">
        <v>154</v>
      </c>
      <c r="C10" s="236" t="s">
        <v>181</v>
      </c>
      <c r="D10" s="236"/>
      <c r="E10" s="236"/>
      <c r="F10" s="236"/>
      <c r="G10" s="237" t="s">
        <v>161</v>
      </c>
      <c r="H10" s="268">
        <v>45959</v>
      </c>
      <c r="I10" s="238"/>
      <c r="L10" s="1"/>
      <c r="S10" s="2"/>
      <c r="T10" s="3"/>
      <c r="U10" s="3"/>
      <c r="V10" s="4"/>
      <c r="W10" s="2"/>
      <c r="X10" s="3"/>
    </row>
    <row r="11" spans="2:25" ht="16.8" x14ac:dyDescent="0.4">
      <c r="B11" s="276" t="s">
        <v>12</v>
      </c>
      <c r="C11" s="294"/>
      <c r="G11" t="s">
        <v>160</v>
      </c>
      <c r="H11" s="295" t="s">
        <v>169</v>
      </c>
      <c r="I11" s="277"/>
      <c r="R11" s="19"/>
      <c r="S11" s="22" t="s">
        <v>18</v>
      </c>
      <c r="T11" s="19"/>
    </row>
    <row r="12" spans="2:25" x14ac:dyDescent="0.3">
      <c r="B12" s="239" t="s">
        <v>138</v>
      </c>
      <c r="C12" s="296"/>
      <c r="D12" s="297"/>
      <c r="E12" s="297"/>
      <c r="F12" s="297"/>
      <c r="G12" s="297" t="s">
        <v>122</v>
      </c>
      <c r="H12" s="298" t="s">
        <v>129</v>
      </c>
      <c r="I12" s="240"/>
      <c r="N12">
        <v>1.22</v>
      </c>
      <c r="R12" s="19"/>
      <c r="S12" s="22"/>
      <c r="T12" s="19"/>
    </row>
    <row r="13" spans="2:25" x14ac:dyDescent="0.3">
      <c r="B13" s="276" t="s">
        <v>139</v>
      </c>
      <c r="G13" t="s">
        <v>159</v>
      </c>
      <c r="H13" s="299" t="s">
        <v>129</v>
      </c>
      <c r="I13" s="277"/>
      <c r="N13">
        <v>3.05</v>
      </c>
      <c r="R13" s="19"/>
      <c r="S13" s="22"/>
      <c r="T13" s="19"/>
    </row>
    <row r="14" spans="2:25" x14ac:dyDescent="0.3">
      <c r="B14" s="239" t="s">
        <v>133</v>
      </c>
      <c r="C14" s="334"/>
      <c r="D14" s="297"/>
      <c r="E14" s="297"/>
      <c r="F14" s="297"/>
      <c r="G14" s="297" t="s">
        <v>130</v>
      </c>
      <c r="H14" s="300" t="s">
        <v>129</v>
      </c>
      <c r="I14" s="240"/>
      <c r="L14" s="26"/>
      <c r="N14">
        <f>N12*N13</f>
        <v>3.7209999999999996</v>
      </c>
      <c r="R14" s="20"/>
      <c r="S14" s="23" t="s">
        <v>17</v>
      </c>
      <c r="T14" s="20"/>
    </row>
    <row r="15" spans="2:25" ht="15.6" x14ac:dyDescent="0.3">
      <c r="B15" s="276" t="s">
        <v>4</v>
      </c>
      <c r="C15" s="301" t="s">
        <v>182</v>
      </c>
      <c r="D15" s="302"/>
      <c r="G15" t="s">
        <v>162</v>
      </c>
      <c r="H15" s="303" t="s">
        <v>129</v>
      </c>
      <c r="I15" s="277"/>
      <c r="N15">
        <v>27</v>
      </c>
    </row>
    <row r="16" spans="2:25" ht="16.8" x14ac:dyDescent="0.4">
      <c r="B16" s="290" t="s">
        <v>3</v>
      </c>
      <c r="C16" s="304"/>
      <c r="D16" s="297"/>
      <c r="E16" s="297"/>
      <c r="F16" s="297"/>
      <c r="G16" s="305" t="s">
        <v>124</v>
      </c>
      <c r="H16" s="306" t="s">
        <v>155</v>
      </c>
      <c r="I16" s="240"/>
      <c r="N16">
        <f>N15/N14</f>
        <v>7.2561139478634784</v>
      </c>
    </row>
    <row r="17" spans="2:26" ht="15" thickBot="1" x14ac:dyDescent="0.35">
      <c r="B17" s="287" t="s">
        <v>13</v>
      </c>
      <c r="C17" s="288" t="s">
        <v>183</v>
      </c>
      <c r="D17" s="289"/>
      <c r="E17" s="113"/>
      <c r="F17" s="113"/>
      <c r="G17" s="345" t="s">
        <v>157</v>
      </c>
      <c r="H17" s="345"/>
      <c r="I17" s="346"/>
      <c r="J17" s="255"/>
      <c r="K17" s="255"/>
      <c r="U17" s="6"/>
      <c r="V17" s="6"/>
    </row>
    <row r="18" spans="2:26" ht="15.75" customHeight="1" thickBot="1" x14ac:dyDescent="0.35">
      <c r="K18" s="44"/>
      <c r="L18" s="5"/>
      <c r="W18" s="9"/>
      <c r="Y18" s="6"/>
      <c r="Z18" s="6"/>
    </row>
    <row r="19" spans="2:26" ht="13.5" customHeight="1" thickBot="1" x14ac:dyDescent="0.35">
      <c r="B19" s="347" t="s">
        <v>91</v>
      </c>
      <c r="C19" s="348"/>
      <c r="D19" s="348"/>
      <c r="E19" s="348"/>
      <c r="F19" s="348"/>
      <c r="G19" s="348"/>
      <c r="H19" s="348"/>
      <c r="I19" s="349"/>
      <c r="J19" s="256"/>
      <c r="K19" s="256"/>
      <c r="L19" s="5"/>
      <c r="M19" s="242"/>
      <c r="N19" s="14">
        <v>0.08</v>
      </c>
      <c r="O19" s="14"/>
      <c r="P19" s="14"/>
      <c r="Q19" s="243" t="s">
        <v>6</v>
      </c>
      <c r="R19" s="33" t="s">
        <v>20</v>
      </c>
      <c r="S19" s="34" t="s">
        <v>128</v>
      </c>
      <c r="T19" s="10" t="s">
        <v>131</v>
      </c>
      <c r="V19" s="9"/>
      <c r="W19" s="9"/>
      <c r="Y19" s="6"/>
      <c r="Z19" s="6"/>
    </row>
    <row r="20" spans="2:26" ht="17.399999999999999" x14ac:dyDescent="0.3">
      <c r="B20" s="309" t="s">
        <v>7</v>
      </c>
      <c r="C20" s="310" t="s">
        <v>1</v>
      </c>
      <c r="D20" s="310" t="s">
        <v>126</v>
      </c>
      <c r="E20" s="310" t="s">
        <v>11</v>
      </c>
      <c r="F20" s="310"/>
      <c r="G20" s="310" t="s">
        <v>8</v>
      </c>
      <c r="H20" s="310" t="s">
        <v>5</v>
      </c>
      <c r="I20" s="311" t="s">
        <v>6</v>
      </c>
      <c r="J20" s="257"/>
      <c r="K20" s="257"/>
      <c r="L20" s="44"/>
      <c r="M20" s="260" t="str">
        <f>B20</f>
        <v>UNIDAD</v>
      </c>
      <c r="N20" s="259" t="s">
        <v>126</v>
      </c>
      <c r="O20" s="36" t="str">
        <f>E20</f>
        <v>ANCHO</v>
      </c>
      <c r="P20" s="253" t="s">
        <v>127</v>
      </c>
      <c r="Q20" s="251" t="s">
        <v>16</v>
      </c>
      <c r="R20" s="244">
        <f>P49</f>
        <v>67264.776419552698</v>
      </c>
      <c r="S20" s="250">
        <v>3000</v>
      </c>
      <c r="T20" s="35"/>
      <c r="U20" s="14" t="s">
        <v>123</v>
      </c>
      <c r="V20" s="9"/>
      <c r="Y20" s="4"/>
    </row>
    <row r="21" spans="2:26" ht="17.399999999999999" x14ac:dyDescent="0.3">
      <c r="B21" s="335">
        <v>2</v>
      </c>
      <c r="C21" s="342" t="s">
        <v>184</v>
      </c>
      <c r="D21" s="343">
        <v>0.5</v>
      </c>
      <c r="E21" s="343">
        <v>0.498</v>
      </c>
      <c r="F21" s="341" t="s">
        <v>172</v>
      </c>
      <c r="G21" s="144" t="s">
        <v>185</v>
      </c>
      <c r="H21" s="344">
        <v>18576</v>
      </c>
      <c r="I21" s="344">
        <f>H21*B21</f>
        <v>37152</v>
      </c>
      <c r="J21" s="292"/>
      <c r="K21" s="257"/>
      <c r="L21" s="44"/>
      <c r="M21" s="44"/>
      <c r="N21" s="36">
        <f>D21+N$19</f>
        <v>0.57999999999999996</v>
      </c>
      <c r="O21" s="36">
        <f>E21+$O$19</f>
        <v>0.498</v>
      </c>
      <c r="P21" s="253">
        <f t="shared" ref="P21" si="0">N21*O21</f>
        <v>0.28883999999999999</v>
      </c>
      <c r="Q21" s="251">
        <f t="shared" ref="Q21" si="1">P21*M21</f>
        <v>0</v>
      </c>
      <c r="R21" s="244">
        <f t="shared" ref="R21" si="2">R$20*P21</f>
        <v>19428.758021023601</v>
      </c>
      <c r="S21" s="291">
        <f t="shared" ref="S21" si="3">R21+S$20</f>
        <v>22428.758021023601</v>
      </c>
      <c r="T21" s="279">
        <f>N21*M21*2</f>
        <v>0</v>
      </c>
      <c r="U21" s="43">
        <f>O21*2*M21*2</f>
        <v>0</v>
      </c>
      <c r="V21" s="9"/>
      <c r="Y21" s="4"/>
    </row>
    <row r="22" spans="2:26" ht="17.399999999999999" x14ac:dyDescent="0.3">
      <c r="B22" s="335">
        <v>2</v>
      </c>
      <c r="C22" s="342"/>
      <c r="D22" s="343">
        <v>0.45</v>
      </c>
      <c r="E22" s="343">
        <v>0.59799999999999998</v>
      </c>
      <c r="F22" s="341" t="s">
        <v>173</v>
      </c>
      <c r="G22" s="144" t="s">
        <v>185</v>
      </c>
      <c r="H22" s="344">
        <v>20091</v>
      </c>
      <c r="I22" s="344">
        <f t="shared" ref="I22:I33" si="4">H22*B22</f>
        <v>40182</v>
      </c>
      <c r="J22" s="292"/>
      <c r="K22" s="257"/>
      <c r="L22" s="44"/>
      <c r="M22" s="44"/>
      <c r="N22" s="36">
        <f t="shared" ref="N22:N33" si="5">D22+N$19</f>
        <v>0.53</v>
      </c>
      <c r="O22" s="36">
        <f t="shared" ref="O22:O33" si="6">E22+$O$19</f>
        <v>0.59799999999999998</v>
      </c>
      <c r="P22" s="253">
        <f t="shared" ref="P22:P33" si="7">N22*O22</f>
        <v>0.31694</v>
      </c>
      <c r="Q22" s="251">
        <f t="shared" ref="Q22:Q33" si="8">P22*M22</f>
        <v>0</v>
      </c>
      <c r="R22" s="244">
        <f t="shared" ref="R22:R33" si="9">R$20*P22</f>
        <v>21318.898238413032</v>
      </c>
      <c r="S22" s="291">
        <f t="shared" ref="S22:S33" si="10">R22+S$20</f>
        <v>24318.898238413032</v>
      </c>
      <c r="T22" s="279">
        <f t="shared" ref="T22:T33" si="11">N22*M22*2</f>
        <v>0</v>
      </c>
      <c r="U22" s="43"/>
      <c r="V22" s="9"/>
      <c r="Y22" s="4"/>
    </row>
    <row r="23" spans="2:26" ht="17.399999999999999" x14ac:dyDescent="0.3">
      <c r="B23" s="335">
        <v>1</v>
      </c>
      <c r="C23" s="342"/>
      <c r="D23" s="343">
        <v>0.45</v>
      </c>
      <c r="E23" s="343">
        <v>1.2</v>
      </c>
      <c r="F23" s="341" t="s">
        <v>174</v>
      </c>
      <c r="G23" s="144" t="s">
        <v>185</v>
      </c>
      <c r="H23" s="344">
        <v>37296</v>
      </c>
      <c r="I23" s="344">
        <f t="shared" si="4"/>
        <v>37296</v>
      </c>
      <c r="J23" s="292"/>
      <c r="K23" s="257"/>
      <c r="L23" s="44"/>
      <c r="M23" s="44"/>
      <c r="N23" s="36">
        <f t="shared" si="5"/>
        <v>0.53</v>
      </c>
      <c r="O23" s="36">
        <f t="shared" si="6"/>
        <v>1.2</v>
      </c>
      <c r="P23" s="253">
        <f t="shared" si="7"/>
        <v>0.63600000000000001</v>
      </c>
      <c r="Q23" s="251">
        <f t="shared" si="8"/>
        <v>0</v>
      </c>
      <c r="R23" s="244">
        <f t="shared" si="9"/>
        <v>42780.39780283552</v>
      </c>
      <c r="S23" s="291">
        <f t="shared" si="10"/>
        <v>45780.39780283552</v>
      </c>
      <c r="T23" s="279">
        <f t="shared" si="11"/>
        <v>0</v>
      </c>
      <c r="U23" s="43"/>
      <c r="V23" s="9"/>
      <c r="Y23" s="4"/>
    </row>
    <row r="24" spans="2:26" ht="17.399999999999999" x14ac:dyDescent="0.3">
      <c r="B24" s="335">
        <v>2</v>
      </c>
      <c r="C24" s="342"/>
      <c r="D24" s="343">
        <v>0.6</v>
      </c>
      <c r="E24" s="343">
        <v>0.29799999999999999</v>
      </c>
      <c r="F24" s="341" t="s">
        <v>175</v>
      </c>
      <c r="G24" s="144" t="s">
        <v>185</v>
      </c>
      <c r="H24" s="344">
        <v>13927</v>
      </c>
      <c r="I24" s="344">
        <f t="shared" si="4"/>
        <v>27854</v>
      </c>
      <c r="J24" s="292"/>
      <c r="K24" s="257"/>
      <c r="L24" s="44"/>
      <c r="M24" s="44"/>
      <c r="N24" s="36">
        <f t="shared" si="5"/>
        <v>0.67999999999999994</v>
      </c>
      <c r="O24" s="36">
        <f t="shared" si="6"/>
        <v>0.29799999999999999</v>
      </c>
      <c r="P24" s="253">
        <f t="shared" si="7"/>
        <v>0.20263999999999996</v>
      </c>
      <c r="Q24" s="251">
        <f t="shared" si="8"/>
        <v>0</v>
      </c>
      <c r="R24" s="244">
        <f t="shared" si="9"/>
        <v>13630.534293658156</v>
      </c>
      <c r="S24" s="291">
        <f t="shared" si="10"/>
        <v>16630.534293658158</v>
      </c>
      <c r="T24" s="279">
        <f t="shared" si="11"/>
        <v>0</v>
      </c>
      <c r="U24" s="43"/>
      <c r="V24" s="9"/>
      <c r="Y24" s="4"/>
    </row>
    <row r="25" spans="2:26" ht="17.399999999999999" x14ac:dyDescent="0.3">
      <c r="B25" s="335">
        <v>4</v>
      </c>
      <c r="C25" s="342"/>
      <c r="D25" s="343">
        <v>0.9</v>
      </c>
      <c r="E25" s="343">
        <v>0.61299999999999999</v>
      </c>
      <c r="F25" s="341" t="s">
        <v>176</v>
      </c>
      <c r="G25" s="144" t="s">
        <v>185</v>
      </c>
      <c r="H25" s="344">
        <v>35395</v>
      </c>
      <c r="I25" s="344">
        <f t="shared" si="4"/>
        <v>141580</v>
      </c>
      <c r="J25" s="292"/>
      <c r="K25" s="257"/>
      <c r="L25" s="44"/>
      <c r="M25" s="44"/>
      <c r="N25" s="36">
        <f t="shared" si="5"/>
        <v>0.98</v>
      </c>
      <c r="O25" s="36">
        <f t="shared" si="6"/>
        <v>0.61299999999999999</v>
      </c>
      <c r="P25" s="253">
        <f t="shared" si="7"/>
        <v>0.60073999999999994</v>
      </c>
      <c r="Q25" s="251">
        <f t="shared" si="8"/>
        <v>0</v>
      </c>
      <c r="R25" s="244">
        <f t="shared" si="9"/>
        <v>40408.641786282082</v>
      </c>
      <c r="S25" s="291">
        <f t="shared" si="10"/>
        <v>43408.641786282082</v>
      </c>
      <c r="T25" s="279">
        <f t="shared" si="11"/>
        <v>0</v>
      </c>
      <c r="U25" s="43"/>
      <c r="V25" s="9"/>
      <c r="Y25" s="4"/>
    </row>
    <row r="26" spans="2:26" ht="17.399999999999999" x14ac:dyDescent="0.3">
      <c r="B26" s="335">
        <v>2</v>
      </c>
      <c r="C26" s="342"/>
      <c r="D26" s="343">
        <v>0.78</v>
      </c>
      <c r="E26" s="343">
        <v>0.29799999999999999</v>
      </c>
      <c r="F26" s="341" t="s">
        <v>177</v>
      </c>
      <c r="G26" s="144" t="s">
        <v>186</v>
      </c>
      <c r="H26" s="344">
        <v>20239</v>
      </c>
      <c r="I26" s="344">
        <f t="shared" si="4"/>
        <v>40478</v>
      </c>
      <c r="J26" s="292"/>
      <c r="K26" s="257"/>
      <c r="L26" s="44"/>
      <c r="M26" s="44">
        <f>B26</f>
        <v>2</v>
      </c>
      <c r="N26" s="36">
        <f t="shared" si="5"/>
        <v>0.86</v>
      </c>
      <c r="O26" s="36">
        <f t="shared" si="6"/>
        <v>0.29799999999999999</v>
      </c>
      <c r="P26" s="253">
        <f t="shared" si="7"/>
        <v>0.25628000000000001</v>
      </c>
      <c r="Q26" s="251">
        <f t="shared" si="8"/>
        <v>0.51256000000000002</v>
      </c>
      <c r="R26" s="244">
        <f t="shared" si="9"/>
        <v>17238.616900802965</v>
      </c>
      <c r="S26" s="291">
        <f t="shared" si="10"/>
        <v>20238.616900802965</v>
      </c>
      <c r="T26" s="279">
        <f t="shared" si="11"/>
        <v>3.44</v>
      </c>
      <c r="U26" s="43"/>
      <c r="V26" s="9"/>
      <c r="Y26" s="4"/>
    </row>
    <row r="27" spans="2:26" ht="17.399999999999999" x14ac:dyDescent="0.3">
      <c r="B27" s="335">
        <v>2</v>
      </c>
      <c r="C27" s="342"/>
      <c r="D27" s="343">
        <v>0.78</v>
      </c>
      <c r="E27" s="343">
        <v>0.2</v>
      </c>
      <c r="F27" s="341" t="s">
        <v>178</v>
      </c>
      <c r="G27" s="144" t="s">
        <v>186</v>
      </c>
      <c r="H27" s="344">
        <v>14570</v>
      </c>
      <c r="I27" s="344">
        <f t="shared" si="4"/>
        <v>29140</v>
      </c>
      <c r="J27" s="292"/>
      <c r="K27" s="257"/>
      <c r="L27" s="44"/>
      <c r="M27" s="44">
        <f>B27</f>
        <v>2</v>
      </c>
      <c r="N27" s="36">
        <f t="shared" si="5"/>
        <v>0.86</v>
      </c>
      <c r="O27" s="36">
        <f t="shared" si="6"/>
        <v>0.2</v>
      </c>
      <c r="P27" s="253">
        <f t="shared" si="7"/>
        <v>0.17200000000000001</v>
      </c>
      <c r="Q27" s="251">
        <f t="shared" si="8"/>
        <v>0.34400000000000003</v>
      </c>
      <c r="R27" s="244">
        <f t="shared" si="9"/>
        <v>11569.541544163065</v>
      </c>
      <c r="S27" s="291">
        <f t="shared" si="10"/>
        <v>14569.541544163065</v>
      </c>
      <c r="T27" s="279">
        <f t="shared" si="11"/>
        <v>3.44</v>
      </c>
      <c r="U27" s="43"/>
      <c r="V27" s="9"/>
      <c r="Y27" s="4"/>
    </row>
    <row r="28" spans="2:26" ht="17.399999999999999" x14ac:dyDescent="0.3">
      <c r="B28" s="335">
        <v>2</v>
      </c>
      <c r="C28" s="342"/>
      <c r="D28" s="343">
        <v>0.78</v>
      </c>
      <c r="E28" s="343">
        <v>0.498</v>
      </c>
      <c r="F28" s="341" t="s">
        <v>179</v>
      </c>
      <c r="G28" s="144" t="s">
        <v>186</v>
      </c>
      <c r="H28" s="344">
        <v>31808</v>
      </c>
      <c r="I28" s="344">
        <f t="shared" si="4"/>
        <v>63616</v>
      </c>
      <c r="J28" s="292"/>
      <c r="K28" s="257"/>
      <c r="L28" s="44"/>
      <c r="M28" s="44">
        <f t="shared" ref="M28:M33" si="12">B28</f>
        <v>2</v>
      </c>
      <c r="N28" s="36">
        <f t="shared" si="5"/>
        <v>0.86</v>
      </c>
      <c r="O28" s="36">
        <f t="shared" si="6"/>
        <v>0.498</v>
      </c>
      <c r="P28" s="253">
        <f t="shared" si="7"/>
        <v>0.42827999999999999</v>
      </c>
      <c r="Q28" s="251">
        <f t="shared" si="8"/>
        <v>0.85655999999999999</v>
      </c>
      <c r="R28" s="244">
        <f t="shared" si="9"/>
        <v>28808.158444966029</v>
      </c>
      <c r="S28" s="291">
        <f t="shared" si="10"/>
        <v>31808.158444966029</v>
      </c>
      <c r="T28" s="279">
        <f t="shared" si="11"/>
        <v>3.44</v>
      </c>
      <c r="U28" s="43"/>
      <c r="V28" s="9"/>
      <c r="Y28" s="4"/>
    </row>
    <row r="29" spans="2:26" ht="17.399999999999999" x14ac:dyDescent="0.3">
      <c r="B29" s="335">
        <v>2</v>
      </c>
      <c r="C29" s="342"/>
      <c r="D29" s="343">
        <v>0.78</v>
      </c>
      <c r="E29" s="343">
        <v>0.69799999999999995</v>
      </c>
      <c r="F29" s="341" t="s">
        <v>179</v>
      </c>
      <c r="G29" s="144" t="s">
        <v>186</v>
      </c>
      <c r="H29" s="344">
        <v>43378</v>
      </c>
      <c r="I29" s="344">
        <f t="shared" si="4"/>
        <v>86756</v>
      </c>
      <c r="J29" s="292"/>
      <c r="K29" s="257"/>
      <c r="L29" s="44"/>
      <c r="M29" s="44">
        <f t="shared" si="12"/>
        <v>2</v>
      </c>
      <c r="N29" s="36">
        <f t="shared" si="5"/>
        <v>0.86</v>
      </c>
      <c r="O29" s="36">
        <f t="shared" si="6"/>
        <v>0.69799999999999995</v>
      </c>
      <c r="P29" s="253">
        <f t="shared" si="7"/>
        <v>0.60027999999999992</v>
      </c>
      <c r="Q29" s="251">
        <f t="shared" si="8"/>
        <v>1.2005599999999998</v>
      </c>
      <c r="R29" s="244">
        <f t="shared" si="9"/>
        <v>40377.699989129091</v>
      </c>
      <c r="S29" s="291">
        <f t="shared" si="10"/>
        <v>43377.699989129091</v>
      </c>
      <c r="T29" s="279">
        <f t="shared" si="11"/>
        <v>3.44</v>
      </c>
      <c r="U29" s="43"/>
      <c r="V29" s="9"/>
      <c r="Y29" s="4"/>
    </row>
    <row r="30" spans="2:26" ht="17.399999999999999" x14ac:dyDescent="0.3">
      <c r="B30" s="335">
        <v>2</v>
      </c>
      <c r="C30" s="342"/>
      <c r="D30" s="343">
        <v>0.78</v>
      </c>
      <c r="E30" s="343">
        <v>0.59799999999999998</v>
      </c>
      <c r="F30" s="341" t="s">
        <v>179</v>
      </c>
      <c r="G30" s="144" t="s">
        <v>186</v>
      </c>
      <c r="H30" s="344">
        <v>37593</v>
      </c>
      <c r="I30" s="344">
        <f t="shared" si="4"/>
        <v>75186</v>
      </c>
      <c r="J30" s="292"/>
      <c r="K30" s="257"/>
      <c r="L30" s="44"/>
      <c r="M30" s="44">
        <f t="shared" si="12"/>
        <v>2</v>
      </c>
      <c r="N30" s="36">
        <f t="shared" si="5"/>
        <v>0.86</v>
      </c>
      <c r="O30" s="36">
        <f t="shared" si="6"/>
        <v>0.59799999999999998</v>
      </c>
      <c r="P30" s="253">
        <f t="shared" si="7"/>
        <v>0.51427999999999996</v>
      </c>
      <c r="Q30" s="251">
        <f t="shared" si="8"/>
        <v>1.0285599999999999</v>
      </c>
      <c r="R30" s="244">
        <f t="shared" si="9"/>
        <v>34592.92921704756</v>
      </c>
      <c r="S30" s="291">
        <f t="shared" si="10"/>
        <v>37592.92921704756</v>
      </c>
      <c r="T30" s="279">
        <f t="shared" si="11"/>
        <v>3.44</v>
      </c>
      <c r="U30" s="43"/>
      <c r="V30" s="9"/>
      <c r="Y30" s="4"/>
    </row>
    <row r="31" spans="2:26" ht="17.399999999999999" x14ac:dyDescent="0.3">
      <c r="B31" s="335">
        <v>1</v>
      </c>
      <c r="C31" s="342"/>
      <c r="D31" s="343">
        <v>0.78</v>
      </c>
      <c r="E31" s="343">
        <v>0.498</v>
      </c>
      <c r="F31" s="341" t="s">
        <v>179</v>
      </c>
      <c r="G31" s="144" t="s">
        <v>186</v>
      </c>
      <c r="H31" s="344">
        <v>31808</v>
      </c>
      <c r="I31" s="344">
        <f t="shared" si="4"/>
        <v>31808</v>
      </c>
      <c r="J31" s="292"/>
      <c r="K31" s="257"/>
      <c r="L31" s="44"/>
      <c r="M31" s="44">
        <f t="shared" si="12"/>
        <v>1</v>
      </c>
      <c r="N31" s="36">
        <f t="shared" si="5"/>
        <v>0.86</v>
      </c>
      <c r="O31" s="36">
        <f t="shared" si="6"/>
        <v>0.498</v>
      </c>
      <c r="P31" s="253">
        <f t="shared" si="7"/>
        <v>0.42827999999999999</v>
      </c>
      <c r="Q31" s="251">
        <f t="shared" si="8"/>
        <v>0.42827999999999999</v>
      </c>
      <c r="R31" s="244">
        <f t="shared" si="9"/>
        <v>28808.158444966029</v>
      </c>
      <c r="S31" s="291">
        <f t="shared" si="10"/>
        <v>31808.158444966029</v>
      </c>
      <c r="T31" s="279">
        <f t="shared" si="11"/>
        <v>1.72</v>
      </c>
      <c r="U31" s="43"/>
      <c r="V31" s="9"/>
      <c r="Y31" s="4"/>
    </row>
    <row r="32" spans="2:26" ht="17.399999999999999" x14ac:dyDescent="0.3">
      <c r="B32" s="335">
        <v>1</v>
      </c>
      <c r="C32" s="342"/>
      <c r="D32" s="343">
        <v>0.78</v>
      </c>
      <c r="E32" s="343">
        <v>0.79800000000000004</v>
      </c>
      <c r="F32" s="341" t="s">
        <v>179</v>
      </c>
      <c r="G32" s="144" t="s">
        <v>186</v>
      </c>
      <c r="H32" s="344">
        <v>49162</v>
      </c>
      <c r="I32" s="344">
        <f t="shared" si="4"/>
        <v>49162</v>
      </c>
      <c r="J32" s="292"/>
      <c r="K32" s="257"/>
      <c r="L32" s="44"/>
      <c r="M32" s="44">
        <f t="shared" si="12"/>
        <v>1</v>
      </c>
      <c r="N32" s="36">
        <f t="shared" si="5"/>
        <v>0.86</v>
      </c>
      <c r="O32" s="36">
        <f t="shared" si="6"/>
        <v>0.79800000000000004</v>
      </c>
      <c r="P32" s="253">
        <f t="shared" si="7"/>
        <v>0.68628</v>
      </c>
      <c r="Q32" s="251">
        <f t="shared" si="8"/>
        <v>0.68628</v>
      </c>
      <c r="R32" s="244">
        <f t="shared" si="9"/>
        <v>46162.470761210629</v>
      </c>
      <c r="S32" s="291">
        <f t="shared" si="10"/>
        <v>49162.470761210629</v>
      </c>
      <c r="T32" s="279">
        <f t="shared" si="11"/>
        <v>1.72</v>
      </c>
      <c r="U32" s="43"/>
      <c r="V32" s="9"/>
      <c r="Y32" s="4"/>
    </row>
    <row r="33" spans="1:25" ht="17.399999999999999" x14ac:dyDescent="0.3">
      <c r="B33" s="335">
        <v>2</v>
      </c>
      <c r="C33" s="342"/>
      <c r="D33" s="343">
        <v>0.78</v>
      </c>
      <c r="E33" s="343">
        <v>0.29799999999999999</v>
      </c>
      <c r="F33" s="341"/>
      <c r="G33" s="144" t="s">
        <v>186</v>
      </c>
      <c r="H33" s="344">
        <v>20239</v>
      </c>
      <c r="I33" s="344">
        <f t="shared" si="4"/>
        <v>40478</v>
      </c>
      <c r="J33" s="292"/>
      <c r="K33" s="257"/>
      <c r="L33" s="44"/>
      <c r="M33" s="44">
        <f t="shared" si="12"/>
        <v>2</v>
      </c>
      <c r="N33" s="36">
        <f t="shared" si="5"/>
        <v>0.86</v>
      </c>
      <c r="O33" s="36">
        <f t="shared" si="6"/>
        <v>0.29799999999999999</v>
      </c>
      <c r="P33" s="253">
        <f t="shared" si="7"/>
        <v>0.25628000000000001</v>
      </c>
      <c r="Q33" s="251">
        <f t="shared" si="8"/>
        <v>0.51256000000000002</v>
      </c>
      <c r="R33" s="244">
        <f t="shared" si="9"/>
        <v>17238.616900802965</v>
      </c>
      <c r="S33" s="291">
        <f t="shared" si="10"/>
        <v>20238.616900802965</v>
      </c>
      <c r="T33" s="279">
        <f t="shared" si="11"/>
        <v>3.44</v>
      </c>
      <c r="U33" s="43"/>
      <c r="V33" s="9"/>
      <c r="Y33" s="4"/>
    </row>
    <row r="34" spans="1:25" ht="18" thickBot="1" x14ac:dyDescent="0.35">
      <c r="B34" s="274"/>
      <c r="C34" s="339"/>
      <c r="D34" s="275"/>
      <c r="E34" s="275"/>
      <c r="F34" s="275"/>
      <c r="G34" s="274"/>
      <c r="H34" s="292"/>
      <c r="I34" s="340"/>
      <c r="J34" s="292"/>
      <c r="K34" s="257"/>
      <c r="L34" s="44"/>
      <c r="M34" s="44"/>
      <c r="N34" s="36"/>
      <c r="O34" s="36"/>
      <c r="P34" s="253"/>
      <c r="Q34" s="251"/>
      <c r="R34" s="244"/>
      <c r="S34" s="291"/>
      <c r="T34" s="279"/>
      <c r="U34" s="43"/>
      <c r="V34" s="9"/>
      <c r="Y34" s="4"/>
    </row>
    <row r="35" spans="1:25" ht="17.399999999999999" x14ac:dyDescent="0.3">
      <c r="B35" s="274"/>
      <c r="C35" s="274"/>
      <c r="D35" s="275"/>
      <c r="E35" s="275"/>
      <c r="F35" s="275"/>
      <c r="G35" s="274"/>
      <c r="H35" s="330" t="s">
        <v>28</v>
      </c>
      <c r="I35" s="336">
        <f>SUM(I21:I34)</f>
        <v>700688</v>
      </c>
      <c r="J35" s="293"/>
      <c r="K35" s="325"/>
      <c r="L35" s="307" t="e">
        <f>#REF!/1.19</f>
        <v>#REF!</v>
      </c>
      <c r="M35" s="44"/>
      <c r="N35" s="36"/>
      <c r="O35" s="36"/>
      <c r="P35" s="253"/>
      <c r="Q35" s="251"/>
      <c r="R35" s="244"/>
      <c r="S35" s="250"/>
      <c r="T35" s="279"/>
      <c r="U35" s="43">
        <f>SUM(U21:U34)</f>
        <v>0</v>
      </c>
      <c r="V35" s="9"/>
      <c r="Y35" s="4"/>
    </row>
    <row r="36" spans="1:25" ht="17.399999999999999" x14ac:dyDescent="0.3">
      <c r="B36" s="269"/>
      <c r="C36" s="271"/>
      <c r="D36" s="272"/>
      <c r="E36" s="272"/>
      <c r="F36" s="272"/>
      <c r="G36" s="273"/>
      <c r="H36" s="326" t="s">
        <v>50</v>
      </c>
      <c r="I36" s="337">
        <f>I35*0.19</f>
        <v>133130.72</v>
      </c>
      <c r="J36" s="293"/>
      <c r="K36" s="257"/>
      <c r="L36" s="307"/>
      <c r="M36" s="44"/>
      <c r="N36" s="36">
        <f>SUM(N21:N21)</f>
        <v>0.57999999999999996</v>
      </c>
      <c r="O36" s="12"/>
      <c r="P36" s="12"/>
      <c r="Q36" s="245">
        <f>SUM(Q21:Q34)</f>
        <v>5.5693599999999996</v>
      </c>
      <c r="R36" s="14"/>
      <c r="S36" s="12"/>
      <c r="T36" s="232">
        <f>SUM(T21:T35)</f>
        <v>24.08</v>
      </c>
      <c r="U36" s="43"/>
      <c r="V36" s="9"/>
      <c r="Y36" s="4"/>
    </row>
    <row r="37" spans="1:25" ht="18" thickBot="1" x14ac:dyDescent="0.35">
      <c r="B37" s="267"/>
      <c r="C37" s="270"/>
      <c r="D37" s="264"/>
      <c r="E37" s="264"/>
      <c r="F37" s="264"/>
      <c r="G37" s="265"/>
      <c r="H37" s="327" t="s">
        <v>6</v>
      </c>
      <c r="I37" s="338">
        <f>I36+I35</f>
        <v>833818.72</v>
      </c>
      <c r="J37" s="293"/>
      <c r="K37" s="257"/>
      <c r="L37" s="307"/>
      <c r="M37" s="44"/>
      <c r="N37" s="36"/>
      <c r="O37" s="12"/>
      <c r="P37" s="12"/>
      <c r="Q37" s="245">
        <f>Q36</f>
        <v>5.5693599999999996</v>
      </c>
      <c r="R37" s="14"/>
      <c r="S37" s="12"/>
      <c r="T37" s="232">
        <f>T36+U35</f>
        <v>24.08</v>
      </c>
      <c r="U37" s="43"/>
      <c r="V37" s="9"/>
      <c r="Y37" s="4"/>
    </row>
    <row r="38" spans="1:25" ht="17.399999999999999" x14ac:dyDescent="0.3">
      <c r="B38" s="267"/>
      <c r="C38" s="263"/>
      <c r="D38" s="264"/>
      <c r="E38" s="264"/>
      <c r="F38" s="264"/>
      <c r="G38" s="265"/>
      <c r="K38" s="257"/>
      <c r="L38" s="307"/>
      <c r="M38" s="44"/>
      <c r="N38" s="14"/>
      <c r="O38" s="12"/>
      <c r="P38" s="12"/>
      <c r="Q38" s="36">
        <f>Q37*20%</f>
        <v>1.113872</v>
      </c>
      <c r="R38" s="36" t="s">
        <v>125</v>
      </c>
      <c r="S38" s="39"/>
      <c r="T38" s="233">
        <f>T37*20%</f>
        <v>4.8159999999999998</v>
      </c>
      <c r="U38" s="14"/>
      <c r="V38" s="9"/>
      <c r="Y38" s="4"/>
    </row>
    <row r="39" spans="1:25" ht="17.399999999999999" x14ac:dyDescent="0.35">
      <c r="B39" s="261"/>
      <c r="C39" s="223"/>
      <c r="D39" s="223"/>
      <c r="E39" s="226"/>
      <c r="F39" s="226"/>
      <c r="G39" s="227"/>
      <c r="H39" s="223"/>
      <c r="I39" s="266"/>
      <c r="J39" s="266"/>
      <c r="K39" s="257"/>
      <c r="L39" s="44"/>
      <c r="M39" s="44"/>
      <c r="N39" s="14"/>
      <c r="O39" s="12"/>
      <c r="P39" s="12"/>
      <c r="Q39" s="43">
        <f>Q37+Q38</f>
        <v>6.6832319999999994</v>
      </c>
      <c r="R39" s="14"/>
      <c r="S39" s="14"/>
      <c r="T39" s="232">
        <f>T37+T38</f>
        <v>28.895999999999997</v>
      </c>
      <c r="U39" s="14"/>
      <c r="V39" s="9"/>
      <c r="Y39" s="4"/>
    </row>
    <row r="40" spans="1:25" ht="17.399999999999999" x14ac:dyDescent="0.35">
      <c r="B40" s="228"/>
      <c r="C40" s="229"/>
      <c r="D40" s="230"/>
      <c r="E40" s="228"/>
      <c r="F40" s="228"/>
      <c r="G40" s="223"/>
      <c r="H40" s="223"/>
      <c r="J40" s="266"/>
      <c r="K40" s="257"/>
      <c r="L40" s="44"/>
      <c r="M40" s="44"/>
      <c r="N40" s="14"/>
      <c r="O40" s="14"/>
      <c r="P40" s="14"/>
      <c r="Q40" s="14"/>
      <c r="R40" s="14"/>
      <c r="S40" s="14"/>
      <c r="T40" s="233"/>
      <c r="U40" s="14"/>
      <c r="V40" s="283" t="s">
        <v>21</v>
      </c>
      <c r="W40" s="280" t="s">
        <v>144</v>
      </c>
      <c r="X40" s="284">
        <v>44971</v>
      </c>
      <c r="Y40" s="285"/>
    </row>
    <row r="41" spans="1:25" ht="17.399999999999999" x14ac:dyDescent="0.35">
      <c r="B41" s="223"/>
      <c r="C41" s="223"/>
      <c r="D41" s="223"/>
      <c r="E41" s="223"/>
      <c r="F41" s="223"/>
      <c r="G41" s="223"/>
      <c r="H41" s="223"/>
      <c r="K41" s="257"/>
      <c r="L41" s="44"/>
      <c r="M41" s="44"/>
      <c r="N41" s="36">
        <f>Q39</f>
        <v>6.6832319999999994</v>
      </c>
      <c r="O41" s="12">
        <v>3500</v>
      </c>
      <c r="P41" s="12">
        <f t="shared" ref="P41:P46" si="13">N41*O41</f>
        <v>23391.311999999998</v>
      </c>
      <c r="Q41" s="14" t="s">
        <v>21</v>
      </c>
      <c r="R41" s="14"/>
      <c r="S41" s="14"/>
      <c r="T41" s="234"/>
      <c r="U41" s="14"/>
      <c r="V41" s="283" t="s">
        <v>145</v>
      </c>
      <c r="W41" s="280">
        <v>3625</v>
      </c>
      <c r="X41" s="56" t="s">
        <v>146</v>
      </c>
      <c r="Y41" s="285"/>
    </row>
    <row r="42" spans="1:25" ht="17.399999999999999" x14ac:dyDescent="0.35">
      <c r="A42" s="223"/>
      <c r="B42" s="223"/>
      <c r="C42" s="223"/>
      <c r="D42" s="223"/>
      <c r="E42" s="223"/>
      <c r="F42" s="223"/>
      <c r="G42" s="223"/>
      <c r="H42" s="223"/>
      <c r="I42" s="223"/>
      <c r="K42" s="257"/>
      <c r="L42" s="44"/>
      <c r="M42" s="44"/>
      <c r="N42" s="241">
        <v>2</v>
      </c>
      <c r="O42" s="12">
        <v>40000</v>
      </c>
      <c r="P42" s="12">
        <f t="shared" si="13"/>
        <v>80000</v>
      </c>
      <c r="Q42" s="36" t="s">
        <v>30</v>
      </c>
      <c r="R42" s="39"/>
      <c r="S42" s="14"/>
      <c r="T42" s="233"/>
      <c r="U42" s="14"/>
      <c r="V42" s="283"/>
      <c r="W42" s="56">
        <v>906.25</v>
      </c>
      <c r="X42" s="56" t="s">
        <v>147</v>
      </c>
      <c r="Y42" s="285"/>
    </row>
    <row r="43" spans="1:25" s="223" customFormat="1" ht="17.399999999999999" x14ac:dyDescent="0.35">
      <c r="B43" s="21" t="s">
        <v>171</v>
      </c>
      <c r="K43" s="254"/>
      <c r="L43" s="225"/>
      <c r="M43" s="242"/>
      <c r="N43" s="14"/>
      <c r="O43" s="242">
        <v>16000</v>
      </c>
      <c r="P43" s="12">
        <f t="shared" si="13"/>
        <v>0</v>
      </c>
      <c r="Q43" s="36" t="s">
        <v>170</v>
      </c>
      <c r="R43" s="39"/>
      <c r="T43" s="233"/>
      <c r="U43" s="248"/>
      <c r="V43" s="56"/>
      <c r="W43" s="56">
        <f>W42*20%</f>
        <v>181.25</v>
      </c>
      <c r="X43" s="285" t="s">
        <v>148</v>
      </c>
      <c r="Y43" s="56"/>
    </row>
    <row r="44" spans="1:25" s="223" customFormat="1" ht="17.399999999999999" x14ac:dyDescent="0.35">
      <c r="B44" s="21" t="s">
        <v>158</v>
      </c>
      <c r="C44"/>
      <c r="D44"/>
      <c r="E44"/>
      <c r="F44"/>
      <c r="G44"/>
      <c r="K44" s="254"/>
      <c r="L44" s="225"/>
      <c r="M44" s="242"/>
      <c r="N44" s="14">
        <v>3</v>
      </c>
      <c r="O44" s="242">
        <v>25000</v>
      </c>
      <c r="P44" s="12">
        <f t="shared" si="13"/>
        <v>75000</v>
      </c>
      <c r="Q44" s="14" t="s">
        <v>135</v>
      </c>
      <c r="R44" s="17"/>
      <c r="T44" s="231"/>
      <c r="U44" s="248"/>
      <c r="V44" s="56"/>
      <c r="W44" s="56">
        <f>W42+W43</f>
        <v>1087.5</v>
      </c>
      <c r="X44" s="285" t="s">
        <v>149</v>
      </c>
      <c r="Y44" s="56"/>
    </row>
    <row r="45" spans="1:25" s="223" customFormat="1" ht="17.399999999999999" x14ac:dyDescent="0.35">
      <c r="B45" s="26" t="s">
        <v>120</v>
      </c>
      <c r="C45"/>
      <c r="D45"/>
      <c r="E45"/>
      <c r="F45"/>
      <c r="G45" s="222" t="s">
        <v>15</v>
      </c>
      <c r="K45" s="254"/>
      <c r="L45" s="252"/>
      <c r="M45" s="242"/>
      <c r="N45" s="241"/>
      <c r="O45" s="242">
        <v>900</v>
      </c>
      <c r="P45" s="12">
        <f t="shared" si="13"/>
        <v>0</v>
      </c>
      <c r="Q45" s="14" t="s">
        <v>31</v>
      </c>
      <c r="R45" s="14"/>
      <c r="S45" s="223">
        <v>1.52</v>
      </c>
      <c r="T45" s="231"/>
      <c r="U45" s="231"/>
    </row>
    <row r="46" spans="1:25" s="223" customFormat="1" ht="17.399999999999999" x14ac:dyDescent="0.35">
      <c r="K46" s="278"/>
      <c r="L46" s="252"/>
      <c r="M46" s="242"/>
      <c r="N46" s="258"/>
      <c r="O46" s="12">
        <v>1500</v>
      </c>
      <c r="P46" s="12">
        <f t="shared" si="13"/>
        <v>0</v>
      </c>
      <c r="Q46" s="14" t="s">
        <v>22</v>
      </c>
      <c r="R46" s="14"/>
      <c r="S46">
        <v>2.44</v>
      </c>
      <c r="T46"/>
      <c r="U46" s="231"/>
      <c r="Y46" s="224"/>
    </row>
    <row r="47" spans="1:25" s="223" customFormat="1" ht="17.399999999999999" x14ac:dyDescent="0.35">
      <c r="L47" s="252"/>
      <c r="M47" s="242"/>
      <c r="N47" s="14"/>
      <c r="O47" s="12"/>
      <c r="P47" s="12">
        <f>SUM(P41:P46)</f>
        <v>178391.31200000001</v>
      </c>
      <c r="Q47" s="36" t="s">
        <v>23</v>
      </c>
      <c r="R47" s="14"/>
      <c r="S47">
        <f>S45*S46</f>
        <v>3.7088000000000001</v>
      </c>
      <c r="T47"/>
      <c r="U47" s="231"/>
      <c r="Y47" s="224"/>
    </row>
    <row r="48" spans="1:25" s="223" customFormat="1" ht="17.399999999999999" x14ac:dyDescent="0.35">
      <c r="M48" s="242"/>
      <c r="N48" s="246" t="s">
        <v>32</v>
      </c>
      <c r="O48" s="12"/>
      <c r="P48" s="247">
        <f>P47*2.1</f>
        <v>374621.75520000001</v>
      </c>
      <c r="Q48" s="14" t="s">
        <v>134</v>
      </c>
      <c r="R48" s="14"/>
      <c r="S48" s="37">
        <f>Q39/S47</f>
        <v>1.8019930974978429</v>
      </c>
      <c r="T48"/>
      <c r="U48" s="249"/>
    </row>
    <row r="49" spans="2:24" s="223" customFormat="1" ht="17.399999999999999" x14ac:dyDescent="0.35">
      <c r="H49"/>
      <c r="I49" s="252"/>
      <c r="J49" s="252"/>
      <c r="K49" s="328"/>
      <c r="M49" s="242"/>
      <c r="N49" s="14"/>
      <c r="O49" s="12"/>
      <c r="P49" s="12">
        <f>P48/Q37</f>
        <v>67264.776419552698</v>
      </c>
      <c r="Q49" s="42" t="s">
        <v>24</v>
      </c>
      <c r="R49" s="14"/>
      <c r="S49" s="14"/>
      <c r="T49"/>
      <c r="U49" s="231"/>
      <c r="V49" s="56" t="s">
        <v>150</v>
      </c>
      <c r="W49" s="280">
        <v>43650</v>
      </c>
    </row>
    <row r="50" spans="2:24" s="223" customFormat="1" ht="17.399999999999999" x14ac:dyDescent="0.35">
      <c r="H50"/>
      <c r="M50" s="242"/>
      <c r="N50" s="13"/>
      <c r="O50" s="14"/>
      <c r="P50" s="17">
        <f>P48/P47</f>
        <v>2.1</v>
      </c>
      <c r="Q50" s="15"/>
      <c r="R50"/>
      <c r="S50"/>
      <c r="T50"/>
      <c r="U50" s="231"/>
      <c r="V50" s="56" t="s">
        <v>152</v>
      </c>
      <c r="W50" s="281" t="s">
        <v>151</v>
      </c>
      <c r="X50" s="56">
        <v>2.4</v>
      </c>
    </row>
    <row r="51" spans="2:24" s="223" customFormat="1" ht="17.399999999999999" x14ac:dyDescent="0.35">
      <c r="D51" s="275"/>
      <c r="E51" s="275"/>
      <c r="F51" s="275"/>
      <c r="G51" s="274"/>
      <c r="H51" s="308"/>
      <c r="I51" s="312"/>
      <c r="K51" s="329"/>
      <c r="M51" s="12"/>
      <c r="U51" s="231"/>
      <c r="V51" s="56" t="s">
        <v>153</v>
      </c>
      <c r="W51" s="282">
        <v>395.37</v>
      </c>
    </row>
    <row r="52" spans="2:24" s="223" customFormat="1" ht="17.399999999999999" x14ac:dyDescent="0.35">
      <c r="B52"/>
      <c r="C52" s="313"/>
      <c r="D52" s="275"/>
      <c r="E52" s="275"/>
      <c r="F52" s="275"/>
      <c r="G52" s="274"/>
      <c r="H52" s="308"/>
      <c r="I52" s="312"/>
      <c r="M52" s="12"/>
      <c r="U52" s="231"/>
      <c r="V52" s="56" t="s">
        <v>148</v>
      </c>
      <c r="W52" s="56">
        <v>474.45</v>
      </c>
    </row>
    <row r="53" spans="2:24" ht="14.4" customHeight="1" x14ac:dyDescent="0.35">
      <c r="D53" s="275"/>
      <c r="E53" s="275"/>
      <c r="F53" s="275"/>
      <c r="G53" s="274"/>
      <c r="H53" s="308"/>
      <c r="I53" s="312"/>
      <c r="M53" s="12"/>
      <c r="V53" s="56"/>
      <c r="W53" s="56"/>
    </row>
    <row r="54" spans="2:24" ht="17.399999999999999" x14ac:dyDescent="0.35">
      <c r="D54" s="275"/>
      <c r="E54" s="275"/>
      <c r="F54" s="275"/>
      <c r="G54" s="274"/>
      <c r="H54" s="308"/>
      <c r="I54" s="312"/>
      <c r="M54" s="242"/>
    </row>
    <row r="55" spans="2:24" ht="17.399999999999999" x14ac:dyDescent="0.35">
      <c r="D55" s="275"/>
      <c r="E55" s="275"/>
      <c r="F55" s="275"/>
      <c r="G55" s="274"/>
      <c r="H55" s="308"/>
      <c r="I55" s="312"/>
      <c r="M55" s="242"/>
      <c r="U55" s="262"/>
    </row>
    <row r="56" spans="2:24" ht="17.399999999999999" x14ac:dyDescent="0.35">
      <c r="D56" s="275"/>
      <c r="E56" s="275"/>
      <c r="F56" s="275"/>
      <c r="G56" s="274"/>
      <c r="H56" s="308"/>
      <c r="I56" s="312"/>
      <c r="M56" s="242"/>
    </row>
    <row r="57" spans="2:24" ht="15" customHeight="1" x14ac:dyDescent="0.35">
      <c r="D57" s="275"/>
      <c r="E57" s="275"/>
      <c r="F57" s="275"/>
      <c r="G57" s="274"/>
      <c r="H57" s="308"/>
      <c r="I57" s="312"/>
    </row>
    <row r="58" spans="2:24" ht="17.399999999999999" x14ac:dyDescent="0.35">
      <c r="D58" s="275"/>
      <c r="E58" s="275"/>
      <c r="F58" s="275"/>
      <c r="G58" s="274"/>
      <c r="H58" s="308"/>
      <c r="I58" s="312"/>
    </row>
    <row r="59" spans="2:24" ht="17.399999999999999" x14ac:dyDescent="0.35">
      <c r="D59" s="275"/>
      <c r="E59" s="275"/>
      <c r="F59" s="275"/>
      <c r="G59" s="274"/>
      <c r="H59" s="308"/>
      <c r="I59" s="312"/>
      <c r="P59">
        <v>40935</v>
      </c>
      <c r="Q59" t="s">
        <v>16</v>
      </c>
      <c r="R59" t="s">
        <v>26</v>
      </c>
    </row>
    <row r="60" spans="2:24" ht="17.399999999999999" x14ac:dyDescent="0.35">
      <c r="D60" s="275"/>
      <c r="E60" s="275"/>
      <c r="F60" s="275"/>
      <c r="G60" s="274"/>
      <c r="H60" s="308"/>
      <c r="I60" s="312"/>
    </row>
    <row r="61" spans="2:24" ht="17.399999999999999" x14ac:dyDescent="0.35">
      <c r="D61" s="275"/>
      <c r="E61" s="275"/>
      <c r="F61" s="275"/>
      <c r="G61" s="274"/>
      <c r="H61" s="308"/>
      <c r="I61" s="312"/>
      <c r="P61" s="51"/>
      <c r="Q61" s="51"/>
    </row>
    <row r="62" spans="2:24" ht="17.399999999999999" x14ac:dyDescent="0.35">
      <c r="D62" s="275"/>
      <c r="E62" s="275"/>
      <c r="F62" s="275"/>
      <c r="G62" s="274"/>
      <c r="H62" s="308"/>
      <c r="I62" s="312"/>
      <c r="T62" s="18"/>
      <c r="U62" s="18"/>
    </row>
    <row r="63" spans="2:24" ht="17.399999999999999" x14ac:dyDescent="0.35">
      <c r="D63" s="275"/>
      <c r="E63" s="275"/>
      <c r="F63" s="275"/>
      <c r="G63" s="274"/>
      <c r="H63" s="308"/>
      <c r="I63" s="312"/>
      <c r="T63" s="18"/>
      <c r="U63" s="18"/>
    </row>
    <row r="64" spans="2:24" ht="17.399999999999999" x14ac:dyDescent="0.35">
      <c r="D64" s="275"/>
      <c r="E64" s="275"/>
      <c r="F64" s="275"/>
      <c r="G64" s="274"/>
      <c r="H64" s="308"/>
      <c r="I64" s="312"/>
      <c r="T64" s="18"/>
      <c r="U64" s="18"/>
    </row>
    <row r="65" spans="16:21" x14ac:dyDescent="0.3">
      <c r="T65" s="18"/>
      <c r="U65" s="18"/>
    </row>
    <row r="66" spans="16:21" x14ac:dyDescent="0.3">
      <c r="T66" s="18"/>
      <c r="U66" s="18"/>
    </row>
    <row r="67" spans="16:21" x14ac:dyDescent="0.3">
      <c r="T67" s="18"/>
      <c r="U67" s="18"/>
    </row>
    <row r="68" spans="16:21" x14ac:dyDescent="0.3">
      <c r="T68" s="18"/>
      <c r="U68" s="18"/>
    </row>
    <row r="69" spans="16:21" x14ac:dyDescent="0.3">
      <c r="T69" s="18"/>
      <c r="U69" s="18"/>
    </row>
    <row r="70" spans="16:21" x14ac:dyDescent="0.3">
      <c r="T70" s="18"/>
      <c r="U70" s="18"/>
    </row>
    <row r="73" spans="16:21" x14ac:dyDescent="0.3">
      <c r="P73" s="40"/>
    </row>
    <row r="74" spans="16:21" x14ac:dyDescent="0.3">
      <c r="P74" s="40"/>
    </row>
    <row r="75" spans="16:21" x14ac:dyDescent="0.3">
      <c r="P75" s="6"/>
    </row>
    <row r="76" spans="16:21" x14ac:dyDescent="0.3">
      <c r="P76" s="6"/>
    </row>
    <row r="84" spans="3:3" x14ac:dyDescent="0.3">
      <c r="C84" t="s">
        <v>141</v>
      </c>
    </row>
    <row r="85" spans="3:3" x14ac:dyDescent="0.3">
      <c r="C85" t="s">
        <v>140</v>
      </c>
    </row>
    <row r="88" spans="3:3" x14ac:dyDescent="0.3">
      <c r="C88" t="s">
        <v>140</v>
      </c>
    </row>
    <row r="165" spans="3:3" x14ac:dyDescent="0.3">
      <c r="C165" t="s">
        <v>140</v>
      </c>
    </row>
    <row r="166" spans="3:3" x14ac:dyDescent="0.3">
      <c r="C166" t="s">
        <v>142</v>
      </c>
    </row>
    <row r="167" spans="3:3" x14ac:dyDescent="0.3">
      <c r="C167" t="s">
        <v>143</v>
      </c>
    </row>
    <row r="592" spans="3:3" x14ac:dyDescent="0.3">
      <c r="C592" t="s">
        <v>140</v>
      </c>
    </row>
  </sheetData>
  <mergeCells count="2">
    <mergeCell ref="G17:I17"/>
    <mergeCell ref="B19:I19"/>
  </mergeCells>
  <phoneticPr fontId="31" type="noConversion"/>
  <hyperlinks>
    <hyperlink ref="G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'2229'!H10</f>
        <v>45959</v>
      </c>
    </row>
    <row r="6" spans="1:31" ht="16.2" thickBot="1" x14ac:dyDescent="0.35">
      <c r="B6" s="134" t="s">
        <v>2</v>
      </c>
      <c r="C6" s="133" t="str">
        <f>'2229'!C10</f>
        <v>CARLOS UBILLA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5" t="s">
        <v>94</v>
      </c>
      <c r="I7" s="356"/>
      <c r="J7" s="356"/>
      <c r="K7" s="357"/>
      <c r="N7" s="72"/>
      <c r="O7" s="354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11729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4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2436732.8180489135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5016501.8525172984</v>
      </c>
      <c r="C15" s="207" t="s">
        <v>117</v>
      </c>
      <c r="D15" s="208">
        <v>0.73</v>
      </c>
      <c r="E15" s="209">
        <f>(100%+D15)*D12</f>
        <v>4215547.7752246205</v>
      </c>
      <c r="F15" s="210">
        <f>E15-D12</f>
        <v>1778814.957175707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'2229'!P43</f>
        <v>0</v>
      </c>
      <c r="E18" s="117">
        <f>D18*0.19</f>
        <v>0</v>
      </c>
      <c r="F18" s="114">
        <f>SUM(D18:E18)</f>
        <v>0</v>
      </c>
      <c r="H18" s="319">
        <v>6</v>
      </c>
      <c r="I18" s="318">
        <v>543</v>
      </c>
      <c r="J18" s="6" t="s">
        <v>167</v>
      </c>
      <c r="K18" s="320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'2229'!P44</f>
        <v>75000</v>
      </c>
      <c r="E19" s="117">
        <f>D19*0.19</f>
        <v>14250</v>
      </c>
      <c r="F19" s="114">
        <f>SUM(D19:E19)</f>
        <v>89250</v>
      </c>
      <c r="H19" s="322"/>
      <c r="I19" s="321"/>
      <c r="J19" s="144" t="s">
        <v>168</v>
      </c>
      <c r="K19" s="323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4"/>
      <c r="C20" s="76" t="s">
        <v>30</v>
      </c>
      <c r="D20" s="116">
        <f>'2229'!P42</f>
        <v>80000</v>
      </c>
      <c r="E20" s="117">
        <f>D20*0.19</f>
        <v>15200</v>
      </c>
      <c r="F20" s="114">
        <f>SUM(D20:E20)</f>
        <v>95200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4">
        <f>1300000*1.2</f>
        <v>1560000</v>
      </c>
      <c r="B21" s="113"/>
      <c r="C21" s="71" t="s">
        <v>21</v>
      </c>
      <c r="D21" s="116">
        <f>'2229'!P41</f>
        <v>23391.311999999998</v>
      </c>
      <c r="E21" s="115">
        <f>D21*0.19</f>
        <v>4444.3492799999995</v>
      </c>
      <c r="F21" s="114">
        <f>SUM(D21:E21)</f>
        <v>27835.661279999997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4">
        <f>1300000*1.2</f>
        <v>1560000</v>
      </c>
      <c r="B22" s="108" t="s">
        <v>79</v>
      </c>
      <c r="C22" s="112" t="s">
        <v>6</v>
      </c>
      <c r="D22" s="111">
        <f>SUM(D18:D21)</f>
        <v>178391.31200000001</v>
      </c>
      <c r="E22" s="110">
        <f>SUM(E18:E21)</f>
        <v>33894.349280000002</v>
      </c>
      <c r="F22" s="109">
        <f>SUM(F18:F21)</f>
        <v>212285.66128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4">
        <f>950000*1.2</f>
        <v>1140000</v>
      </c>
      <c r="B23" s="315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4">
        <v>450000</v>
      </c>
      <c r="B24" s="315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4">
        <v>450000</v>
      </c>
      <c r="B25" s="315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4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4"/>
      <c r="B26" s="315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4">
        <v>350000</v>
      </c>
      <c r="B27" s="315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4">
        <v>500000</v>
      </c>
      <c r="B28" s="315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4"/>
      <c r="B29" s="315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4">
        <v>450000</v>
      </c>
      <c r="B30" s="316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4">
        <v>350000</v>
      </c>
      <c r="B31" s="316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4">
        <f>A21+A24+A27+A28+A30</f>
        <v>3310000</v>
      </c>
      <c r="B32" s="316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4"/>
      <c r="B33" s="314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7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1" t="s">
        <v>59</v>
      </c>
      <c r="I43" s="352"/>
      <c r="J43" s="352"/>
      <c r="K43" s="352"/>
      <c r="L43" s="352"/>
      <c r="M43" s="353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178391.31200000001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0"/>
      <c r="J52" s="350"/>
      <c r="K52" s="350"/>
      <c r="L52" s="35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2025-10-29T23:56:32Z</cp:lastPrinted>
  <dcterms:created xsi:type="dcterms:W3CDTF">2013-03-18T13:35:42Z</dcterms:created>
  <dcterms:modified xsi:type="dcterms:W3CDTF">2025-11-03T01:30:44Z</dcterms:modified>
</cp:coreProperties>
</file>