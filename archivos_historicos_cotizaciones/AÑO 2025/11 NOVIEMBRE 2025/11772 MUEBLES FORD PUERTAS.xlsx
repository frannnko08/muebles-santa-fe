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E2638320-C7FA-48C4-BA91-2A692E5CBA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T22" i="1" l="1"/>
  <c r="O22" i="1"/>
  <c r="P22" i="1" s="1"/>
  <c r="S22" i="1"/>
  <c r="J35" i="1"/>
  <c r="M21" i="1"/>
  <c r="M26" i="1" s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D21" i="3" l="1"/>
  <c r="M43" i="3" s="1"/>
  <c r="D12" i="3" s="1"/>
  <c r="E15" i="3" s="1"/>
  <c r="A15" i="3" s="1"/>
  <c r="F20" i="3"/>
  <c r="F21" i="3" s="1"/>
  <c r="Q22" i="1" l="1"/>
  <c r="R22" i="1" s="1"/>
  <c r="H22" i="1" s="1"/>
  <c r="O40" i="1"/>
  <c r="Q21" i="1" l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<sst xmlns="http://schemas.openxmlformats.org/spreadsheetml/2006/main" count="235" uniqueCount="178">
  <si>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</si>
  <si>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</si>
  <si>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</si>
  <si>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</si>
  <si>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</si>
  <si>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</si>
  <si>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</si>
  <si>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</si>
  <si>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</si>
  <si>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</si>
  <si>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</si>
  <si>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</si>
  <si>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</si>
  <si>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</si>
  <si>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</si>
  <si>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</si>
  <si>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</si>
  <si>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</si>
  <si>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</si>
  <si>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</si>
  <si>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</si>
  <si>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</si>
  <si>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</si>
  <si>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</si>
  <si>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</si>
  <si>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</si>
  <si>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</si>
  <si>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</si>
  <si>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</si>
  <si>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</si>
  <si>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</si>
  <si>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</si>
  <si>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</si>
  <si>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</si>
  <si>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</si>
  <si>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</si>
  <si>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</si>
  <si>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</si>
  <si>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</si>
  <si>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</si>
  <si>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</si>
  <si>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</si>
  <si>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</si>
  <si>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</si>
  <si>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</si>
  <si>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</si>
  <si>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</si>
  <si>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</si>
  <si>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</si>
  <si>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</si>
  <si>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</si>
  <si>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</si>
  <si>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</si>
  <si>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</si>
  <si>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</si>
  <si>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</si>
  <si>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</si>
  <si>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</si>
  <si>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</si>
  <si>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</si>
  <si>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</si>
  <si>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</si>
  <si>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</si>
  <si>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</si>
  <si>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</si>
  <si>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</si>
  <si>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</si>
  <si>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</si>
  <si>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</si>
  <si>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</si>
  <si>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</si>
  <si>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</si>
  <si>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</si>
  <si>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</si>
  <si>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</si>
  <si>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</si>
  <si>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</si>
  <si>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</si>
  <si>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</si>
  <si>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</si>
  <si>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</si>
  <si>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</si>
  <si>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</si>
  <si>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</si>
  <si>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</si>
  <si>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</si>
  <si>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</si>
  <si>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</si>
  <si>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</si>
  <si>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</si>
  <si>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</si>
  <si>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</si>
  <si>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</si>
  <si>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</si>
  <si>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</si>
  <si>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</si>
  <si>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</si>
  <si>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</si>
  <si>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</si>
  <si>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</si>
  <si>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</si>
  <si>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</si>
  <si>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</si>
  <si>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</si>
  <si>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</si>
  <si>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</si>
  <si>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</si>
  <si>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</si>
  <si>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</si>
  <si>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</si>
  <si>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</si>
  <si>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</si>
  <si>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</si>
  <si>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</si>
  <si>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</si>
  <si>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</si>
  <si>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</si>
  <si>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</si>
  <si>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</si>
  <si>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</si>
  <si>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</si>
  <si>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</si>
  <si>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</si>
  <si>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</si>
  <si>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</si>
  <si>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</si>
  <si>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</si>
  <si>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</si>
  <si>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</si>
  <si>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</si>
  <si>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</si>
  <si>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</si>
  <si>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</si>
  <si>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</si>
  <si>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</si>
  <si>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</si>
  <si>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</si>
  <si>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</si>
  <si>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</si>
  <si>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</si>
  <si>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</si>
  <si>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</si>
  <si>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</si>
  <si>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</si>
  <si>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</si>
  <si>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</si>
  <si>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</si>
  <si>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</si>
  <si>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</si>
  <si>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</si>
  <si>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</si>
  <si>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</si>
  <si>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</si>
  <si>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</si>
  <si>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</si>
  <si>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</si>
  <si>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</si>
  <si>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</si>
  <si>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</si>
  <si>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</si>
  <si>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</si>
  <si>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</si>
  <si>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</si>
  <si>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</si>
  <si>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</si>
  <si>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</si>
  <si>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</si>
  <si>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</si>
  <si>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</si>
  <si>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</si>
  <si>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FABRIACION DE MUEBLES</t>
  </si>
  <si>
    <t>MUEBLES FORD</t>
  </si>
  <si>
    <t>ENRIQUE FORD</t>
  </si>
  <si>
    <t>+569 8293 1990</t>
  </si>
  <si>
    <t>5 DIAS HABILES</t>
  </si>
  <si>
    <t>PUERTA POSTFORMADA RADIO 8MM</t>
  </si>
  <si>
    <t>VAINILLA 2109 MT</t>
  </si>
  <si>
    <t>N° 11772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</si>
</sst>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</a:t>
          </a:r>
          <a:r>
            <a:rPr lang="es-CL" sz="1200" b="1" baseline="0"/>
            <a:t> A LA MEDIDA Y ENCHAPADAS CON TAPACANTO PVC 0,4MM</a:t>
          </a:r>
        </a:p>
        <a:p>
          <a:pPr algn="l"/>
          <a:r>
            <a:rPr lang="es-CL" sz="1200" b="1" baseline="0"/>
            <a:t>SUSTRATO: MDF MELAMIL 1C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D11" sqref="D1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34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171</v>
      </c>
      <c r="D10" s="239"/>
      <c r="E10" s="239"/>
      <c r="F10" s="240" t="s">
        <v>166</v>
      </c>
      <c r="G10" s="271">
        <v>45986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170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172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v>65000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2</v>
      </c>
      <c r="C21" s="333" t="s">
        <v>175</v>
      </c>
      <c r="D21" s="323">
        <v>0.8</v>
      </c>
      <c r="E21" s="323">
        <v>0.30199999999999999</v>
      </c>
      <c r="F21" s="322" t="s">
        <v>176</v>
      </c>
      <c r="G21" s="324">
        <v>20274</v>
      </c>
      <c r="H21" s="324">
        <f>G21*B21</f>
        <v>40548</v>
      </c>
      <c r="I21" s="297"/>
      <c r="J21" s="260"/>
      <c r="K21" s="44"/>
      <c r="L21" s="335">
        <f>B21</f>
        <v>2</v>
      </c>
      <c r="M21" s="336">
        <f>D21+M$19</f>
        <v>0.88</v>
      </c>
      <c r="N21" s="336">
        <f>E21+$N$19</f>
        <v>0.30199999999999999</v>
      </c>
      <c r="O21" s="256">
        <f t="shared" ref="O21" si="1">M21*N21</f>
        <v>0.26576</v>
      </c>
      <c r="P21" s="254">
        <f t="shared" ref="P21" si="2">O21*L21</f>
        <v>0.53151999999999999</v>
      </c>
      <c r="Q21" s="247">
        <f t="shared" ref="Q21" si="3">Q$20*O21</f>
        <v>17274.400000000001</v>
      </c>
      <c r="R21" s="296">
        <f t="shared" ref="R21" si="4">Q21+R$20</f>
        <v>20274.400000000001</v>
      </c>
      <c r="S21" s="284">
        <f>M21*L21</f>
        <v>1.76</v>
      </c>
      <c r="T21" s="43">
        <f>N21*2*L21*2</f>
        <v>2.4159999999999999</v>
      </c>
      <c r="U21" s="9"/>
      <c r="X21" s="4"/>
    </row>
    <row r="22" spans="1:25" ht="17.399999999999999" x14ac:dyDescent="0.3">
      <c r="B22" s="322">
        <v>1</v>
      </c>
      <c r="C22" s="333" t="s">
        <v>175</v>
      </c>
      <c r="D22" s="323">
        <v>0.3</v>
      </c>
      <c r="E22" s="323">
        <v>0.19</v>
      </c>
      <c r="F22" s="322" t="s">
        <v>176</v>
      </c>
      <c r="G22" s="324">
        <v>7693</v>
      </c>
      <c r="H22" s="324">
        <f t="shared" ref="H22" si="5">G22*B22</f>
        <v>7693</v>
      </c>
      <c r="I22" s="297"/>
      <c r="J22" s="260"/>
      <c r="K22" s="44"/>
      <c r="L22" s="44">
        <f t="shared" ref="L22" si="6">B22</f>
        <v>1</v>
      </c>
      <c r="M22" s="36">
        <f t="shared" ref="M22" si="7">D22+M$19</f>
        <v>0.38</v>
      </c>
      <c r="N22" s="36">
        <f t="shared" ref="N22" si="8">E22+$N$19</f>
        <v>0.19</v>
      </c>
      <c r="O22" s="256">
        <f t="shared" ref="O22" si="9">M22*N22</f>
        <v>7.22E-2</v>
      </c>
      <c r="P22" s="254">
        <f t="shared" ref="P22" si="10">O22*L22</f>
        <v>7.22E-2</v>
      </c>
      <c r="Q22" s="247">
        <f t="shared" ref="Q22" si="11">Q$20*O22</f>
        <v>4693</v>
      </c>
      <c r="R22" s="296">
        <f t="shared" ref="R22" si="12">Q22+R$20</f>
        <v>7693</v>
      </c>
      <c r="S22" s="284">
        <f t="shared" ref="S22" si="13">M22*L22</f>
        <v>0.38</v>
      </c>
      <c r="T22" s="43">
        <f t="shared" ref="T22" si="14">N22*2*L22*2</f>
        <v>0.76</v>
      </c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48241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3.1760000000000002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9165.7900000000009</v>
      </c>
      <c r="I26" s="299"/>
      <c r="J26" s="260"/>
      <c r="K26" s="315"/>
      <c r="L26" s="44"/>
      <c r="M26" s="36">
        <f>SUM(M21:M22)</f>
        <v>1.26</v>
      </c>
      <c r="N26" s="12"/>
      <c r="O26" s="12"/>
      <c r="P26" s="248">
        <f>SUM(P21:P24)</f>
        <v>0.60372000000000003</v>
      </c>
      <c r="Q26" s="14"/>
      <c r="R26" s="12"/>
      <c r="S26" s="235">
        <f>SUM(S21:S25)</f>
        <v>2.14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57406.79</v>
      </c>
      <c r="I27" s="299"/>
      <c r="J27" s="260"/>
      <c r="K27" s="315"/>
      <c r="L27" s="44"/>
      <c r="M27" s="36"/>
      <c r="N27" s="12"/>
      <c r="O27" s="12"/>
      <c r="P27" s="248">
        <f>P26</f>
        <v>0.60372000000000003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0.12074400000000002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0.724464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0.724464</v>
      </c>
      <c r="N31" s="12">
        <v>3500</v>
      </c>
      <c r="O31" s="12">
        <f t="shared" ref="O31:O36" si="15">M31*N31</f>
        <v>2535.6239999999998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0.8</v>
      </c>
      <c r="N32" s="12">
        <v>23500</v>
      </c>
      <c r="O32" s="12">
        <f t="shared" si="15"/>
        <v>18800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2</v>
      </c>
      <c r="N34" s="245">
        <v>35000</v>
      </c>
      <c r="O34" s="12">
        <f t="shared" si="15"/>
        <v>70000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3.91</v>
      </c>
      <c r="N36" s="12">
        <v>1500</v>
      </c>
      <c r="O36" s="12">
        <f t="shared" si="15"/>
        <v>5865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97200.623999999996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204121.31039999999</v>
      </c>
      <c r="P38" s="14" t="s">
        <v>138</v>
      </c>
      <c r="Q38" s="14"/>
      <c r="R38" s="37">
        <f>P29/R37</f>
        <v>0.19533649698015529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338105.9272510435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45986</v>
      </c>
    </row>
    <row r="6" spans="1:31" ht="16.2" thickBot="1" x14ac:dyDescent="0.35">
      <c r="B6" s="137" t="s">
        <v>2</v>
      </c>
      <c r="C6" s="136" t="str">
        <f>'2229'!C10</f>
        <v>MUEBLES FORD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11772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2977.0424734299522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48241</v>
      </c>
      <c r="E11" s="129">
        <f>D11*0.19</f>
        <v>9165.7900000000009</v>
      </c>
      <c r="F11" s="128">
        <f>E11+D11</f>
        <v>57406.79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108967.04247342996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41314.534275362319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90967.04247342996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6926.465724637681</v>
      </c>
      <c r="E13" s="218">
        <f>(D11/D12)-1</f>
        <v>0.16765203447466281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81967.04247342996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42967.042473429952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78662.873260289853</v>
      </c>
      <c r="C15" s="210" t="s">
        <v>121</v>
      </c>
      <c r="D15" s="211">
        <v>0.6</v>
      </c>
      <c r="E15" s="212">
        <f>(100%+D15)*D12</f>
        <v>66103.254840579713</v>
      </c>
      <c r="F15" s="213">
        <f>E15-D12</f>
        <v>24788.720565217394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42967.042473429952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82967.04247342996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18800</v>
      </c>
      <c r="E19" s="120">
        <f>D19*0.19</f>
        <v>3572</v>
      </c>
      <c r="F19" s="117">
        <f>SUM(D19:E19)</f>
        <v>22372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2535.6239999999998</v>
      </c>
      <c r="E20" s="118">
        <f>D20*0.19</f>
        <v>481.76855999999998</v>
      </c>
      <c r="F20" s="117">
        <f>SUM(D20:E20)</f>
        <v>3017.3925599999998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21335.624</v>
      </c>
      <c r="E21" s="113">
        <f>SUM(E18:E20)</f>
        <v>4053.76856</v>
      </c>
      <c r="F21" s="112">
        <f>SUM(F18:F20)</f>
        <v>25389.39256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5112.0214400000004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48241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21335.624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6926.465724637681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6926.465724637681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2025-11-25T19:43:04Z</dcterms:modified>
</cp:coreProperties>
</file>