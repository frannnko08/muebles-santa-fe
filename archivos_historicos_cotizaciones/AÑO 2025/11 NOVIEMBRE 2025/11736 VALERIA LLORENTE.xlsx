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6EEC6CAD-E92F-4B4B-9941-7A768FDF0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M22" i="1"/>
  <c r="N22" i="1"/>
  <c r="M23" i="1"/>
  <c r="N23" i="1"/>
  <c r="O23" i="1" s="1"/>
  <c r="P23" i="1" s="1"/>
  <c r="S23" i="1"/>
  <c r="J41" i="1"/>
  <c r="J15" i="1"/>
  <c r="J10" i="1"/>
  <c r="O22" i="1" l="1"/>
  <c r="P22" i="1" s="1"/>
  <c r="S22" i="1"/>
  <c r="N21" i="1"/>
  <c r="M21" i="1" l="1"/>
  <c r="S21" i="1" s="1"/>
  <c r="M28" i="1" l="1"/>
  <c r="T21" i="1"/>
  <c r="T27" i="1" s="1"/>
  <c r="S29" i="1"/>
  <c r="O21" i="1"/>
  <c r="P21" i="1" s="1"/>
  <c r="P28" i="1" s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 l="1"/>
  <c r="H27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<sst xmlns="http://schemas.openxmlformats.org/spreadsheetml/2006/main" count="233" uniqueCount="177">
  <si>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</si>
  <si>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</si>
  <si>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</si>
  <si>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</si>
  <si>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</si>
  <si>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</si>
  <si>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</si>
  <si>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</si>
  <si>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</si>
  <si>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</si>
  <si>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</si>
  <si>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</si>
  <si>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</si>
  <si>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</si>
  <si>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</si>
  <si>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</si>
  <si>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</si>
  <si>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</si>
  <si>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</si>
  <si>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</si>
  <si>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</si>
  <si>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</si>
  <si>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</si>
  <si>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</si>
  <si>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</si>
  <si>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</si>
  <si>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</si>
  <si>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</si>
  <si>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</si>
  <si>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</si>
  <si>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</si>
  <si>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</si>
  <si>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</si>
  <si>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</si>
  <si>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</si>
  <si>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</si>
  <si>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</si>
  <si>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</si>
  <si>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</si>
  <si>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</si>
  <si>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</si>
  <si>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</si>
  <si>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</si>
  <si>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</si>
  <si>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</si>
  <si>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</si>
  <si>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</si>
  <si>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</si>
  <si>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</si>
  <si>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</si>
  <si>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</si>
  <si>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</si>
  <si>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</si>
  <si>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</si>
  <si>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</si>
  <si>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</si>
  <si>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</si>
  <si>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</si>
  <si>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</si>
  <si>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</si>
  <si>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</si>
  <si>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</si>
  <si>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</si>
  <si>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</si>
  <si>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</si>
  <si>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</si>
  <si>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</si>
  <si>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</si>
  <si>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</si>
  <si>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</si>
  <si>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</si>
  <si>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</si>
  <si>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</si>
  <si>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</si>
  <si>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</si>
  <si>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</si>
  <si>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</si>
  <si>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</si>
  <si>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</si>
  <si>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</si>
  <si>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</si>
  <si>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</si>
  <si>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</si>
  <si>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</si>
  <si>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</si>
  <si>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</si>
  <si>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</si>
  <si>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</si>
  <si>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</si>
  <si>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</si>
  <si>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</si>
  <si>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</si>
  <si>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</si>
  <si>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</si>
  <si>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</si>
  <si>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</si>
  <si>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</si>
  <si>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</si>
  <si>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</si>
  <si>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</si>
  <si>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</si>
  <si>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</si>
  <si>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</si>
  <si>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</si>
  <si>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</si>
  <si>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</si>
  <si>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</si>
  <si>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</si>
  <si>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</si>
  <si>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</si>
  <si>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</si>
  <si>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</si>
  <si>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</si>
  <si>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</si>
  <si>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</si>
  <si>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</si>
  <si>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</si>
  <si>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</si>
  <si>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</si>
  <si>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</si>
  <si>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</si>
  <si>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</si>
  <si>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</si>
  <si>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</si>
  <si>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</si>
  <si>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</si>
  <si>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</si>
  <si>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</si>
  <si>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</si>
  <si>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</si>
  <si>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</si>
  <si>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</si>
  <si>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</si>
  <si>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</si>
  <si>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</si>
  <si>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</si>
  <si>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</si>
  <si>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</si>
  <si>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</si>
  <si>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</si>
  <si>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</si>
  <si>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</si>
  <si>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</si>
  <si>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</si>
  <si>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</si>
  <si>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</si>
  <si>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</si>
  <si>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</si>
  <si>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</si>
  <si>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</si>
  <si>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</si>
  <si>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</si>
  <si>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</si>
  <si>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</si>
  <si>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</si>
  <si>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</si>
  <si>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</si>
  <si>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</si>
  <si>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</si>
  <si>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</si>
  <si>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</si>
  <si>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</si>
  <si>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</si>
  <si>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</si>
  <si>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</si>
  <si>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</si>
  <si>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</si>
  <si>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</si>
  <si>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</si>
  <si>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ARREGLO PUERTA DAÑADA</t>
  </si>
  <si>
    <t>CAMBIO DE BISAGRAS</t>
  </si>
  <si>
    <t>ENCHAPE CORNISA</t>
  </si>
  <si>
    <t>GALACIA GRAFITO MT</t>
  </si>
  <si>
    <t>1 DIAS HABILES</t>
  </si>
  <si>
    <t>N° 11736</t>
  </si>
  <si>
    <t>VALERIA LLORENTE</t>
  </si>
  <si>
    <t>5699817 0227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</si>
</sst>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4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175</v>
      </c>
      <c r="D10" s="243"/>
      <c r="E10" s="243"/>
      <c r="F10" s="244" t="s">
        <v>0</v>
      </c>
      <c r="G10" s="276">
        <v>45966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176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 t="e">
        <f>O41</f>
        <v>#DIV/0!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169</v>
      </c>
      <c r="D21" s="332"/>
      <c r="E21" s="332"/>
      <c r="F21" s="329"/>
      <c r="G21" s="330">
        <v>15000</v>
      </c>
      <c r="H21" s="330">
        <f>G21*B21</f>
        <v>15000</v>
      </c>
      <c r="I21" s="319"/>
      <c r="J21" s="265"/>
      <c r="K21" s="47"/>
      <c r="L21" s="331">
        <v>1</v>
      </c>
      <c r="M21" s="39">
        <f>D21+M$19</f>
        <v>0.08</v>
      </c>
      <c r="N21" s="39">
        <f>E21+$N$19</f>
        <v>0</v>
      </c>
      <c r="O21" s="261">
        <f t="shared" ref="O21" si="1">M21*N21</f>
        <v>0</v>
      </c>
      <c r="P21" s="259">
        <f t="shared" ref="P21" si="2">O21*L21</f>
        <v>0</v>
      </c>
      <c r="Q21" s="252" t="e">
        <f t="shared" ref="Q21" si="3">Q$20*O21</f>
        <v>#DIV/0!</v>
      </c>
      <c r="R21" s="318" t="e">
        <f t="shared" ref="R21" si="4">Q21+R$20</f>
        <v>#DIV/0!</v>
      </c>
      <c r="S21" s="297">
        <f>M21*L21</f>
        <v>0.08</v>
      </c>
      <c r="T21" s="46">
        <f>M21*L21</f>
        <v>0.08</v>
      </c>
      <c r="U21" s="9"/>
      <c r="X21" s="4"/>
    </row>
    <row r="22" spans="2:25" ht="17.399999999999999" x14ac:dyDescent="0.3">
      <c r="B22" s="329">
        <v>8</v>
      </c>
      <c r="C22" s="329" t="s">
        <v>170</v>
      </c>
      <c r="D22" s="332"/>
      <c r="E22" s="332"/>
      <c r="F22" s="329"/>
      <c r="G22" s="330">
        <v>3000</v>
      </c>
      <c r="H22" s="330">
        <f t="shared" ref="H22:H23" si="5">G22*B22</f>
        <v>24000</v>
      </c>
      <c r="I22" s="319"/>
      <c r="J22" s="265"/>
      <c r="K22" s="47"/>
      <c r="L22" s="331">
        <v>1</v>
      </c>
      <c r="M22" s="39">
        <f t="shared" ref="M22:M23" si="6">D22+M$19</f>
        <v>0.08</v>
      </c>
      <c r="N22" s="39">
        <f t="shared" ref="N22:N23" si="7">E22+$N$19</f>
        <v>0</v>
      </c>
      <c r="O22" s="261">
        <f t="shared" ref="O22:O23" si="8">M22*N22</f>
        <v>0</v>
      </c>
      <c r="P22" s="259">
        <f t="shared" ref="P22:P23" si="9">O22*L22</f>
        <v>0</v>
      </c>
      <c r="Q22" s="252" t="e">
        <f t="shared" ref="Q22:Q23" si="10">Q$20*O22</f>
        <v>#DIV/0!</v>
      </c>
      <c r="R22" s="318" t="e">
        <f t="shared" ref="R22:R23" si="11">Q22+R$20</f>
        <v>#DIV/0!</v>
      </c>
      <c r="S22" s="297">
        <f t="shared" ref="S22:S23" si="12">M22*L22</f>
        <v>0.08</v>
      </c>
      <c r="T22" s="46"/>
      <c r="U22" s="9"/>
      <c r="X22" s="4"/>
    </row>
    <row r="23" spans="2:25" ht="17.399999999999999" x14ac:dyDescent="0.3">
      <c r="B23" s="329">
        <v>1</v>
      </c>
      <c r="C23" s="329" t="s">
        <v>171</v>
      </c>
      <c r="D23" s="332"/>
      <c r="E23" s="332"/>
      <c r="F23" s="329" t="s">
        <v>172</v>
      </c>
      <c r="G23" s="330">
        <v>81000</v>
      </c>
      <c r="H23" s="330">
        <f t="shared" si="5"/>
        <v>81000</v>
      </c>
      <c r="I23" s="319"/>
      <c r="J23" s="265"/>
      <c r="K23" s="47"/>
      <c r="L23" s="331">
        <v>1</v>
      </c>
      <c r="M23" s="39">
        <f t="shared" si="6"/>
        <v>0.08</v>
      </c>
      <c r="N23" s="39">
        <f t="shared" si="7"/>
        <v>0</v>
      </c>
      <c r="O23" s="261">
        <f t="shared" si="8"/>
        <v>0</v>
      </c>
      <c r="P23" s="259">
        <f t="shared" si="9"/>
        <v>0</v>
      </c>
      <c r="Q23" s="252" t="e">
        <f t="shared" si="10"/>
        <v>#DIV/0!</v>
      </c>
      <c r="R23" s="318" t="e">
        <f t="shared" si="11"/>
        <v>#DIV/0!</v>
      </c>
      <c r="S23" s="297">
        <f t="shared" si="12"/>
        <v>0.08</v>
      </c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331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9"/>
      <c r="H25" s="319"/>
      <c r="I25" s="319"/>
      <c r="J25" s="265"/>
      <c r="K25" s="47"/>
      <c r="L25" s="47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120000</v>
      </c>
      <c r="I27" s="321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0.08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/>
      <c r="I28" s="321"/>
      <c r="J28" s="265"/>
      <c r="K28" s="47"/>
      <c r="L28" s="47"/>
      <c r="M28" s="39">
        <f>SUM(M21:M27)</f>
        <v>0.24</v>
      </c>
      <c r="N28" s="12"/>
      <c r="O28" s="12"/>
      <c r="P28" s="253">
        <f>SUM(P21:P26)</f>
        <v>0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120000</v>
      </c>
      <c r="I29" s="321"/>
      <c r="J29" s="265"/>
      <c r="K29" s="47"/>
      <c r="L29" s="47"/>
      <c r="M29" s="39"/>
      <c r="N29" s="12"/>
      <c r="O29" s="12"/>
      <c r="P29" s="253">
        <f>P28</f>
        <v>0</v>
      </c>
      <c r="Q29" s="14"/>
      <c r="R29" s="12"/>
      <c r="S29" s="239">
        <f>SUM(S21:S28)</f>
        <v>0.24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</v>
      </c>
      <c r="Q30" s="39" t="s">
        <v>130</v>
      </c>
      <c r="R30" s="42"/>
      <c r="S30" s="240">
        <f>S29+T27</f>
        <v>0.32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0</v>
      </c>
      <c r="Q31" s="14"/>
      <c r="R31" s="14"/>
      <c r="S31" s="238">
        <f>S30*20%</f>
        <v>6.4000000000000001E-2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0.38400000000000001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0</v>
      </c>
      <c r="N33" s="12">
        <v>3500</v>
      </c>
      <c r="O33" s="12">
        <f t="shared" ref="O33:O38" si="13">M33*N33</f>
        <v>0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23500</v>
      </c>
      <c r="O34" s="12">
        <f t="shared" si="13"/>
        <v>23500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35000</v>
      </c>
      <c r="O35" s="12">
        <f t="shared" si="13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2</v>
      </c>
      <c r="N36" s="250">
        <v>39100</v>
      </c>
      <c r="O36" s="12">
        <f t="shared" si="13"/>
        <v>78200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3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 t="s">
        <v>168</v>
      </c>
      <c r="K38" s="260">
        <v>38300</v>
      </c>
      <c r="L38" s="250"/>
      <c r="M38" s="266">
        <v>5.84</v>
      </c>
      <c r="N38" s="12">
        <v>1500</v>
      </c>
      <c r="O38" s="12">
        <f t="shared" si="13"/>
        <v>8760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J39" s="230" t="s">
        <v>167</v>
      </c>
      <c r="K39" s="260">
        <v>31000</v>
      </c>
      <c r="L39" s="250"/>
      <c r="M39" s="14"/>
      <c r="N39" s="12"/>
      <c r="O39" s="12">
        <f>SUM(O33:O38)</f>
        <v>110460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J40" s="230">
        <v>49560</v>
      </c>
      <c r="L40" s="250"/>
      <c r="M40" s="254" t="s">
        <v>33</v>
      </c>
      <c r="N40" s="12"/>
      <c r="O40" s="255">
        <f>O39*2.35</f>
        <v>259581</v>
      </c>
      <c r="P40" s="14" t="s">
        <v>140</v>
      </c>
      <c r="Q40" s="14"/>
      <c r="R40" s="40">
        <f>P31/R39</f>
        <v>0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f>J40/1.19</f>
        <v>41647.058823529413</v>
      </c>
      <c r="L41" s="250"/>
      <c r="M41" s="14"/>
      <c r="N41" s="12"/>
      <c r="O41" s="12" t="e">
        <f>O40/P29</f>
        <v>#DIV/0!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2.35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45966</v>
      </c>
    </row>
    <row r="6" spans="2:31" ht="16.2" thickBot="1" x14ac:dyDescent="0.35">
      <c r="B6" s="140" t="s">
        <v>2</v>
      </c>
      <c r="C6" s="139" t="str">
        <f>'2229'!C10</f>
        <v>VALERIA LLORENTE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11736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-5333.1250334541064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120000</v>
      </c>
      <c r="E11" s="132">
        <f>D11*0.19</f>
        <v>22800</v>
      </c>
      <c r="F11" s="131">
        <f>E11+D11</f>
        <v>142800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100656.87496654589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53334.090787439614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82656.874966545889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66665.909212560393</v>
      </c>
      <c r="E13" s="221">
        <f>(D11/D12)-1</f>
        <v>1.2499680453587194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73656.874966545889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34656.874966545896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88001.249799275363</v>
      </c>
      <c r="F15" s="216">
        <f>E15-D12</f>
        <v>34667.159011835749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34656.874966545896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74656.874966545889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23500</v>
      </c>
      <c r="E21" s="116">
        <f>SUM(E18:E20)</f>
        <v>4465</v>
      </c>
      <c r="F21" s="115">
        <f>SUM(F18:F20)</f>
        <v>27965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18335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23500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66665.909212560393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66665.909212560393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2025-11-06T01:48:13Z</dcterms:modified>
</cp:coreProperties>
</file>