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141AF4EC-BC84-43B1-96CB-036E2F3A6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O39" i="1"/>
  <c r="P22" i="1"/>
  <c r="O22" i="1"/>
  <c r="P21" i="1"/>
  <c r="O21" i="1"/>
  <c r="N22" i="1"/>
  <c r="N21" i="1"/>
  <c r="L22" i="1"/>
  <c r="M22" i="1"/>
  <c r="M23" i="1"/>
  <c r="S23" i="1" s="1"/>
  <c r="M21" i="1"/>
  <c r="L21" i="1"/>
  <c r="N23" i="1"/>
  <c r="M27" i="1" l="1"/>
  <c r="T23" i="1"/>
  <c r="O23" i="1"/>
  <c r="P23" i="1" s="1"/>
  <c r="J36" i="1"/>
  <c r="S27" i="1" l="1"/>
  <c r="T21" i="1"/>
  <c r="T26" i="1" s="1"/>
  <c r="P27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1" i="1"/>
  <c r="Q23" i="1"/>
  <c r="R23" i="1" s="1"/>
  <c r="H23" i="1" s="1"/>
  <c r="H26" i="1" s="1"/>
  <c r="O41" i="1"/>
  <c r="F15" i="3" l="1"/>
  <c r="H27" i="1" l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<sst xmlns="http://schemas.openxmlformats.org/spreadsheetml/2006/main" count="233" uniqueCount="176">
  <si>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</si>
  <si>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</si>
  <si>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</si>
  <si>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</si>
  <si>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</si>
  <si>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</si>
  <si>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</si>
  <si>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</si>
  <si>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</si>
  <si>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</si>
  <si>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</si>
  <si>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</si>
  <si>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</si>
  <si>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</si>
  <si>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</si>
  <si>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</si>
  <si>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</si>
  <si>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</si>
  <si>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</si>
  <si>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</si>
  <si>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</si>
  <si>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</si>
  <si>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</si>
  <si>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</si>
  <si>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</si>
  <si>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</si>
  <si>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</si>
  <si>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</si>
  <si>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</si>
  <si>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</si>
  <si>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</si>
  <si>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</si>
  <si>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</si>
  <si>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</si>
  <si>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</si>
  <si>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</si>
  <si>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</si>
  <si>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</si>
  <si>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</si>
  <si>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</si>
  <si>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</si>
  <si>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</si>
  <si>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</si>
  <si>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</si>
  <si>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</si>
  <si>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</si>
  <si>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</si>
  <si>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</si>
  <si>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</si>
  <si>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</si>
  <si>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</si>
  <si>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</si>
  <si>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</si>
  <si>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</si>
  <si>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</si>
  <si>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</si>
  <si>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</si>
  <si>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</si>
  <si>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</si>
  <si>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</si>
  <si>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</si>
  <si>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</si>
  <si>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</si>
  <si>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</si>
  <si>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</si>
  <si>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</si>
  <si>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</si>
  <si>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</si>
  <si>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</si>
  <si>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</si>
  <si>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</si>
  <si>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</si>
  <si>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</si>
  <si>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</si>
  <si>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</si>
  <si>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</si>
  <si>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</si>
  <si>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</si>
  <si>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</si>
  <si>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</si>
  <si>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</si>
  <si>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</si>
  <si>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</si>
  <si>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</si>
  <si>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</si>
  <si>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</si>
  <si>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</si>
  <si>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</si>
  <si>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</si>
  <si>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</si>
  <si>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</si>
  <si>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</si>
  <si>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</si>
  <si>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</si>
  <si>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</si>
  <si>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</si>
  <si>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</si>
  <si>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</si>
  <si>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</si>
  <si>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</si>
  <si>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</si>
  <si>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</si>
  <si>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</si>
  <si>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</si>
  <si>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</si>
  <si>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</si>
  <si>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</si>
  <si>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</si>
  <si>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</si>
  <si>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</si>
  <si>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</si>
  <si>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</si>
  <si>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</si>
  <si>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</si>
  <si>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</si>
  <si>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</si>
  <si>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</si>
  <si>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</si>
  <si>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</si>
  <si>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</si>
  <si>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</si>
  <si>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</si>
  <si>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</si>
  <si>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</si>
  <si>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</si>
  <si>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</si>
  <si>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</si>
  <si>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</si>
  <si>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</si>
  <si>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</si>
  <si>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</si>
  <si>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</si>
  <si>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</si>
  <si>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</si>
  <si>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</si>
  <si>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</si>
  <si>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</si>
  <si>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</si>
  <si>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</si>
  <si>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</si>
  <si>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</si>
  <si>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</si>
  <si>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</si>
  <si>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</si>
  <si>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</si>
  <si>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</si>
  <si>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</si>
  <si>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</si>
  <si>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</si>
  <si>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</si>
  <si>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</si>
  <si>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</si>
  <si>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</si>
  <si>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</si>
  <si>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</si>
  <si>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</si>
  <si>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</si>
  <si>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</si>
  <si>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</si>
  <si>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</si>
  <si>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</si>
  <si>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</si>
  <si>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</si>
  <si>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</si>
  <si>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</si>
  <si>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</si>
  <si>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</si>
  <si>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</si>
  <si>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</si>
  <si>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</si>
  <si>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N° 11749</t>
  </si>
  <si>
    <t>LUIS QUIROGA</t>
  </si>
  <si>
    <t>+56 9 65485378</t>
  </si>
  <si>
    <t>CORTE 45°</t>
  </si>
  <si>
    <t>NEOLUNA GRANITE BRILLO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</si>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</sst>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LARGO.</a:t>
          </a:r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7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124</v>
      </c>
      <c r="C8" s="328"/>
      <c r="D8" s="33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158</v>
      </c>
      <c r="C10" s="332" t="s">
        <v>171</v>
      </c>
      <c r="D10" s="239"/>
      <c r="E10" s="239"/>
      <c r="F10" s="240" t="s">
        <v>165</v>
      </c>
      <c r="G10" s="271">
        <v>45973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164</v>
      </c>
      <c r="G11" s="303" t="s">
        <v>175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4"/>
      <c r="D12" s="305"/>
      <c r="E12" s="305"/>
      <c r="F12" s="305" t="s">
        <v>125</v>
      </c>
      <c r="G12" s="306" t="s">
        <v>132</v>
      </c>
      <c r="H12" s="243"/>
      <c r="Q12" s="19"/>
      <c r="R12" s="22"/>
      <c r="S12" s="19"/>
    </row>
    <row r="13" spans="2:24" x14ac:dyDescent="0.3">
      <c r="B13" s="280" t="s">
        <v>142</v>
      </c>
      <c r="F13" t="s">
        <v>163</v>
      </c>
      <c r="G13" s="307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31"/>
      <c r="D14" s="305"/>
      <c r="E14" s="305"/>
      <c r="F14" s="305" t="s">
        <v>133</v>
      </c>
      <c r="G14" s="308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172</v>
      </c>
      <c r="D15" s="310"/>
      <c r="F15" t="s">
        <v>166</v>
      </c>
      <c r="G15" s="311" t="s">
        <v>132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127</v>
      </c>
      <c r="G16" s="314" t="s">
        <v>159</v>
      </c>
      <c r="H16" s="243"/>
    </row>
    <row r="17" spans="2:25" ht="15" thickBot="1" x14ac:dyDescent="0.35">
      <c r="B17" s="292" t="s">
        <v>13</v>
      </c>
      <c r="C17" s="293" t="s">
        <v>168</v>
      </c>
      <c r="D17" s="294"/>
      <c r="E17" s="116"/>
      <c r="F17" s="335" t="s">
        <v>161</v>
      </c>
      <c r="G17" s="335"/>
      <c r="H17" s="336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7" t="s">
        <v>94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129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O40</f>
        <v>76396.75675675676</v>
      </c>
      <c r="R20" s="253">
        <v>3000</v>
      </c>
      <c r="S20" s="35"/>
      <c r="T20" s="14" t="s">
        <v>126</v>
      </c>
      <c r="U20" s="9"/>
      <c r="X20" s="4"/>
    </row>
    <row r="21" spans="2:25" ht="17.399999999999999" x14ac:dyDescent="0.3">
      <c r="B21" s="322">
        <v>1</v>
      </c>
      <c r="C21" s="333" t="s">
        <v>169</v>
      </c>
      <c r="D21" s="323">
        <v>2.14</v>
      </c>
      <c r="E21" s="323">
        <v>0.55000000000000004</v>
      </c>
      <c r="F21" s="322" t="s">
        <v>174</v>
      </c>
      <c r="G21" s="324">
        <v>93280</v>
      </c>
      <c r="H21" s="324">
        <f>G21*B21</f>
        <v>93280</v>
      </c>
      <c r="I21" s="297"/>
      <c r="J21" s="260"/>
      <c r="K21" s="44"/>
      <c r="L21" s="44">
        <f>B21</f>
        <v>1</v>
      </c>
      <c r="M21" s="36">
        <f>D21+M$19</f>
        <v>2.2200000000000002</v>
      </c>
      <c r="N21" s="36">
        <f>E21</f>
        <v>0.55000000000000004</v>
      </c>
      <c r="O21" s="256">
        <f t="shared" ref="O21:O23" si="1">M21*N21</f>
        <v>1.2210000000000003</v>
      </c>
      <c r="P21" s="254">
        <f t="shared" ref="P21:P23" si="2">O21*L21</f>
        <v>1.2210000000000003</v>
      </c>
      <c r="Q21" s="247">
        <f t="shared" ref="Q21:Q23" si="3">Q$20*O21</f>
        <v>93280.440000000031</v>
      </c>
      <c r="R21" s="296"/>
      <c r="S21" s="284"/>
      <c r="T21" s="43">
        <f>N21*2*L21*2</f>
        <v>2.2000000000000002</v>
      </c>
      <c r="U21" s="9"/>
      <c r="X21" s="4"/>
    </row>
    <row r="22" spans="2:25" ht="17.399999999999999" x14ac:dyDescent="0.3">
      <c r="B22" s="322">
        <v>1</v>
      </c>
      <c r="C22" s="333" t="s">
        <v>169</v>
      </c>
      <c r="D22" s="323">
        <v>1.4</v>
      </c>
      <c r="E22" s="323">
        <v>0.55000000000000004</v>
      </c>
      <c r="F22" s="322" t="s">
        <v>174</v>
      </c>
      <c r="G22" s="324">
        <v>62187</v>
      </c>
      <c r="H22" s="324">
        <f>G22*B22</f>
        <v>62187</v>
      </c>
      <c r="I22" s="297"/>
      <c r="J22" s="260"/>
      <c r="K22" s="44"/>
      <c r="L22" s="44">
        <f t="shared" ref="L22:L23" si="4">B22</f>
        <v>1</v>
      </c>
      <c r="M22" s="36">
        <f t="shared" ref="M22:M23" si="5">D22+M$19</f>
        <v>1.48</v>
      </c>
      <c r="N22" s="36">
        <f>E22</f>
        <v>0.55000000000000004</v>
      </c>
      <c r="O22" s="256">
        <f t="shared" si="1"/>
        <v>0.81400000000000006</v>
      </c>
      <c r="P22" s="254">
        <f t="shared" si="2"/>
        <v>0.81400000000000006</v>
      </c>
      <c r="Q22" s="247">
        <f t="shared" si="3"/>
        <v>62186.960000000006</v>
      </c>
      <c r="R22" s="296"/>
      <c r="S22" s="284"/>
      <c r="T22" s="43"/>
      <c r="U22" s="9"/>
      <c r="X22" s="4"/>
    </row>
    <row r="23" spans="2:25" ht="17.399999999999999" x14ac:dyDescent="0.3">
      <c r="B23" s="322">
        <v>2</v>
      </c>
      <c r="C23" s="333" t="s">
        <v>173</v>
      </c>
      <c r="D23" s="323"/>
      <c r="E23" s="323"/>
      <c r="F23" s="322"/>
      <c r="G23" s="324">
        <v>15000</v>
      </c>
      <c r="H23" s="324">
        <f t="shared" ref="H23" si="6">G23*B23</f>
        <v>30000</v>
      </c>
      <c r="I23" s="297"/>
      <c r="J23" s="260"/>
      <c r="K23" s="44"/>
      <c r="L23" s="44"/>
      <c r="M23" s="36">
        <f t="shared" si="5"/>
        <v>0.08</v>
      </c>
      <c r="N23" s="36">
        <f t="shared" ref="N23" si="7">E23+$N$19</f>
        <v>0</v>
      </c>
      <c r="O23" s="256">
        <f t="shared" ref="O23" si="8">M23*N23</f>
        <v>0</v>
      </c>
      <c r="P23" s="254">
        <f t="shared" ref="P23" si="9">O23*L23</f>
        <v>0</v>
      </c>
      <c r="Q23" s="247">
        <f t="shared" si="3"/>
        <v>0</v>
      </c>
      <c r="R23" s="296">
        <f t="shared" ref="R23" si="10">Q23+R$20</f>
        <v>3000</v>
      </c>
      <c r="S23" s="284">
        <f t="shared" ref="S23" si="11">M23*L23</f>
        <v>0</v>
      </c>
      <c r="T23" s="43">
        <f t="shared" ref="T23" si="12">N23*2*L23*2</f>
        <v>0</v>
      </c>
      <c r="U23" s="9"/>
      <c r="X23" s="4"/>
    </row>
    <row r="24" spans="2:25" ht="17.399999999999999" x14ac:dyDescent="0.3">
      <c r="B24" s="278"/>
      <c r="C24" s="334"/>
      <c r="D24" s="279"/>
      <c r="E24" s="279"/>
      <c r="F24" s="278"/>
      <c r="G24" s="297"/>
      <c r="H24" s="297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5">
        <f>SUM(H21:H25)</f>
        <v>185467</v>
      </c>
      <c r="I26" s="299"/>
      <c r="J26" s="260"/>
      <c r="K26" s="315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2.2000000000000002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50</v>
      </c>
      <c r="H27" s="326">
        <f>H26*19%</f>
        <v>35238.730000000003</v>
      </c>
      <c r="I27" s="299"/>
      <c r="J27" s="260"/>
      <c r="K27" s="315"/>
      <c r="L27" s="44"/>
      <c r="M27" s="36">
        <f>SUM(M21:M23)</f>
        <v>3.7800000000000002</v>
      </c>
      <c r="N27" s="12"/>
      <c r="O27" s="12"/>
      <c r="P27" s="248">
        <f>SUM(P21:P25)</f>
        <v>2.0350000000000001</v>
      </c>
      <c r="Q27" s="14"/>
      <c r="R27" s="12"/>
      <c r="S27" s="235">
        <f>SUM(S21:S26)</f>
        <v>0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27">
        <f>H26+H27</f>
        <v>220705.73</v>
      </c>
      <c r="I28" s="299"/>
      <c r="J28" s="260"/>
      <c r="K28" s="315"/>
      <c r="L28" s="44"/>
      <c r="M28" s="36"/>
      <c r="N28" s="12"/>
      <c r="O28" s="12"/>
      <c r="P28" s="248">
        <f>P27</f>
        <v>2.0350000000000001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5"/>
      <c r="L29" s="44"/>
      <c r="M29" s="14"/>
      <c r="N29" s="12"/>
      <c r="O29" s="12"/>
      <c r="P29" s="36">
        <f>P28*20%</f>
        <v>0.40700000000000003</v>
      </c>
      <c r="Q29" s="36" t="s">
        <v>128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2.4420000000000002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148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2.4420000000000002</v>
      </c>
      <c r="N32" s="12">
        <v>3500</v>
      </c>
      <c r="O32" s="12">
        <f t="shared" ref="O32:O37" si="13">M32*N32</f>
        <v>8547</v>
      </c>
      <c r="P32" s="14" t="s">
        <v>21</v>
      </c>
      <c r="Q32" s="14"/>
      <c r="R32" s="14"/>
      <c r="S32" s="237"/>
      <c r="T32" s="14"/>
      <c r="U32" s="288" t="s">
        <v>149</v>
      </c>
      <c r="V32" s="285">
        <v>3625</v>
      </c>
      <c r="W32" s="56" t="s">
        <v>150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0.7</v>
      </c>
      <c r="N33" s="12">
        <v>23500</v>
      </c>
      <c r="O33" s="12">
        <f t="shared" si="13"/>
        <v>16450</v>
      </c>
      <c r="P33" s="36" t="s">
        <v>167</v>
      </c>
      <c r="Q33" s="39"/>
      <c r="R33" s="14"/>
      <c r="S33" s="236"/>
      <c r="T33" s="14"/>
      <c r="U33" s="288"/>
      <c r="V33" s="56">
        <v>906.25</v>
      </c>
      <c r="W33" s="56" t="s">
        <v>151</v>
      </c>
      <c r="X33" s="290"/>
    </row>
    <row r="34" spans="1:24" s="226" customFormat="1" ht="17.399999999999999" x14ac:dyDescent="0.35">
      <c r="B34" s="21" t="s">
        <v>147</v>
      </c>
      <c r="J34" s="257"/>
      <c r="K34" s="228"/>
      <c r="L34" s="245"/>
      <c r="M34" s="14"/>
      <c r="N34" s="245">
        <v>80000</v>
      </c>
      <c r="O34" s="12">
        <f t="shared" si="13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152</v>
      </c>
      <c r="X34" s="56"/>
    </row>
    <row r="35" spans="1:24" s="226" customFormat="1" ht="17.399999999999999" x14ac:dyDescent="0.35">
      <c r="B35" s="21" t="s">
        <v>162</v>
      </c>
      <c r="C35"/>
      <c r="D35"/>
      <c r="E35"/>
      <c r="F35"/>
      <c r="J35" s="257">
        <v>46000</v>
      </c>
      <c r="K35" s="228"/>
      <c r="L35" s="245"/>
      <c r="M35" s="14">
        <v>2</v>
      </c>
      <c r="N35" s="245">
        <v>20000</v>
      </c>
      <c r="O35" s="12">
        <f t="shared" si="13"/>
        <v>40000</v>
      </c>
      <c r="P35" s="14" t="s">
        <v>138</v>
      </c>
      <c r="Q35" s="17"/>
      <c r="S35" s="234"/>
      <c r="T35" s="251"/>
      <c r="U35" s="56"/>
      <c r="V35" s="56">
        <f>V33+V34</f>
        <v>1087.5</v>
      </c>
      <c r="W35" s="290" t="s">
        <v>153</v>
      </c>
      <c r="X35" s="56"/>
    </row>
    <row r="36" spans="1:24" s="226" customFormat="1" ht="17.399999999999999" x14ac:dyDescent="0.35">
      <c r="B36" s="26" t="s">
        <v>123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3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>
        <v>3.78</v>
      </c>
      <c r="N37" s="12">
        <v>1500</v>
      </c>
      <c r="O37" s="12">
        <f t="shared" si="13"/>
        <v>5670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70667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/>
      <c r="N39" s="12"/>
      <c r="O39" s="250">
        <f>O38*2.2</f>
        <v>155467.40000000002</v>
      </c>
      <c r="P39" s="14" t="s">
        <v>137</v>
      </c>
      <c r="Q39" s="14"/>
      <c r="R39" s="37">
        <f>P30/R38</f>
        <v>0.65843399482312337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76396.75675675676</v>
      </c>
      <c r="P40" s="42" t="s">
        <v>24</v>
      </c>
      <c r="Q40" s="14"/>
      <c r="R40" s="14"/>
      <c r="S40"/>
      <c r="T40" s="234"/>
      <c r="U40" s="56" t="s">
        <v>154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2.2000000000000002</v>
      </c>
      <c r="P41" s="15"/>
      <c r="Q41"/>
      <c r="R41"/>
      <c r="S41"/>
      <c r="T41" s="234"/>
      <c r="U41" s="56" t="s">
        <v>156</v>
      </c>
      <c r="V41" s="286" t="s">
        <v>155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6"/>
      <c r="H42" s="320"/>
      <c r="L42" s="12"/>
      <c r="T42" s="234"/>
      <c r="U42" s="56" t="s">
        <v>157</v>
      </c>
      <c r="V42" s="287">
        <v>395.37</v>
      </c>
    </row>
    <row r="43" spans="1:24" s="226" customFormat="1" ht="17.399999999999999" x14ac:dyDescent="0.35">
      <c r="B43"/>
      <c r="C43" s="321"/>
      <c r="D43" s="279"/>
      <c r="E43" s="279"/>
      <c r="F43" s="278"/>
      <c r="G43" s="316"/>
      <c r="H43" s="320"/>
      <c r="L43" s="12"/>
      <c r="T43" s="234"/>
      <c r="U43" s="56" t="s">
        <v>152</v>
      </c>
      <c r="V43" s="56">
        <v>474.45</v>
      </c>
    </row>
    <row r="44" spans="1:24" ht="14.4" customHeight="1" x14ac:dyDescent="0.35">
      <c r="D44" s="279"/>
      <c r="E44" s="279"/>
      <c r="F44" s="278"/>
      <c r="G44" s="316"/>
      <c r="H44" s="320"/>
      <c r="L44" s="12"/>
      <c r="U44" s="56"/>
      <c r="V44" s="56"/>
    </row>
    <row r="45" spans="1:24" ht="17.399999999999999" x14ac:dyDescent="0.35">
      <c r="D45" s="279"/>
      <c r="E45" s="279"/>
      <c r="F45" s="278"/>
      <c r="G45" s="316"/>
      <c r="H45" s="320"/>
      <c r="L45" s="245"/>
    </row>
    <row r="46" spans="1:24" ht="17.399999999999999" x14ac:dyDescent="0.35">
      <c r="D46" s="279"/>
      <c r="E46" s="279"/>
      <c r="F46" s="278"/>
      <c r="G46" s="316"/>
      <c r="H46" s="320"/>
      <c r="L46" s="245"/>
      <c r="T46" s="265"/>
    </row>
    <row r="47" spans="1:24" ht="17.399999999999999" x14ac:dyDescent="0.35">
      <c r="D47" s="279"/>
      <c r="E47" s="279"/>
      <c r="F47" s="278"/>
      <c r="G47" s="316"/>
      <c r="H47" s="320"/>
      <c r="L47" s="245"/>
    </row>
    <row r="48" spans="1:24" ht="15" customHeight="1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6"/>
      <c r="H51" s="320"/>
    </row>
    <row r="52" spans="4:20" ht="17.399999999999999" x14ac:dyDescent="0.35">
      <c r="D52" s="279"/>
      <c r="E52" s="279"/>
      <c r="F52" s="278"/>
      <c r="G52" s="316"/>
      <c r="H52" s="320"/>
      <c r="O52" s="51"/>
      <c r="P52" s="51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144</v>
      </c>
    </row>
    <row r="76" spans="3:15" x14ac:dyDescent="0.3">
      <c r="C76" t="s">
        <v>143</v>
      </c>
    </row>
    <row r="79" spans="3:15" x14ac:dyDescent="0.3">
      <c r="C79" t="s">
        <v>143</v>
      </c>
    </row>
    <row r="156" spans="3:3" x14ac:dyDescent="0.3">
      <c r="C156" t="s">
        <v>143</v>
      </c>
    </row>
    <row r="157" spans="3:3" x14ac:dyDescent="0.3">
      <c r="C157" t="s">
        <v>145</v>
      </c>
    </row>
    <row r="158" spans="3:3" x14ac:dyDescent="0.3">
      <c r="C158" t="s">
        <v>146</v>
      </c>
    </row>
    <row r="583" spans="3:3" x14ac:dyDescent="0.3">
      <c r="C583" t="s">
        <v>143</v>
      </c>
    </row>
  </sheetData>
  <mergeCells count="2">
    <mergeCell ref="F17:H17"/>
    <mergeCell ref="B19:H19"/>
  </mergeCells>
  <phoneticPr fontId="33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45973</v>
      </c>
    </row>
    <row r="6" spans="1:31" ht="16.2" thickBot="1" x14ac:dyDescent="0.35">
      <c r="B6" s="137" t="s">
        <v>2</v>
      </c>
      <c r="C6" s="136" t="str">
        <f>'2229'!C10</f>
        <v>LUIS QUIROGA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97</v>
      </c>
      <c r="I7" s="342"/>
      <c r="J7" s="342"/>
      <c r="K7" s="343"/>
      <c r="N7" s="72"/>
      <c r="O7" s="340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11749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40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-18917.590593236713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'2229'!H26</f>
        <v>185467</v>
      </c>
      <c r="E11" s="129">
        <f>D11*0.19</f>
        <v>35238.730000000003</v>
      </c>
      <c r="F11" s="128">
        <f>E11+D11</f>
        <v>220705.73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87072.409406763283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44975.910275362316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69072.409406763283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140491.08972463768</v>
      </c>
      <c r="E13" s="218">
        <f>(D11/D12)-1</f>
        <v>3.1236964158032468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60072.409406763283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21072.409406763287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85634.133164289859</v>
      </c>
      <c r="C15" s="210" t="s">
        <v>120</v>
      </c>
      <c r="D15" s="211">
        <v>0.6</v>
      </c>
      <c r="E15" s="212">
        <f>(100%+D15)*D12</f>
        <v>71961.456440579714</v>
      </c>
      <c r="F15" s="213">
        <f>E15-D12</f>
        <v>26985.546165217398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21072.409406763287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61072.409406763283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16450</v>
      </c>
      <c r="E19" s="120">
        <f>D19*0.19</f>
        <v>3125.5</v>
      </c>
      <c r="F19" s="117">
        <f>SUM(D19:E19)</f>
        <v>19575.5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8547</v>
      </c>
      <c r="E20" s="118">
        <f>D20*0.19</f>
        <v>1623.93</v>
      </c>
      <c r="F20" s="117">
        <f>SUM(D20:E20)</f>
        <v>10170.93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24997</v>
      </c>
      <c r="E21" s="113">
        <f>SUM(E18:E20)</f>
        <v>4749.43</v>
      </c>
      <c r="F21" s="112">
        <f>SUM(F18:F20)</f>
        <v>29746.43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9944.1276666666672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2.1</v>
      </c>
      <c r="I37" s="201">
        <f>32609.69/9</f>
        <v>3623.2988888888885</v>
      </c>
      <c r="J37" s="184" t="s">
        <v>44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42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43</v>
      </c>
      <c r="K39" s="81">
        <f>I39*H39</f>
        <v>304.5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30489.300000000003</v>
      </c>
    </row>
    <row r="41" spans="2:16" ht="15" thickBot="1" x14ac:dyDescent="0.35">
      <c r="H41" s="344" t="s">
        <v>59</v>
      </c>
      <c r="I41" s="345"/>
      <c r="J41" s="345"/>
      <c r="K41" s="345"/>
      <c r="L41" s="345"/>
      <c r="M41" s="346"/>
    </row>
    <row r="42" spans="2:16" ht="15" thickBot="1" x14ac:dyDescent="0.35">
      <c r="B42" s="72" t="s">
        <v>45</v>
      </c>
      <c r="C42" s="72"/>
      <c r="D42" s="204">
        <f>E33</f>
        <v>2.1</v>
      </c>
      <c r="H42" s="74" t="s">
        <v>57</v>
      </c>
      <c r="I42" s="156" t="s">
        <v>56</v>
      </c>
      <c r="J42" s="157"/>
      <c r="K42" s="157"/>
      <c r="L42" s="158"/>
      <c r="M42" s="73">
        <f>D11</f>
        <v>185467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24997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140491.08972463768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140491.08972463768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2025-11-12T14:39:26Z</cp:lastPrinted>
  <dcterms:created xsi:type="dcterms:W3CDTF">2013-03-18T13:35:42Z</dcterms:created>
  <dcterms:modified xsi:type="dcterms:W3CDTF">2025-11-12T14:42:15Z</dcterms:modified>
</cp:coreProperties>
</file>