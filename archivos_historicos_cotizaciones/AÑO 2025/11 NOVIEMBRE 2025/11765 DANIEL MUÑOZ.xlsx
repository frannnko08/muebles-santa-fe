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C1FDA2E7-4014-4776-B34D-BE79FF9E9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M21" i="1"/>
  <c r="M25" i="1" s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H21" i="1" l="1"/>
  <c r="H24" i="1" l="1"/>
  <c r="H25" i="1" l="1"/>
  <c r="H26" i="1" s="1"/>
  <c r="D11" i="3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<sst xmlns="http://schemas.openxmlformats.org/spreadsheetml/2006/main" count="231" uniqueCount="176">
  <si>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</si>
  <si>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</si>
  <si>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</si>
  <si>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</si>
  <si>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</si>
  <si>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</si>
  <si>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</si>
  <si>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</si>
  <si>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</si>
  <si>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</si>
  <si>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</si>
  <si>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</si>
  <si>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</si>
  <si>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</si>
  <si>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</si>
  <si>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</si>
  <si>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</si>
  <si>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</si>
  <si>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</si>
  <si>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</si>
  <si>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</si>
  <si>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</si>
  <si>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</si>
  <si>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</si>
  <si>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</si>
  <si>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</si>
  <si>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</si>
  <si>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</si>
  <si>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</si>
  <si>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</si>
  <si>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</si>
  <si>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</si>
  <si>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</si>
  <si>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</si>
  <si>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</si>
  <si>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</si>
  <si>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</si>
  <si>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</si>
  <si>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</si>
  <si>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</si>
  <si>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</si>
  <si>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</si>
  <si>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</si>
  <si>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</si>
  <si>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</si>
  <si>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</si>
  <si>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</si>
  <si>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</si>
  <si>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</si>
  <si>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</si>
  <si>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</si>
  <si>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</si>
  <si>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</si>
  <si>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</si>
  <si>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</si>
  <si>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</si>
  <si>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</si>
  <si>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</si>
  <si>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</si>
  <si>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</si>
  <si>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</si>
  <si>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</si>
  <si>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</si>
  <si>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</si>
  <si>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</si>
  <si>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</si>
  <si>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</si>
  <si>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</si>
  <si>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</si>
  <si>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</si>
  <si>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</si>
  <si>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</si>
  <si>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</si>
  <si>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</si>
  <si>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</si>
  <si>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</si>
  <si>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</si>
  <si>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</si>
  <si>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</si>
  <si>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</si>
  <si>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</si>
  <si>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</si>
  <si>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</si>
  <si>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</si>
  <si>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</si>
  <si>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</si>
  <si>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</si>
  <si>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</si>
  <si>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</si>
  <si>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</si>
  <si>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</si>
  <si>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</si>
  <si>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</si>
  <si>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</si>
  <si>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</si>
  <si>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</si>
  <si>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</si>
  <si>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</si>
  <si>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</si>
  <si>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</si>
  <si>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</si>
  <si>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</si>
  <si>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</si>
  <si>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</si>
  <si>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</si>
  <si>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</si>
  <si>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</si>
  <si>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</si>
  <si>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</si>
  <si>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</si>
  <si>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</si>
  <si>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</si>
  <si>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</si>
  <si>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</si>
  <si>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</si>
  <si>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</si>
  <si>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</si>
  <si>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</si>
  <si>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</si>
  <si>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</si>
  <si>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</si>
  <si>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</si>
  <si>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</si>
  <si>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</si>
  <si>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</si>
  <si>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</si>
  <si>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</si>
  <si>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</si>
  <si>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</si>
  <si>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</si>
  <si>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</si>
  <si>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</si>
  <si>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</si>
  <si>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</si>
  <si>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</si>
  <si>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</si>
  <si>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</si>
  <si>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</si>
  <si>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</si>
  <si>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</si>
  <si>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</si>
  <si>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</si>
  <si>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</si>
  <si>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</si>
  <si>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</si>
  <si>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</si>
  <si>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</si>
  <si>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</si>
  <si>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</si>
  <si>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</si>
  <si>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</si>
  <si>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</si>
  <si>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</si>
  <si>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</si>
  <si>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</si>
  <si>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</si>
  <si>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</si>
  <si>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</si>
  <si>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</si>
  <si>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</si>
  <si>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</si>
  <si>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</si>
  <si>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</si>
  <si>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</si>
  <si>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</si>
  <si>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</si>
  <si>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</si>
  <si>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</si>
  <si>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</si>
  <si>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</si>
  <si>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CUBIERTA CON RESPALDO FRENTE 90°</t>
  </si>
  <si>
    <t>5 DIAS HABILES</t>
  </si>
  <si>
    <t>N° 11765</t>
  </si>
  <si>
    <t>DANIEL MUÑOZ</t>
  </si>
  <si>
    <t>+569 3730 8349</t>
  </si>
  <si>
    <t>FASHION GREY 21371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</si>
</sst>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baseline="0"/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173</v>
      </c>
      <c r="D10" s="239"/>
      <c r="E10" s="239"/>
      <c r="F10" s="240" t="s">
        <v>166</v>
      </c>
      <c r="G10" s="271">
        <v>45982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171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174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60814.936708860761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170</v>
      </c>
      <c r="D21" s="323">
        <v>1.5</v>
      </c>
      <c r="E21" s="323">
        <v>1</v>
      </c>
      <c r="F21" s="322" t="s">
        <v>175</v>
      </c>
      <c r="G21" s="324">
        <v>99088</v>
      </c>
      <c r="H21" s="324">
        <f>G21*B21</f>
        <v>99088</v>
      </c>
      <c r="I21" s="297"/>
      <c r="J21" s="260"/>
      <c r="K21" s="44"/>
      <c r="L21" s="44">
        <f>B21</f>
        <v>1</v>
      </c>
      <c r="M21" s="36">
        <f>D21+M$19</f>
        <v>1.58</v>
      </c>
      <c r="N21" s="36">
        <f>E21+$N$19</f>
        <v>1</v>
      </c>
      <c r="O21" s="256">
        <f t="shared" ref="O21" si="1">M21*N21</f>
        <v>1.58</v>
      </c>
      <c r="P21" s="254">
        <f t="shared" ref="P21" si="2">O21*L21</f>
        <v>1.58</v>
      </c>
      <c r="Q21" s="247">
        <f t="shared" ref="Q21" si="3">Q$20*O21</f>
        <v>96087.6</v>
      </c>
      <c r="R21" s="296">
        <f t="shared" ref="R21" si="4">Q21+R$20</f>
        <v>99087.6</v>
      </c>
      <c r="S21" s="284">
        <f>M21*L21</f>
        <v>1.58</v>
      </c>
      <c r="T21" s="43">
        <f>N21*2*L21*2</f>
        <v>4</v>
      </c>
      <c r="U21" s="9"/>
      <c r="X21" s="4"/>
    </row>
    <row r="22" spans="1:25" ht="17.399999999999999" x14ac:dyDescent="0.3">
      <c r="B22" s="278"/>
      <c r="C22" s="334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5">
        <f>SUM(H21:H23)</f>
        <v>99088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4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6">
        <f>H24*19%</f>
        <v>18826.72</v>
      </c>
      <c r="I25" s="299"/>
      <c r="J25" s="260"/>
      <c r="K25" s="315"/>
      <c r="L25" s="44"/>
      <c r="M25" s="36">
        <f>SUM(M21:M21)</f>
        <v>1.58</v>
      </c>
      <c r="N25" s="12"/>
      <c r="O25" s="12"/>
      <c r="P25" s="248">
        <f>SUM(P21:P23)</f>
        <v>1.58</v>
      </c>
      <c r="Q25" s="14"/>
      <c r="R25" s="12"/>
      <c r="S25" s="235">
        <f>SUM(S21:S24)</f>
        <v>1.58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7">
        <f>H24+H25</f>
        <v>117914.72</v>
      </c>
      <c r="I26" s="299"/>
      <c r="J26" s="260"/>
      <c r="K26" s="315"/>
      <c r="L26" s="44"/>
      <c r="M26" s="36"/>
      <c r="N26" s="12"/>
      <c r="O26" s="12"/>
      <c r="P26" s="248">
        <f>P25</f>
        <v>1.58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0.31600000000000006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1.8960000000000001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1.8960000000000001</v>
      </c>
      <c r="N30" s="12">
        <v>3500</v>
      </c>
      <c r="O30" s="12">
        <f t="shared" ref="O30:O35" si="5">M30*N30</f>
        <v>6636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0.5</v>
      </c>
      <c r="N31" s="12">
        <v>23500</v>
      </c>
      <c r="O31" s="12">
        <f t="shared" si="5"/>
        <v>11750</v>
      </c>
      <c r="P31" s="36" t="s">
        <v>168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163</v>
      </c>
      <c r="C33"/>
      <c r="D33"/>
      <c r="E33"/>
      <c r="F33"/>
      <c r="J33" s="257">
        <v>62090</v>
      </c>
      <c r="K33" s="228"/>
      <c r="L33" s="245"/>
      <c r="M33" s="14">
        <v>1</v>
      </c>
      <c r="N33" s="245">
        <v>25000</v>
      </c>
      <c r="O33" s="12">
        <f t="shared" si="5"/>
        <v>25000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52176.470588235294</v>
      </c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>
        <v>1.58</v>
      </c>
      <c r="N35" s="12">
        <v>1500</v>
      </c>
      <c r="O35" s="12">
        <f t="shared" si="5"/>
        <v>2370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45756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96087.6</v>
      </c>
      <c r="P37" s="14" t="s">
        <v>138</v>
      </c>
      <c r="Q37" s="14"/>
      <c r="R37" s="37">
        <f>P28/R36</f>
        <v>0.51121656600517695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60814.936708860761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0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1"/>
      <c r="D41" s="279"/>
      <c r="E41" s="279"/>
      <c r="F41" s="278"/>
      <c r="G41" s="316"/>
      <c r="H41" s="320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0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0"/>
      <c r="L43" s="245"/>
    </row>
    <row r="44" spans="2:24" ht="17.399999999999999" x14ac:dyDescent="0.35">
      <c r="D44" s="279"/>
      <c r="E44" s="279"/>
      <c r="F44" s="278"/>
      <c r="G44" s="316"/>
      <c r="H44" s="320"/>
      <c r="L44" s="245"/>
      <c r="T44" s="265"/>
    </row>
    <row r="45" spans="2:24" ht="17.399999999999999" x14ac:dyDescent="0.35">
      <c r="D45" s="279"/>
      <c r="E45" s="279"/>
      <c r="F45" s="278"/>
      <c r="G45" s="316"/>
      <c r="H45" s="320"/>
      <c r="L45" s="245"/>
    </row>
    <row r="46" spans="2:24" ht="15" customHeight="1" x14ac:dyDescent="0.35">
      <c r="D46" s="279"/>
      <c r="E46" s="279"/>
      <c r="F46" s="278"/>
      <c r="G46" s="316"/>
      <c r="H46" s="320"/>
    </row>
    <row r="47" spans="2:24" ht="17.399999999999999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 s="51"/>
      <c r="P50" s="51"/>
    </row>
    <row r="51" spans="4:20" ht="17.399999999999999" x14ac:dyDescent="0.35">
      <c r="D51" s="279"/>
      <c r="E51" s="279"/>
      <c r="F51" s="278"/>
      <c r="G51" s="316"/>
      <c r="H51" s="320"/>
      <c r="S51" s="18"/>
      <c r="T51" s="18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45982</v>
      </c>
    </row>
    <row r="6" spans="1:31" ht="16.2" thickBot="1" x14ac:dyDescent="0.35">
      <c r="B6" s="137" t="s">
        <v>2</v>
      </c>
      <c r="C6" s="136" t="str">
        <f>'2229'!C10</f>
        <v>DANIEL MUÑOZ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11765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-6284.0239265700484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99088</v>
      </c>
      <c r="E11" s="129">
        <f>D11*0.19</f>
        <v>18826.72</v>
      </c>
      <c r="F11" s="128">
        <f>E11+D11</f>
        <v>117914.72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99705.976073429949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38364.910275362316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81705.976073429949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60723.089724637684</v>
      </c>
      <c r="E13" s="218">
        <f>(D11/D12)-1</f>
        <v>1.5827767949618701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72705.976073429949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33705.976073429949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73046.789164289847</v>
      </c>
      <c r="C15" s="210" t="s">
        <v>121</v>
      </c>
      <c r="D15" s="211">
        <v>0.6</v>
      </c>
      <c r="E15" s="212">
        <f>(100%+D15)*D12</f>
        <v>61383.856440579708</v>
      </c>
      <c r="F15" s="213">
        <f>E15-D12</f>
        <v>23018.946165217392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33705.976073429949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73705.976073429949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11750</v>
      </c>
      <c r="E19" s="120">
        <f>D19*0.19</f>
        <v>2232.5</v>
      </c>
      <c r="F19" s="117">
        <f>SUM(D19:E19)</f>
        <v>13982.5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6636</v>
      </c>
      <c r="E20" s="118">
        <f>D20*0.19</f>
        <v>1260.8399999999999</v>
      </c>
      <c r="F20" s="117">
        <f>SUM(D20:E20)</f>
        <v>7896.84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18386</v>
      </c>
      <c r="E21" s="113">
        <f>SUM(E18:E20)</f>
        <v>3493.34</v>
      </c>
      <c r="F21" s="112">
        <f>SUM(F18:F20)</f>
        <v>21879.34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15333.380000000001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99088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18386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60723.089724637684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60723.089724637684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2025-11-22T11:46:28Z</cp:lastPrinted>
  <dcterms:created xsi:type="dcterms:W3CDTF">2013-03-18T13:35:42Z</dcterms:created>
  <dcterms:modified xsi:type="dcterms:W3CDTF">2025-11-22T12:27:25Z</dcterms:modified>
</cp:coreProperties>
</file>