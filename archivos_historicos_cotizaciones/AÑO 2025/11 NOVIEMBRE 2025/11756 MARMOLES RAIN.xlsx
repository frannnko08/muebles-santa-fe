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5F56BA5A-544E-4AFC-8C77-6817AE0F5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1" l="1"/>
  <c r="L22" i="1"/>
  <c r="M22" i="1"/>
  <c r="S22" i="1" s="1"/>
  <c r="N22" i="1"/>
  <c r="T22" i="1" s="1"/>
  <c r="L23" i="1"/>
  <c r="M23" i="1"/>
  <c r="N23" i="1"/>
  <c r="L24" i="1"/>
  <c r="M24" i="1"/>
  <c r="N24" i="1"/>
  <c r="T24" i="1" s="1"/>
  <c r="L25" i="1"/>
  <c r="M25" i="1"/>
  <c r="N25" i="1"/>
  <c r="L26" i="1"/>
  <c r="M26" i="1"/>
  <c r="N26" i="1"/>
  <c r="T26" i="1" s="1"/>
  <c r="L27" i="1"/>
  <c r="M27" i="1"/>
  <c r="N27" i="1"/>
  <c r="L28" i="1"/>
  <c r="M28" i="1"/>
  <c r="N28" i="1"/>
  <c r="T28" i="1" s="1"/>
  <c r="L29" i="1"/>
  <c r="M29" i="1"/>
  <c r="N29" i="1"/>
  <c r="T29" i="1" s="1"/>
  <c r="L30" i="1"/>
  <c r="M30" i="1"/>
  <c r="S30" i="1" s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T36" i="1" s="1"/>
  <c r="L37" i="1"/>
  <c r="M37" i="1"/>
  <c r="N37" i="1"/>
  <c r="T37" i="1" s="1"/>
  <c r="L38" i="1"/>
  <c r="M38" i="1"/>
  <c r="S38" i="1" s="1"/>
  <c r="N38" i="1"/>
  <c r="L39" i="1"/>
  <c r="M39" i="1"/>
  <c r="N39" i="1"/>
  <c r="L40" i="1"/>
  <c r="M40" i="1"/>
  <c r="N40" i="1"/>
  <c r="M41" i="1"/>
  <c r="N41" i="1"/>
  <c r="M42" i="1"/>
  <c r="N42" i="1"/>
  <c r="T40" i="1" l="1"/>
  <c r="O37" i="1"/>
  <c r="P37" i="1" s="1"/>
  <c r="O35" i="1"/>
  <c r="P35" i="1" s="1"/>
  <c r="O34" i="1"/>
  <c r="O33" i="1"/>
  <c r="T32" i="1"/>
  <c r="O32" i="1"/>
  <c r="O31" i="1"/>
  <c r="P31" i="1" s="1"/>
  <c r="O29" i="1"/>
  <c r="P29" i="1" s="1"/>
  <c r="O26" i="1"/>
  <c r="P26" i="1" s="1"/>
  <c r="O25" i="1"/>
  <c r="O38" i="1"/>
  <c r="P38" i="1" s="1"/>
  <c r="S26" i="1"/>
  <c r="O22" i="1"/>
  <c r="P22" i="1" s="1"/>
  <c r="O42" i="1"/>
  <c r="O41" i="1"/>
  <c r="P41" i="1" s="1"/>
  <c r="S41" i="1"/>
  <c r="O36" i="1"/>
  <c r="P36" i="1" s="1"/>
  <c r="S42" i="1"/>
  <c r="O39" i="1"/>
  <c r="P39" i="1" s="1"/>
  <c r="T38" i="1"/>
  <c r="S37" i="1"/>
  <c r="S34" i="1"/>
  <c r="S33" i="1"/>
  <c r="O30" i="1"/>
  <c r="O28" i="1"/>
  <c r="P28" i="1" s="1"/>
  <c r="O24" i="1"/>
  <c r="P24" i="1" s="1"/>
  <c r="O27" i="1"/>
  <c r="P27" i="1" s="1"/>
  <c r="O23" i="1"/>
  <c r="T41" i="1"/>
  <c r="O40" i="1"/>
  <c r="P40" i="1" s="1"/>
  <c r="T35" i="1"/>
  <c r="S29" i="1"/>
  <c r="S25" i="1"/>
  <c r="T42" i="1"/>
  <c r="P42" i="1"/>
  <c r="T39" i="1"/>
  <c r="T34" i="1"/>
  <c r="P34" i="1"/>
  <c r="T33" i="1"/>
  <c r="P33" i="1"/>
  <c r="P32" i="1"/>
  <c r="T31" i="1"/>
  <c r="P30" i="1"/>
  <c r="T30" i="1"/>
  <c r="T27" i="1"/>
  <c r="P25" i="1"/>
  <c r="T25" i="1"/>
  <c r="T23" i="1"/>
  <c r="P23" i="1"/>
  <c r="S40" i="1"/>
  <c r="S36" i="1"/>
  <c r="S32" i="1"/>
  <c r="S28" i="1"/>
  <c r="S24" i="1"/>
  <c r="S39" i="1"/>
  <c r="S35" i="1"/>
  <c r="S31" i="1"/>
  <c r="S27" i="1"/>
  <c r="S23" i="1"/>
  <c r="J54" i="1"/>
  <c r="M21" i="1"/>
  <c r="M45" i="1" l="1"/>
  <c r="L21" i="1"/>
  <c r="N21" i="1"/>
  <c r="S21" i="1" l="1"/>
  <c r="S45" i="1" s="1"/>
  <c r="T21" i="1"/>
  <c r="T44" i="1" s="1"/>
  <c r="O21" i="1"/>
  <c r="P21" i="1" s="1"/>
  <c r="P45" i="1" s="1"/>
  <c r="V52" i="1" l="1"/>
  <c r="V53" i="1" s="1"/>
  <c r="O51" i="1" l="1"/>
  <c r="P46" i="1" l="1"/>
  <c r="N20" i="1"/>
  <c r="L20" i="1"/>
  <c r="P47" i="1" l="1"/>
  <c r="P48" i="1" s="1"/>
  <c r="M50" i="1" s="1"/>
  <c r="O52" i="1"/>
  <c r="R56" i="1"/>
  <c r="R57" i="1" l="1"/>
  <c r="O5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5" i="1"/>
  <c r="O54" i="1"/>
  <c r="F18" i="3" l="1"/>
  <c r="O50" i="1" l="1"/>
  <c r="O56" i="1" s="1"/>
  <c r="O5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9" i="1"/>
  <c r="R29" i="1" s="1"/>
  <c r="G29" i="1" s="1"/>
  <c r="H29" i="1" s="1"/>
  <c r="Q33" i="1"/>
  <c r="R33" i="1" s="1"/>
  <c r="G33" i="1" s="1"/>
  <c r="H33" i="1" s="1"/>
  <c r="Q37" i="1"/>
  <c r="R37" i="1" s="1"/>
  <c r="G37" i="1" s="1"/>
  <c r="H37" i="1" s="1"/>
  <c r="Q41" i="1"/>
  <c r="R41" i="1" s="1"/>
  <c r="H41" i="1" s="1"/>
  <c r="Q23" i="1"/>
  <c r="R23" i="1" s="1"/>
  <c r="G23" i="1" s="1"/>
  <c r="H23" i="1" s="1"/>
  <c r="Q27" i="1"/>
  <c r="R27" i="1" s="1"/>
  <c r="G27" i="1" s="1"/>
  <c r="H27" i="1" s="1"/>
  <c r="Q35" i="1"/>
  <c r="R35" i="1" s="1"/>
  <c r="G35" i="1" s="1"/>
  <c r="H35" i="1" s="1"/>
  <c r="Q39" i="1"/>
  <c r="R39" i="1" s="1"/>
  <c r="G39" i="1" s="1"/>
  <c r="H39" i="1" s="1"/>
  <c r="Q24" i="1"/>
  <c r="R24" i="1" s="1"/>
  <c r="G24" i="1" s="1"/>
  <c r="H24" i="1" s="1"/>
  <c r="Q28" i="1"/>
  <c r="R28" i="1" s="1"/>
  <c r="G28" i="1" s="1"/>
  <c r="H28" i="1" s="1"/>
  <c r="Q22" i="1"/>
  <c r="R22" i="1" s="1"/>
  <c r="G22" i="1" s="1"/>
  <c r="H22" i="1" s="1"/>
  <c r="Q26" i="1"/>
  <c r="R26" i="1" s="1"/>
  <c r="G26" i="1" s="1"/>
  <c r="H26" i="1" s="1"/>
  <c r="Q30" i="1"/>
  <c r="R30" i="1" s="1"/>
  <c r="G30" i="1" s="1"/>
  <c r="H30" i="1" s="1"/>
  <c r="Q34" i="1"/>
  <c r="R34" i="1" s="1"/>
  <c r="G34" i="1" s="1"/>
  <c r="H34" i="1" s="1"/>
  <c r="Q38" i="1"/>
  <c r="R38" i="1" s="1"/>
  <c r="G38" i="1" s="1"/>
  <c r="H38" i="1" s="1"/>
  <c r="Q42" i="1"/>
  <c r="R42" i="1" s="1"/>
  <c r="H42" i="1" s="1"/>
  <c r="Q31" i="1"/>
  <c r="R31" i="1" s="1"/>
  <c r="G31" i="1" s="1"/>
  <c r="H31" i="1" s="1"/>
  <c r="Q32" i="1"/>
  <c r="R32" i="1" s="1"/>
  <c r="G32" i="1" s="1"/>
  <c r="H32" i="1" s="1"/>
  <c r="Q36" i="1"/>
  <c r="R36" i="1" s="1"/>
  <c r="G36" i="1" s="1"/>
  <c r="H36" i="1" s="1"/>
  <c r="Q40" i="1"/>
  <c r="R40" i="1" s="1"/>
  <c r="G40" i="1" s="1"/>
  <c r="H40" i="1" s="1"/>
  <c r="O59" i="1"/>
  <c r="Q21" i="1" l="1"/>
  <c r="F15" i="3"/>
  <c r="R21" i="1" l="1"/>
  <c r="G21" i="1" s="1"/>
  <c r="H21" i="1" l="1"/>
  <c r="H44" i="1" l="1"/>
  <c r="H45" i="1" s="1"/>
  <c r="H4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<sst xmlns="http://schemas.openxmlformats.org/spreadsheetml/2006/main" count="274" uniqueCount="178">
  <si>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</si>
  <si>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</si>
  <si>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</si>
  <si>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</si>
  <si>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</si>
  <si>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</si>
  <si>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</si>
  <si>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</si>
  <si>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</si>
  <si>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</si>
  <si>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</si>
  <si>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</si>
  <si>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</si>
  <si>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</si>
  <si>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</si>
  <si>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</si>
  <si>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</si>
  <si>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</si>
  <si>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</si>
  <si>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</si>
  <si>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</si>
  <si>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</si>
  <si>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</si>
  <si>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</si>
  <si>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</si>
  <si>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</si>
  <si>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</si>
  <si>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</si>
  <si>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</si>
  <si>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</si>
  <si>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</si>
  <si>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</si>
  <si>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</si>
  <si>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</si>
  <si>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</si>
  <si>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</si>
  <si>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</si>
  <si>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</si>
  <si>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</si>
  <si>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</si>
  <si>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</si>
  <si>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</si>
  <si>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</si>
  <si>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</si>
  <si>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</si>
  <si>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</si>
  <si>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</si>
  <si>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</si>
  <si>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</si>
  <si>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</si>
  <si>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</si>
  <si>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</si>
  <si>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</si>
  <si>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</si>
  <si>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</si>
  <si>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</si>
  <si>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</si>
  <si>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</si>
  <si>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</si>
  <si>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</si>
  <si>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</si>
  <si>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</si>
  <si>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</si>
  <si>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</si>
  <si>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</si>
  <si>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</si>
  <si>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</si>
  <si>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</si>
  <si>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</si>
  <si>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</si>
  <si>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</si>
  <si>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</si>
  <si>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</si>
  <si>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</si>
  <si>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</si>
  <si>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</si>
  <si>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</si>
  <si>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</si>
  <si>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</si>
  <si>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</si>
  <si>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</si>
  <si>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</si>
  <si>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</si>
  <si>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</si>
  <si>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</si>
  <si>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</si>
  <si>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</si>
  <si>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</si>
  <si>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</si>
  <si>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</si>
  <si>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</si>
  <si>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</si>
  <si>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</si>
  <si>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</si>
  <si>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</si>
  <si>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</si>
  <si>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</si>
  <si>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</si>
  <si>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</si>
  <si>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</si>
  <si>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</si>
  <si>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</si>
  <si>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</si>
  <si>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</si>
  <si>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</si>
  <si>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</si>
  <si>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</si>
  <si>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</si>
  <si>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</si>
  <si>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</si>
  <si>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</si>
  <si>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</si>
  <si>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</si>
  <si>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</si>
  <si>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</si>
  <si>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</si>
  <si>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</si>
  <si>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</si>
  <si>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</si>
  <si>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</si>
  <si>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</si>
  <si>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</si>
  <si>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</si>
  <si>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</si>
  <si>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</si>
  <si>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</si>
  <si>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</si>
  <si>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</si>
  <si>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</si>
  <si>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</si>
  <si>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</si>
  <si>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</si>
  <si>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</si>
  <si>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</si>
  <si>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</si>
  <si>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</si>
  <si>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</si>
  <si>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</si>
  <si>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</si>
  <si>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</si>
  <si>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</si>
  <si>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</si>
  <si>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</si>
  <si>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</si>
  <si>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</si>
  <si>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</si>
  <si>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</si>
  <si>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</si>
  <si>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</si>
  <si>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</si>
  <si>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</si>
  <si>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</si>
  <si>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</si>
  <si>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</si>
  <si>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</si>
  <si>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</si>
  <si>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</si>
  <si>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</si>
  <si>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</si>
  <si>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</si>
  <si>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</si>
  <si>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</si>
  <si>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</si>
  <si>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</si>
  <si>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</si>
  <si>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</si>
  <si>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</si>
  <si>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</si>
  <si>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</si>
  <si>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</si>
  <si>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BLANCO OPACO</t>
  </si>
  <si>
    <t>SANTIAGO</t>
  </si>
  <si>
    <t>12 DIAS HABILES</t>
  </si>
  <si>
    <t>N° 11756</t>
  </si>
  <si>
    <t>MARMOLES RAIN</t>
  </si>
  <si>
    <t xml:space="preserve">GEOGINA </t>
  </si>
  <si>
    <t>+569 5699 1929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</si>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</sst>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47</xdr:row>
      <xdr:rowOff>8194</xdr:rowOff>
    </xdr:from>
    <xdr:to>
      <xdr:col>8</xdr:col>
      <xdr:colOff>8193</xdr:colOff>
      <xdr:row>50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1745226</xdr:colOff>
      <xdr:row>50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43</xdr:row>
      <xdr:rowOff>9525</xdr:rowOff>
    </xdr:from>
    <xdr:to>
      <xdr:col>5</xdr:col>
      <xdr:colOff>1728839</xdr:colOff>
      <xdr:row>46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OBSERVACIONES:PUERTAS CORTADAS</a:t>
          </a:r>
          <a:r>
            <a:rPr lang="es-CL" sz="1200" b="1" baseline="0"/>
            <a:t> A LA MEDIDA Y ENCHAPADAS CON TAPACANTO PVC 0,4MM.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1"/>
  <sheetViews>
    <sheetView tabSelected="1" zoomScale="93" zoomScaleNormal="93" workbookViewId="0">
      <selection activeCell="A43" sqref="A4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174</v>
      </c>
      <c r="D10" s="239"/>
      <c r="E10" s="239"/>
      <c r="F10" s="240" t="s">
        <v>166</v>
      </c>
      <c r="G10" s="271">
        <v>45975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175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177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176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171</v>
      </c>
      <c r="D17" s="294"/>
      <c r="E17" s="116"/>
      <c r="F17" s="342" t="s">
        <v>162</v>
      </c>
      <c r="G17" s="342"/>
      <c r="H17" s="34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4" t="s">
        <v>95</v>
      </c>
      <c r="C19" s="345"/>
      <c r="D19" s="345"/>
      <c r="E19" s="345"/>
      <c r="F19" s="345"/>
      <c r="G19" s="345"/>
      <c r="H19" s="346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O58</f>
        <v>66919.581121581941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169</v>
      </c>
      <c r="D21" s="323">
        <v>0.91</v>
      </c>
      <c r="E21" s="323">
        <v>0.39700000000000002</v>
      </c>
      <c r="F21" s="322" t="s">
        <v>170</v>
      </c>
      <c r="G21" s="324">
        <f>R21</f>
        <v>28504.390757057314</v>
      </c>
      <c r="H21" s="324">
        <f>G21*B21</f>
        <v>28504.390757057314</v>
      </c>
      <c r="I21" s="297"/>
      <c r="J21" s="260"/>
      <c r="K21" s="44"/>
      <c r="L21" s="334">
        <f>B21</f>
        <v>1</v>
      </c>
      <c r="M21" s="335">
        <f>D21+M$19</f>
        <v>0.96000000000000008</v>
      </c>
      <c r="N21" s="335">
        <f>E21+$N$19</f>
        <v>0.39700000000000002</v>
      </c>
      <c r="O21" s="256">
        <f t="shared" ref="O21" si="1">M21*N21</f>
        <v>0.38112000000000007</v>
      </c>
      <c r="P21" s="254">
        <f t="shared" ref="P21" si="2">O21*L21</f>
        <v>0.38112000000000007</v>
      </c>
      <c r="Q21" s="247">
        <f t="shared" ref="Q21" si="3">Q$20*O21</f>
        <v>25504.390757057314</v>
      </c>
      <c r="R21" s="296">
        <f t="shared" ref="R21" si="4">Q21+R$20</f>
        <v>28504.390757057314</v>
      </c>
      <c r="S21" s="284">
        <f>M21*L21</f>
        <v>0.96000000000000008</v>
      </c>
      <c r="T21" s="43">
        <f>N21*2*L21*2</f>
        <v>1.5880000000000001</v>
      </c>
      <c r="U21" s="9"/>
      <c r="X21" s="4"/>
    </row>
    <row r="22" spans="2:25" ht="17.399999999999999" x14ac:dyDescent="0.3">
      <c r="B22" s="322">
        <v>2</v>
      </c>
      <c r="C22" s="333" t="s">
        <v>169</v>
      </c>
      <c r="D22" s="323">
        <v>0.91</v>
      </c>
      <c r="E22" s="323">
        <v>0.38700000000000001</v>
      </c>
      <c r="F22" s="322" t="s">
        <v>170</v>
      </c>
      <c r="G22" s="324">
        <f t="shared" ref="G22:G42" si="5">R22</f>
        <v>27861.962778290123</v>
      </c>
      <c r="H22" s="324">
        <f t="shared" ref="H22:H42" si="6">G22*B22</f>
        <v>55723.925556580245</v>
      </c>
      <c r="I22" s="297"/>
      <c r="J22" s="260"/>
      <c r="K22" s="44"/>
      <c r="L22" s="334">
        <f t="shared" ref="L22:L40" si="7">B22</f>
        <v>2</v>
      </c>
      <c r="M22" s="335">
        <f t="shared" ref="M22:M42" si="8">D22+M$19</f>
        <v>0.96000000000000008</v>
      </c>
      <c r="N22" s="335">
        <f t="shared" ref="N22:N42" si="9">E22+$N$19</f>
        <v>0.38700000000000001</v>
      </c>
      <c r="O22" s="256">
        <f t="shared" ref="O22:O42" si="10">M22*N22</f>
        <v>0.37152000000000002</v>
      </c>
      <c r="P22" s="254">
        <f t="shared" ref="P22:P42" si="11">O22*L22</f>
        <v>0.74304000000000003</v>
      </c>
      <c r="Q22" s="247">
        <f t="shared" ref="Q22:Q42" si="12">Q$20*O22</f>
        <v>24861.962778290123</v>
      </c>
      <c r="R22" s="296">
        <f t="shared" ref="R22:R42" si="13">Q22+R$20</f>
        <v>27861.962778290123</v>
      </c>
      <c r="S22" s="284">
        <f t="shared" ref="S22:S42" si="14">M22*L22</f>
        <v>1.9200000000000002</v>
      </c>
      <c r="T22" s="43">
        <f t="shared" ref="T22:T42" si="15">N22*2*L22*2</f>
        <v>3.0960000000000001</v>
      </c>
      <c r="U22" s="9"/>
      <c r="X22" s="4"/>
    </row>
    <row r="23" spans="2:25" ht="17.399999999999999" x14ac:dyDescent="0.3">
      <c r="B23" s="322">
        <v>2</v>
      </c>
      <c r="C23" s="333" t="s">
        <v>169</v>
      </c>
      <c r="D23" s="323">
        <v>0.55800000000000005</v>
      </c>
      <c r="E23" s="323">
        <v>0.29699999999999999</v>
      </c>
      <c r="F23" s="322" t="s">
        <v>170</v>
      </c>
      <c r="G23" s="324">
        <f t="shared" si="5"/>
        <v>15084.070280610782</v>
      </c>
      <c r="H23" s="324">
        <f t="shared" si="6"/>
        <v>30168.140561221564</v>
      </c>
      <c r="I23" s="297"/>
      <c r="J23" s="260"/>
      <c r="K23" s="44"/>
      <c r="L23" s="44">
        <f t="shared" si="7"/>
        <v>2</v>
      </c>
      <c r="M23" s="36">
        <f t="shared" si="8"/>
        <v>0.6080000000000001</v>
      </c>
      <c r="N23" s="36">
        <f t="shared" si="9"/>
        <v>0.29699999999999999</v>
      </c>
      <c r="O23" s="256">
        <f t="shared" si="10"/>
        <v>0.18057600000000001</v>
      </c>
      <c r="P23" s="254">
        <f t="shared" si="11"/>
        <v>0.36115200000000003</v>
      </c>
      <c r="Q23" s="247">
        <f t="shared" si="12"/>
        <v>12084.070280610782</v>
      </c>
      <c r="R23" s="296">
        <f t="shared" si="13"/>
        <v>15084.070280610782</v>
      </c>
      <c r="S23" s="284">
        <f t="shared" si="14"/>
        <v>1.2160000000000002</v>
      </c>
      <c r="T23" s="43">
        <f t="shared" si="15"/>
        <v>2.3759999999999999</v>
      </c>
      <c r="U23" s="9"/>
      <c r="X23" s="4"/>
    </row>
    <row r="24" spans="2:25" ht="17.399999999999999" x14ac:dyDescent="0.3">
      <c r="B24" s="322">
        <v>2</v>
      </c>
      <c r="C24" s="333" t="s">
        <v>169</v>
      </c>
      <c r="D24" s="323">
        <v>0.67500000000000004</v>
      </c>
      <c r="E24" s="323">
        <v>0.29699999999999999</v>
      </c>
      <c r="F24" s="322" t="s">
        <v>170</v>
      </c>
      <c r="G24" s="324">
        <f t="shared" si="5"/>
        <v>17409.458805004633</v>
      </c>
      <c r="H24" s="324">
        <f t="shared" si="6"/>
        <v>34818.917610009266</v>
      </c>
      <c r="I24" s="297"/>
      <c r="J24" s="260"/>
      <c r="K24" s="44"/>
      <c r="L24" s="338">
        <f t="shared" si="7"/>
        <v>2</v>
      </c>
      <c r="M24" s="339">
        <f t="shared" si="8"/>
        <v>0.72500000000000009</v>
      </c>
      <c r="N24" s="339">
        <f t="shared" si="9"/>
        <v>0.29699999999999999</v>
      </c>
      <c r="O24" s="256">
        <f t="shared" si="10"/>
        <v>0.21532500000000002</v>
      </c>
      <c r="P24" s="254">
        <f t="shared" si="11"/>
        <v>0.43065000000000003</v>
      </c>
      <c r="Q24" s="247">
        <f t="shared" si="12"/>
        <v>14409.458805004633</v>
      </c>
      <c r="R24" s="296">
        <f t="shared" si="13"/>
        <v>17409.458805004633</v>
      </c>
      <c r="S24" s="284">
        <f t="shared" si="14"/>
        <v>1.4500000000000002</v>
      </c>
      <c r="T24" s="43">
        <f t="shared" si="15"/>
        <v>2.3759999999999999</v>
      </c>
      <c r="U24" s="9"/>
      <c r="X24" s="4"/>
    </row>
    <row r="25" spans="2:25" ht="17.399999999999999" x14ac:dyDescent="0.3">
      <c r="B25" s="322">
        <v>1</v>
      </c>
      <c r="C25" s="333" t="s">
        <v>169</v>
      </c>
      <c r="D25" s="323">
        <v>0.55000000000000004</v>
      </c>
      <c r="E25" s="323">
        <v>0.497</v>
      </c>
      <c r="F25" s="322" t="s">
        <v>170</v>
      </c>
      <c r="G25" s="324">
        <f t="shared" si="5"/>
        <v>22955.419090455736</v>
      </c>
      <c r="H25" s="324">
        <f t="shared" si="6"/>
        <v>22955.419090455736</v>
      </c>
      <c r="I25" s="297"/>
      <c r="J25" s="260"/>
      <c r="K25" s="44"/>
      <c r="L25" s="44">
        <f t="shared" si="7"/>
        <v>1</v>
      </c>
      <c r="M25" s="36">
        <f t="shared" si="8"/>
        <v>0.60000000000000009</v>
      </c>
      <c r="N25" s="36">
        <f t="shared" si="9"/>
        <v>0.497</v>
      </c>
      <c r="O25" s="256">
        <f t="shared" si="10"/>
        <v>0.29820000000000002</v>
      </c>
      <c r="P25" s="254">
        <f t="shared" si="11"/>
        <v>0.29820000000000002</v>
      </c>
      <c r="Q25" s="247">
        <f t="shared" si="12"/>
        <v>19955.419090455736</v>
      </c>
      <c r="R25" s="296">
        <f t="shared" si="13"/>
        <v>22955.419090455736</v>
      </c>
      <c r="S25" s="284">
        <f t="shared" si="14"/>
        <v>0.60000000000000009</v>
      </c>
      <c r="T25" s="43">
        <f t="shared" si="15"/>
        <v>1.988</v>
      </c>
      <c r="U25" s="9"/>
      <c r="X25" s="4"/>
    </row>
    <row r="26" spans="2:25" ht="17.399999999999999" x14ac:dyDescent="0.3">
      <c r="B26" s="322">
        <v>2</v>
      </c>
      <c r="C26" s="333" t="s">
        <v>169</v>
      </c>
      <c r="D26" s="323">
        <v>0.91</v>
      </c>
      <c r="E26" s="323">
        <v>0.29699999999999999</v>
      </c>
      <c r="F26" s="322" t="s">
        <v>170</v>
      </c>
      <c r="G26" s="324">
        <f t="shared" si="5"/>
        <v>22080.110969385441</v>
      </c>
      <c r="H26" s="324">
        <f t="shared" si="6"/>
        <v>44160.221938770883</v>
      </c>
      <c r="I26" s="297"/>
      <c r="J26" s="260"/>
      <c r="K26" s="44"/>
      <c r="L26" s="334">
        <f t="shared" si="7"/>
        <v>2</v>
      </c>
      <c r="M26" s="335">
        <f t="shared" si="8"/>
        <v>0.96000000000000008</v>
      </c>
      <c r="N26" s="335">
        <f t="shared" si="9"/>
        <v>0.29699999999999999</v>
      </c>
      <c r="O26" s="256">
        <f t="shared" si="10"/>
        <v>0.28511999999999998</v>
      </c>
      <c r="P26" s="254">
        <f t="shared" si="11"/>
        <v>0.57023999999999997</v>
      </c>
      <c r="Q26" s="247">
        <f t="shared" si="12"/>
        <v>19080.110969385441</v>
      </c>
      <c r="R26" s="296">
        <f t="shared" si="13"/>
        <v>22080.110969385441</v>
      </c>
      <c r="S26" s="284">
        <f t="shared" si="14"/>
        <v>1.9200000000000002</v>
      </c>
      <c r="T26" s="43">
        <f t="shared" si="15"/>
        <v>2.3759999999999999</v>
      </c>
      <c r="U26" s="9"/>
      <c r="X26" s="4"/>
    </row>
    <row r="27" spans="2:25" ht="17.399999999999999" x14ac:dyDescent="0.3">
      <c r="B27" s="322">
        <v>3</v>
      </c>
      <c r="C27" s="333" t="s">
        <v>169</v>
      </c>
      <c r="D27" s="323">
        <v>0.69699999999999995</v>
      </c>
      <c r="E27" s="323">
        <v>0.39700000000000002</v>
      </c>
      <c r="F27" s="322" t="s">
        <v>170</v>
      </c>
      <c r="G27" s="324">
        <f t="shared" si="5"/>
        <v>22845.604057835219</v>
      </c>
      <c r="H27" s="324">
        <f t="shared" si="6"/>
        <v>68536.812173505663</v>
      </c>
      <c r="I27" s="297"/>
      <c r="J27" s="260"/>
      <c r="K27" s="44"/>
      <c r="L27" s="340">
        <f t="shared" si="7"/>
        <v>3</v>
      </c>
      <c r="M27" s="341">
        <f t="shared" si="8"/>
        <v>0.747</v>
      </c>
      <c r="N27" s="341">
        <f t="shared" si="9"/>
        <v>0.39700000000000002</v>
      </c>
      <c r="O27" s="256">
        <f t="shared" si="10"/>
        <v>0.29655900000000002</v>
      </c>
      <c r="P27" s="254">
        <f t="shared" si="11"/>
        <v>0.88967700000000005</v>
      </c>
      <c r="Q27" s="247">
        <f t="shared" si="12"/>
        <v>19845.604057835219</v>
      </c>
      <c r="R27" s="296">
        <f t="shared" si="13"/>
        <v>22845.604057835219</v>
      </c>
      <c r="S27" s="284">
        <f t="shared" si="14"/>
        <v>2.2410000000000001</v>
      </c>
      <c r="T27" s="43">
        <f t="shared" si="15"/>
        <v>4.7640000000000002</v>
      </c>
      <c r="U27" s="9"/>
      <c r="X27" s="4"/>
    </row>
    <row r="28" spans="2:25" ht="17.399999999999999" x14ac:dyDescent="0.3">
      <c r="B28" s="322">
        <v>2</v>
      </c>
      <c r="C28" s="333" t="s">
        <v>169</v>
      </c>
      <c r="D28" s="323">
        <v>0.32800000000000001</v>
      </c>
      <c r="E28" s="323">
        <v>0.59699999999999998</v>
      </c>
      <c r="F28" s="322" t="s">
        <v>170</v>
      </c>
      <c r="G28" s="324">
        <f t="shared" si="5"/>
        <v>18101.47419338291</v>
      </c>
      <c r="H28" s="324">
        <f t="shared" si="6"/>
        <v>36202.94838676582</v>
      </c>
      <c r="I28" s="297"/>
      <c r="J28" s="260"/>
      <c r="K28" s="44"/>
      <c r="L28" s="44">
        <f t="shared" si="7"/>
        <v>2</v>
      </c>
      <c r="M28" s="36">
        <f t="shared" si="8"/>
        <v>0.378</v>
      </c>
      <c r="N28" s="36">
        <f t="shared" si="9"/>
        <v>0.59699999999999998</v>
      </c>
      <c r="O28" s="256">
        <f t="shared" si="10"/>
        <v>0.22566600000000001</v>
      </c>
      <c r="P28" s="254">
        <f t="shared" si="11"/>
        <v>0.45133200000000001</v>
      </c>
      <c r="Q28" s="247">
        <f t="shared" si="12"/>
        <v>15101.47419338291</v>
      </c>
      <c r="R28" s="296">
        <f t="shared" si="13"/>
        <v>18101.47419338291</v>
      </c>
      <c r="S28" s="284">
        <f t="shared" si="14"/>
        <v>0.75600000000000001</v>
      </c>
      <c r="T28" s="43">
        <f t="shared" si="15"/>
        <v>4.7759999999999998</v>
      </c>
      <c r="U28" s="9"/>
      <c r="X28" s="4"/>
    </row>
    <row r="29" spans="2:25" ht="17.399999999999999" x14ac:dyDescent="0.3">
      <c r="B29" s="322">
        <v>1</v>
      </c>
      <c r="C29" s="333" t="s">
        <v>169</v>
      </c>
      <c r="D29" s="323">
        <v>0.69699999999999995</v>
      </c>
      <c r="E29" s="323">
        <v>0.495</v>
      </c>
      <c r="F29" s="322" t="s">
        <v>170</v>
      </c>
      <c r="G29" s="324">
        <f t="shared" si="5"/>
        <v>27744.518913421747</v>
      </c>
      <c r="H29" s="324">
        <f t="shared" si="6"/>
        <v>27744.518913421747</v>
      </c>
      <c r="I29" s="297"/>
      <c r="J29" s="260"/>
      <c r="K29" s="44"/>
      <c r="L29" s="340">
        <f t="shared" si="7"/>
        <v>1</v>
      </c>
      <c r="M29" s="341">
        <f t="shared" si="8"/>
        <v>0.747</v>
      </c>
      <c r="N29" s="341">
        <f t="shared" si="9"/>
        <v>0.495</v>
      </c>
      <c r="O29" s="256">
        <f t="shared" si="10"/>
        <v>0.36976500000000001</v>
      </c>
      <c r="P29" s="254">
        <f t="shared" si="11"/>
        <v>0.36976500000000001</v>
      </c>
      <c r="Q29" s="247">
        <f t="shared" si="12"/>
        <v>24744.518913421747</v>
      </c>
      <c r="R29" s="296">
        <f t="shared" si="13"/>
        <v>27744.518913421747</v>
      </c>
      <c r="S29" s="284">
        <f t="shared" si="14"/>
        <v>0.747</v>
      </c>
      <c r="T29" s="43">
        <f t="shared" si="15"/>
        <v>1.98</v>
      </c>
      <c r="U29" s="9"/>
      <c r="X29" s="4"/>
    </row>
    <row r="30" spans="2:25" ht="17.399999999999999" x14ac:dyDescent="0.3">
      <c r="B30" s="322">
        <v>1</v>
      </c>
      <c r="C30" s="333" t="s">
        <v>169</v>
      </c>
      <c r="D30" s="323">
        <v>0.1</v>
      </c>
      <c r="E30" s="323">
        <v>0.59699999999999998</v>
      </c>
      <c r="F30" s="322" t="s">
        <v>170</v>
      </c>
      <c r="G30" s="324">
        <f t="shared" si="5"/>
        <v>8992.6484894376626</v>
      </c>
      <c r="H30" s="324">
        <f t="shared" si="6"/>
        <v>8992.6484894376626</v>
      </c>
      <c r="I30" s="297"/>
      <c r="J30" s="260"/>
      <c r="K30" s="44"/>
      <c r="L30" s="44">
        <f t="shared" si="7"/>
        <v>1</v>
      </c>
      <c r="M30" s="36">
        <f t="shared" si="8"/>
        <v>0.15000000000000002</v>
      </c>
      <c r="N30" s="36">
        <f t="shared" si="9"/>
        <v>0.59699999999999998</v>
      </c>
      <c r="O30" s="256">
        <f t="shared" si="10"/>
        <v>8.9550000000000005E-2</v>
      </c>
      <c r="P30" s="254">
        <f t="shared" si="11"/>
        <v>8.9550000000000005E-2</v>
      </c>
      <c r="Q30" s="247">
        <f t="shared" si="12"/>
        <v>5992.6484894376636</v>
      </c>
      <c r="R30" s="296">
        <f t="shared" si="13"/>
        <v>8992.6484894376626</v>
      </c>
      <c r="S30" s="284">
        <f t="shared" si="14"/>
        <v>0.15000000000000002</v>
      </c>
      <c r="T30" s="43">
        <f t="shared" si="15"/>
        <v>2.3879999999999999</v>
      </c>
      <c r="U30" s="9"/>
      <c r="X30" s="4"/>
    </row>
    <row r="31" spans="2:25" ht="17.399999999999999" x14ac:dyDescent="0.3">
      <c r="B31" s="322">
        <v>4</v>
      </c>
      <c r="C31" s="333" t="s">
        <v>169</v>
      </c>
      <c r="D31" s="323">
        <v>0.91</v>
      </c>
      <c r="E31" s="323">
        <v>0.497</v>
      </c>
      <c r="F31" s="322" t="s">
        <v>170</v>
      </c>
      <c r="G31" s="324">
        <f t="shared" si="5"/>
        <v>34928.670544729175</v>
      </c>
      <c r="H31" s="324">
        <f t="shared" si="6"/>
        <v>139714.6821789167</v>
      </c>
      <c r="I31" s="297"/>
      <c r="J31" s="260"/>
      <c r="K31" s="44"/>
      <c r="L31" s="336">
        <f t="shared" si="7"/>
        <v>4</v>
      </c>
      <c r="M31" s="337">
        <f t="shared" si="8"/>
        <v>0.96000000000000008</v>
      </c>
      <c r="N31" s="337">
        <f t="shared" si="9"/>
        <v>0.497</v>
      </c>
      <c r="O31" s="256">
        <f t="shared" si="10"/>
        <v>0.47712000000000004</v>
      </c>
      <c r="P31" s="254">
        <f t="shared" si="11"/>
        <v>1.9084800000000002</v>
      </c>
      <c r="Q31" s="247">
        <f t="shared" si="12"/>
        <v>31928.670544729179</v>
      </c>
      <c r="R31" s="296">
        <f t="shared" si="13"/>
        <v>34928.670544729175</v>
      </c>
      <c r="S31" s="284">
        <f t="shared" si="14"/>
        <v>3.8400000000000003</v>
      </c>
      <c r="T31" s="43">
        <f t="shared" si="15"/>
        <v>7.952</v>
      </c>
      <c r="U31" s="9"/>
      <c r="X31" s="4"/>
    </row>
    <row r="32" spans="2:25" ht="17.399999999999999" x14ac:dyDescent="0.3">
      <c r="B32" s="322">
        <v>1</v>
      </c>
      <c r="C32" s="333" t="s">
        <v>169</v>
      </c>
      <c r="D32" s="323">
        <v>0.91</v>
      </c>
      <c r="E32" s="323">
        <v>0.32</v>
      </c>
      <c r="F32" s="322" t="s">
        <v>170</v>
      </c>
      <c r="G32" s="324">
        <f t="shared" si="5"/>
        <v>23557.695320549974</v>
      </c>
      <c r="H32" s="324">
        <f t="shared" si="6"/>
        <v>23557.695320549974</v>
      </c>
      <c r="I32" s="297"/>
      <c r="J32" s="260"/>
      <c r="K32" s="44"/>
      <c r="L32" s="334">
        <f t="shared" si="7"/>
        <v>1</v>
      </c>
      <c r="M32" s="335">
        <f t="shared" si="8"/>
        <v>0.96000000000000008</v>
      </c>
      <c r="N32" s="335">
        <f t="shared" si="9"/>
        <v>0.32</v>
      </c>
      <c r="O32" s="256">
        <f t="shared" si="10"/>
        <v>0.30720000000000003</v>
      </c>
      <c r="P32" s="254">
        <f t="shared" si="11"/>
        <v>0.30720000000000003</v>
      </c>
      <c r="Q32" s="247">
        <f t="shared" si="12"/>
        <v>20557.695320549974</v>
      </c>
      <c r="R32" s="296">
        <f t="shared" si="13"/>
        <v>23557.695320549974</v>
      </c>
      <c r="S32" s="284">
        <f t="shared" si="14"/>
        <v>0.96000000000000008</v>
      </c>
      <c r="T32" s="43">
        <f t="shared" si="15"/>
        <v>1.28</v>
      </c>
      <c r="U32" s="9"/>
      <c r="X32" s="4"/>
    </row>
    <row r="33" spans="2:24" ht="17.399999999999999" x14ac:dyDescent="0.3">
      <c r="B33" s="322">
        <v>1</v>
      </c>
      <c r="C33" s="333" t="s">
        <v>169</v>
      </c>
      <c r="D33" s="323">
        <v>0.69699999999999995</v>
      </c>
      <c r="E33" s="323">
        <v>0.497</v>
      </c>
      <c r="F33" s="322" t="s">
        <v>170</v>
      </c>
      <c r="G33" s="324">
        <f t="shared" si="5"/>
        <v>27844.496767617391</v>
      </c>
      <c r="H33" s="324">
        <f t="shared" si="6"/>
        <v>27844.496767617391</v>
      </c>
      <c r="I33" s="297"/>
      <c r="J33" s="260"/>
      <c r="K33" s="44"/>
      <c r="L33" s="338">
        <f t="shared" si="7"/>
        <v>1</v>
      </c>
      <c r="M33" s="339">
        <f t="shared" si="8"/>
        <v>0.747</v>
      </c>
      <c r="N33" s="339">
        <f t="shared" si="9"/>
        <v>0.497</v>
      </c>
      <c r="O33" s="256">
        <f t="shared" si="10"/>
        <v>0.37125900000000001</v>
      </c>
      <c r="P33" s="254">
        <f t="shared" si="11"/>
        <v>0.37125900000000001</v>
      </c>
      <c r="Q33" s="247">
        <f t="shared" si="12"/>
        <v>24844.496767617391</v>
      </c>
      <c r="R33" s="296">
        <f t="shared" si="13"/>
        <v>27844.496767617391</v>
      </c>
      <c r="S33" s="284">
        <f t="shared" si="14"/>
        <v>0.747</v>
      </c>
      <c r="T33" s="43">
        <f t="shared" si="15"/>
        <v>1.988</v>
      </c>
      <c r="U33" s="9"/>
      <c r="X33" s="4"/>
    </row>
    <row r="34" spans="2:24" ht="17.399999999999999" x14ac:dyDescent="0.3">
      <c r="B34" s="322">
        <v>3</v>
      </c>
      <c r="C34" s="333" t="s">
        <v>169</v>
      </c>
      <c r="D34" s="323">
        <v>0.20499999999999999</v>
      </c>
      <c r="E34" s="323">
        <v>0.497</v>
      </c>
      <c r="F34" s="322" t="s">
        <v>170</v>
      </c>
      <c r="G34" s="324">
        <f t="shared" si="5"/>
        <v>11481.053113443688</v>
      </c>
      <c r="H34" s="324">
        <f t="shared" si="6"/>
        <v>34443.159340331062</v>
      </c>
      <c r="I34" s="297"/>
      <c r="J34" s="260"/>
      <c r="K34" s="44"/>
      <c r="L34" s="44">
        <f t="shared" si="7"/>
        <v>3</v>
      </c>
      <c r="M34" s="36">
        <f t="shared" si="8"/>
        <v>0.255</v>
      </c>
      <c r="N34" s="36">
        <f t="shared" si="9"/>
        <v>0.497</v>
      </c>
      <c r="O34" s="256">
        <f t="shared" si="10"/>
        <v>0.12673500000000001</v>
      </c>
      <c r="P34" s="254">
        <f t="shared" si="11"/>
        <v>0.38020500000000002</v>
      </c>
      <c r="Q34" s="247">
        <f t="shared" si="12"/>
        <v>8481.0531134436878</v>
      </c>
      <c r="R34" s="296">
        <f t="shared" si="13"/>
        <v>11481.053113443688</v>
      </c>
      <c r="S34" s="284">
        <f t="shared" si="14"/>
        <v>0.76500000000000001</v>
      </c>
      <c r="T34" s="43">
        <f t="shared" si="15"/>
        <v>5.9640000000000004</v>
      </c>
      <c r="U34" s="9"/>
      <c r="X34" s="4"/>
    </row>
    <row r="35" spans="2:24" ht="17.399999999999999" x14ac:dyDescent="0.3">
      <c r="B35" s="322">
        <v>2</v>
      </c>
      <c r="C35" s="333" t="s">
        <v>169</v>
      </c>
      <c r="D35" s="323">
        <v>0.69699999999999995</v>
      </c>
      <c r="E35" s="323">
        <v>0.497</v>
      </c>
      <c r="F35" s="322" t="s">
        <v>170</v>
      </c>
      <c r="G35" s="324">
        <f t="shared" si="5"/>
        <v>27844.496767617391</v>
      </c>
      <c r="H35" s="324">
        <f t="shared" si="6"/>
        <v>55688.993535234782</v>
      </c>
      <c r="I35" s="297"/>
      <c r="J35" s="260"/>
      <c r="K35" s="336"/>
      <c r="L35" s="336">
        <f t="shared" si="7"/>
        <v>2</v>
      </c>
      <c r="M35" s="337">
        <f t="shared" si="8"/>
        <v>0.747</v>
      </c>
      <c r="N35" s="337">
        <f t="shared" si="9"/>
        <v>0.497</v>
      </c>
      <c r="O35" s="256">
        <f t="shared" si="10"/>
        <v>0.37125900000000001</v>
      </c>
      <c r="P35" s="254">
        <f t="shared" si="11"/>
        <v>0.74251800000000001</v>
      </c>
      <c r="Q35" s="247">
        <f t="shared" si="12"/>
        <v>24844.496767617391</v>
      </c>
      <c r="R35" s="296">
        <f t="shared" si="13"/>
        <v>27844.496767617391</v>
      </c>
      <c r="S35" s="284">
        <f t="shared" si="14"/>
        <v>1.494</v>
      </c>
      <c r="T35" s="43">
        <f t="shared" si="15"/>
        <v>3.976</v>
      </c>
      <c r="U35" s="9"/>
      <c r="X35" s="4"/>
    </row>
    <row r="36" spans="2:24" ht="17.399999999999999" x14ac:dyDescent="0.3">
      <c r="B36" s="322">
        <v>1</v>
      </c>
      <c r="C36" s="333" t="s">
        <v>169</v>
      </c>
      <c r="D36" s="323">
        <v>0.69699999999999995</v>
      </c>
      <c r="E36" s="323">
        <v>0.47499999999999998</v>
      </c>
      <c r="F36" s="322" t="s">
        <v>170</v>
      </c>
      <c r="G36" s="324">
        <f t="shared" si="5"/>
        <v>26744.740371465312</v>
      </c>
      <c r="H36" s="324">
        <f t="shared" si="6"/>
        <v>26744.740371465312</v>
      </c>
      <c r="I36" s="297"/>
      <c r="J36" s="260"/>
      <c r="K36" s="44"/>
      <c r="L36" s="340">
        <f t="shared" si="7"/>
        <v>1</v>
      </c>
      <c r="M36" s="341">
        <f t="shared" si="8"/>
        <v>0.747</v>
      </c>
      <c r="N36" s="341">
        <f t="shared" si="9"/>
        <v>0.47499999999999998</v>
      </c>
      <c r="O36" s="256">
        <f t="shared" si="10"/>
        <v>0.354825</v>
      </c>
      <c r="P36" s="254">
        <f t="shared" si="11"/>
        <v>0.354825</v>
      </c>
      <c r="Q36" s="247">
        <f t="shared" si="12"/>
        <v>23744.740371465312</v>
      </c>
      <c r="R36" s="296">
        <f t="shared" si="13"/>
        <v>26744.740371465312</v>
      </c>
      <c r="S36" s="284">
        <f t="shared" si="14"/>
        <v>0.747</v>
      </c>
      <c r="T36" s="43">
        <f t="shared" si="15"/>
        <v>1.9</v>
      </c>
      <c r="U36" s="9"/>
      <c r="X36" s="4"/>
    </row>
    <row r="37" spans="2:24" ht="17.399999999999999" x14ac:dyDescent="0.3">
      <c r="B37" s="322">
        <v>2</v>
      </c>
      <c r="C37" s="333" t="s">
        <v>169</v>
      </c>
      <c r="D37" s="323">
        <v>0.69699999999999995</v>
      </c>
      <c r="E37" s="323">
        <v>0.27500000000000002</v>
      </c>
      <c r="F37" s="322" t="s">
        <v>170</v>
      </c>
      <c r="G37" s="324">
        <f t="shared" si="5"/>
        <v>16746.954951900974</v>
      </c>
      <c r="H37" s="324">
        <f t="shared" si="6"/>
        <v>33493.909903801949</v>
      </c>
      <c r="I37" s="297"/>
      <c r="J37" s="260"/>
      <c r="K37" s="338"/>
      <c r="L37" s="338">
        <f t="shared" si="7"/>
        <v>2</v>
      </c>
      <c r="M37" s="339">
        <f t="shared" si="8"/>
        <v>0.747</v>
      </c>
      <c r="N37" s="339">
        <f t="shared" si="9"/>
        <v>0.27500000000000002</v>
      </c>
      <c r="O37" s="256">
        <f t="shared" si="10"/>
        <v>0.20542500000000002</v>
      </c>
      <c r="P37" s="254">
        <f t="shared" si="11"/>
        <v>0.41085000000000005</v>
      </c>
      <c r="Q37" s="247">
        <f t="shared" si="12"/>
        <v>13746.954951900972</v>
      </c>
      <c r="R37" s="296">
        <f t="shared" si="13"/>
        <v>16746.954951900974</v>
      </c>
      <c r="S37" s="284">
        <f t="shared" si="14"/>
        <v>1.494</v>
      </c>
      <c r="T37" s="43">
        <f t="shared" si="15"/>
        <v>2.2000000000000002</v>
      </c>
      <c r="U37" s="9"/>
      <c r="X37" s="4"/>
    </row>
    <row r="38" spans="2:24" ht="17.399999999999999" x14ac:dyDescent="0.3">
      <c r="B38" s="322">
        <v>1</v>
      </c>
      <c r="C38" s="333" t="s">
        <v>169</v>
      </c>
      <c r="D38" s="323">
        <v>1.1499999999999999</v>
      </c>
      <c r="E38" s="323">
        <v>0.26</v>
      </c>
      <c r="F38" s="322" t="s">
        <v>170</v>
      </c>
      <c r="G38" s="324">
        <f t="shared" si="5"/>
        <v>23878.909309933566</v>
      </c>
      <c r="H38" s="324">
        <f t="shared" si="6"/>
        <v>23878.909309933566</v>
      </c>
      <c r="I38" s="297"/>
      <c r="J38" s="260"/>
      <c r="K38" s="338"/>
      <c r="L38" s="338">
        <f t="shared" si="7"/>
        <v>1</v>
      </c>
      <c r="M38" s="339">
        <f t="shared" si="8"/>
        <v>1.2</v>
      </c>
      <c r="N38" s="339">
        <f t="shared" si="9"/>
        <v>0.26</v>
      </c>
      <c r="O38" s="256">
        <f t="shared" si="10"/>
        <v>0.312</v>
      </c>
      <c r="P38" s="254">
        <f t="shared" si="11"/>
        <v>0.312</v>
      </c>
      <c r="Q38" s="247">
        <f t="shared" si="12"/>
        <v>20878.909309933566</v>
      </c>
      <c r="R38" s="296">
        <f t="shared" si="13"/>
        <v>23878.909309933566</v>
      </c>
      <c r="S38" s="284">
        <f t="shared" si="14"/>
        <v>1.2</v>
      </c>
      <c r="T38" s="43">
        <f t="shared" si="15"/>
        <v>1.04</v>
      </c>
      <c r="U38" s="9"/>
      <c r="X38" s="4"/>
    </row>
    <row r="39" spans="2:24" ht="17.399999999999999" x14ac:dyDescent="0.3">
      <c r="B39" s="322">
        <v>1</v>
      </c>
      <c r="C39" s="333" t="s">
        <v>169</v>
      </c>
      <c r="D39" s="323">
        <v>0.97699999999999998</v>
      </c>
      <c r="E39" s="323">
        <v>0.26</v>
      </c>
      <c r="F39" s="322" t="s">
        <v>170</v>
      </c>
      <c r="G39" s="324">
        <f t="shared" si="5"/>
        <v>20868.866551084808</v>
      </c>
      <c r="H39" s="324">
        <f t="shared" si="6"/>
        <v>20868.866551084808</v>
      </c>
      <c r="I39" s="297"/>
      <c r="J39" s="260"/>
      <c r="K39" s="44"/>
      <c r="L39" s="334">
        <f t="shared" si="7"/>
        <v>1</v>
      </c>
      <c r="M39" s="335">
        <f t="shared" si="8"/>
        <v>1.0269999999999999</v>
      </c>
      <c r="N39" s="335">
        <f t="shared" si="9"/>
        <v>0.26</v>
      </c>
      <c r="O39" s="256">
        <f t="shared" si="10"/>
        <v>0.26701999999999998</v>
      </c>
      <c r="P39" s="254">
        <f t="shared" si="11"/>
        <v>0.26701999999999998</v>
      </c>
      <c r="Q39" s="247">
        <f t="shared" si="12"/>
        <v>17868.866551084808</v>
      </c>
      <c r="R39" s="296">
        <f t="shared" si="13"/>
        <v>20868.866551084808</v>
      </c>
      <c r="S39" s="284">
        <f t="shared" si="14"/>
        <v>1.0269999999999999</v>
      </c>
      <c r="T39" s="43">
        <f t="shared" si="15"/>
        <v>1.04</v>
      </c>
      <c r="U39" s="9"/>
      <c r="X39" s="4"/>
    </row>
    <row r="40" spans="2:24" ht="17.399999999999999" x14ac:dyDescent="0.3">
      <c r="B40" s="322">
        <v>2</v>
      </c>
      <c r="C40" s="333" t="s">
        <v>169</v>
      </c>
      <c r="D40" s="323">
        <v>0.43</v>
      </c>
      <c r="E40" s="323">
        <v>0.48799999999999999</v>
      </c>
      <c r="F40" s="322" t="s">
        <v>170</v>
      </c>
      <c r="G40" s="324">
        <f t="shared" si="5"/>
        <v>18675.24268191935</v>
      </c>
      <c r="H40" s="324">
        <f t="shared" si="6"/>
        <v>37350.485363838699</v>
      </c>
      <c r="I40" s="297"/>
      <c r="J40" s="260"/>
      <c r="K40" s="44"/>
      <c r="L40" s="340">
        <f t="shared" si="7"/>
        <v>2</v>
      </c>
      <c r="M40" s="341">
        <f t="shared" si="8"/>
        <v>0.48</v>
      </c>
      <c r="N40" s="341">
        <f t="shared" si="9"/>
        <v>0.48799999999999999</v>
      </c>
      <c r="O40" s="256">
        <f t="shared" si="10"/>
        <v>0.23423999999999998</v>
      </c>
      <c r="P40" s="254">
        <f t="shared" si="11"/>
        <v>0.46847999999999995</v>
      </c>
      <c r="Q40" s="247">
        <f t="shared" si="12"/>
        <v>15675.242681919352</v>
      </c>
      <c r="R40" s="296">
        <f t="shared" si="13"/>
        <v>18675.24268191935</v>
      </c>
      <c r="S40" s="284">
        <f t="shared" si="14"/>
        <v>0.96</v>
      </c>
      <c r="T40" s="43">
        <f t="shared" si="15"/>
        <v>3.9039999999999999</v>
      </c>
      <c r="U40" s="9"/>
      <c r="X40" s="4"/>
    </row>
    <row r="41" spans="2:24" ht="17.399999999999999" x14ac:dyDescent="0.3">
      <c r="B41" s="322">
        <v>1</v>
      </c>
      <c r="C41" s="333" t="s">
        <v>85</v>
      </c>
      <c r="D41" s="323">
        <v>1.5</v>
      </c>
      <c r="E41" s="323">
        <v>0.6</v>
      </c>
      <c r="F41" s="322" t="s">
        <v>170</v>
      </c>
      <c r="G41" s="324">
        <v>17000</v>
      </c>
      <c r="H41" s="324">
        <f t="shared" si="6"/>
        <v>17000</v>
      </c>
      <c r="I41" s="297"/>
      <c r="J41" s="260"/>
      <c r="K41" s="44"/>
      <c r="L41" s="44"/>
      <c r="M41" s="36">
        <f t="shared" si="8"/>
        <v>1.55</v>
      </c>
      <c r="N41" s="36">
        <f t="shared" si="9"/>
        <v>0.6</v>
      </c>
      <c r="O41" s="256">
        <f t="shared" si="10"/>
        <v>0.92999999999999994</v>
      </c>
      <c r="P41" s="254">
        <f t="shared" si="11"/>
        <v>0</v>
      </c>
      <c r="Q41" s="247">
        <f t="shared" si="12"/>
        <v>62235.210443071199</v>
      </c>
      <c r="R41" s="296">
        <f t="shared" si="13"/>
        <v>65235.210443071199</v>
      </c>
      <c r="S41" s="284">
        <f t="shared" si="14"/>
        <v>0</v>
      </c>
      <c r="T41" s="43">
        <f t="shared" si="15"/>
        <v>0</v>
      </c>
      <c r="U41" s="9"/>
      <c r="X41" s="4"/>
    </row>
    <row r="42" spans="2:24" ht="17.399999999999999" x14ac:dyDescent="0.3">
      <c r="B42" s="322">
        <v>1</v>
      </c>
      <c r="C42" s="333" t="s">
        <v>85</v>
      </c>
      <c r="D42" s="323">
        <v>0.5</v>
      </c>
      <c r="E42" s="323">
        <v>0.35</v>
      </c>
      <c r="F42" s="322" t="s">
        <v>170</v>
      </c>
      <c r="G42" s="324">
        <v>5000</v>
      </c>
      <c r="H42" s="324">
        <f t="shared" si="6"/>
        <v>5000</v>
      </c>
      <c r="I42" s="297"/>
      <c r="J42" s="260"/>
      <c r="K42" s="44"/>
      <c r="L42" s="44"/>
      <c r="M42" s="36">
        <f t="shared" si="8"/>
        <v>0.55000000000000004</v>
      </c>
      <c r="N42" s="36">
        <f t="shared" si="9"/>
        <v>0.35</v>
      </c>
      <c r="O42" s="256">
        <f t="shared" si="10"/>
        <v>0.1925</v>
      </c>
      <c r="P42" s="254">
        <f t="shared" si="11"/>
        <v>0</v>
      </c>
      <c r="Q42" s="247">
        <f t="shared" si="12"/>
        <v>12882.019365904524</v>
      </c>
      <c r="R42" s="296">
        <f t="shared" si="13"/>
        <v>15882.019365904524</v>
      </c>
      <c r="S42" s="284">
        <f t="shared" si="14"/>
        <v>0</v>
      </c>
      <c r="T42" s="43">
        <f t="shared" si="15"/>
        <v>0</v>
      </c>
      <c r="U42" s="9"/>
      <c r="X42" s="4"/>
    </row>
    <row r="43" spans="2:24" ht="18" thickBot="1" x14ac:dyDescent="0.35">
      <c r="B43" s="278"/>
      <c r="C43" s="278"/>
      <c r="D43" s="279"/>
      <c r="E43" s="279"/>
      <c r="F43" s="278"/>
      <c r="G43" s="260"/>
      <c r="H43" s="298"/>
      <c r="I43" s="300"/>
      <c r="J43" s="229"/>
      <c r="K43" s="44"/>
      <c r="L43" s="44"/>
      <c r="M43" s="36"/>
      <c r="N43" s="36"/>
      <c r="O43" s="256"/>
      <c r="P43" s="254"/>
      <c r="Q43" s="247"/>
      <c r="R43" s="253"/>
      <c r="S43" s="284"/>
      <c r="T43" s="14"/>
      <c r="U43" s="9"/>
      <c r="X43" s="4"/>
    </row>
    <row r="44" spans="2:24" ht="17.399999999999999" x14ac:dyDescent="0.3">
      <c r="B44" s="278"/>
      <c r="C44" s="278"/>
      <c r="D44" s="279"/>
      <c r="E44" s="279"/>
      <c r="F44" s="278"/>
      <c r="G44" s="301" t="s">
        <v>28</v>
      </c>
      <c r="H44" s="325">
        <f>SUM(H21:H43)</f>
        <v>803393.88212000031</v>
      </c>
      <c r="I44" s="299"/>
      <c r="J44" s="260"/>
      <c r="K44" s="315"/>
      <c r="L44" s="44"/>
      <c r="M44" s="36"/>
      <c r="N44" s="36"/>
      <c r="O44" s="256"/>
      <c r="P44" s="254"/>
      <c r="Q44" s="247"/>
      <c r="R44" s="253"/>
      <c r="S44" s="284"/>
      <c r="T44" s="43">
        <f>SUM(T21:T43)</f>
        <v>58.951999999999998</v>
      </c>
      <c r="U44" s="9"/>
      <c r="X44" s="4"/>
    </row>
    <row r="45" spans="2:24" ht="17.399999999999999" x14ac:dyDescent="0.3">
      <c r="B45" s="272"/>
      <c r="C45" s="275"/>
      <c r="D45" s="276"/>
      <c r="E45" s="276"/>
      <c r="F45" s="277"/>
      <c r="G45" s="283" t="s">
        <v>51</v>
      </c>
      <c r="H45" s="326">
        <f>H44*19%</f>
        <v>152644.83760280005</v>
      </c>
      <c r="I45" s="299"/>
      <c r="J45" s="260"/>
      <c r="K45" s="315"/>
      <c r="L45" s="44"/>
      <c r="M45" s="36">
        <f>SUM(M21:M21)</f>
        <v>0.96000000000000008</v>
      </c>
      <c r="N45" s="12"/>
      <c r="O45" s="12"/>
      <c r="P45" s="248">
        <f>SUM(P21:P43)</f>
        <v>10.107562999999999</v>
      </c>
      <c r="Q45" s="14"/>
      <c r="R45" s="12"/>
      <c r="S45" s="235">
        <f>SUM(S21:S44)</f>
        <v>25.194000000000003</v>
      </c>
      <c r="T45" s="43"/>
      <c r="U45" s="9"/>
      <c r="X45" s="4"/>
    </row>
    <row r="46" spans="2:24" ht="18" thickBot="1" x14ac:dyDescent="0.35">
      <c r="B46" s="270"/>
      <c r="C46" s="274"/>
      <c r="D46" s="267"/>
      <c r="E46" s="267"/>
      <c r="F46" s="268"/>
      <c r="G46" s="273" t="s">
        <v>6</v>
      </c>
      <c r="H46" s="327">
        <f>H44+H45</f>
        <v>956038.71972280042</v>
      </c>
      <c r="I46" s="299"/>
      <c r="J46" s="260"/>
      <c r="K46" s="315"/>
      <c r="L46" s="44"/>
      <c r="M46" s="36"/>
      <c r="N46" s="12"/>
      <c r="O46" s="12"/>
      <c r="P46" s="248">
        <f>P45</f>
        <v>10.107562999999999</v>
      </c>
      <c r="Q46" s="14"/>
      <c r="R46" s="12"/>
      <c r="S46" s="235"/>
      <c r="T46" s="43"/>
      <c r="U46" s="9"/>
      <c r="X46" s="4"/>
    </row>
    <row r="47" spans="2:24" ht="17.399999999999999" x14ac:dyDescent="0.3">
      <c r="B47" s="270"/>
      <c r="C47" s="266"/>
      <c r="D47" s="267"/>
      <c r="E47" s="267"/>
      <c r="F47" s="268"/>
      <c r="J47" s="260"/>
      <c r="K47" s="315"/>
      <c r="L47" s="44"/>
      <c r="M47" s="14"/>
      <c r="N47" s="12"/>
      <c r="O47" s="12"/>
      <c r="P47" s="36">
        <f>P46*20%</f>
        <v>2.0215125999999999</v>
      </c>
      <c r="Q47" s="36" t="s">
        <v>129</v>
      </c>
      <c r="R47" s="39"/>
      <c r="S47" s="236"/>
      <c r="T47" s="14"/>
      <c r="U47" s="9"/>
      <c r="X47" s="4"/>
    </row>
    <row r="48" spans="2:24" ht="17.399999999999999" x14ac:dyDescent="0.35">
      <c r="B48" s="264"/>
      <c r="C48" s="226"/>
      <c r="D48" s="226"/>
      <c r="E48" s="229"/>
      <c r="F48" s="230"/>
      <c r="G48" s="226"/>
      <c r="H48" s="269"/>
      <c r="I48" s="269"/>
      <c r="J48" s="260"/>
      <c r="K48" s="44"/>
      <c r="L48" s="44"/>
      <c r="M48" s="14"/>
      <c r="N48" s="12"/>
      <c r="O48" s="12"/>
      <c r="P48" s="43">
        <f>P46+P47</f>
        <v>12.129075599999998</v>
      </c>
      <c r="Q48" s="14"/>
      <c r="R48" s="14"/>
      <c r="S48" s="234"/>
      <c r="T48" s="14"/>
      <c r="U48" s="9"/>
      <c r="X48" s="4"/>
    </row>
    <row r="49" spans="1:24" ht="17.399999999999999" x14ac:dyDescent="0.35">
      <c r="B49" s="231"/>
      <c r="C49" s="232"/>
      <c r="D49" s="233"/>
      <c r="E49" s="231"/>
      <c r="F49" s="226"/>
      <c r="G49" s="226"/>
      <c r="I49" s="269"/>
      <c r="J49" s="260"/>
      <c r="K49" s="44"/>
      <c r="L49" s="44"/>
      <c r="M49" s="14"/>
      <c r="N49" s="14"/>
      <c r="O49" s="14"/>
      <c r="P49" s="14"/>
      <c r="Q49" s="14"/>
      <c r="R49" s="14"/>
      <c r="S49" s="236"/>
      <c r="T49" s="14"/>
      <c r="U49" s="288" t="s">
        <v>21</v>
      </c>
      <c r="V49" s="285" t="s">
        <v>149</v>
      </c>
      <c r="W49" s="289">
        <v>44971</v>
      </c>
      <c r="X49" s="290"/>
    </row>
    <row r="50" spans="1:24" ht="17.399999999999999" x14ac:dyDescent="0.35">
      <c r="B50" s="226"/>
      <c r="C50" s="226"/>
      <c r="D50" s="226"/>
      <c r="E50" s="226"/>
      <c r="F50" s="226"/>
      <c r="G50" s="226"/>
      <c r="J50" s="260"/>
      <c r="K50" s="44"/>
      <c r="L50" s="44"/>
      <c r="M50" s="36">
        <f>P48</f>
        <v>12.129075599999998</v>
      </c>
      <c r="N50" s="12">
        <v>3500</v>
      </c>
      <c r="O50" s="12">
        <f t="shared" ref="O50:O55" si="16">M50*N50</f>
        <v>42451.764599999995</v>
      </c>
      <c r="P50" s="14" t="s">
        <v>21</v>
      </c>
      <c r="Q50" s="14"/>
      <c r="R50" s="14"/>
      <c r="S50" s="237"/>
      <c r="T50" s="14"/>
      <c r="U50" s="288" t="s">
        <v>150</v>
      </c>
      <c r="V50" s="285">
        <v>3625</v>
      </c>
      <c r="W50" s="56" t="s">
        <v>151</v>
      </c>
      <c r="X50" s="290"/>
    </row>
    <row r="51" spans="1:24" ht="17.399999999999999" x14ac:dyDescent="0.35">
      <c r="A51" s="226"/>
      <c r="B51" s="226"/>
      <c r="C51" s="226"/>
      <c r="D51" s="226"/>
      <c r="E51" s="226"/>
      <c r="F51" s="226"/>
      <c r="G51" s="226"/>
      <c r="H51" s="226"/>
      <c r="J51" s="260"/>
      <c r="K51" s="44"/>
      <c r="L51" s="44"/>
      <c r="M51" s="244">
        <v>3.5</v>
      </c>
      <c r="N51" s="12">
        <v>40000</v>
      </c>
      <c r="O51" s="12">
        <f t="shared" si="16"/>
        <v>140000</v>
      </c>
      <c r="P51" s="36" t="s">
        <v>168</v>
      </c>
      <c r="Q51" s="39"/>
      <c r="R51" s="14"/>
      <c r="S51" s="236"/>
      <c r="T51" s="14"/>
      <c r="U51" s="288"/>
      <c r="V51" s="56">
        <v>906.25</v>
      </c>
      <c r="W51" s="56" t="s">
        <v>152</v>
      </c>
      <c r="X51" s="290"/>
    </row>
    <row r="52" spans="1:24" s="226" customFormat="1" ht="17.399999999999999" x14ac:dyDescent="0.35">
      <c r="B52" s="21" t="s">
        <v>148</v>
      </c>
      <c r="J52" s="257"/>
      <c r="K52" s="228"/>
      <c r="L52" s="245"/>
      <c r="M52" s="14"/>
      <c r="N52" s="245">
        <v>80000</v>
      </c>
      <c r="O52" s="12">
        <f t="shared" si="16"/>
        <v>0</v>
      </c>
      <c r="P52" s="36" t="s">
        <v>30</v>
      </c>
      <c r="Q52" s="39"/>
      <c r="S52" s="236"/>
      <c r="T52" s="251"/>
      <c r="U52" s="56"/>
      <c r="V52" s="56">
        <f>V51*20%</f>
        <v>181.25</v>
      </c>
      <c r="W52" s="290" t="s">
        <v>153</v>
      </c>
      <c r="X52" s="56"/>
    </row>
    <row r="53" spans="1:24" s="226" customFormat="1" ht="17.399999999999999" x14ac:dyDescent="0.35">
      <c r="B53" s="21" t="s">
        <v>163</v>
      </c>
      <c r="C53"/>
      <c r="D53"/>
      <c r="E53"/>
      <c r="F53"/>
      <c r="J53" s="257">
        <v>46000</v>
      </c>
      <c r="K53" s="228"/>
      <c r="L53" s="245"/>
      <c r="M53" s="14">
        <v>5</v>
      </c>
      <c r="N53" s="245">
        <v>25000</v>
      </c>
      <c r="O53" s="12">
        <f t="shared" si="16"/>
        <v>125000</v>
      </c>
      <c r="P53" s="14" t="s">
        <v>139</v>
      </c>
      <c r="Q53" s="17"/>
      <c r="S53" s="234"/>
      <c r="T53" s="251"/>
      <c r="U53" s="56"/>
      <c r="V53" s="56">
        <f>V51+V52</f>
        <v>1087.5</v>
      </c>
      <c r="W53" s="290" t="s">
        <v>154</v>
      </c>
      <c r="X53" s="56"/>
    </row>
    <row r="54" spans="1:24" s="226" customFormat="1" ht="17.399999999999999" x14ac:dyDescent="0.35">
      <c r="B54" s="26" t="s">
        <v>124</v>
      </c>
      <c r="C54"/>
      <c r="D54"/>
      <c r="E54"/>
      <c r="F54" s="225" t="s">
        <v>15</v>
      </c>
      <c r="J54" s="257">
        <f>J53/1.19</f>
        <v>38655.462184873948</v>
      </c>
      <c r="K54" s="255"/>
      <c r="L54" s="245"/>
      <c r="M54" s="244"/>
      <c r="N54" s="245">
        <v>900</v>
      </c>
      <c r="O54" s="12">
        <f t="shared" si="16"/>
        <v>0</v>
      </c>
      <c r="P54" s="14" t="s">
        <v>32</v>
      </c>
      <c r="Q54" s="14"/>
      <c r="R54" s="226">
        <v>1.52</v>
      </c>
      <c r="S54" s="234"/>
      <c r="T54" s="234"/>
    </row>
    <row r="55" spans="1:24" s="226" customFormat="1" ht="17.399999999999999" x14ac:dyDescent="0.35">
      <c r="J55" s="282"/>
      <c r="K55" s="255"/>
      <c r="L55" s="245"/>
      <c r="M55" s="261"/>
      <c r="N55" s="12">
        <v>1500</v>
      </c>
      <c r="O55" s="12">
        <f t="shared" si="16"/>
        <v>0</v>
      </c>
      <c r="P55" s="14" t="s">
        <v>22</v>
      </c>
      <c r="Q55" s="14"/>
      <c r="R55">
        <v>2.44</v>
      </c>
      <c r="S55"/>
      <c r="T55" s="234"/>
      <c r="X55" s="227"/>
    </row>
    <row r="56" spans="1:24" s="226" customFormat="1" ht="17.399999999999999" x14ac:dyDescent="0.35">
      <c r="K56" s="255"/>
      <c r="L56" s="245"/>
      <c r="M56" s="14"/>
      <c r="N56" s="12"/>
      <c r="O56" s="12">
        <f>SUM(O50:O55)</f>
        <v>307451.76459999999</v>
      </c>
      <c r="P56" s="36" t="s">
        <v>23</v>
      </c>
      <c r="Q56" s="14"/>
      <c r="R56">
        <f>R54*R55</f>
        <v>3.7088000000000001</v>
      </c>
      <c r="S56"/>
      <c r="T56" s="234"/>
      <c r="X56" s="227"/>
    </row>
    <row r="57" spans="1:24" s="226" customFormat="1" ht="17.399999999999999" x14ac:dyDescent="0.35">
      <c r="L57" s="245"/>
      <c r="M57" s="249" t="s">
        <v>33</v>
      </c>
      <c r="N57" s="12"/>
      <c r="O57" s="250">
        <f>O56*2.2</f>
        <v>676393.88212000008</v>
      </c>
      <c r="P57" s="14" t="s">
        <v>138</v>
      </c>
      <c r="Q57" s="14"/>
      <c r="R57" s="37">
        <f>P48/R56</f>
        <v>3.2703504098360652</v>
      </c>
      <c r="S57"/>
      <c r="T57" s="252"/>
    </row>
    <row r="58" spans="1:24" s="226" customFormat="1" ht="17.399999999999999" x14ac:dyDescent="0.35">
      <c r="G58"/>
      <c r="H58" s="255"/>
      <c r="I58" s="255"/>
      <c r="J58" s="255"/>
      <c r="L58" s="245"/>
      <c r="M58" s="14"/>
      <c r="N58" s="12"/>
      <c r="O58" s="12">
        <f>O57/P46</f>
        <v>66919.581121581941</v>
      </c>
      <c r="P58" s="42" t="s">
        <v>24</v>
      </c>
      <c r="Q58" s="14"/>
      <c r="R58" s="14"/>
      <c r="S58"/>
      <c r="T58" s="234"/>
      <c r="U58" s="56" t="s">
        <v>155</v>
      </c>
      <c r="V58" s="285">
        <v>43650</v>
      </c>
    </row>
    <row r="59" spans="1:24" s="226" customFormat="1" ht="17.399999999999999" x14ac:dyDescent="0.35">
      <c r="G59"/>
      <c r="L59" s="245"/>
      <c r="M59" s="13"/>
      <c r="N59" s="14"/>
      <c r="O59" s="17">
        <f>O57/O56</f>
        <v>2.2000000000000002</v>
      </c>
      <c r="P59" s="15"/>
      <c r="Q59"/>
      <c r="R59"/>
      <c r="S59"/>
      <c r="T59" s="234"/>
      <c r="U59" s="56" t="s">
        <v>157</v>
      </c>
      <c r="V59" s="286" t="s">
        <v>156</v>
      </c>
      <c r="W59" s="56">
        <v>2.4</v>
      </c>
    </row>
    <row r="60" spans="1:24" s="226" customFormat="1" ht="17.399999999999999" x14ac:dyDescent="0.35">
      <c r="D60" s="279"/>
      <c r="E60" s="279"/>
      <c r="F60" s="278"/>
      <c r="G60" s="316"/>
      <c r="H60" s="320"/>
      <c r="L60" s="12"/>
      <c r="T60" s="234"/>
      <c r="U60" s="56" t="s">
        <v>158</v>
      </c>
      <c r="V60" s="287">
        <v>395.37</v>
      </c>
    </row>
    <row r="61" spans="1:24" s="226" customFormat="1" ht="17.399999999999999" x14ac:dyDescent="0.35">
      <c r="B61"/>
      <c r="C61" s="321"/>
      <c r="D61" s="279"/>
      <c r="E61" s="279"/>
      <c r="F61" s="278"/>
      <c r="G61" s="316"/>
      <c r="H61" s="320"/>
      <c r="L61" s="12"/>
      <c r="T61" s="234"/>
      <c r="U61" s="56" t="s">
        <v>153</v>
      </c>
      <c r="V61" s="56">
        <v>474.45</v>
      </c>
    </row>
    <row r="62" spans="1:24" ht="14.4" customHeight="1" x14ac:dyDescent="0.35">
      <c r="D62" s="279"/>
      <c r="E62" s="279"/>
      <c r="F62" s="278"/>
      <c r="G62" s="316"/>
      <c r="H62" s="320"/>
      <c r="L62" s="12"/>
      <c r="U62" s="56"/>
      <c r="V62" s="56"/>
    </row>
    <row r="63" spans="1:24" ht="17.399999999999999" x14ac:dyDescent="0.35">
      <c r="D63" s="279"/>
      <c r="E63" s="279"/>
      <c r="F63" s="278"/>
      <c r="G63" s="316"/>
      <c r="H63" s="320"/>
      <c r="L63" s="245"/>
    </row>
    <row r="64" spans="1:24" ht="17.399999999999999" x14ac:dyDescent="0.35">
      <c r="D64" s="279"/>
      <c r="E64" s="279"/>
      <c r="F64" s="278"/>
      <c r="G64" s="316"/>
      <c r="H64" s="320"/>
      <c r="L64" s="245"/>
      <c r="T64" s="265"/>
    </row>
    <row r="65" spans="4:20" ht="17.399999999999999" x14ac:dyDescent="0.35">
      <c r="D65" s="279"/>
      <c r="E65" s="279"/>
      <c r="F65" s="278"/>
      <c r="G65" s="316"/>
      <c r="H65" s="320"/>
      <c r="L65" s="245"/>
    </row>
    <row r="66" spans="4:20" ht="15" customHeight="1" x14ac:dyDescent="0.35">
      <c r="D66" s="279"/>
      <c r="E66" s="279"/>
      <c r="F66" s="278"/>
      <c r="G66" s="316"/>
      <c r="H66" s="320"/>
    </row>
    <row r="67" spans="4:20" ht="17.399999999999999" x14ac:dyDescent="0.35">
      <c r="D67" s="279"/>
      <c r="E67" s="279"/>
      <c r="F67" s="278"/>
      <c r="G67" s="316"/>
      <c r="H67" s="320"/>
    </row>
    <row r="68" spans="4:20" ht="17.399999999999999" x14ac:dyDescent="0.35">
      <c r="D68" s="279"/>
      <c r="E68" s="279"/>
      <c r="F68" s="278"/>
      <c r="G68" s="316"/>
      <c r="H68" s="320"/>
      <c r="O68">
        <v>40935</v>
      </c>
      <c r="P68" t="s">
        <v>16</v>
      </c>
      <c r="Q68" t="s">
        <v>26</v>
      </c>
    </row>
    <row r="69" spans="4:20" ht="17.399999999999999" x14ac:dyDescent="0.35">
      <c r="D69" s="279"/>
      <c r="E69" s="279"/>
      <c r="F69" s="278"/>
      <c r="G69" s="316"/>
      <c r="H69" s="320"/>
    </row>
    <row r="70" spans="4:20" ht="17.399999999999999" x14ac:dyDescent="0.35">
      <c r="D70" s="279"/>
      <c r="E70" s="279"/>
      <c r="F70" s="278"/>
      <c r="G70" s="316"/>
      <c r="H70" s="320"/>
      <c r="O70" s="51"/>
      <c r="P70" s="51"/>
    </row>
    <row r="71" spans="4:20" ht="17.399999999999999" x14ac:dyDescent="0.35">
      <c r="D71" s="279"/>
      <c r="E71" s="279"/>
      <c r="F71" s="278"/>
      <c r="G71" s="316"/>
      <c r="H71" s="320"/>
      <c r="S71" s="18"/>
      <c r="T71" s="18"/>
    </row>
    <row r="72" spans="4:20" ht="17.399999999999999" x14ac:dyDescent="0.35">
      <c r="D72" s="279"/>
      <c r="E72" s="279"/>
      <c r="F72" s="278"/>
      <c r="G72" s="316"/>
      <c r="H72" s="320"/>
      <c r="S72" s="18"/>
      <c r="T72" s="18"/>
    </row>
    <row r="73" spans="4:20" ht="17.399999999999999" x14ac:dyDescent="0.35">
      <c r="D73" s="279"/>
      <c r="E73" s="279"/>
      <c r="F73" s="278"/>
      <c r="G73" s="316"/>
      <c r="H73" s="320"/>
      <c r="S73" s="18"/>
      <c r="T73" s="18"/>
    </row>
    <row r="74" spans="4:20" x14ac:dyDescent="0.3">
      <c r="S74" s="18"/>
      <c r="T74" s="18"/>
    </row>
    <row r="75" spans="4:20" x14ac:dyDescent="0.3">
      <c r="S75" s="18"/>
      <c r="T75" s="18"/>
    </row>
    <row r="76" spans="4:20" x14ac:dyDescent="0.3">
      <c r="S76" s="18"/>
      <c r="T76" s="18"/>
    </row>
    <row r="77" spans="4:20" x14ac:dyDescent="0.3">
      <c r="S77" s="18"/>
      <c r="T77" s="18"/>
    </row>
    <row r="78" spans="4:20" x14ac:dyDescent="0.3">
      <c r="S78" s="18"/>
      <c r="T78" s="18"/>
    </row>
    <row r="79" spans="4:20" x14ac:dyDescent="0.3">
      <c r="S79" s="18"/>
      <c r="T79" s="18"/>
    </row>
    <row r="82" spans="3:15" x14ac:dyDescent="0.3">
      <c r="O82" s="40"/>
    </row>
    <row r="83" spans="3:15" x14ac:dyDescent="0.3">
      <c r="O83" s="40"/>
    </row>
    <row r="84" spans="3:15" x14ac:dyDescent="0.3">
      <c r="O84" s="6"/>
    </row>
    <row r="85" spans="3:15" x14ac:dyDescent="0.3">
      <c r="O85" s="6"/>
    </row>
    <row r="93" spans="3:15" x14ac:dyDescent="0.3">
      <c r="C93" t="s">
        <v>145</v>
      </c>
    </row>
    <row r="94" spans="3:15" x14ac:dyDescent="0.3">
      <c r="C94" t="s">
        <v>144</v>
      </c>
    </row>
    <row r="97" spans="3:3" x14ac:dyDescent="0.3">
      <c r="C97" t="s">
        <v>144</v>
      </c>
    </row>
    <row r="174" spans="3:3" x14ac:dyDescent="0.3">
      <c r="C174" t="s">
        <v>144</v>
      </c>
    </row>
    <row r="175" spans="3:3" x14ac:dyDescent="0.3">
      <c r="C175" t="s">
        <v>146</v>
      </c>
    </row>
    <row r="176" spans="3:3" x14ac:dyDescent="0.3">
      <c r="C176" t="s">
        <v>147</v>
      </c>
    </row>
    <row r="601" spans="3:3" x14ac:dyDescent="0.3">
      <c r="C601" t="s">
        <v>144</v>
      </c>
    </row>
  </sheetData>
  <mergeCells count="2">
    <mergeCell ref="F17:H17"/>
    <mergeCell ref="B19:H19"/>
  </mergeCells>
  <phoneticPr fontId="33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45975</v>
      </c>
    </row>
    <row r="6" spans="1:31" ht="16.2" thickBot="1" x14ac:dyDescent="0.35">
      <c r="B6" s="137" t="s">
        <v>2</v>
      </c>
      <c r="C6" s="136" t="str">
        <f>'2229'!C10</f>
        <v>MARMOLES RAIN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8" t="s">
        <v>98</v>
      </c>
      <c r="I7" s="349"/>
      <c r="J7" s="349"/>
      <c r="K7" s="350"/>
      <c r="N7" s="72"/>
      <c r="O7" s="34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-79917.467053236775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'2229'!H44</f>
        <v>803393.88212000031</v>
      </c>
      <c r="E11" s="129">
        <f>D11*0.19</f>
        <v>152644.83760280005</v>
      </c>
      <c r="F11" s="128">
        <f>E11+D11</f>
        <v>956038.71972280042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26072.532946763225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202430.67487536231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8072.5329467632255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600963.207244638</v>
      </c>
      <c r="E13" s="218">
        <f>(D11/D12)-1</f>
        <v>2.9687358776759223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-927.46705323677452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-39927.467053236775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385428.00496268983</v>
      </c>
      <c r="C15" s="210" t="s">
        <v>121</v>
      </c>
      <c r="D15" s="211">
        <v>0.6</v>
      </c>
      <c r="E15" s="212">
        <f>(100%+D15)*D12</f>
        <v>323889.0798005797</v>
      </c>
      <c r="F15" s="213">
        <f>E15-D12</f>
        <v>121458.40492521739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-39927.467053236775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72.532946763225482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'2229'!O52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'2229'!O51</f>
        <v>140000</v>
      </c>
      <c r="E19" s="120">
        <f>D19*0.19</f>
        <v>26600</v>
      </c>
      <c r="F19" s="117">
        <f>SUM(D19:E19)</f>
        <v>166600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'2229'!O50</f>
        <v>42451.764599999995</v>
      </c>
      <c r="E20" s="118">
        <f>D20*0.19</f>
        <v>8065.8352739999991</v>
      </c>
      <c r="F20" s="117">
        <f>SUM(D20:E20)</f>
        <v>50517.599873999992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182451.76459999999</v>
      </c>
      <c r="E21" s="113">
        <f>SUM(E18:E20)</f>
        <v>34665.835273999997</v>
      </c>
      <c r="F21" s="112">
        <f>SUM(F18:F20)</f>
        <v>217117.59987400001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117979.00232880005</v>
      </c>
    </row>
    <row r="41" spans="2:16" ht="15" thickBot="1" x14ac:dyDescent="0.35">
      <c r="H41" s="351" t="s">
        <v>60</v>
      </c>
      <c r="I41" s="352"/>
      <c r="J41" s="352"/>
      <c r="K41" s="352"/>
      <c r="L41" s="352"/>
      <c r="M41" s="35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803393.88212000031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182451.76459999999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600963.207244638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600963.207244638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2025-11-14T20:53:45Z</dcterms:modified>
</cp:coreProperties>
</file>