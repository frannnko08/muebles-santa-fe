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51D57029-1FDF-4CD5-AE95-6948D1A0EC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L21" i="1"/>
  <c r="M21" i="1"/>
  <c r="M25" i="1" s="1"/>
  <c r="N21" i="1"/>
  <c r="O22" i="1" l="1"/>
  <c r="P22" i="1" s="1"/>
  <c r="O21" i="1"/>
  <c r="P21" i="1" s="1"/>
  <c r="J34" i="1"/>
  <c r="S25" i="1" l="1"/>
  <c r="T24" i="1"/>
  <c r="P25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Q21" i="1"/>
  <c r="O39" i="1"/>
  <c r="R22" i="1" l="1"/>
  <c r="H22" i="1"/>
  <c r="R21" i="1"/>
  <c r="F15" i="3"/>
  <c r="H21" i="1" l="1"/>
  <c r="H24" i="1" s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<sst xmlns="http://schemas.openxmlformats.org/spreadsheetml/2006/main" count="233" uniqueCount="176">
  <si>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</si>
  <si>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</si>
  <si>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</si>
  <si>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</si>
  <si>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</si>
  <si>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</si>
  <si>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</si>
  <si>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</si>
  <si>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</si>
  <si>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</si>
  <si>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</si>
  <si>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</si>
  <si>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</si>
  <si>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</si>
  <si>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</si>
  <si>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</si>
  <si>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</si>
  <si>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</si>
  <si>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</si>
  <si>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</si>
  <si>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</si>
  <si>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</si>
  <si>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</si>
  <si>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</si>
  <si>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</si>
  <si>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</si>
  <si>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</si>
  <si>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</si>
  <si>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</si>
  <si>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</si>
  <si>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</si>
  <si>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</si>
  <si>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</si>
  <si>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</si>
  <si>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</si>
  <si>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</si>
  <si>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</si>
  <si>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</si>
  <si>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</si>
  <si>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</si>
  <si>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</si>
  <si>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</si>
  <si>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</si>
  <si>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</si>
  <si>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</si>
  <si>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</si>
  <si>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</si>
  <si>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</si>
  <si>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</si>
  <si>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</si>
  <si>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</si>
  <si>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</si>
  <si>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</si>
  <si>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</si>
  <si>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</si>
  <si>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</si>
  <si>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</si>
  <si>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</si>
  <si>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</si>
  <si>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</si>
  <si>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</si>
  <si>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</si>
  <si>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</si>
  <si>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</si>
  <si>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</si>
  <si>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</si>
  <si>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</si>
  <si>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</si>
  <si>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</si>
  <si>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</si>
  <si>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</si>
  <si>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</si>
  <si>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</si>
  <si>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</si>
  <si>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</si>
  <si>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</si>
  <si>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</si>
  <si>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</si>
  <si>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</si>
  <si>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</si>
  <si>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</si>
  <si>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</si>
  <si>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</si>
  <si>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</si>
  <si>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</si>
  <si>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</si>
  <si>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</si>
  <si>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</si>
  <si>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</si>
  <si>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</si>
  <si>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</si>
  <si>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</si>
  <si>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</si>
  <si>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</si>
  <si>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</si>
  <si>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</si>
  <si>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</si>
  <si>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</si>
  <si>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</si>
  <si>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</si>
  <si>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</si>
  <si>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</si>
  <si>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</si>
  <si>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</si>
  <si>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</si>
  <si>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</si>
  <si>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</si>
  <si>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</si>
  <si>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</si>
  <si>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</si>
  <si>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</si>
  <si>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</si>
  <si>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</si>
  <si>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</si>
  <si>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</si>
  <si>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</si>
  <si>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</si>
  <si>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</si>
  <si>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</si>
  <si>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</si>
  <si>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</si>
  <si>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</si>
  <si>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</si>
  <si>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</si>
  <si>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</si>
  <si>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</si>
  <si>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</si>
  <si>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</si>
  <si>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</si>
  <si>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</si>
  <si>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</si>
  <si>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</si>
  <si>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</si>
  <si>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</si>
  <si>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</si>
  <si>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</si>
  <si>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</si>
  <si>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</si>
  <si>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</si>
  <si>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</si>
  <si>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</si>
  <si>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</si>
  <si>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</si>
  <si>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</si>
  <si>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</si>
  <si>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</si>
  <si>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</si>
  <si>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</si>
  <si>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</si>
  <si>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</si>
  <si>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</si>
  <si>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</si>
  <si>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</si>
  <si>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</si>
  <si>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</si>
  <si>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</si>
  <si>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</si>
  <si>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</si>
  <si>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</si>
  <si>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</si>
  <si>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</si>
  <si>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</si>
  <si>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</si>
  <si>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</si>
  <si>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</si>
  <si>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</si>
  <si>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</si>
  <si>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</si>
  <si>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</si>
  <si>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</si>
  <si>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</si>
  <si>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SIN RESPALDO FTE 180°</t>
  </si>
  <si>
    <t>GASTON PAVEZ</t>
  </si>
  <si>
    <t>+569 9373 4659</t>
  </si>
  <si>
    <t>GRIS HUMO MT</t>
  </si>
  <si>
    <t>N° 11767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</si>
</sst>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6" fillId="0" borderId="0" xfId="0" quotePrefix="1" applyFont="1" applyAlignment="1">
      <alignment horizontal="left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DE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I16" sqref="I16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2.77734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7" t="s">
        <v>125</v>
      </c>
      <c r="C8" s="318"/>
      <c r="D8" s="319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45989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28" t="s">
        <v>173</v>
      </c>
      <c r="D15" s="310"/>
      <c r="F15" t="s">
        <v>168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9" t="s">
        <v>162</v>
      </c>
      <c r="G17" s="339"/>
      <c r="H17" s="340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1" t="s">
        <v>95</v>
      </c>
      <c r="C19" s="342"/>
      <c r="D19" s="342"/>
      <c r="E19" s="342"/>
      <c r="F19" s="342"/>
      <c r="G19" s="342"/>
      <c r="H19" s="343"/>
      <c r="I19" s="259"/>
      <c r="J19" s="259"/>
      <c r="K19" s="5"/>
      <c r="L19" s="245"/>
      <c r="M19" s="14">
        <v>0.08</v>
      </c>
      <c r="N19" s="14">
        <v>7.0000000000000007E-2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0" t="s">
        <v>7</v>
      </c>
      <c r="C20" s="321" t="s">
        <v>1</v>
      </c>
      <c r="D20" s="321" t="s">
        <v>130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62264.07192928985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1.85</v>
      </c>
      <c r="E21" s="331">
        <v>0.63</v>
      </c>
      <c r="F21" s="330" t="s">
        <v>174</v>
      </c>
      <c r="G21" s="332">
        <v>87119</v>
      </c>
      <c r="H21" s="333">
        <f t="shared" ref="H21" si="1">G21*B21</f>
        <v>87119</v>
      </c>
      <c r="I21" s="297"/>
      <c r="J21" s="260"/>
      <c r="K21" s="44"/>
      <c r="L21" s="44">
        <f t="shared" ref="L21" si="2">B21</f>
        <v>1</v>
      </c>
      <c r="M21" s="36">
        <f t="shared" ref="M21" si="3">D21+M$19</f>
        <v>1.9300000000000002</v>
      </c>
      <c r="N21" s="36">
        <f t="shared" ref="N21" si="4">E21+$N$19</f>
        <v>0.7</v>
      </c>
      <c r="O21" s="256">
        <f t="shared" ref="O21" si="5">M21*N21</f>
        <v>1.351</v>
      </c>
      <c r="P21" s="254">
        <f t="shared" ref="P21" si="6">O21*L21</f>
        <v>1.351</v>
      </c>
      <c r="Q21" s="247">
        <f t="shared" ref="Q21" si="7">Q$20*O21</f>
        <v>84118.76117647058</v>
      </c>
      <c r="R21" s="296">
        <f t="shared" ref="R21" si="8">Q21+R$20</f>
        <v>87118.76117647058</v>
      </c>
      <c r="S21" s="284"/>
      <c r="T21" s="43"/>
      <c r="U21" s="9"/>
      <c r="X21" s="4"/>
    </row>
    <row r="22" spans="1:25" ht="18" thickBot="1" x14ac:dyDescent="0.35">
      <c r="B22" s="334">
        <v>2</v>
      </c>
      <c r="C22" s="335" t="s">
        <v>171</v>
      </c>
      <c r="D22" s="336">
        <v>1.85</v>
      </c>
      <c r="E22" s="336">
        <v>0.43</v>
      </c>
      <c r="F22" s="335" t="s">
        <v>174</v>
      </c>
      <c r="G22" s="337">
        <v>63085</v>
      </c>
      <c r="H22" s="338">
        <f>G22*B22</f>
        <v>126170</v>
      </c>
      <c r="I22" s="297"/>
      <c r="J22" s="260"/>
      <c r="K22" s="44"/>
      <c r="L22" s="44">
        <f t="shared" ref="L22" si="9">B22</f>
        <v>2</v>
      </c>
      <c r="M22" s="36">
        <f t="shared" ref="M22" si="10">D22+M$19</f>
        <v>1.9300000000000002</v>
      </c>
      <c r="N22" s="36">
        <f t="shared" ref="N22" si="11">E22+$N$19</f>
        <v>0.5</v>
      </c>
      <c r="O22" s="256">
        <f t="shared" ref="O22" si="12">M22*N22</f>
        <v>0.96500000000000008</v>
      </c>
      <c r="P22" s="254">
        <f t="shared" ref="P22" si="13">O22*L22</f>
        <v>1.9300000000000002</v>
      </c>
      <c r="Q22" s="247">
        <f t="shared" ref="Q22" si="14">Q$20*O22</f>
        <v>60084.829411764709</v>
      </c>
      <c r="R22" s="296">
        <f t="shared" ref="R22" si="15">Q22+R$20</f>
        <v>63084.829411764709</v>
      </c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5">
        <f>SUM(H21:H23)</f>
        <v>213289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0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6">
        <f>H24*19%</f>
        <v>40524.910000000003</v>
      </c>
      <c r="I25" s="299"/>
      <c r="J25" s="260"/>
      <c r="K25" s="315"/>
      <c r="L25" s="44"/>
      <c r="M25" s="36">
        <f>SUM(M21:M21)</f>
        <v>1.9300000000000002</v>
      </c>
      <c r="N25" s="12"/>
      <c r="O25" s="12"/>
      <c r="P25" s="248">
        <f>SUM(P21:P23)</f>
        <v>3.2810000000000001</v>
      </c>
      <c r="Q25" s="14"/>
      <c r="R25" s="12"/>
      <c r="S25" s="235">
        <f>SUM(S21:S24)</f>
        <v>0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7">
        <f>H24+H25</f>
        <v>253813.91</v>
      </c>
      <c r="I26" s="299"/>
      <c r="J26" s="260"/>
      <c r="K26" s="315"/>
      <c r="L26" s="44"/>
      <c r="M26" s="36"/>
      <c r="N26" s="12"/>
      <c r="O26" s="12"/>
      <c r="P26" s="248">
        <f>P25</f>
        <v>3.2810000000000001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0.65620000000000012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3.9372000000000003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3.9372000000000003</v>
      </c>
      <c r="N30" s="12">
        <v>3500</v>
      </c>
      <c r="O30" s="12">
        <f t="shared" ref="O30:O35" si="16">M30*N30</f>
        <v>13780.2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1</v>
      </c>
      <c r="N31" s="12">
        <v>23500</v>
      </c>
      <c r="O31" s="12">
        <f t="shared" si="16"/>
        <v>23500</v>
      </c>
      <c r="P31" s="36" t="s">
        <v>169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16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164</v>
      </c>
      <c r="C33"/>
      <c r="D33"/>
      <c r="E33"/>
      <c r="F33"/>
      <c r="J33" s="257">
        <v>46000</v>
      </c>
      <c r="K33" s="228"/>
      <c r="L33" s="245"/>
      <c r="M33" s="14">
        <v>2</v>
      </c>
      <c r="N33" s="245">
        <v>30000</v>
      </c>
      <c r="O33" s="12">
        <f t="shared" si="16"/>
        <v>60000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16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/>
      <c r="N35" s="12">
        <v>1500</v>
      </c>
      <c r="O35" s="12">
        <f t="shared" si="16"/>
        <v>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97280.2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204288.42</v>
      </c>
      <c r="P37" s="14" t="s">
        <v>138</v>
      </c>
      <c r="Q37" s="14"/>
      <c r="R37" s="37">
        <f>P28/R36</f>
        <v>1.0615832614322693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62264.07192928985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3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4"/>
      <c r="D41" s="279"/>
      <c r="E41" s="279"/>
      <c r="F41" s="278"/>
      <c r="G41" s="316"/>
      <c r="H41" s="323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3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3"/>
      <c r="L43" s="245"/>
    </row>
    <row r="44" spans="2:24" ht="17.399999999999999" x14ac:dyDescent="0.35">
      <c r="D44" s="279"/>
      <c r="E44" s="279"/>
      <c r="F44" s="278"/>
      <c r="G44" s="316"/>
      <c r="H44" s="323"/>
      <c r="L44" s="245"/>
      <c r="T44" s="265"/>
    </row>
    <row r="45" spans="2:24" ht="17.399999999999999" x14ac:dyDescent="0.35">
      <c r="D45" s="279"/>
      <c r="E45" s="279"/>
      <c r="F45" s="278"/>
      <c r="G45" s="316"/>
      <c r="H45" s="323"/>
      <c r="L45" s="245"/>
    </row>
    <row r="46" spans="2:24" ht="15" customHeight="1" x14ac:dyDescent="0.35">
      <c r="D46" s="279"/>
      <c r="E46" s="279"/>
      <c r="F46" s="278"/>
      <c r="G46" s="316"/>
      <c r="H46" s="323"/>
    </row>
    <row r="47" spans="2:24" ht="17.399999999999999" x14ac:dyDescent="0.35">
      <c r="D47" s="279"/>
      <c r="E47" s="279"/>
      <c r="F47" s="278"/>
      <c r="G47" s="316"/>
      <c r="H47" s="323"/>
    </row>
    <row r="48" spans="2:24" ht="17.399999999999999" x14ac:dyDescent="0.35">
      <c r="D48" s="279"/>
      <c r="E48" s="279"/>
      <c r="F48" s="278"/>
      <c r="G48" s="316"/>
      <c r="H48" s="323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3"/>
    </row>
    <row r="50" spans="4:20" ht="17.399999999999999" x14ac:dyDescent="0.35">
      <c r="D50" s="279"/>
      <c r="E50" s="279"/>
      <c r="F50" s="278"/>
      <c r="G50" s="316"/>
      <c r="H50" s="323"/>
      <c r="O50" s="51"/>
      <c r="P50" s="51"/>
    </row>
    <row r="51" spans="4:20" ht="17.399999999999999" x14ac:dyDescent="0.35">
      <c r="D51" s="279"/>
      <c r="E51" s="279"/>
      <c r="F51" s="278"/>
      <c r="G51" s="316"/>
      <c r="H51" s="323"/>
      <c r="S51" s="18"/>
      <c r="T51" s="18"/>
    </row>
    <row r="52" spans="4:20" ht="17.399999999999999" x14ac:dyDescent="0.35">
      <c r="D52" s="279"/>
      <c r="E52" s="279"/>
      <c r="F52" s="278"/>
      <c r="G52" s="316"/>
      <c r="H52" s="323"/>
      <c r="S52" s="18"/>
      <c r="T52" s="18"/>
    </row>
    <row r="53" spans="4:20" ht="17.399999999999999" x14ac:dyDescent="0.35">
      <c r="D53" s="279"/>
      <c r="E53" s="279"/>
      <c r="F53" s="278"/>
      <c r="G53" s="316"/>
      <c r="H53" s="323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45989</v>
      </c>
    </row>
    <row r="6" spans="1:31" ht="16.2" thickBot="1" x14ac:dyDescent="0.35">
      <c r="B6" s="137" t="s">
        <v>2</v>
      </c>
      <c r="C6" s="136" t="str">
        <f>'2229'!C10</f>
        <v>GASTON PAVEZ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5" t="s">
        <v>98</v>
      </c>
      <c r="I7" s="346"/>
      <c r="J7" s="346"/>
      <c r="K7" s="347"/>
      <c r="N7" s="72"/>
      <c r="O7" s="34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11767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-20279.070593236716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213289</v>
      </c>
      <c r="E11" s="129">
        <f>D11*0.19</f>
        <v>40524.910000000003</v>
      </c>
      <c r="F11" s="128">
        <f>E11+D11</f>
        <v>253813.91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85710.929406763287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57259.110275362313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67710.929406763287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156029.88972463767</v>
      </c>
      <c r="E13" s="218">
        <f>(D11/D12)-1</f>
        <v>2.7249792910557131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58710.929406763287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19710.929406763284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109021.34596428985</v>
      </c>
      <c r="C15" s="210" t="s">
        <v>121</v>
      </c>
      <c r="D15" s="211">
        <v>0.6</v>
      </c>
      <c r="E15" s="212">
        <f>(100%+D15)*D12</f>
        <v>91614.576440579709</v>
      </c>
      <c r="F15" s="213">
        <f>E15-D12</f>
        <v>34355.466165217396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19710.929406763284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59710.929406763287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23500</v>
      </c>
      <c r="E19" s="120">
        <f>D19*0.19</f>
        <v>4465</v>
      </c>
      <c r="F19" s="117">
        <f>SUM(D19:E19)</f>
        <v>27965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13780.2</v>
      </c>
      <c r="E20" s="118">
        <f>D20*0.19</f>
        <v>2618.2380000000003</v>
      </c>
      <c r="F20" s="117">
        <f>SUM(D20:E20)</f>
        <v>16398.438000000002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37280.199999999997</v>
      </c>
      <c r="E21" s="113">
        <f>SUM(E18:E20)</f>
        <v>7083.2380000000003</v>
      </c>
      <c r="F21" s="112">
        <f>SUM(F18:F20)</f>
        <v>44363.438000000002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33441.672000000006</v>
      </c>
    </row>
    <row r="41" spans="2:16" ht="15" thickBot="1" x14ac:dyDescent="0.35">
      <c r="H41" s="348" t="s">
        <v>60</v>
      </c>
      <c r="I41" s="349"/>
      <c r="J41" s="349"/>
      <c r="K41" s="349"/>
      <c r="L41" s="349"/>
      <c r="M41" s="35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213289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37280.199999999997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156029.88972463767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156029.88972463767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2025-08-25T17:12:44Z</cp:lastPrinted>
  <dcterms:created xsi:type="dcterms:W3CDTF">2013-03-18T13:35:42Z</dcterms:created>
  <dcterms:modified xsi:type="dcterms:W3CDTF">2025-11-28T19:48:31Z</dcterms:modified>
</cp:coreProperties>
</file>