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06A65B9B-A2C5-4432-A54D-A1F65FC54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2" i="1"/>
  <c r="M22" i="1"/>
  <c r="N22" i="1"/>
  <c r="J40" i="1"/>
  <c r="J15" i="1"/>
  <c r="J10" i="1"/>
  <c r="O22" i="1" l="1"/>
  <c r="P22" i="1" s="1"/>
  <c r="S22" i="1"/>
  <c r="N21" i="1"/>
  <c r="M21" i="1" l="1"/>
  <c r="S21" i="1" s="1"/>
  <c r="M27" i="1" l="1"/>
  <c r="T21" i="1"/>
  <c r="T26" i="1" s="1"/>
  <c r="S28" i="1"/>
  <c r="O21" i="1"/>
  <c r="P21" i="1" s="1"/>
  <c r="P27" i="1" s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O41" i="1"/>
  <c r="E15" i="3"/>
  <c r="Q21" i="1" l="1"/>
  <c r="F15" i="3"/>
  <c r="R21" i="1" l="1"/>
  <c r="H21" i="1" l="1"/>
  <c r="H26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<sst xmlns="http://schemas.openxmlformats.org/spreadsheetml/2006/main" count="234" uniqueCount="178">
  <si>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</si>
  <si>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</si>
  <si>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</si>
  <si>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</si>
  <si>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</si>
  <si>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</si>
  <si>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</si>
  <si>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</si>
  <si>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</si>
  <si>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</si>
  <si>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</si>
  <si>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</si>
  <si>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</si>
  <si>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</si>
  <si>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</si>
  <si>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</si>
  <si>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</si>
  <si>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</si>
  <si>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</si>
  <si>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</si>
  <si>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</si>
  <si>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</si>
  <si>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</si>
  <si>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</si>
  <si>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</si>
  <si>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</si>
  <si>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</si>
  <si>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</si>
  <si>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</si>
  <si>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</si>
  <si>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</si>
  <si>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</si>
  <si>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</si>
  <si>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</si>
  <si>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</si>
  <si>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</si>
  <si>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</si>
  <si>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</si>
  <si>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</si>
  <si>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</si>
  <si>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</si>
  <si>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</si>
  <si>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</si>
  <si>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</si>
  <si>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</si>
  <si>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</si>
  <si>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</si>
  <si>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</si>
  <si>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</si>
  <si>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</si>
  <si>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</si>
  <si>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</si>
  <si>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</si>
  <si>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</si>
  <si>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</si>
  <si>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</si>
  <si>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</si>
  <si>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</si>
  <si>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</si>
  <si>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</si>
  <si>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</si>
  <si>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</si>
  <si>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</si>
  <si>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</si>
  <si>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</si>
  <si>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</si>
  <si>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</si>
  <si>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</si>
  <si>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</si>
  <si>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</si>
  <si>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</si>
  <si>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</si>
  <si>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</si>
  <si>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</si>
  <si>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</si>
  <si>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</si>
  <si>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</si>
  <si>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</si>
  <si>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</si>
  <si>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</si>
  <si>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</si>
  <si>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</si>
  <si>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</si>
  <si>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</si>
  <si>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</si>
  <si>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</si>
  <si>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</si>
  <si>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</si>
  <si>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</si>
  <si>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</si>
  <si>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</si>
  <si>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</si>
  <si>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</si>
  <si>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</si>
  <si>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</si>
  <si>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</si>
  <si>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</si>
  <si>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</si>
  <si>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</si>
  <si>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</si>
  <si>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</si>
  <si>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</si>
  <si>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</si>
  <si>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</si>
  <si>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</si>
  <si>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</si>
  <si>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</si>
  <si>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</si>
  <si>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</si>
  <si>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</si>
  <si>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</si>
  <si>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</si>
  <si>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</si>
  <si>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</si>
  <si>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</si>
  <si>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</si>
  <si>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</si>
  <si>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</si>
  <si>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</si>
  <si>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</si>
  <si>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</si>
  <si>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</si>
  <si>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</si>
  <si>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</si>
  <si>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</si>
  <si>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</si>
  <si>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</si>
  <si>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</si>
  <si>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</si>
  <si>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</si>
  <si>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</si>
  <si>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</si>
  <si>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</si>
  <si>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</si>
  <si>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</si>
  <si>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</si>
  <si>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</si>
  <si>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</si>
  <si>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</si>
  <si>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</si>
  <si>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</si>
  <si>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</si>
  <si>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</si>
  <si>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</si>
  <si>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</si>
  <si>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</si>
  <si>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</si>
  <si>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</si>
  <si>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</si>
  <si>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</si>
  <si>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</si>
  <si>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</si>
  <si>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</si>
  <si>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</si>
  <si>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</si>
  <si>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</si>
  <si>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</si>
  <si>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</si>
  <si>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</si>
  <si>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</si>
  <si>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</si>
  <si>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</si>
  <si>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</si>
  <si>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</si>
  <si>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</si>
  <si>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</si>
  <si>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</si>
  <si>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</si>
  <si>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</si>
  <si>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11736</t>
  </si>
  <si>
    <t>77.088.733-K</t>
  </si>
  <si>
    <t>56945683355</t>
  </si>
  <si>
    <t>CUBIERTA C/R R8</t>
  </si>
  <si>
    <t>CARNIVAL OPACO</t>
  </si>
  <si>
    <t>DESFONDADOS</t>
  </si>
  <si>
    <t>7 DIAS HABILES</t>
  </si>
  <si>
    <t>CONSTRUCTORA CONDEMEN</t>
  </si>
  <si>
    <t>FRANKLIN CONDEMEN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</si>
</sst>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9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176</v>
      </c>
      <c r="D10" s="243"/>
      <c r="E10" s="243"/>
      <c r="F10" s="244" t="s">
        <v>0</v>
      </c>
      <c r="G10" s="276">
        <v>45971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177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171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71758.829787234034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172</v>
      </c>
      <c r="D21" s="332">
        <v>2.74</v>
      </c>
      <c r="E21" s="332">
        <v>0.56000000000000005</v>
      </c>
      <c r="F21" s="329" t="s">
        <v>173</v>
      </c>
      <c r="G21" s="330">
        <v>113322</v>
      </c>
      <c r="H21" s="330">
        <f>G21*B21</f>
        <v>113322</v>
      </c>
      <c r="I21" s="319"/>
      <c r="J21" s="265"/>
      <c r="K21" s="47"/>
      <c r="L21" s="331">
        <v>1</v>
      </c>
      <c r="M21" s="39">
        <f>D21+M$19</f>
        <v>2.8200000000000003</v>
      </c>
      <c r="N21" s="39">
        <f>E21+$N$19</f>
        <v>0.56000000000000005</v>
      </c>
      <c r="O21" s="261">
        <f t="shared" ref="O21" si="1">M21*N21</f>
        <v>1.5792000000000004</v>
      </c>
      <c r="P21" s="259">
        <f t="shared" ref="P21" si="2">O21*L21</f>
        <v>1.5792000000000004</v>
      </c>
      <c r="Q21" s="252">
        <f t="shared" ref="Q21" si="3">Q$20*O21</f>
        <v>113321.54400000001</v>
      </c>
      <c r="R21" s="318">
        <f t="shared" ref="R21" si="4">Q21+R$20</f>
        <v>118321.54400000001</v>
      </c>
      <c r="S21" s="297">
        <f>M21*L21</f>
        <v>2.8200000000000003</v>
      </c>
      <c r="T21" s="46">
        <f>M21*L21</f>
        <v>2.8200000000000003</v>
      </c>
      <c r="U21" s="9"/>
      <c r="X21" s="4"/>
    </row>
    <row r="22" spans="2:25" ht="17.399999999999999" x14ac:dyDescent="0.3">
      <c r="B22" s="329">
        <v>2</v>
      </c>
      <c r="C22" s="329" t="s">
        <v>174</v>
      </c>
      <c r="D22" s="332"/>
      <c r="E22" s="332"/>
      <c r="F22" s="329"/>
      <c r="G22" s="330">
        <v>15000</v>
      </c>
      <c r="H22" s="330">
        <f t="shared" ref="H22" si="5">G22*B22</f>
        <v>30000</v>
      </c>
      <c r="I22" s="319"/>
      <c r="J22" s="265"/>
      <c r="K22" s="47"/>
      <c r="L22" s="331">
        <v>1</v>
      </c>
      <c r="M22" s="39">
        <f t="shared" ref="M22" si="6">D22+M$19</f>
        <v>0.08</v>
      </c>
      <c r="N22" s="39">
        <f t="shared" ref="N22" si="7">E22+$N$19</f>
        <v>0</v>
      </c>
      <c r="O22" s="261">
        <f t="shared" ref="O22" si="8">M22*N22</f>
        <v>0</v>
      </c>
      <c r="P22" s="259">
        <f t="shared" ref="P22" si="9">O22*L22</f>
        <v>0</v>
      </c>
      <c r="Q22" s="252">
        <f t="shared" ref="Q22" si="10">Q$20*O22</f>
        <v>0</v>
      </c>
      <c r="R22" s="318">
        <f t="shared" ref="R22" si="11">Q22+R$20</f>
        <v>5000</v>
      </c>
      <c r="S22" s="297">
        <f t="shared" ref="S22" si="12">M22*L22</f>
        <v>0.08</v>
      </c>
      <c r="T22" s="46"/>
      <c r="U22" s="9"/>
      <c r="X22" s="4"/>
    </row>
    <row r="23" spans="2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331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47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0"/>
      <c r="I25" s="322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3" t="s">
        <v>28</v>
      </c>
      <c r="H26" s="324">
        <f>SUM(H21:H25)</f>
        <v>143322</v>
      </c>
      <c r="I26" s="321"/>
      <c r="J26" s="265"/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2.8200000000000003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27231.18</v>
      </c>
      <c r="I27" s="321"/>
      <c r="J27" s="265"/>
      <c r="K27" s="47"/>
      <c r="L27" s="47"/>
      <c r="M27" s="39">
        <f>SUM(M21:M26)</f>
        <v>2.9000000000000004</v>
      </c>
      <c r="N27" s="12"/>
      <c r="O27" s="12"/>
      <c r="P27" s="253">
        <f>SUM(P21:P25)</f>
        <v>1.5792000000000004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170553.18</v>
      </c>
      <c r="I28" s="321"/>
      <c r="J28" s="265"/>
      <c r="K28" s="47"/>
      <c r="L28" s="47"/>
      <c r="M28" s="39"/>
      <c r="N28" s="12"/>
      <c r="O28" s="12"/>
      <c r="P28" s="253">
        <f>P27</f>
        <v>1.5792000000000004</v>
      </c>
      <c r="Q28" s="14"/>
      <c r="R28" s="12"/>
      <c r="S28" s="239">
        <f>SUM(S21:S27)</f>
        <v>2.9000000000000004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0.31584000000000012</v>
      </c>
      <c r="Q29" s="39" t="s">
        <v>130</v>
      </c>
      <c r="R29" s="42"/>
      <c r="S29" s="240">
        <f>S28+T26</f>
        <v>5.7200000000000006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1.8950400000000005</v>
      </c>
      <c r="Q30" s="14"/>
      <c r="R30" s="14"/>
      <c r="S30" s="238">
        <f>S29*20%</f>
        <v>1.1440000000000001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6.8640000000000008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1.8950400000000005</v>
      </c>
      <c r="N32" s="12">
        <v>3500</v>
      </c>
      <c r="O32" s="12">
        <f t="shared" ref="O32:O37" si="13">M32*N32</f>
        <v>6632.6400000000021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0.6</v>
      </c>
      <c r="N33" s="12">
        <v>23500</v>
      </c>
      <c r="O33" s="12">
        <f t="shared" si="13"/>
        <v>14100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35000</v>
      </c>
      <c r="O34" s="12">
        <f t="shared" si="13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1</v>
      </c>
      <c r="N35" s="250">
        <v>29000</v>
      </c>
      <c r="O35" s="12">
        <f t="shared" si="13"/>
        <v>29000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 t="s">
        <v>168</v>
      </c>
      <c r="K37" s="260">
        <v>38300</v>
      </c>
      <c r="L37" s="250"/>
      <c r="M37" s="266">
        <v>2.82</v>
      </c>
      <c r="N37" s="12">
        <v>1500</v>
      </c>
      <c r="O37" s="12">
        <f t="shared" si="13"/>
        <v>4230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J38" s="230" t="s">
        <v>167</v>
      </c>
      <c r="K38" s="260">
        <v>31000</v>
      </c>
      <c r="L38" s="250"/>
      <c r="M38" s="14"/>
      <c r="N38" s="12"/>
      <c r="O38" s="12">
        <f>SUM(O32:O37)</f>
        <v>53962.64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J39" s="230">
        <v>49560</v>
      </c>
      <c r="L39" s="250"/>
      <c r="M39" s="254" t="s">
        <v>33</v>
      </c>
      <c r="N39" s="12"/>
      <c r="O39" s="255">
        <f>O38*2.1</f>
        <v>113321.54400000001</v>
      </c>
      <c r="P39" s="14" t="s">
        <v>140</v>
      </c>
      <c r="Q39" s="14"/>
      <c r="R39" s="40">
        <f>P30/R38</f>
        <v>0.51095772217428825</v>
      </c>
      <c r="S39"/>
      <c r="T39" s="257"/>
    </row>
    <row r="40" spans="1:24" s="230" customFormat="1" ht="17.399999999999999" x14ac:dyDescent="0.35">
      <c r="G40"/>
      <c r="H40" s="260"/>
      <c r="I40" s="260"/>
      <c r="J40" s="260">
        <f>J39/1.19</f>
        <v>41647.058823529413</v>
      </c>
      <c r="L40" s="250"/>
      <c r="M40" s="14"/>
      <c r="N40" s="12"/>
      <c r="O40" s="12">
        <f>O39/P28</f>
        <v>71758.829787234034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45971</v>
      </c>
    </row>
    <row r="6" spans="2:31" ht="16.2" thickBot="1" x14ac:dyDescent="0.35">
      <c r="B6" s="140" t="s">
        <v>2</v>
      </c>
      <c r="C6" s="139" t="str">
        <f>'2229'!C10</f>
        <v>CONSTRUCTORA CONDEMEN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-9981.1490334541068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143322</v>
      </c>
      <c r="E11" s="132">
        <f>D11*0.19</f>
        <v>27231.18</v>
      </c>
      <c r="F11" s="131">
        <f>E11+D11</f>
        <v>170553.18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96008.850966545899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50566.730787439621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78008.850966545899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92755.269212560379</v>
      </c>
      <c r="E13" s="221">
        <f>(D11/D12)-1</f>
        <v>1.8343141383306523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69008.850966545899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30008.850966545891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83435.105799275363</v>
      </c>
      <c r="F15" s="216">
        <f>E15-D12</f>
        <v>32868.375011835742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30008.850966545891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70008.850966545899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6632.6400000000021</v>
      </c>
      <c r="E20" s="121">
        <f>D20*0.19</f>
        <v>1260.2016000000003</v>
      </c>
      <c r="F20" s="120">
        <f>SUM(D20:E20)</f>
        <v>7892.8416000000025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20732.640000000003</v>
      </c>
      <c r="E21" s="116">
        <f>SUM(E18:E20)</f>
        <v>3939.2016000000003</v>
      </c>
      <c r="F21" s="115">
        <f>SUM(F18:F20)</f>
        <v>24671.841600000003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23291.9784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143322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20732.640000000003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92755.269212560379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92755.269212560379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2025-11-10T14:05:52Z</dcterms:modified>
</cp:coreProperties>
</file>