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EF409E98-9FE2-41B0-A40E-A67BB9A4AC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J35" i="1" l="1"/>
  <c r="M21" i="1"/>
  <c r="M26" i="1" l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40" i="1" l="1"/>
  <c r="Q21" i="1" l="1"/>
  <c r="F15" i="3"/>
  <c r="R21" i="1" l="1"/>
  <c r="H21" i="1" l="1"/>
  <c r="H25" i="1" s="1"/>
  <c r="H26" i="1" s="1"/>
  <c r="H27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<sst xmlns="http://schemas.openxmlformats.org/spreadsheetml/2006/main" count="233" uniqueCount="177">
  <si>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</si>
  <si>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</si>
  <si>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</si>
  <si>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</si>
  <si>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</si>
  <si>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</si>
  <si>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</si>
  <si>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</si>
  <si>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</si>
  <si>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</si>
  <si>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</si>
  <si>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</si>
  <si>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</si>
  <si>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</si>
  <si>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</si>
  <si>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</si>
  <si>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</si>
  <si>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</si>
  <si>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</si>
  <si>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</si>
  <si>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</si>
  <si>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</si>
  <si>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</si>
  <si>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</si>
  <si>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</si>
  <si>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</si>
  <si>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</si>
  <si>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</si>
  <si>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</si>
  <si>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</si>
  <si>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</si>
  <si>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</si>
  <si>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</si>
  <si>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</si>
  <si>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</si>
  <si>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</si>
  <si>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</si>
  <si>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</si>
  <si>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</si>
  <si>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</si>
  <si>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</si>
  <si>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</si>
  <si>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</si>
  <si>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</si>
  <si>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</si>
  <si>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</si>
  <si>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</si>
  <si>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</si>
  <si>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</si>
  <si>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</si>
  <si>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</si>
  <si>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</si>
  <si>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</si>
  <si>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</si>
  <si>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</si>
  <si>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</si>
  <si>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</si>
  <si>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</si>
  <si>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</si>
  <si>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</si>
  <si>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</si>
  <si>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</si>
  <si>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</si>
  <si>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</si>
  <si>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</si>
  <si>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</si>
  <si>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</si>
  <si>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</si>
  <si>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</si>
  <si>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</si>
  <si>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</si>
  <si>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</si>
  <si>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</si>
  <si>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</si>
  <si>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</si>
  <si>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</si>
  <si>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</si>
  <si>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</si>
  <si>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</si>
  <si>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</si>
  <si>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</si>
  <si>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</si>
  <si>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</si>
  <si>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</si>
  <si>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</si>
  <si>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</si>
  <si>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</si>
  <si>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</si>
  <si>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</si>
  <si>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</si>
  <si>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</si>
  <si>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</si>
  <si>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</si>
  <si>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</si>
  <si>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</si>
  <si>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</si>
  <si>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</si>
  <si>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</si>
  <si>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</si>
  <si>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</si>
  <si>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</si>
  <si>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</si>
  <si>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</si>
  <si>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</si>
  <si>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</si>
  <si>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</si>
  <si>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</si>
  <si>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</si>
  <si>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</si>
  <si>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</si>
  <si>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</si>
  <si>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</si>
  <si>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</si>
  <si>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</si>
  <si>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</si>
  <si>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</si>
  <si>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</si>
  <si>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</si>
  <si>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</si>
  <si>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</si>
  <si>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</si>
  <si>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</si>
  <si>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</si>
  <si>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</si>
  <si>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</si>
  <si>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</si>
  <si>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</si>
  <si>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</si>
  <si>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</si>
  <si>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</si>
  <si>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</si>
  <si>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</si>
  <si>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</si>
  <si>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</si>
  <si>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</si>
  <si>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</si>
  <si>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</si>
  <si>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</si>
  <si>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</si>
  <si>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</si>
  <si>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</si>
  <si>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</si>
  <si>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</si>
  <si>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</si>
  <si>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</si>
  <si>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</si>
  <si>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</si>
  <si>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</si>
  <si>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</si>
  <si>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</si>
  <si>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</si>
  <si>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</si>
  <si>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</si>
  <si>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</si>
  <si>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</si>
  <si>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</si>
  <si>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</si>
  <si>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</si>
  <si>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</si>
  <si>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</si>
  <si>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</si>
  <si>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</si>
  <si>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</si>
  <si>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</si>
  <si>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</si>
  <si>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</si>
  <si>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</si>
  <si>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</si>
  <si>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</si>
  <si>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10 DIAS HABILES</t>
  </si>
  <si>
    <t>N° 11732</t>
  </si>
  <si>
    <t>ALEN CORREA</t>
  </si>
  <si>
    <t>+569 7537 5738</t>
  </si>
  <si>
    <t>RANCAGUA</t>
  </si>
  <si>
    <t>CUB CON RESPALDO FRENTE 90°</t>
  </si>
  <si>
    <t>DESFONDADO</t>
  </si>
  <si>
    <t>LAPISLAZULI 0888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</si>
</sst>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 MEDIDA EN EL LARGO</a:t>
          </a:r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LLEVA UNION DE LAMINADO AL LADO IZQUIERDO MIRANDOLA DE FRENTE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  <a:endParaRPr lang="es-CL" sz="1200" b="1" baseline="0"/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I32" sqref="I3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88671875" customWidth="1"/>
    <col min="4" max="4" width="18.664062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45875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172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173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100208.2672634271</v>
      </c>
      <c r="R20" s="253">
        <v>2000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174</v>
      </c>
      <c r="D21" s="323">
        <v>3.6</v>
      </c>
      <c r="E21" s="323">
        <v>0.68</v>
      </c>
      <c r="F21" s="322" t="s">
        <v>176</v>
      </c>
      <c r="G21" s="324">
        <v>250761</v>
      </c>
      <c r="H21" s="324">
        <f>G21*B21</f>
        <v>250761</v>
      </c>
      <c r="I21" s="297"/>
      <c r="J21" s="260"/>
      <c r="K21" s="44"/>
      <c r="L21" s="44">
        <f>B21</f>
        <v>1</v>
      </c>
      <c r="M21" s="36">
        <f>D21+M$19</f>
        <v>3.68</v>
      </c>
      <c r="N21" s="36">
        <f>E21+$N$19</f>
        <v>0.68</v>
      </c>
      <c r="O21" s="256">
        <f t="shared" ref="O21" si="1">M21*N21</f>
        <v>2.5024000000000002</v>
      </c>
      <c r="P21" s="254">
        <f t="shared" ref="P21" si="2">O21*L21</f>
        <v>2.5024000000000002</v>
      </c>
      <c r="Q21" s="247">
        <f t="shared" ref="Q21" si="3">Q$20*O21</f>
        <v>250761.16800000001</v>
      </c>
      <c r="R21" s="296">
        <f t="shared" ref="R21" si="4">Q21+R$20</f>
        <v>252761.16800000001</v>
      </c>
      <c r="S21" s="284">
        <f>M21*L21</f>
        <v>3.68</v>
      </c>
      <c r="T21" s="43">
        <f>N21*2*L21*2</f>
        <v>2.72</v>
      </c>
      <c r="U21" s="9"/>
      <c r="X21" s="4"/>
    </row>
    <row r="22" spans="1:25" ht="17.399999999999999" x14ac:dyDescent="0.3">
      <c r="B22" s="322">
        <v>1</v>
      </c>
      <c r="C22" s="322" t="s">
        <v>175</v>
      </c>
      <c r="D22" s="323"/>
      <c r="E22" s="323"/>
      <c r="F22" s="322"/>
      <c r="G22" s="324">
        <v>20000</v>
      </c>
      <c r="H22" s="324">
        <f t="shared" ref="H22:H23" si="5">G22*B22</f>
        <v>20000</v>
      </c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7.399999999999999" x14ac:dyDescent="0.3">
      <c r="B23" s="322">
        <v>1</v>
      </c>
      <c r="C23" s="322" t="s">
        <v>164</v>
      </c>
      <c r="D23" s="323"/>
      <c r="E23" s="323"/>
      <c r="F23" s="322"/>
      <c r="G23" s="324">
        <v>7500</v>
      </c>
      <c r="H23" s="324">
        <f t="shared" si="5"/>
        <v>7500</v>
      </c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278261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2.72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52869.590000000004</v>
      </c>
      <c r="I26" s="299"/>
      <c r="J26" s="260"/>
      <c r="K26" s="315"/>
      <c r="L26" s="44"/>
      <c r="M26" s="36">
        <f>SUM(M21:M21)</f>
        <v>3.68</v>
      </c>
      <c r="N26" s="12"/>
      <c r="O26" s="12"/>
      <c r="P26" s="248">
        <f>SUM(P21:P24)</f>
        <v>2.5024000000000002</v>
      </c>
      <c r="Q26" s="14"/>
      <c r="R26" s="12"/>
      <c r="S26" s="235">
        <f>SUM(S21:S25)</f>
        <v>3.68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331130.59000000003</v>
      </c>
      <c r="I27" s="299"/>
      <c r="J27" s="260"/>
      <c r="K27" s="315"/>
      <c r="L27" s="44"/>
      <c r="M27" s="36"/>
      <c r="N27" s="12"/>
      <c r="O27" s="12"/>
      <c r="P27" s="248">
        <f>P26</f>
        <v>2.5024000000000002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0.50048000000000004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3.0028800000000002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3.0028800000000002</v>
      </c>
      <c r="N31" s="12">
        <v>3500</v>
      </c>
      <c r="O31" s="12">
        <f t="shared" ref="O31:O36" si="6">M31*N31</f>
        <v>10510.08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</v>
      </c>
      <c r="N32" s="12">
        <v>23500</v>
      </c>
      <c r="O32" s="12">
        <f t="shared" si="6"/>
        <v>23500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6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2</v>
      </c>
      <c r="N34" s="245">
        <v>40000</v>
      </c>
      <c r="O34" s="12">
        <f t="shared" si="6"/>
        <v>80000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6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3.6</v>
      </c>
      <c r="N36" s="12">
        <v>1500</v>
      </c>
      <c r="O36" s="12">
        <f t="shared" si="6"/>
        <v>5400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119410.08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250761.16800000001</v>
      </c>
      <c r="P38" s="14" t="s">
        <v>138</v>
      </c>
      <c r="Q38" s="14"/>
      <c r="R38" s="37">
        <f>P29/R37</f>
        <v>0.80966350301984469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100208.2672634271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45875</v>
      </c>
    </row>
    <row r="6" spans="1:31" ht="16.2" thickBot="1" x14ac:dyDescent="0.35">
      <c r="B6" s="137" t="s">
        <v>2</v>
      </c>
      <c r="C6" s="136" t="str">
        <f>'2229'!C10</f>
        <v>ALEN CORREA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11732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-31979.76925990338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278261</v>
      </c>
      <c r="E11" s="129">
        <f>D11*0.19</f>
        <v>52869.590000000004</v>
      </c>
      <c r="F11" s="128">
        <f>E11+D11</f>
        <v>331130.59000000003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74010.230740096624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53988.990275362317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56010.230740096624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224272.00972463767</v>
      </c>
      <c r="E13" s="218">
        <f>(D11/D12)-1</f>
        <v>4.1540323051195012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47010.230740096624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8010.2307400966201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102795.03748428986</v>
      </c>
      <c r="C15" s="210" t="s">
        <v>121</v>
      </c>
      <c r="D15" s="211">
        <v>0.6</v>
      </c>
      <c r="E15" s="212">
        <f>(100%+D15)*D12</f>
        <v>86382.384440579714</v>
      </c>
      <c r="F15" s="213">
        <f>E15-D12</f>
        <v>32393.394165217396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8010.2307400966201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48010.230740096624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10510.08</v>
      </c>
      <c r="E20" s="118">
        <f>D20*0.19</f>
        <v>1996.9151999999999</v>
      </c>
      <c r="F20" s="117">
        <f>SUM(D20:E20)</f>
        <v>12506.995199999999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34010.080000000002</v>
      </c>
      <c r="E21" s="113">
        <f>SUM(E18:E20)</f>
        <v>6461.9151999999995</v>
      </c>
      <c r="F21" s="112">
        <f>SUM(F18:F20)</f>
        <v>40471.995199999998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46407.674800000008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278261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34010.080000000002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224272.00972463767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224272.00972463767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2025-11-04T22:41:13Z</cp:lastPrinted>
  <dcterms:created xsi:type="dcterms:W3CDTF">2013-03-18T13:35:42Z</dcterms:created>
  <dcterms:modified xsi:type="dcterms:W3CDTF">2025-11-04T22:51:16Z</dcterms:modified>
</cp:coreProperties>
</file>