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936243F8-76DC-4B59-A5DD-88424553AB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T22" i="1" l="1"/>
  <c r="O22" i="1"/>
  <c r="P22" i="1" s="1"/>
  <c r="S22" i="1"/>
  <c r="J35" i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H22" i="1" s="1"/>
  <c r="O40" i="1"/>
  <c r="Q21" i="1" l="1"/>
  <c r="F15" i="3"/>
  <c r="R21" i="1" l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<sst xmlns="http://schemas.openxmlformats.org/spreadsheetml/2006/main" count="235" uniqueCount="178">
  <si>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</si>
  <si>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</si>
  <si>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</si>
  <si>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</si>
  <si>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</si>
  <si>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</si>
  <si>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</si>
  <si>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</si>
  <si>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</si>
  <si>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</si>
  <si>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</si>
  <si>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</si>
  <si>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</si>
  <si>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</si>
  <si>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</si>
  <si>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</si>
  <si>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</si>
  <si>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</si>
  <si>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</si>
  <si>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</si>
  <si>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</si>
  <si>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</si>
  <si>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</si>
  <si>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</si>
  <si>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</si>
  <si>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</si>
  <si>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</si>
  <si>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</si>
  <si>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</si>
  <si>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</si>
  <si>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</si>
  <si>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</si>
  <si>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</si>
  <si>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</si>
  <si>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</si>
  <si>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</si>
  <si>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</si>
  <si>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</si>
  <si>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</si>
  <si>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</si>
  <si>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</si>
  <si>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</si>
  <si>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</si>
  <si>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</si>
  <si>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</si>
  <si>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</si>
  <si>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</si>
  <si>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</si>
  <si>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</si>
  <si>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</si>
  <si>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</si>
  <si>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</si>
  <si>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</si>
  <si>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</si>
  <si>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</si>
  <si>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</si>
  <si>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</si>
  <si>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</si>
  <si>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</si>
  <si>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</si>
  <si>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</si>
  <si>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</si>
  <si>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</si>
  <si>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</si>
  <si>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</si>
  <si>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</si>
  <si>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</si>
  <si>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</si>
  <si>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</si>
  <si>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</si>
  <si>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</si>
  <si>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</si>
  <si>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</si>
  <si>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</si>
  <si>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</si>
  <si>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</si>
  <si>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</si>
  <si>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</si>
  <si>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</si>
  <si>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</si>
  <si>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</si>
  <si>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</si>
  <si>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</si>
  <si>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</si>
  <si>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</si>
  <si>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</si>
  <si>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</si>
  <si>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</si>
  <si>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</si>
  <si>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</si>
  <si>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</si>
  <si>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</si>
  <si>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</si>
  <si>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</si>
  <si>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</si>
  <si>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</si>
  <si>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</si>
  <si>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</si>
  <si>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</si>
  <si>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</si>
  <si>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</si>
  <si>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</si>
  <si>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</si>
  <si>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</si>
  <si>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</si>
  <si>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</si>
  <si>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</si>
  <si>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</si>
  <si>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</si>
  <si>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</si>
  <si>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</si>
  <si>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</si>
  <si>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</si>
  <si>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</si>
  <si>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</si>
  <si>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</si>
  <si>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</si>
  <si>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</si>
  <si>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</si>
  <si>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</si>
  <si>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</si>
  <si>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</si>
  <si>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</si>
  <si>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</si>
  <si>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</si>
  <si>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</si>
  <si>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</si>
  <si>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</si>
  <si>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</si>
  <si>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</si>
  <si>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</si>
  <si>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</si>
  <si>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</si>
  <si>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</si>
  <si>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</si>
  <si>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</si>
  <si>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</si>
  <si>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</si>
  <si>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</si>
  <si>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</si>
  <si>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</si>
  <si>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</si>
  <si>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</si>
  <si>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</si>
  <si>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</si>
  <si>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</si>
  <si>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</si>
  <si>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</si>
  <si>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</si>
  <si>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</si>
  <si>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</si>
  <si>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</si>
  <si>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</si>
  <si>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</si>
  <si>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</si>
  <si>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</si>
  <si>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</si>
  <si>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</si>
  <si>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</si>
  <si>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</si>
  <si>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</si>
  <si>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</si>
  <si>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</si>
  <si>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</si>
  <si>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</si>
  <si>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</si>
  <si>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</si>
  <si>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</si>
  <si>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</si>
  <si>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</si>
  <si>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FABRIACION DE MUEBLES</t>
  </si>
  <si>
    <t>CUB C/R 180°</t>
  </si>
  <si>
    <t>N° 11770</t>
  </si>
  <si>
    <t>MUEBLES FORD</t>
  </si>
  <si>
    <t>ENRIQUE FORD</t>
  </si>
  <si>
    <t>+569 8293 1990</t>
  </si>
  <si>
    <t>5 DIAS HABILES</t>
  </si>
  <si>
    <t>CHAMPAGNE METALIZADO 0220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</si>
</sst>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</a:t>
          </a:r>
          <a:r>
            <a:rPr lang="es-CL" sz="1200" b="1" baseline="0"/>
            <a:t>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34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173</v>
      </c>
      <c r="D10" s="239"/>
      <c r="E10" s="239"/>
      <c r="F10" s="240" t="s">
        <v>166</v>
      </c>
      <c r="G10" s="271">
        <v>45986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 t="s">
        <v>170</v>
      </c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174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175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7" t="s">
        <v>162</v>
      </c>
      <c r="G17" s="337"/>
      <c r="H17" s="338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107287.79122948613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171</v>
      </c>
      <c r="D21" s="323">
        <v>1.9</v>
      </c>
      <c r="E21" s="323">
        <v>0.6</v>
      </c>
      <c r="F21" s="322" t="s">
        <v>177</v>
      </c>
      <c r="G21" s="324">
        <v>130458</v>
      </c>
      <c r="H21" s="324">
        <f>G21*B21</f>
        <v>130458</v>
      </c>
      <c r="I21" s="297"/>
      <c r="J21" s="260"/>
      <c r="K21" s="44"/>
      <c r="L21" s="335">
        <f>B21</f>
        <v>1</v>
      </c>
      <c r="M21" s="336">
        <f>D21+M$19</f>
        <v>1.98</v>
      </c>
      <c r="N21" s="336">
        <f>E21+$N$19</f>
        <v>0.6</v>
      </c>
      <c r="O21" s="256">
        <f t="shared" ref="O21" si="1">M21*N21</f>
        <v>1.1879999999999999</v>
      </c>
      <c r="P21" s="254">
        <f t="shared" ref="P21" si="2">O21*L21</f>
        <v>1.1879999999999999</v>
      </c>
      <c r="Q21" s="247">
        <f t="shared" ref="Q21" si="3">Q$20*O21</f>
        <v>127457.89598062952</v>
      </c>
      <c r="R21" s="296">
        <f t="shared" ref="R21" si="4">Q21+R$20</f>
        <v>130457.89598062952</v>
      </c>
      <c r="S21" s="284">
        <f>M21*L21</f>
        <v>1.98</v>
      </c>
      <c r="T21" s="43">
        <f>N21*2*L21*2</f>
        <v>2.4</v>
      </c>
      <c r="U21" s="9"/>
      <c r="X21" s="4"/>
    </row>
    <row r="22" spans="1:25" ht="17.399999999999999" x14ac:dyDescent="0.3">
      <c r="B22" s="322">
        <v>1</v>
      </c>
      <c r="C22" s="333" t="s">
        <v>171</v>
      </c>
      <c r="D22" s="323">
        <v>1.85</v>
      </c>
      <c r="E22" s="323">
        <v>0.54</v>
      </c>
      <c r="F22" s="322" t="s">
        <v>177</v>
      </c>
      <c r="G22" s="324">
        <v>114815</v>
      </c>
      <c r="H22" s="324">
        <f t="shared" ref="H22" si="5">G22*B22</f>
        <v>114815</v>
      </c>
      <c r="I22" s="297"/>
      <c r="J22" s="260"/>
      <c r="K22" s="44"/>
      <c r="L22" s="44">
        <f t="shared" ref="L22" si="6">B22</f>
        <v>1</v>
      </c>
      <c r="M22" s="36">
        <f t="shared" ref="M22" si="7">D22+M$19</f>
        <v>1.9300000000000002</v>
      </c>
      <c r="N22" s="36">
        <f t="shared" ref="N22" si="8">E22+$N$19</f>
        <v>0.54</v>
      </c>
      <c r="O22" s="256">
        <f t="shared" ref="O22" si="9">M22*N22</f>
        <v>1.0422000000000002</v>
      </c>
      <c r="P22" s="254">
        <f t="shared" ref="P22" si="10">O22*L22</f>
        <v>1.0422000000000002</v>
      </c>
      <c r="Q22" s="247">
        <f t="shared" ref="Q22" si="11">Q$20*O22</f>
        <v>111815.33601937047</v>
      </c>
      <c r="R22" s="296">
        <f t="shared" ref="R22" si="12">Q22+R$20</f>
        <v>114815.33601937047</v>
      </c>
      <c r="S22" s="284">
        <f t="shared" ref="S22" si="13">M22*L22</f>
        <v>1.9300000000000002</v>
      </c>
      <c r="T22" s="43">
        <f t="shared" ref="T22" si="14">N22*2*L22*2</f>
        <v>2.16</v>
      </c>
      <c r="U22" s="9"/>
      <c r="X22" s="4"/>
    </row>
    <row r="23" spans="1:25" ht="17.399999999999999" x14ac:dyDescent="0.3">
      <c r="B23" s="278"/>
      <c r="C23" s="334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245273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4.5600000000000005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46601.87</v>
      </c>
      <c r="I26" s="299"/>
      <c r="J26" s="260"/>
      <c r="K26" s="315"/>
      <c r="L26" s="44"/>
      <c r="M26" s="36">
        <f>SUM(M21:M22)</f>
        <v>3.91</v>
      </c>
      <c r="N26" s="12"/>
      <c r="O26" s="12"/>
      <c r="P26" s="248">
        <f>SUM(P21:P24)</f>
        <v>2.2302</v>
      </c>
      <c r="Q26" s="14"/>
      <c r="R26" s="12"/>
      <c r="S26" s="235">
        <f>SUM(S21:S25)</f>
        <v>3.91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291874.87</v>
      </c>
      <c r="I27" s="299"/>
      <c r="J27" s="260"/>
      <c r="K27" s="315"/>
      <c r="L27" s="44"/>
      <c r="M27" s="36"/>
      <c r="N27" s="12"/>
      <c r="O27" s="12"/>
      <c r="P27" s="248">
        <f>P26</f>
        <v>2.2302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0.44603999999999999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2.67624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2.67624</v>
      </c>
      <c r="N31" s="12">
        <v>3500</v>
      </c>
      <c r="O31" s="12">
        <f t="shared" ref="O31:O36" si="15">M31*N31</f>
        <v>9366.84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0.8</v>
      </c>
      <c r="N32" s="12">
        <v>23500</v>
      </c>
      <c r="O32" s="12">
        <f t="shared" si="15"/>
        <v>18800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2</v>
      </c>
      <c r="N34" s="245">
        <v>35000</v>
      </c>
      <c r="O34" s="12">
        <f t="shared" si="15"/>
        <v>70000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3.91</v>
      </c>
      <c r="N36" s="12">
        <v>1500</v>
      </c>
      <c r="O36" s="12">
        <f t="shared" si="15"/>
        <v>5865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104031.84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O37*2.3</f>
        <v>239273.23199999996</v>
      </c>
      <c r="P38" s="14" t="s">
        <v>138</v>
      </c>
      <c r="Q38" s="14"/>
      <c r="R38" s="37">
        <f>P29/R37</f>
        <v>0.72159188955996545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107287.79122948613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2.2999999999999998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45986</v>
      </c>
    </row>
    <row r="6" spans="1:31" ht="16.2" thickBot="1" x14ac:dyDescent="0.35">
      <c r="B6" s="137" t="s">
        <v>2</v>
      </c>
      <c r="C6" s="136" t="str">
        <f>'2229'!C10</f>
        <v>MUEBLES FORD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3" t="s">
        <v>98</v>
      </c>
      <c r="I7" s="344"/>
      <c r="J7" s="344"/>
      <c r="K7" s="345"/>
      <c r="N7" s="72"/>
      <c r="O7" s="342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11770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2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-28039.96659323671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245273</v>
      </c>
      <c r="E11" s="129">
        <f>D11*0.19</f>
        <v>46601.87</v>
      </c>
      <c r="F11" s="128">
        <f>E11+D11</f>
        <v>291874.87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77950.033406763294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48145.750275362319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59950.033406763294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197127.24972463769</v>
      </c>
      <c r="E13" s="218">
        <f>(D11/D12)-1</f>
        <v>4.0943852488993997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50950.033406763294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11950.03340676329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91669.508524289864</v>
      </c>
      <c r="C15" s="210" t="s">
        <v>121</v>
      </c>
      <c r="D15" s="211">
        <v>0.6</v>
      </c>
      <c r="E15" s="212">
        <f>(100%+D15)*D12</f>
        <v>77033.20044057972</v>
      </c>
      <c r="F15" s="213">
        <f>E15-D12</f>
        <v>28887.4501652174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11950.03340676329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51950.033406763294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18800</v>
      </c>
      <c r="E19" s="120">
        <f>D19*0.19</f>
        <v>3572</v>
      </c>
      <c r="F19" s="117">
        <f>SUM(D19:E19)</f>
        <v>22372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9366.84</v>
      </c>
      <c r="E20" s="118">
        <f>D20*0.19</f>
        <v>1779.6996000000001</v>
      </c>
      <c r="F20" s="117">
        <f>SUM(D20:E20)</f>
        <v>11146.5396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28166.84</v>
      </c>
      <c r="E21" s="113">
        <f>SUM(E18:E20)</f>
        <v>5351.6995999999999</v>
      </c>
      <c r="F21" s="112">
        <f>SUM(F18:F20)</f>
        <v>33518.539600000004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41250.170400000003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245273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28166.84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197127.24972463769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197127.24972463769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2025-11-25T19:36:34Z</dcterms:modified>
</cp:coreProperties>
</file>