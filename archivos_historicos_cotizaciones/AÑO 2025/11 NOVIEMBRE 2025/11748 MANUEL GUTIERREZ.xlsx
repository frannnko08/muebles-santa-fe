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11 NOVIEMBRE 2025\"/>
    </mc:Choice>
  </mc:AlternateContent>
  <xr:revisionPtr revIDLastSave="0" documentId="13_ncr:1_{3E01049E-1BB1-4C31-9B19-17EB725CA5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6" i="1" l="1"/>
  <c r="L22" i="1"/>
  <c r="M22" i="1"/>
  <c r="S22" i="1" s="1"/>
  <c r="N22" i="1"/>
  <c r="T22" i="1" l="1"/>
  <c r="O22" i="1"/>
  <c r="P22" i="1" s="1"/>
  <c r="J35" i="1"/>
  <c r="S26" i="1" l="1"/>
  <c r="T21" i="1"/>
  <c r="T25" i="1" s="1"/>
  <c r="P26" i="1"/>
  <c r="V33" i="1" l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O39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2" i="1" l="1"/>
  <c r="R22" i="1" s="1"/>
  <c r="G22" i="1" s="1"/>
  <c r="H22" i="1" s="1"/>
  <c r="H25" i="1" s="1"/>
  <c r="O40" i="1"/>
  <c r="F15" i="3" l="1"/>
  <c r="H26" i="1" l="1"/>
  <c r="H27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<sst xmlns="http://schemas.openxmlformats.org/spreadsheetml/2006/main" count="233" uniqueCount="177">
  <si>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</si>
  <si>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</si>
  <si>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</si>
  <si>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</si>
  <si>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</si>
  <si>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</si>
  <si>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</si>
  <si>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</si>
  <si>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</si>
  <si>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</si>
  <si>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</si>
  <si>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</si>
  <si>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</si>
  <si>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</si>
  <si>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</si>
  <si>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</si>
  <si>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</si>
  <si>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</si>
  <si>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</si>
  <si>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</si>
  <si>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</si>
  <si>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</si>
  <si>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</si>
  <si>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</si>
  <si>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</si>
  <si>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</si>
  <si>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</si>
  <si>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</si>
  <si>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</si>
  <si>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</si>
  <si>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</si>
  <si>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</si>
  <si>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</si>
  <si>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</si>
  <si>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</si>
  <si>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</si>
  <si>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</si>
  <si>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</si>
  <si>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</si>
  <si>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</si>
  <si>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</si>
  <si>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</si>
  <si>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</si>
  <si>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</si>
  <si>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</si>
  <si>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</si>
  <si>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</si>
  <si>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</si>
  <si>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</si>
  <si>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</si>
  <si>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</si>
  <si>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</si>
  <si>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</si>
  <si>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</si>
  <si>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</si>
  <si>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</si>
  <si>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</si>
  <si>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</si>
  <si>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</si>
  <si>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</si>
  <si>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</si>
  <si>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</si>
  <si>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</si>
  <si>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</si>
  <si>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</si>
  <si>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</si>
  <si>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</si>
  <si>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</si>
  <si>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</si>
  <si>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</si>
  <si>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</si>
  <si>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</si>
  <si>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</si>
  <si>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</si>
  <si>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</si>
  <si>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</si>
  <si>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</si>
  <si>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</si>
  <si>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</si>
  <si>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</si>
  <si>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</si>
  <si>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</si>
  <si>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</si>
  <si>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</si>
  <si>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</si>
  <si>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</si>
  <si>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</si>
  <si>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</si>
  <si>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</si>
  <si>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</si>
  <si>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</si>
  <si>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</si>
  <si>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</si>
  <si>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</si>
  <si>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</si>
  <si>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</si>
  <si>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</si>
  <si>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</si>
  <si>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</si>
  <si>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</si>
  <si>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</si>
  <si>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</si>
  <si>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</si>
  <si>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</si>
  <si>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</si>
  <si>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</si>
  <si>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</si>
  <si>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</si>
  <si>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</si>
  <si>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</si>
  <si>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</si>
  <si>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</si>
  <si>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</si>
  <si>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</si>
  <si>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</si>
  <si>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</si>
  <si>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</si>
  <si>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</si>
  <si>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</si>
  <si>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</si>
  <si>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</si>
  <si>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</si>
  <si>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</si>
  <si>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</si>
  <si>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</si>
  <si>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</si>
  <si>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</si>
  <si>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</si>
  <si>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</si>
  <si>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</si>
  <si>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</si>
  <si>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</si>
  <si>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</si>
  <si>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</si>
  <si>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</si>
  <si>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</si>
  <si>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</si>
  <si>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</si>
  <si>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</si>
  <si>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</si>
  <si>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</si>
  <si>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</si>
  <si>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</si>
  <si>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</si>
  <si>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</si>
  <si>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</si>
  <si>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</si>
  <si>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</si>
  <si>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</si>
  <si>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</si>
  <si>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</si>
  <si>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</si>
  <si>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</si>
  <si>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</si>
  <si>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</si>
  <si>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</si>
  <si>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</si>
  <si>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</si>
  <si>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</si>
  <si>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</si>
  <si>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</si>
  <si>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</si>
  <si>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</si>
  <si>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</si>
  <si>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</si>
  <si>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</si>
  <si>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</si>
  <si>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</si>
  <si>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</si>
  <si>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SANTIAGO</t>
  </si>
  <si>
    <t>CUBIERTA CON RESPALDO FRENTE 90°</t>
  </si>
  <si>
    <t>BLANCO MT</t>
  </si>
  <si>
    <t>N° 11748</t>
  </si>
  <si>
    <t>MANUEL GUTIERREZ</t>
  </si>
  <si>
    <t>NERO SUPREME 5979</t>
  </si>
  <si>
    <t>+56 9 9538 3854</t>
  </si>
  <si>
    <t>10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</si>
</sst>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9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8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2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4" fillId="0" borderId="0" xfId="0" applyFont="1"/>
    <xf numFmtId="14" fontId="28" fillId="0" borderId="0" xfId="0" applyNumberFormat="1" applyFont="1" applyAlignment="1">
      <alignment horizontal="left"/>
    </xf>
    <xf numFmtId="0" fontId="36" fillId="8" borderId="0" xfId="0" applyFont="1" applyFill="1"/>
    <xf numFmtId="0" fontId="0" fillId="8" borderId="0" xfId="0" applyFill="1"/>
    <xf numFmtId="0" fontId="28" fillId="8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28" fillId="8" borderId="0" xfId="0" applyFont="1" applyFill="1"/>
    <xf numFmtId="0" fontId="35" fillId="0" borderId="0" xfId="0" quotePrefix="1" applyFont="1"/>
    <xf numFmtId="0" fontId="24" fillId="0" borderId="0" xfId="0" applyFont="1"/>
    <xf numFmtId="0" fontId="28" fillId="0" borderId="0" xfId="0" applyFont="1"/>
    <xf numFmtId="0" fontId="34" fillId="8" borderId="0" xfId="0" applyFont="1" applyFill="1"/>
    <xf numFmtId="0" fontId="14" fillId="8" borderId="0" xfId="0" applyFont="1" applyFill="1"/>
    <xf numFmtId="0" fontId="29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7" fillId="0" borderId="27" xfId="8" applyFont="1" applyFill="1" applyBorder="1"/>
    <xf numFmtId="42" fontId="37" fillId="18" borderId="20" xfId="8" applyFont="1" applyFill="1" applyBorder="1"/>
    <xf numFmtId="42" fontId="37" fillId="0" borderId="29" xfId="8" applyFont="1" applyFill="1" applyBorder="1"/>
    <xf numFmtId="0" fontId="23" fillId="20" borderId="9" xfId="0" applyFont="1" applyFill="1" applyBorder="1"/>
    <xf numFmtId="0" fontId="38" fillId="20" borderId="2" xfId="0" applyFont="1" applyFill="1" applyBorder="1" applyAlignment="1">
      <alignment horizontal="left" indent="1"/>
    </xf>
    <xf numFmtId="0" fontId="38" fillId="20" borderId="3" xfId="0" applyFont="1" applyFill="1" applyBorder="1" applyAlignment="1">
      <alignment horizontal="center"/>
    </xf>
    <xf numFmtId="0" fontId="9" fillId="0" borderId="0" xfId="3"/>
    <xf numFmtId="0" fontId="8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ENTREGAN SOBRE MEDIDAS EN EL LARGO.</a:t>
          </a:r>
        </a:p>
        <a:p>
          <a:pPr algn="l"/>
          <a:r>
            <a:rPr lang="es-CL" sz="1200" b="1" baseline="0"/>
            <a:t>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zoomScale="93" zoomScaleNormal="93" workbookViewId="0">
      <selection activeCell="G12" sqref="G12"/>
    </sheetView>
  </sheetViews>
  <sheetFormatPr baseColWidth="10" defaultRowHeight="14.4" x14ac:dyDescent="0.3"/>
  <cols>
    <col min="1" max="1" width="6" customWidth="1"/>
    <col min="2" max="2" width="10.5546875" customWidth="1"/>
    <col min="3" max="3" width="30.5546875" customWidth="1"/>
    <col min="4" max="4" width="15.33203125" customWidth="1"/>
    <col min="5" max="5" width="12" customWidth="1"/>
    <col min="6" max="6" width="27.109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9" t="s">
        <v>125</v>
      </c>
      <c r="C8" s="328"/>
      <c r="D8" s="330" t="s">
        <v>172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332" t="s">
        <v>173</v>
      </c>
      <c r="D10" s="239"/>
      <c r="E10" s="239"/>
      <c r="F10" s="240" t="s">
        <v>166</v>
      </c>
      <c r="G10" s="271">
        <v>45973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165</v>
      </c>
      <c r="G11" s="303" t="s">
        <v>176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164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31"/>
      <c r="D14" s="305"/>
      <c r="E14" s="305"/>
      <c r="F14" s="305" t="s">
        <v>134</v>
      </c>
      <c r="G14" s="308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09" t="s">
        <v>175</v>
      </c>
      <c r="D15" s="310"/>
      <c r="F15" t="s">
        <v>167</v>
      </c>
      <c r="G15" s="311" t="s">
        <v>133</v>
      </c>
      <c r="H15" s="281"/>
    </row>
    <row r="16" spans="2:24" ht="16.8" x14ac:dyDescent="0.4">
      <c r="B16" s="295" t="s">
        <v>3</v>
      </c>
      <c r="C16" s="312"/>
      <c r="D16" s="305"/>
      <c r="E16" s="305"/>
      <c r="F16" s="313" t="s">
        <v>128</v>
      </c>
      <c r="G16" s="314" t="s">
        <v>160</v>
      </c>
      <c r="H16" s="243"/>
    </row>
    <row r="17" spans="1:25" ht="15" thickBot="1" x14ac:dyDescent="0.35">
      <c r="B17" s="292" t="s">
        <v>13</v>
      </c>
      <c r="C17" s="293" t="s">
        <v>169</v>
      </c>
      <c r="D17" s="294"/>
      <c r="E17" s="116"/>
      <c r="F17" s="335" t="s">
        <v>162</v>
      </c>
      <c r="G17" s="335"/>
      <c r="H17" s="336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7" t="s">
        <v>95</v>
      </c>
      <c r="C19" s="338"/>
      <c r="D19" s="338"/>
      <c r="E19" s="338"/>
      <c r="F19" s="338"/>
      <c r="G19" s="338"/>
      <c r="H19" s="339"/>
      <c r="I19" s="259"/>
      <c r="J19" s="259"/>
      <c r="K19" s="5"/>
      <c r="L19" s="245"/>
      <c r="M19" s="14">
        <v>0.05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17" t="s">
        <v>7</v>
      </c>
      <c r="C20" s="318" t="s">
        <v>1</v>
      </c>
      <c r="D20" s="318" t="s">
        <v>130</v>
      </c>
      <c r="E20" s="318" t="s">
        <v>11</v>
      </c>
      <c r="F20" s="318" t="s">
        <v>8</v>
      </c>
      <c r="G20" s="318" t="s">
        <v>5</v>
      </c>
      <c r="H20" s="319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O39</f>
        <v>61530.909090909096</v>
      </c>
      <c r="R20" s="253">
        <v>3000</v>
      </c>
      <c r="S20" s="35"/>
      <c r="T20" s="14" t="s">
        <v>127</v>
      </c>
      <c r="U20" s="9"/>
      <c r="X20" s="4"/>
    </row>
    <row r="21" spans="1:25" ht="17.399999999999999" x14ac:dyDescent="0.3">
      <c r="B21" s="322">
        <v>1</v>
      </c>
      <c r="C21" s="333" t="s">
        <v>170</v>
      </c>
      <c r="D21" s="323">
        <v>1.75</v>
      </c>
      <c r="E21" s="323">
        <v>0.25</v>
      </c>
      <c r="F21" s="322" t="s">
        <v>171</v>
      </c>
      <c r="G21" s="324">
        <v>33009</v>
      </c>
      <c r="H21" s="324">
        <v>33009</v>
      </c>
      <c r="I21" s="297"/>
      <c r="J21" s="260"/>
      <c r="K21" s="44"/>
      <c r="L21" s="44"/>
      <c r="M21" s="36"/>
      <c r="N21" s="36"/>
      <c r="O21" s="256"/>
      <c r="P21" s="254"/>
      <c r="Q21" s="247"/>
      <c r="R21" s="296"/>
      <c r="S21" s="284"/>
      <c r="T21" s="43">
        <f>N21*2*L21*2</f>
        <v>0</v>
      </c>
      <c r="U21" s="9"/>
      <c r="X21" s="4"/>
    </row>
    <row r="22" spans="1:25" ht="17.399999999999999" x14ac:dyDescent="0.3">
      <c r="B22" s="322">
        <v>1</v>
      </c>
      <c r="C22" s="333" t="s">
        <v>170</v>
      </c>
      <c r="D22" s="323">
        <v>2.7</v>
      </c>
      <c r="E22" s="323">
        <v>0.55000000000000004</v>
      </c>
      <c r="F22" s="322" t="s">
        <v>174</v>
      </c>
      <c r="G22" s="324">
        <f t="shared" ref="G22" si="1">R22</f>
        <v>96065.500000000015</v>
      </c>
      <c r="H22" s="324">
        <f t="shared" ref="H22" si="2">G22*B22</f>
        <v>96065.500000000015</v>
      </c>
      <c r="I22" s="297"/>
      <c r="J22" s="260"/>
      <c r="K22" s="44"/>
      <c r="L22" s="44">
        <f t="shared" ref="L22" si="3">B22</f>
        <v>1</v>
      </c>
      <c r="M22" s="36">
        <f t="shared" ref="M22" si="4">D22+M$19</f>
        <v>2.75</v>
      </c>
      <c r="N22" s="36">
        <f t="shared" ref="N22" si="5">E22+$N$19</f>
        <v>0.55000000000000004</v>
      </c>
      <c r="O22" s="256">
        <f t="shared" ref="O22" si="6">M22*N22</f>
        <v>1.5125000000000002</v>
      </c>
      <c r="P22" s="254">
        <f t="shared" ref="P22" si="7">O22*L22</f>
        <v>1.5125000000000002</v>
      </c>
      <c r="Q22" s="247">
        <f t="shared" ref="Q22" si="8">Q$20*O22</f>
        <v>93065.500000000015</v>
      </c>
      <c r="R22" s="296">
        <f t="shared" ref="R22" si="9">Q22+R$20</f>
        <v>96065.500000000015</v>
      </c>
      <c r="S22" s="284">
        <f t="shared" ref="S22" si="10">M22*L22</f>
        <v>2.75</v>
      </c>
      <c r="T22" s="43">
        <f t="shared" ref="T22" si="11">N22*2*L22*2</f>
        <v>2.2000000000000002</v>
      </c>
      <c r="U22" s="9"/>
      <c r="X22" s="4"/>
    </row>
    <row r="23" spans="1:25" ht="17.399999999999999" x14ac:dyDescent="0.3">
      <c r="B23" s="278"/>
      <c r="C23" s="334"/>
      <c r="D23" s="279"/>
      <c r="E23" s="279"/>
      <c r="F23" s="278"/>
      <c r="G23" s="297"/>
      <c r="H23" s="297"/>
      <c r="I23" s="297"/>
      <c r="J23" s="260"/>
      <c r="K23" s="44"/>
      <c r="L23" s="44"/>
      <c r="M23" s="36"/>
      <c r="N23" s="36"/>
      <c r="O23" s="256"/>
      <c r="P23" s="254"/>
      <c r="Q23" s="247"/>
      <c r="R23" s="296"/>
      <c r="S23" s="284"/>
      <c r="T23" s="43"/>
      <c r="U23" s="9"/>
      <c r="X23" s="4"/>
    </row>
    <row r="24" spans="1:25" ht="18" thickBot="1" x14ac:dyDescent="0.35">
      <c r="B24" s="278"/>
      <c r="C24" s="278"/>
      <c r="D24" s="279"/>
      <c r="E24" s="279"/>
      <c r="F24" s="278"/>
      <c r="G24" s="260"/>
      <c r="H24" s="298"/>
      <c r="I24" s="300"/>
      <c r="J24" s="229"/>
      <c r="K24" s="44"/>
      <c r="L24" s="44"/>
      <c r="M24" s="36"/>
      <c r="N24" s="36"/>
      <c r="O24" s="256"/>
      <c r="P24" s="254"/>
      <c r="Q24" s="247"/>
      <c r="R24" s="253"/>
      <c r="S24" s="284"/>
      <c r="T24" s="14"/>
      <c r="U24" s="9"/>
      <c r="X24" s="4"/>
    </row>
    <row r="25" spans="1:25" ht="17.399999999999999" x14ac:dyDescent="0.3">
      <c r="B25" s="278"/>
      <c r="C25" s="278"/>
      <c r="D25" s="279"/>
      <c r="E25" s="279"/>
      <c r="F25" s="278"/>
      <c r="G25" s="301" t="s">
        <v>28</v>
      </c>
      <c r="H25" s="325">
        <f>SUM(H21:H24)</f>
        <v>129074.50000000001</v>
      </c>
      <c r="I25" s="299"/>
      <c r="J25" s="260"/>
      <c r="K25" s="315"/>
      <c r="L25" s="44"/>
      <c r="M25" s="36"/>
      <c r="N25" s="36"/>
      <c r="O25" s="256"/>
      <c r="P25" s="254"/>
      <c r="Q25" s="247"/>
      <c r="R25" s="253"/>
      <c r="S25" s="284"/>
      <c r="T25" s="43">
        <f>SUM(T21:T24)</f>
        <v>2.2000000000000002</v>
      </c>
      <c r="U25" s="9"/>
      <c r="X25" s="4"/>
    </row>
    <row r="26" spans="1:25" ht="17.399999999999999" x14ac:dyDescent="0.3">
      <c r="B26" s="272"/>
      <c r="C26" s="275"/>
      <c r="D26" s="276"/>
      <c r="E26" s="276"/>
      <c r="F26" s="277"/>
      <c r="G26" s="283" t="s">
        <v>51</v>
      </c>
      <c r="H26" s="326">
        <f>H25*19%</f>
        <v>24524.155000000002</v>
      </c>
      <c r="I26" s="299"/>
      <c r="J26" s="260"/>
      <c r="K26" s="315"/>
      <c r="L26" s="44"/>
      <c r="M26" s="36">
        <f>SUM(M21:M22)</f>
        <v>2.75</v>
      </c>
      <c r="N26" s="12"/>
      <c r="O26" s="12"/>
      <c r="P26" s="248">
        <f>SUM(P21:P24)</f>
        <v>1.5125000000000002</v>
      </c>
      <c r="Q26" s="14"/>
      <c r="R26" s="12"/>
      <c r="S26" s="235">
        <f>SUM(S21:S25)</f>
        <v>2.75</v>
      </c>
      <c r="T26" s="43"/>
      <c r="U26" s="9"/>
      <c r="X26" s="4"/>
    </row>
    <row r="27" spans="1:25" ht="18" thickBot="1" x14ac:dyDescent="0.35">
      <c r="B27" s="270"/>
      <c r="C27" s="274"/>
      <c r="D27" s="267"/>
      <c r="E27" s="267"/>
      <c r="F27" s="268"/>
      <c r="G27" s="273" t="s">
        <v>6</v>
      </c>
      <c r="H27" s="327">
        <f>H25+H26</f>
        <v>153598.65500000003</v>
      </c>
      <c r="I27" s="299"/>
      <c r="J27" s="260"/>
      <c r="K27" s="315"/>
      <c r="L27" s="44"/>
      <c r="M27" s="36"/>
      <c r="N27" s="12"/>
      <c r="O27" s="12"/>
      <c r="P27" s="248">
        <f>P26</f>
        <v>1.5125000000000002</v>
      </c>
      <c r="Q27" s="14"/>
      <c r="R27" s="12"/>
      <c r="S27" s="235"/>
      <c r="T27" s="43"/>
      <c r="U27" s="9"/>
      <c r="X27" s="4"/>
    </row>
    <row r="28" spans="1:25" ht="17.399999999999999" x14ac:dyDescent="0.3">
      <c r="B28" s="270"/>
      <c r="C28" s="266"/>
      <c r="D28" s="267"/>
      <c r="E28" s="267"/>
      <c r="F28" s="268"/>
      <c r="J28" s="260"/>
      <c r="K28" s="315"/>
      <c r="L28" s="44"/>
      <c r="M28" s="14"/>
      <c r="N28" s="12"/>
      <c r="O28" s="12"/>
      <c r="P28" s="36">
        <f>P27*20%</f>
        <v>0.30250000000000005</v>
      </c>
      <c r="Q28" s="36" t="s">
        <v>129</v>
      </c>
      <c r="R28" s="39"/>
      <c r="S28" s="236"/>
      <c r="T28" s="14"/>
      <c r="U28" s="9"/>
      <c r="X28" s="4"/>
    </row>
    <row r="29" spans="1:25" ht="17.399999999999999" x14ac:dyDescent="0.35">
      <c r="B29" s="264"/>
      <c r="C29" s="226"/>
      <c r="D29" s="226"/>
      <c r="E29" s="229"/>
      <c r="F29" s="230"/>
      <c r="G29" s="226"/>
      <c r="H29" s="269"/>
      <c r="I29" s="269"/>
      <c r="J29" s="260"/>
      <c r="K29" s="44"/>
      <c r="L29" s="44"/>
      <c r="M29" s="14"/>
      <c r="N29" s="12"/>
      <c r="O29" s="12"/>
      <c r="P29" s="43">
        <f>P27+P28</f>
        <v>1.8150000000000002</v>
      </c>
      <c r="Q29" s="14"/>
      <c r="R29" s="14"/>
      <c r="S29" s="234"/>
      <c r="T29" s="14"/>
      <c r="U29" s="9"/>
      <c r="X29" s="4"/>
    </row>
    <row r="30" spans="1:25" ht="17.399999999999999" x14ac:dyDescent="0.35">
      <c r="B30" s="231"/>
      <c r="C30" s="232"/>
      <c r="D30" s="233"/>
      <c r="E30" s="231"/>
      <c r="F30" s="226"/>
      <c r="G30" s="226"/>
      <c r="I30" s="269"/>
      <c r="J30" s="260"/>
      <c r="K30" s="44"/>
      <c r="L30" s="44"/>
      <c r="M30" s="14"/>
      <c r="N30" s="14"/>
      <c r="O30" s="14"/>
      <c r="P30" s="14"/>
      <c r="Q30" s="14"/>
      <c r="R30" s="14"/>
      <c r="S30" s="236"/>
      <c r="T30" s="14"/>
      <c r="U30" s="288" t="s">
        <v>21</v>
      </c>
      <c r="V30" s="285" t="s">
        <v>149</v>
      </c>
      <c r="W30" s="289">
        <v>44971</v>
      </c>
      <c r="X30" s="290"/>
    </row>
    <row r="31" spans="1:25" ht="17.399999999999999" x14ac:dyDescent="0.35">
      <c r="B31" s="226"/>
      <c r="C31" s="226"/>
      <c r="D31" s="226"/>
      <c r="E31" s="226"/>
      <c r="F31" s="226"/>
      <c r="G31" s="226"/>
      <c r="J31" s="260"/>
      <c r="K31" s="44"/>
      <c r="L31" s="44"/>
      <c r="M31" s="36">
        <f>P29</f>
        <v>1.8150000000000002</v>
      </c>
      <c r="N31" s="12">
        <v>3500</v>
      </c>
      <c r="O31" s="12">
        <f t="shared" ref="O31:O36" si="12">M31*N31</f>
        <v>6352.5000000000009</v>
      </c>
      <c r="P31" s="14" t="s">
        <v>21</v>
      </c>
      <c r="Q31" s="14"/>
      <c r="R31" s="14"/>
      <c r="S31" s="237"/>
      <c r="T31" s="14"/>
      <c r="U31" s="288" t="s">
        <v>150</v>
      </c>
      <c r="V31" s="285">
        <v>3625</v>
      </c>
      <c r="W31" s="56" t="s">
        <v>151</v>
      </c>
      <c r="X31" s="290"/>
    </row>
    <row r="32" spans="1:25" ht="17.399999999999999" x14ac:dyDescent="0.35">
      <c r="A32" s="226"/>
      <c r="B32" s="226"/>
      <c r="C32" s="226"/>
      <c r="D32" s="226"/>
      <c r="E32" s="226"/>
      <c r="F32" s="226"/>
      <c r="G32" s="226"/>
      <c r="H32" s="226"/>
      <c r="J32" s="260"/>
      <c r="K32" s="44"/>
      <c r="L32" s="44"/>
      <c r="M32" s="244">
        <v>0.5</v>
      </c>
      <c r="N32" s="12">
        <v>23500</v>
      </c>
      <c r="O32" s="12">
        <f t="shared" si="12"/>
        <v>11750</v>
      </c>
      <c r="P32" s="36" t="s">
        <v>168</v>
      </c>
      <c r="Q32" s="39"/>
      <c r="R32" s="14"/>
      <c r="S32" s="236"/>
      <c r="T32" s="14"/>
      <c r="U32" s="288"/>
      <c r="V32" s="56">
        <v>906.25</v>
      </c>
      <c r="W32" s="56" t="s">
        <v>152</v>
      </c>
      <c r="X32" s="290"/>
    </row>
    <row r="33" spans="2:24" s="226" customFormat="1" ht="17.399999999999999" x14ac:dyDescent="0.35">
      <c r="B33" s="21" t="s">
        <v>148</v>
      </c>
      <c r="J33" s="257"/>
      <c r="K33" s="228"/>
      <c r="L33" s="245"/>
      <c r="M33" s="14"/>
      <c r="N33" s="245">
        <v>80000</v>
      </c>
      <c r="O33" s="12">
        <f t="shared" si="12"/>
        <v>0</v>
      </c>
      <c r="P33" s="36" t="s">
        <v>30</v>
      </c>
      <c r="Q33" s="39"/>
      <c r="S33" s="236"/>
      <c r="T33" s="251"/>
      <c r="U33" s="56"/>
      <c r="V33" s="56">
        <f>V32*20%</f>
        <v>181.25</v>
      </c>
      <c r="W33" s="290" t="s">
        <v>153</v>
      </c>
      <c r="X33" s="56"/>
    </row>
    <row r="34" spans="2:24" s="226" customFormat="1" ht="17.399999999999999" x14ac:dyDescent="0.35">
      <c r="B34" s="21" t="s">
        <v>163</v>
      </c>
      <c r="C34"/>
      <c r="D34"/>
      <c r="E34"/>
      <c r="F34"/>
      <c r="J34" s="257">
        <v>46000</v>
      </c>
      <c r="K34" s="228"/>
      <c r="L34" s="245"/>
      <c r="M34" s="14">
        <v>1</v>
      </c>
      <c r="N34" s="245">
        <v>20000</v>
      </c>
      <c r="O34" s="12">
        <f t="shared" si="12"/>
        <v>20000</v>
      </c>
      <c r="P34" s="14" t="s">
        <v>139</v>
      </c>
      <c r="Q34" s="17"/>
      <c r="S34" s="234"/>
      <c r="T34" s="251"/>
      <c r="U34" s="56"/>
      <c r="V34" s="56">
        <f>V32+V33</f>
        <v>1087.5</v>
      </c>
      <c r="W34" s="290" t="s">
        <v>154</v>
      </c>
      <c r="X34" s="56"/>
    </row>
    <row r="35" spans="2:24" s="226" customFormat="1" ht="17.399999999999999" x14ac:dyDescent="0.35">
      <c r="B35" s="26" t="s">
        <v>124</v>
      </c>
      <c r="C35"/>
      <c r="D35"/>
      <c r="E35"/>
      <c r="F35" s="225" t="s">
        <v>15</v>
      </c>
      <c r="J35" s="257">
        <f>J34/1.19</f>
        <v>38655.462184873948</v>
      </c>
      <c r="K35" s="255"/>
      <c r="L35" s="245"/>
      <c r="M35" s="244"/>
      <c r="N35" s="245">
        <v>900</v>
      </c>
      <c r="O35" s="12">
        <f t="shared" si="12"/>
        <v>0</v>
      </c>
      <c r="P35" s="14" t="s">
        <v>32</v>
      </c>
      <c r="Q35" s="14"/>
      <c r="R35" s="226">
        <v>1.52</v>
      </c>
      <c r="S35" s="234"/>
      <c r="T35" s="234"/>
    </row>
    <row r="36" spans="2:24" s="226" customFormat="1" ht="17.399999999999999" x14ac:dyDescent="0.35">
      <c r="J36" s="282"/>
      <c r="K36" s="255"/>
      <c r="L36" s="245"/>
      <c r="M36" s="261">
        <v>2.8</v>
      </c>
      <c r="N36" s="12">
        <v>1500</v>
      </c>
      <c r="O36" s="12">
        <f t="shared" si="12"/>
        <v>4200</v>
      </c>
      <c r="P36" s="14" t="s">
        <v>22</v>
      </c>
      <c r="Q36" s="14"/>
      <c r="R36">
        <v>2.44</v>
      </c>
      <c r="S36"/>
      <c r="T36" s="234"/>
      <c r="X36" s="227"/>
    </row>
    <row r="37" spans="2:24" s="226" customFormat="1" ht="17.399999999999999" x14ac:dyDescent="0.35">
      <c r="K37" s="255"/>
      <c r="L37" s="245"/>
      <c r="M37" s="14"/>
      <c r="N37" s="12"/>
      <c r="O37" s="12">
        <f>SUM(O31:O36)</f>
        <v>42302.5</v>
      </c>
      <c r="P37" s="36" t="s">
        <v>23</v>
      </c>
      <c r="Q37" s="14"/>
      <c r="R37">
        <f>R35*R36</f>
        <v>3.7088000000000001</v>
      </c>
      <c r="S37"/>
      <c r="T37" s="234"/>
      <c r="X37" s="227"/>
    </row>
    <row r="38" spans="2:24" s="226" customFormat="1" ht="17.399999999999999" x14ac:dyDescent="0.35">
      <c r="L38" s="245"/>
      <c r="M38" s="249" t="s">
        <v>33</v>
      </c>
      <c r="N38" s="12"/>
      <c r="O38" s="250">
        <f>O37*2.2</f>
        <v>93065.500000000015</v>
      </c>
      <c r="P38" s="14" t="s">
        <v>138</v>
      </c>
      <c r="Q38" s="14"/>
      <c r="R38" s="37">
        <f>P29/R37</f>
        <v>0.48937661777394309</v>
      </c>
      <c r="S38"/>
      <c r="T38" s="252"/>
    </row>
    <row r="39" spans="2:24" s="226" customFormat="1" ht="17.399999999999999" x14ac:dyDescent="0.35">
      <c r="G39"/>
      <c r="H39" s="255"/>
      <c r="I39" s="255"/>
      <c r="J39" s="255"/>
      <c r="L39" s="245"/>
      <c r="M39" s="14"/>
      <c r="N39" s="12"/>
      <c r="O39" s="12">
        <f>O38/P27</f>
        <v>61530.909090909096</v>
      </c>
      <c r="P39" s="42" t="s">
        <v>24</v>
      </c>
      <c r="Q39" s="14"/>
      <c r="R39" s="14"/>
      <c r="S39"/>
      <c r="T39" s="234"/>
      <c r="U39" s="56" t="s">
        <v>155</v>
      </c>
      <c r="V39" s="285">
        <v>43650</v>
      </c>
    </row>
    <row r="40" spans="2:24" s="226" customFormat="1" ht="17.399999999999999" x14ac:dyDescent="0.35">
      <c r="G40"/>
      <c r="L40" s="245"/>
      <c r="M40" s="13"/>
      <c r="N40" s="14"/>
      <c r="O40" s="17">
        <f>O38/O37</f>
        <v>2.2000000000000002</v>
      </c>
      <c r="P40" s="15"/>
      <c r="Q40"/>
      <c r="R40"/>
      <c r="S40"/>
      <c r="T40" s="234"/>
      <c r="U40" s="56" t="s">
        <v>157</v>
      </c>
      <c r="V40" s="286" t="s">
        <v>156</v>
      </c>
      <c r="W40" s="56">
        <v>2.4</v>
      </c>
    </row>
    <row r="41" spans="2:24" s="226" customFormat="1" ht="17.399999999999999" x14ac:dyDescent="0.35">
      <c r="D41" s="279"/>
      <c r="E41" s="279"/>
      <c r="F41" s="278"/>
      <c r="G41" s="316"/>
      <c r="H41" s="320"/>
      <c r="L41" s="12"/>
      <c r="T41" s="234"/>
      <c r="U41" s="56" t="s">
        <v>158</v>
      </c>
      <c r="V41" s="287">
        <v>395.37</v>
      </c>
    </row>
    <row r="42" spans="2:24" s="226" customFormat="1" ht="17.399999999999999" x14ac:dyDescent="0.35">
      <c r="B42"/>
      <c r="C42" s="321"/>
      <c r="D42" s="279"/>
      <c r="E42" s="279"/>
      <c r="F42" s="278"/>
      <c r="G42" s="316"/>
      <c r="H42" s="320"/>
      <c r="L42" s="12"/>
      <c r="T42" s="234"/>
      <c r="U42" s="56" t="s">
        <v>153</v>
      </c>
      <c r="V42" s="56">
        <v>474.45</v>
      </c>
    </row>
    <row r="43" spans="2:24" ht="14.4" customHeight="1" x14ac:dyDescent="0.35">
      <c r="D43" s="279"/>
      <c r="E43" s="279"/>
      <c r="F43" s="278"/>
      <c r="G43" s="316"/>
      <c r="H43" s="320"/>
      <c r="L43" s="12"/>
      <c r="U43" s="56"/>
      <c r="V43" s="56"/>
    </row>
    <row r="44" spans="2:24" ht="17.399999999999999" x14ac:dyDescent="0.35">
      <c r="D44" s="279"/>
      <c r="E44" s="279"/>
      <c r="F44" s="278"/>
      <c r="G44" s="316"/>
      <c r="H44" s="320"/>
      <c r="L44" s="245"/>
    </row>
    <row r="45" spans="2:24" ht="17.399999999999999" x14ac:dyDescent="0.35">
      <c r="D45" s="279"/>
      <c r="E45" s="279"/>
      <c r="F45" s="278"/>
      <c r="G45" s="316"/>
      <c r="H45" s="320"/>
      <c r="L45" s="245"/>
      <c r="T45" s="265"/>
    </row>
    <row r="46" spans="2:24" ht="17.399999999999999" x14ac:dyDescent="0.35">
      <c r="D46" s="279"/>
      <c r="E46" s="279"/>
      <c r="F46" s="278"/>
      <c r="G46" s="316"/>
      <c r="H46" s="320"/>
      <c r="L46" s="245"/>
    </row>
    <row r="47" spans="2:24" ht="15" customHeight="1" x14ac:dyDescent="0.35">
      <c r="D47" s="279"/>
      <c r="E47" s="279"/>
      <c r="F47" s="278"/>
      <c r="G47" s="316"/>
      <c r="H47" s="320"/>
    </row>
    <row r="48" spans="2:24" ht="17.399999999999999" x14ac:dyDescent="0.35">
      <c r="D48" s="279"/>
      <c r="E48" s="279"/>
      <c r="F48" s="278"/>
      <c r="G48" s="316"/>
      <c r="H48" s="320"/>
    </row>
    <row r="49" spans="4:20" ht="17.399999999999999" x14ac:dyDescent="0.35">
      <c r="D49" s="279"/>
      <c r="E49" s="279"/>
      <c r="F49" s="278"/>
      <c r="G49" s="316"/>
      <c r="H49" s="320"/>
      <c r="O49">
        <v>40935</v>
      </c>
      <c r="P49" t="s">
        <v>16</v>
      </c>
      <c r="Q49" t="s">
        <v>26</v>
      </c>
    </row>
    <row r="50" spans="4:20" ht="17.399999999999999" x14ac:dyDescent="0.35">
      <c r="D50" s="279"/>
      <c r="E50" s="279"/>
      <c r="F50" s="278"/>
      <c r="G50" s="316"/>
      <c r="H50" s="320"/>
    </row>
    <row r="51" spans="4:20" ht="17.399999999999999" x14ac:dyDescent="0.35">
      <c r="D51" s="279"/>
      <c r="E51" s="279"/>
      <c r="F51" s="278"/>
      <c r="G51" s="316"/>
      <c r="H51" s="320"/>
      <c r="O51" s="51"/>
      <c r="P51" s="51"/>
    </row>
    <row r="52" spans="4:20" ht="17.399999999999999" x14ac:dyDescent="0.35">
      <c r="D52" s="279"/>
      <c r="E52" s="279"/>
      <c r="F52" s="278"/>
      <c r="G52" s="316"/>
      <c r="H52" s="320"/>
      <c r="S52" s="18"/>
      <c r="T52" s="18"/>
    </row>
    <row r="53" spans="4:20" ht="17.399999999999999" x14ac:dyDescent="0.35">
      <c r="D53" s="279"/>
      <c r="E53" s="279"/>
      <c r="F53" s="278"/>
      <c r="G53" s="316"/>
      <c r="H53" s="320"/>
      <c r="S53" s="18"/>
      <c r="T53" s="18"/>
    </row>
    <row r="54" spans="4:20" ht="17.399999999999999" x14ac:dyDescent="0.35">
      <c r="D54" s="279"/>
      <c r="E54" s="279"/>
      <c r="F54" s="278"/>
      <c r="G54" s="316"/>
      <c r="H54" s="320"/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3" spans="4:20" x14ac:dyDescent="0.3">
      <c r="O63" s="40"/>
    </row>
    <row r="64" spans="4:20" x14ac:dyDescent="0.3">
      <c r="O64" s="40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2">
    <mergeCell ref="F17:H17"/>
    <mergeCell ref="B19:H19"/>
  </mergeCells>
  <phoneticPr fontId="33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45973</v>
      </c>
    </row>
    <row r="6" spans="1:31" ht="16.2" thickBot="1" x14ac:dyDescent="0.35">
      <c r="B6" s="137" t="s">
        <v>2</v>
      </c>
      <c r="C6" s="136" t="str">
        <f>'2229'!C10</f>
        <v>MANUEL GUTIERREZ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1" t="s">
        <v>98</v>
      </c>
      <c r="I7" s="342"/>
      <c r="J7" s="342"/>
      <c r="K7" s="343"/>
      <c r="N7" s="72"/>
      <c r="O7" s="340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11748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40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-11357.373926570051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'2229'!H25</f>
        <v>129074.50000000001</v>
      </c>
      <c r="E11" s="129">
        <f>D11*0.19</f>
        <v>24524.155000000002</v>
      </c>
      <c r="F11" s="128">
        <f>E11+D11</f>
        <v>153598.65500000003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94632.626073429943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38081.410275362316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76632.626073429943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90993.089724637699</v>
      </c>
      <c r="E13" s="218">
        <f>(D11/D12)-1</f>
        <v>2.3894359233725089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67632.626073429943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28632.62607342995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72507.005164289847</v>
      </c>
      <c r="C15" s="210" t="s">
        <v>121</v>
      </c>
      <c r="D15" s="211">
        <v>0.6</v>
      </c>
      <c r="E15" s="212">
        <f>(100%+D15)*D12</f>
        <v>60930.256440579709</v>
      </c>
      <c r="F15" s="213">
        <f>E15-D12</f>
        <v>22848.846165217394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28632.62607342995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68632.626073429943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'2229'!O33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'2229'!O32</f>
        <v>11750</v>
      </c>
      <c r="E19" s="120">
        <f>D19*0.19</f>
        <v>2232.5</v>
      </c>
      <c r="F19" s="117">
        <f>SUM(D19:E19)</f>
        <v>13982.5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'2229'!O31</f>
        <v>6352.5000000000009</v>
      </c>
      <c r="E20" s="118">
        <f>D20*0.19</f>
        <v>1206.9750000000001</v>
      </c>
      <c r="F20" s="117">
        <f>SUM(D20:E20)</f>
        <v>7559.4750000000013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18102.5</v>
      </c>
      <c r="E21" s="113">
        <f>SUM(E18:E20)</f>
        <v>3439.4750000000004</v>
      </c>
      <c r="F21" s="112">
        <f>SUM(F18:F20)</f>
        <v>21541.975000000002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21084.68</v>
      </c>
    </row>
    <row r="41" spans="2:16" ht="15" thickBot="1" x14ac:dyDescent="0.35">
      <c r="H41" s="344" t="s">
        <v>60</v>
      </c>
      <c r="I41" s="345"/>
      <c r="J41" s="345"/>
      <c r="K41" s="345"/>
      <c r="L41" s="345"/>
      <c r="M41" s="346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129074.50000000001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18102.5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90993.089724637699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90993.089724637699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2025-11-12T12:06:29Z</cp:lastPrinted>
  <dcterms:created xsi:type="dcterms:W3CDTF">2013-03-18T13:35:42Z</dcterms:created>
  <dcterms:modified xsi:type="dcterms:W3CDTF">2025-11-12T12:06:37Z</dcterms:modified>
</cp:coreProperties>
</file>