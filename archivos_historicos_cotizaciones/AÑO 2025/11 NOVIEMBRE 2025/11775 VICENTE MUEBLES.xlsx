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COTIZACIONES MUEBLES SANTA FE\11 NOVIEMBRE 2025\"/>
    </mc:Choice>
  </mc:AlternateContent>
  <xr:revisionPtr revIDLastSave="0" documentId="13_ncr:1_{AA741BD7-867B-4D15-AE55-46669804BF6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229" sheetId="1" r:id="rId1"/>
    <sheet name="COSTOS" sheetId="3" r:id="rId2"/>
  </sheets>
  <definedNames>
    <definedName name="_xlnm.Print_Area" localSheetId="0">'2229'!$B$1:$H$35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7" i="1" l="1"/>
  <c r="J38" i="1"/>
  <c r="J15" i="1"/>
  <c r="J10" i="1"/>
  <c r="N21" i="1" l="1"/>
  <c r="M21" i="1" l="1"/>
  <c r="S21" i="1" s="1"/>
  <c r="M25" i="1" l="1"/>
  <c r="T21" i="1"/>
  <c r="T24" i="1" s="1"/>
  <c r="S26" i="1"/>
  <c r="O21" i="1"/>
  <c r="P21" i="1" s="1"/>
  <c r="P25" i="1" s="1"/>
  <c r="S27" i="1" l="1"/>
  <c r="S28" i="1" s="1"/>
  <c r="S29" i="1" s="1"/>
  <c r="V32" i="1"/>
  <c r="V33" i="1" s="1"/>
  <c r="O31" i="1" l="1"/>
  <c r="P26" i="1" l="1"/>
  <c r="N20" i="1"/>
  <c r="L20" i="1"/>
  <c r="P27" i="1" l="1"/>
  <c r="P28" i="1" s="1"/>
  <c r="M30" i="1" s="1"/>
  <c r="O32" i="1"/>
  <c r="R36" i="1"/>
  <c r="R37" i="1" l="1"/>
  <c r="O33" i="1"/>
  <c r="C7" i="3" l="1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18" i="3"/>
  <c r="W18" i="3"/>
  <c r="K19" i="3"/>
  <c r="K20" i="3"/>
  <c r="A21" i="3"/>
  <c r="B23" i="3" s="1"/>
  <c r="D23" i="3" s="1"/>
  <c r="K21" i="3"/>
  <c r="A22" i="3"/>
  <c r="B24" i="3" s="1"/>
  <c r="D24" i="3" s="1"/>
  <c r="F24" i="3" s="1"/>
  <c r="K22" i="3"/>
  <c r="A23" i="3"/>
  <c r="B25" i="3" s="1"/>
  <c r="D25" i="3" s="1"/>
  <c r="F25" i="3" s="1"/>
  <c r="K23" i="3"/>
  <c r="I25" i="3"/>
  <c r="K25" i="3" s="1"/>
  <c r="B26" i="3"/>
  <c r="D26" i="3" s="1"/>
  <c r="F26" i="3" s="1"/>
  <c r="K26" i="3"/>
  <c r="B27" i="3"/>
  <c r="D27" i="3" s="1"/>
  <c r="F27" i="3" s="1"/>
  <c r="K27" i="3"/>
  <c r="B28" i="3"/>
  <c r="D28" i="3" s="1"/>
  <c r="F28" i="3" s="1"/>
  <c r="K28" i="3"/>
  <c r="B29" i="3"/>
  <c r="D29" i="3" s="1"/>
  <c r="F29" i="3" s="1"/>
  <c r="I29" i="3"/>
  <c r="K29" i="3" s="1"/>
  <c r="F30" i="3"/>
  <c r="I30" i="3"/>
  <c r="K30" i="3" s="1"/>
  <c r="B31" i="3"/>
  <c r="D31" i="3" s="1"/>
  <c r="F31" i="3" s="1"/>
  <c r="I31" i="3"/>
  <c r="K31" i="3" s="1"/>
  <c r="B32" i="3"/>
  <c r="M21" i="3" s="1"/>
  <c r="K32" i="3"/>
  <c r="E33" i="3"/>
  <c r="H38" i="3" s="1"/>
  <c r="K38" i="3" s="1"/>
  <c r="K33" i="3"/>
  <c r="K34" i="3"/>
  <c r="K35" i="3"/>
  <c r="I37" i="3"/>
  <c r="H37" i="3" l="1"/>
  <c r="K37" i="3" s="1"/>
  <c r="W19" i="3"/>
  <c r="L24" i="3"/>
  <c r="D35" i="3" s="1"/>
  <c r="Y19" i="3"/>
  <c r="Y20" i="3" s="1"/>
  <c r="Y21" i="3" s="1"/>
  <c r="H39" i="3"/>
  <c r="K39" i="3" s="1"/>
  <c r="D42" i="3"/>
  <c r="L9" i="3"/>
  <c r="D34" i="3" s="1"/>
  <c r="F23" i="3"/>
  <c r="D32" i="3"/>
  <c r="F32" i="3" s="1"/>
  <c r="A32" i="3"/>
  <c r="W20" i="3" l="1"/>
  <c r="W21" i="3" s="1"/>
  <c r="L36" i="3"/>
  <c r="D36" i="3" s="1"/>
  <c r="D38" i="3" s="1"/>
  <c r="M45" i="3" s="1"/>
  <c r="F33" i="3"/>
  <c r="M44" i="3" s="1"/>
  <c r="D33" i="3"/>
  <c r="D19" i="3" l="1"/>
  <c r="D18" i="3" l="1"/>
  <c r="E18" i="3" s="1"/>
  <c r="E19" i="3"/>
  <c r="F19" i="3" s="1"/>
  <c r="O35" i="1"/>
  <c r="O34" i="1"/>
  <c r="F18" i="3" l="1"/>
  <c r="O30" i="1" l="1"/>
  <c r="O36" i="1" s="1"/>
  <c r="O37" i="1" s="1"/>
  <c r="D20" i="3" l="1"/>
  <c r="E20" i="3" s="1"/>
  <c r="E21" i="3" s="1"/>
  <c r="O38" i="1" l="1"/>
  <c r="Q20" i="1" s="1"/>
  <c r="D21" i="3"/>
  <c r="M43" i="3" s="1"/>
  <c r="D12" i="3" s="1"/>
  <c r="F20" i="3"/>
  <c r="F21" i="3" s="1"/>
  <c r="O39" i="1" l="1"/>
  <c r="E15" i="3"/>
  <c r="Q21" i="1" l="1"/>
  <c r="F15" i="3"/>
  <c r="R21" i="1" l="1"/>
  <c r="H21" i="1" l="1"/>
  <c r="H24" i="1" s="1"/>
  <c r="H25" i="1" s="1"/>
  <c r="H26" i="1" l="1"/>
  <c r="D11" i="3"/>
  <c r="X9" i="3" s="1"/>
  <c r="X15" i="3" s="1"/>
  <c r="D13" i="3" l="1"/>
  <c r="E13" i="3"/>
  <c r="X16" i="3"/>
  <c r="X11" i="3"/>
  <c r="X14" i="3"/>
  <c r="E11" i="3"/>
  <c r="D40" i="3" s="1"/>
  <c r="X13" i="3"/>
  <c r="X12" i="3"/>
  <c r="M42" i="3"/>
  <c r="M46" i="3" s="1"/>
  <c r="M49" i="3" s="1"/>
  <c r="F11" i="3" l="1"/>
</calcChain>
</file>

<file path=xl/sharedStrings.xml><?xml version="1.0" encoding="utf-8"?>
<sst xmlns="http://schemas.openxmlformats.org/spreadsheetml/2006/main" count="232" uniqueCount="176">
  <si>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</si>
  <si>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</si>
  <si>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</si>
  <si>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</si>
  <si>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</si>
  <si>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</si>
  <si>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</si>
  <si>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</si>
  <si>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</si>
  <si>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</si>
  <si>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</si>
  <si>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</si>
  <si>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</si>
  <si>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</si>
  <si>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</si>
  <si>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</si>
  <si>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</si>
  <si>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</si>
  <si>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</si>
  <si>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</si>
  <si>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</si>
  <si>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</si>
  <si>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MEDIA CAÑA</t>
  </si>
  <si>
    <t>COSTO</t>
  </si>
  <si>
    <t>VALOR M2</t>
  </si>
  <si>
    <t>CORTE</t>
  </si>
  <si>
    <t>TERMO WOOD</t>
  </si>
  <si>
    <t>VALIDEZ COTIZACIÓN: 5 DIAS</t>
  </si>
  <si>
    <t>NETO</t>
  </si>
  <si>
    <t>I.V.A.</t>
  </si>
  <si>
    <t>LAMINA 153 X 366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</si>
  <si>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</si>
  <si>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</si>
  <si>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</si>
  <si>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</si>
  <si>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</si>
  <si>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</si>
  <si>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</si>
  <si>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</si>
  <si>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</si>
  <si>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</si>
  <si>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</si>
  <si>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</si>
  <si>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</si>
  <si>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</si>
  <si>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</si>
  <si>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</si>
  <si>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</si>
  <si>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</si>
  <si>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</si>
  <si>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</si>
  <si>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</si>
  <si>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</si>
  <si>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</si>
  <si>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</si>
  <si>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</si>
  <si>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</si>
  <si>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</si>
  <si>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</si>
  <si>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</si>
  <si>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</si>
  <si>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</si>
  <si>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</si>
  <si>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</si>
  <si>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</si>
  <si>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</si>
  <si>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</si>
  <si>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</si>
  <si>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</si>
  <si>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</si>
  <si>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</si>
  <si>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</si>
  <si>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</si>
  <si>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</si>
  <si>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</si>
  <si>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</si>
  <si>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</si>
  <si>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</si>
  <si>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</si>
  <si>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</si>
  <si>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</si>
  <si>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</si>
  <si>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GUAIPE</t>
  </si>
  <si>
    <t>CARTON</t>
  </si>
  <si>
    <t>LIJAS</t>
  </si>
  <si>
    <t>LAMINA</t>
  </si>
  <si>
    <t>COLAFRIA</t>
  </si>
  <si>
    <t>MATERIAL</t>
  </si>
  <si>
    <t>M. PRIMA</t>
  </si>
  <si>
    <t>TORNILLOS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</si>
  <si>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</si>
  <si>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</si>
  <si>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</si>
  <si>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</si>
  <si>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</si>
  <si>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</si>
  <si>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</si>
  <si>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</si>
  <si>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</si>
  <si>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</si>
  <si>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</si>
  <si>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</si>
  <si>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</si>
  <si>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</si>
  <si>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</si>
  <si>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</si>
  <si>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</si>
  <si>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</si>
  <si>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</si>
  <si>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</si>
  <si>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</si>
  <si>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</si>
  <si>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</si>
  <si>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</si>
  <si>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</si>
  <si>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</si>
  <si>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</si>
  <si>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</si>
  <si>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</si>
  <si>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</si>
  <si>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</si>
  <si>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</si>
  <si>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</si>
  <si>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 xml:space="preserve">PLAZO ENTREGA: </t>
  </si>
  <si>
    <t>E-MAIL: ventas@topmobili.cl</t>
  </si>
  <si>
    <t xml:space="preserve">VISITANOS Y DESCUBRE NUESTROS PRODUCTOS EN </t>
  </si>
  <si>
    <t>P R E S U P U E S T O</t>
  </si>
  <si>
    <t>SERVICIO EXPRESS</t>
  </si>
  <si>
    <t>m/l</t>
  </si>
  <si>
    <t>FORMA DE PAGO:</t>
  </si>
  <si>
    <t>20% PERDIDA</t>
  </si>
  <si>
    <t>ALTO</t>
  </si>
  <si>
    <t>MT</t>
  </si>
  <si>
    <t>ENCHAPE</t>
  </si>
  <si>
    <t xml:space="preserve">DESPACHO:  </t>
  </si>
  <si>
    <t>NO</t>
  </si>
  <si>
    <t>CORTADA A LA MEDIDA</t>
  </si>
  <si>
    <t>MT/L</t>
  </si>
  <si>
    <t>VENTAS POR MENOR DE MUEBLES</t>
  </si>
  <si>
    <t>CORREO:</t>
  </si>
  <si>
    <t>FACTOR 2,3 PARA 90°</t>
  </si>
  <si>
    <t>LAMINA 122X244</t>
  </si>
  <si>
    <t>MUEBLES SANTA FE SPA</t>
  </si>
  <si>
    <t>RUT: 77.054.606-0</t>
  </si>
  <si>
    <t>RUT : 77.054.606-0 VENTAS@TOPMOBILI.CL</t>
  </si>
  <si>
    <t>GIRO:</t>
  </si>
  <si>
    <t>CONTACTO:</t>
  </si>
  <si>
    <t>,</t>
  </si>
  <si>
    <t>,,,,,,,,,,,,,,,,,,,,,,,,,,,,,,,,,,,,,,,,,,,,,,,,,,,,,,,,,,,,,,,,,,,,,,,,,,,,,,,,,,,,,,,,,,,,,,,,,,,,,,,,,,,,,,,,,,,,,,,,,,,,,,,,,,,,,,,,,,,,,,,,,,,,,,,,,,,,,,,,,,,,,,,,,,,,,,,,,,,,,,,,,,,,,,,,,,,,,,,,,,,,,,,,,,,,,,,,,,,,,,,,,,,,,,,,,,,,,,,,,,,,,,,,,,,,,,,,,,,,,</t>
  </si>
  <si>
    <t>,,</t>
  </si>
  <si>
    <t>,,,,,,,,,,,,,,,,,,,,,,,,,,,,,,,,,,,,,,,,,,,,,,,,,,,,,,,,,,,,,,,,,,,,,,</t>
  </si>
  <si>
    <r>
      <t xml:space="preserve">CUENTA CORRIENTE BANCO SANTANDER Nº 87316181 </t>
    </r>
    <r>
      <rPr>
        <b/>
        <sz val="9"/>
        <color rgb="FFFF0000"/>
        <rFont val="Calibri"/>
        <family val="2"/>
        <scheme val="minor"/>
      </rPr>
      <t>A NOMBRE DE</t>
    </r>
    <r>
      <rPr>
        <b/>
        <sz val="11"/>
        <color rgb="FFFF0000"/>
        <rFont val="Calibri"/>
        <family val="2"/>
        <scheme val="minor"/>
      </rPr>
      <t xml:space="preserve"> MUEBLES SANTA FE SPA</t>
    </r>
  </si>
  <si>
    <t xml:space="preserve">58.000.- </t>
  </si>
  <si>
    <t>LATA 16 LTS</t>
  </si>
  <si>
    <t>LITRO</t>
  </si>
  <si>
    <t>MT2 (4)</t>
  </si>
  <si>
    <t>PERDIDA 20%</t>
  </si>
  <si>
    <t>MINIMO A COTIZAR</t>
  </si>
  <si>
    <t>MDF30MM</t>
  </si>
  <si>
    <t>948.91</t>
  </si>
  <si>
    <t>46 UNIDADES</t>
  </si>
  <si>
    <t>METRO LINEAL</t>
  </si>
  <si>
    <t>NOMBRE:</t>
  </si>
  <si>
    <t>ABONO 50% SALDO C/ENTREGA</t>
  </si>
  <si>
    <t>FONO +569 2032 3382</t>
  </si>
  <si>
    <t>DURACION COTIZACION: 5 DIAS                           FRANCO DONOSO</t>
  </si>
  <si>
    <t>SANTIAGO</t>
  </si>
  <si>
    <t>NIEBLA</t>
  </si>
  <si>
    <t>WHITE OAK</t>
  </si>
  <si>
    <t>FCA DE MUEBLES</t>
  </si>
  <si>
    <t>CUB C/R 90° R8</t>
  </si>
  <si>
    <t>VICENTE MUEBLES</t>
  </si>
  <si>
    <t>MARTIN TEJEDA</t>
  </si>
  <si>
    <t>INDUSTRIAL CONCRETE 3127 MT</t>
  </si>
  <si>
    <t>N° 11775</t>
  </si>
  <si>
    <t>3 DIAS HABILES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</si>
</sst>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  <numFmt numFmtId="175" formatCode="_ * #,##0.00_ ;_ * \-#,##0.00_ ;_ * &quot;-&quot;_ ;_ @_ "/>
  </numFmts>
  <fonts count="37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sz val="11"/>
      <color rgb="FF000000"/>
      <name val="Segoe UI"/>
      <family val="2"/>
    </font>
    <font>
      <i/>
      <sz val="11"/>
      <color rgb="FF1F497D"/>
      <name val="Arial"/>
      <family val="2"/>
    </font>
  </fonts>
  <fills count="22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79998168889431442"/>
        <bgColor indexed="64"/>
      </patternFill>
    </fill>
  </fills>
  <borders count="5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346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3" fillId="0" borderId="0" xfId="0" applyFon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7" fontId="0" fillId="0" borderId="0" xfId="2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8" fillId="9" borderId="7" xfId="6" applyFont="1" applyFill="1" applyBorder="1"/>
    <xf numFmtId="0" fontId="14" fillId="9" borderId="18" xfId="0" applyFont="1" applyFill="1" applyBorder="1" applyAlignment="1">
      <alignment horizontal="center"/>
    </xf>
    <xf numFmtId="41" fontId="15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8" fillId="11" borderId="7" xfId="0" applyNumberFormat="1" applyFont="1" applyFill="1" applyBorder="1"/>
    <xf numFmtId="0" fontId="8" fillId="11" borderId="19" xfId="0" applyFont="1" applyFill="1" applyBorder="1" applyAlignment="1">
      <alignment horizontal="center"/>
    </xf>
    <xf numFmtId="0" fontId="8" fillId="10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11" borderId="7" xfId="6" applyFont="1" applyFill="1" applyBorder="1" applyAlignment="1">
      <alignment horizontal="right"/>
    </xf>
    <xf numFmtId="0" fontId="8" fillId="11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0" fontId="13" fillId="0" borderId="0" xfId="0" applyFont="1"/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11" borderId="2" xfId="0" applyFont="1" applyFill="1" applyBorder="1"/>
    <xf numFmtId="42" fontId="0" fillId="0" borderId="29" xfId="6" applyFont="1" applyBorder="1" applyAlignment="1">
      <alignment horizontal="center"/>
    </xf>
    <xf numFmtId="42" fontId="8" fillId="12" borderId="7" xfId="6" applyFont="1" applyFill="1" applyBorder="1"/>
    <xf numFmtId="41" fontId="8" fillId="12" borderId="18" xfId="0" applyNumberFormat="1" applyFont="1" applyFill="1" applyBorder="1" applyAlignment="1">
      <alignment horizontal="left" indent="1"/>
    </xf>
    <xf numFmtId="42" fontId="8" fillId="12" borderId="18" xfId="0" applyNumberFormat="1" applyFont="1" applyFill="1" applyBorder="1"/>
    <xf numFmtId="0" fontId="8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8" fillId="0" borderId="31" xfId="0" applyFont="1" applyBorder="1" applyAlignment="1">
      <alignment horizontal="center"/>
    </xf>
    <xf numFmtId="0" fontId="16" fillId="0" borderId="0" xfId="0" applyFont="1"/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42" fontId="16" fillId="0" borderId="0" xfId="6" applyFont="1" applyFill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8" fillId="12" borderId="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8" xfId="4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/>
    </xf>
    <xf numFmtId="0" fontId="8" fillId="12" borderId="19" xfId="0" applyFont="1" applyFill="1" applyBorder="1"/>
    <xf numFmtId="42" fontId="8" fillId="13" borderId="7" xfId="6" applyFont="1" applyFill="1" applyBorder="1"/>
    <xf numFmtId="42" fontId="8" fillId="13" borderId="18" xfId="6" applyFont="1" applyFill="1" applyBorder="1"/>
    <xf numFmtId="42" fontId="0" fillId="13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5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8" xfId="6" applyFont="1" applyFill="1" applyBorder="1"/>
    <xf numFmtId="0" fontId="8" fillId="0" borderId="4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5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7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42" fontId="8" fillId="9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2" xfId="0" applyFont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/>
    </xf>
    <xf numFmtId="0" fontId="8" fillId="9" borderId="9" xfId="0" quotePrefix="1" applyFont="1" applyFill="1" applyBorder="1" applyAlignment="1">
      <alignment horizontal="left"/>
    </xf>
    <xf numFmtId="0" fontId="8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9" borderId="9" xfId="0" applyFont="1" applyFill="1" applyBorder="1"/>
    <xf numFmtId="0" fontId="8" fillId="0" borderId="13" xfId="0" applyFont="1" applyBorder="1" applyAlignment="1">
      <alignment horizontal="center"/>
    </xf>
    <xf numFmtId="0" fontId="8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0" fontId="8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6" fillId="0" borderId="40" xfId="0" applyFont="1" applyBorder="1"/>
    <xf numFmtId="14" fontId="6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7" borderId="9" xfId="0" applyNumberFormat="1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9" fontId="6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20" fillId="0" borderId="0" xfId="0" applyFont="1" applyAlignment="1">
      <alignment horizontal="center" vertical="center"/>
    </xf>
    <xf numFmtId="0" fontId="10" fillId="0" borderId="0" xfId="3" applyFont="1" applyFill="1" applyBorder="1" applyAlignment="1">
      <alignment vertical="center"/>
    </xf>
    <xf numFmtId="0" fontId="22" fillId="0" borderId="0" xfId="0" applyFont="1"/>
    <xf numFmtId="1" fontId="22" fillId="0" borderId="0" xfId="0" applyNumberFormat="1" applyFont="1"/>
    <xf numFmtId="3" fontId="22" fillId="0" borderId="0" xfId="0" applyNumberFormat="1" applyFont="1"/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0" fontId="22" fillId="0" borderId="0" xfId="0" applyFont="1" applyAlignment="1">
      <alignment horizontal="right" indent="15"/>
    </xf>
    <xf numFmtId="0" fontId="22" fillId="0" borderId="0" xfId="0" applyFont="1" applyAlignment="1">
      <alignment horizontal="right" indent="9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0" fillId="8" borderId="46" xfId="0" applyFill="1" applyBorder="1"/>
    <xf numFmtId="0" fontId="0" fillId="8" borderId="46" xfId="0" applyFill="1" applyBorder="1" applyAlignment="1">
      <alignment horizontal="left"/>
    </xf>
    <xf numFmtId="0" fontId="0" fillId="8" borderId="53" xfId="0" applyFill="1" applyBorder="1"/>
    <xf numFmtId="0" fontId="0" fillId="8" borderId="54" xfId="0" applyFill="1" applyBorder="1"/>
    <xf numFmtId="0" fontId="0" fillId="8" borderId="0" xfId="0" applyFill="1"/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2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8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2" fillId="0" borderId="0" xfId="0" applyFont="1" applyAlignment="1">
      <alignment horizontal="left" vertical="center"/>
    </xf>
    <xf numFmtId="171" fontId="0" fillId="0" borderId="0" xfId="0" applyNumberFormat="1"/>
    <xf numFmtId="0" fontId="26" fillId="0" borderId="0" xfId="0" applyFont="1" applyAlignment="1">
      <alignment horizontal="center" vertical="center"/>
    </xf>
    <xf numFmtId="166" fontId="26" fillId="0" borderId="0" xfId="0" applyNumberFormat="1" applyFont="1" applyAlignment="1">
      <alignment horizontal="center" vertical="center"/>
    </xf>
    <xf numFmtId="0" fontId="27" fillId="0" borderId="0" xfId="0" applyFont="1" applyAlignment="1">
      <alignment horizontal="center"/>
    </xf>
    <xf numFmtId="167" fontId="28" fillId="0" borderId="0" xfId="0" applyNumberFormat="1" applyFont="1" applyAlignment="1">
      <alignment horizontal="center" vertical="center"/>
    </xf>
    <xf numFmtId="0" fontId="26" fillId="0" borderId="0" xfId="0" applyFont="1" applyAlignment="1">
      <alignment horizontal="left" vertical="center"/>
    </xf>
    <xf numFmtId="14" fontId="29" fillId="8" borderId="46" xfId="0" applyNumberFormat="1" applyFont="1" applyFill="1" applyBorder="1" applyAlignment="1">
      <alignment horizontal="left"/>
    </xf>
    <xf numFmtId="0" fontId="29" fillId="8" borderId="0" xfId="0" applyFont="1" applyFill="1" applyAlignment="1">
      <alignment horizontal="left"/>
    </xf>
    <xf numFmtId="0" fontId="8" fillId="8" borderId="46" xfId="0" applyFont="1" applyFill="1" applyBorder="1"/>
    <xf numFmtId="0" fontId="31" fillId="0" borderId="0" xfId="0" applyFont="1" applyAlignment="1">
      <alignment horizontal="left" vertical="center"/>
    </xf>
    <xf numFmtId="0" fontId="11" fillId="0" borderId="31" xfId="0" applyFont="1" applyBorder="1" applyAlignment="1">
      <alignment horizontal="center"/>
    </xf>
    <xf numFmtId="0" fontId="29" fillId="0" borderId="0" xfId="0" applyFont="1" applyAlignment="1">
      <alignment horizontal="center" vertical="center"/>
    </xf>
    <xf numFmtId="0" fontId="29" fillId="0" borderId="0" xfId="0" applyFont="1" applyAlignment="1">
      <alignment horizontal="left" vertical="center"/>
    </xf>
    <xf numFmtId="166" fontId="29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32" fillId="0" borderId="0" xfId="0" applyFont="1" applyAlignment="1">
      <alignment horizontal="center" vertical="center"/>
    </xf>
    <xf numFmtId="166" fontId="32" fillId="0" borderId="0" xfId="0" applyNumberFormat="1" applyFont="1" applyAlignment="1">
      <alignment horizontal="center" vertical="center"/>
    </xf>
    <xf numFmtId="0" fontId="0" fillId="0" borderId="54" xfId="0" applyBorder="1"/>
    <xf numFmtId="14" fontId="29" fillId="0" borderId="0" xfId="0" applyNumberFormat="1" applyFont="1" applyAlignment="1">
      <alignment horizontal="left"/>
    </xf>
    <xf numFmtId="0" fontId="0" fillId="0" borderId="55" xfId="0" applyBorder="1"/>
    <xf numFmtId="0" fontId="29" fillId="8" borderId="0" xfId="0" applyFont="1" applyFill="1"/>
    <xf numFmtId="0" fontId="24" fillId="20" borderId="2" xfId="0" applyFont="1" applyFill="1" applyBorder="1" applyAlignment="1">
      <alignment horizontal="left" indent="1"/>
    </xf>
    <xf numFmtId="0" fontId="23" fillId="20" borderId="9" xfId="0" applyFont="1" applyFill="1" applyBorder="1"/>
    <xf numFmtId="42" fontId="22" fillId="0" borderId="0" xfId="0" applyNumberFormat="1" applyFont="1"/>
    <xf numFmtId="42" fontId="33" fillId="18" borderId="20" xfId="8" applyFont="1" applyFill="1" applyBorder="1"/>
    <xf numFmtId="42" fontId="33" fillId="0" borderId="29" xfId="8" applyFont="1" applyFill="1" applyBorder="1"/>
    <xf numFmtId="3" fontId="11" fillId="18" borderId="26" xfId="0" applyNumberFormat="1" applyFont="1" applyFill="1" applyBorder="1" applyAlignment="1">
      <alignment horizontal="center"/>
    </xf>
    <xf numFmtId="169" fontId="3" fillId="6" borderId="0" xfId="2" applyNumberFormat="1" applyFont="1" applyFill="1" applyBorder="1" applyAlignment="1">
      <alignment horizontal="center"/>
    </xf>
    <xf numFmtId="0" fontId="35" fillId="0" borderId="0" xfId="0" applyFont="1"/>
    <xf numFmtId="41" fontId="7" fillId="0" borderId="0" xfId="4" applyFont="1"/>
    <xf numFmtId="41" fontId="7" fillId="0" borderId="0" xfId="4" applyFont="1" applyAlignment="1">
      <alignment horizontal="right"/>
    </xf>
    <xf numFmtId="175" fontId="7" fillId="0" borderId="0" xfId="4" applyNumberFormat="1" applyFont="1"/>
    <xf numFmtId="1" fontId="7" fillId="0" borderId="0" xfId="0" applyNumberFormat="1" applyFont="1" applyAlignment="1">
      <alignment horizontal="center"/>
    </xf>
    <xf numFmtId="14" fontId="7" fillId="0" borderId="0" xfId="0" applyNumberFormat="1" applyFont="1"/>
    <xf numFmtId="1" fontId="7" fillId="0" borderId="0" xfId="0" applyNumberFormat="1" applyFont="1"/>
    <xf numFmtId="0" fontId="0" fillId="8" borderId="47" xfId="0" applyFill="1" applyBorder="1"/>
    <xf numFmtId="0" fontId="35" fillId="8" borderId="0" xfId="0" applyFont="1" applyFill="1"/>
    <xf numFmtId="0" fontId="29" fillId="0" borderId="0" xfId="0" applyFont="1" applyAlignment="1">
      <alignment horizontal="left"/>
    </xf>
    <xf numFmtId="0" fontId="29" fillId="0" borderId="0" xfId="0" applyFont="1"/>
    <xf numFmtId="0" fontId="25" fillId="0" borderId="0" xfId="0" applyFont="1"/>
    <xf numFmtId="0" fontId="0" fillId="0" borderId="44" xfId="0" applyBorder="1"/>
    <xf numFmtId="0" fontId="29" fillId="0" borderId="37" xfId="3" applyFont="1" applyFill="1" applyBorder="1" applyAlignment="1">
      <alignment horizontal="left"/>
    </xf>
    <xf numFmtId="0" fontId="0" fillId="0" borderId="37" xfId="3" applyFont="1" applyFill="1" applyBorder="1" applyAlignment="1">
      <alignment horizontal="left"/>
    </xf>
    <xf numFmtId="0" fontId="9" fillId="8" borderId="0" xfId="3" applyFill="1"/>
    <xf numFmtId="0" fontId="5" fillId="8" borderId="0" xfId="0" applyFont="1" applyFill="1"/>
    <xf numFmtId="0" fontId="7" fillId="8" borderId="54" xfId="0" applyFont="1" applyFill="1" applyBorder="1"/>
    <xf numFmtId="0" fontId="14" fillId="8" borderId="0" xfId="0" applyFont="1" applyFill="1"/>
    <xf numFmtId="0" fontId="30" fillId="8" borderId="0" xfId="0" applyFont="1" applyFill="1"/>
    <xf numFmtId="41" fontId="11" fillId="2" borderId="0" xfId="4" applyFont="1" applyFill="1" applyBorder="1" applyAlignment="1">
      <alignment horizontal="center"/>
    </xf>
    <xf numFmtId="167" fontId="11" fillId="0" borderId="0" xfId="2" applyNumberFormat="1" applyFont="1" applyFill="1" applyBorder="1" applyAlignment="1">
      <alignment horizontal="center" vertical="center"/>
    </xf>
    <xf numFmtId="41" fontId="22" fillId="0" borderId="0" xfId="4" applyFont="1" applyBorder="1" applyAlignment="1">
      <alignment horizontal="center" vertical="center"/>
    </xf>
    <xf numFmtId="42" fontId="33" fillId="0" borderId="0" xfId="8" applyFont="1" applyFill="1" applyBorder="1"/>
    <xf numFmtId="41" fontId="22" fillId="0" borderId="0" xfId="4" applyFont="1" applyFill="1" applyBorder="1" applyAlignment="1">
      <alignment horizontal="center" vertical="center"/>
    </xf>
    <xf numFmtId="0" fontId="11" fillId="0" borderId="28" xfId="0" applyFont="1" applyBorder="1" applyAlignment="1">
      <alignment horizontal="center"/>
    </xf>
    <xf numFmtId="42" fontId="33" fillId="0" borderId="27" xfId="8" applyFont="1" applyFill="1" applyBorder="1"/>
    <xf numFmtId="0" fontId="21" fillId="20" borderId="40" xfId="0" applyFont="1" applyFill="1" applyBorder="1" applyAlignment="1">
      <alignment horizontal="center" vertical="center"/>
    </xf>
    <xf numFmtId="0" fontId="21" fillId="20" borderId="39" xfId="0" applyFont="1" applyFill="1" applyBorder="1" applyAlignment="1">
      <alignment horizontal="center" vertical="center"/>
    </xf>
    <xf numFmtId="0" fontId="21" fillId="20" borderId="43" xfId="0" applyFont="1" applyFill="1" applyBorder="1" applyAlignment="1">
      <alignment horizontal="center" vertical="center"/>
    </xf>
    <xf numFmtId="0" fontId="24" fillId="20" borderId="3" xfId="0" applyFont="1" applyFill="1" applyBorder="1" applyAlignment="1">
      <alignment horizontal="center"/>
    </xf>
    <xf numFmtId="0" fontId="32" fillId="0" borderId="1" xfId="0" applyFont="1" applyBorder="1" applyAlignment="1">
      <alignment horizontal="center" vertical="center"/>
    </xf>
    <xf numFmtId="167" fontId="11" fillId="0" borderId="1" xfId="2" applyNumberFormat="1" applyFont="1" applyFill="1" applyBorder="1" applyAlignment="1">
      <alignment horizontal="center" vertical="center"/>
    </xf>
    <xf numFmtId="167" fontId="0" fillId="21" borderId="0" xfId="0" applyNumberFormat="1" applyFill="1"/>
    <xf numFmtId="166" fontId="32" fillId="0" borderId="1" xfId="0" applyNumberFormat="1" applyFont="1" applyBorder="1" applyAlignment="1">
      <alignment horizontal="center" vertical="center"/>
    </xf>
    <xf numFmtId="0" fontId="36" fillId="0" borderId="0" xfId="0" quotePrefix="1" applyFont="1" applyAlignment="1">
      <alignment horizontal="left" vertical="top"/>
    </xf>
    <xf numFmtId="0" fontId="18" fillId="0" borderId="37" xfId="0" applyFont="1" applyBorder="1" applyAlignment="1">
      <alignment horizontal="left"/>
    </xf>
    <xf numFmtId="0" fontId="18" fillId="0" borderId="56" xfId="0" applyFont="1" applyBorder="1" applyAlignment="1">
      <alignment horizontal="left"/>
    </xf>
    <xf numFmtId="0" fontId="5" fillId="5" borderId="40" xfId="0" applyFont="1" applyFill="1" applyBorder="1" applyAlignment="1">
      <alignment horizontal="center" vertical="center"/>
    </xf>
    <xf numFmtId="0" fontId="5" fillId="5" borderId="39" xfId="0" applyFont="1" applyFill="1" applyBorder="1" applyAlignment="1">
      <alignment horizontal="center" vertical="center"/>
    </xf>
    <xf numFmtId="0" fontId="5" fillId="5" borderId="43" xfId="0" applyFont="1" applyFill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11" borderId="48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1" borderId="52" xfId="0" applyFont="1" applyFill="1" applyBorder="1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0"/>
  <tableStyles count="0" defaultTableStyle="TableStyleMedium9" defaultPivotStyle="PivotStyleLight16"/>
  <colors>
    <mruColors>
      <color rgb="FF8BCD43"/>
      <color rgb="FFB36D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27</xdr:row>
      <xdr:rowOff>8194</xdr:rowOff>
    </xdr:from>
    <xdr:to>
      <xdr:col>8</xdr:col>
      <xdr:colOff>8193</xdr:colOff>
      <xdr:row>30</xdr:row>
      <xdr:rowOff>8195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7874000" y="5489678"/>
          <a:ext cx="2023806" cy="663678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29</xdr:row>
      <xdr:rowOff>154305</xdr:rowOff>
    </xdr:from>
    <xdr:to>
      <xdr:col>7</xdr:col>
      <xdr:colOff>853440</xdr:colOff>
      <xdr:row>29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390525</xdr:colOff>
      <xdr:row>27</xdr:row>
      <xdr:rowOff>9525</xdr:rowOff>
    </xdr:from>
    <xdr:to>
      <xdr:col>5</xdr:col>
      <xdr:colOff>1745226</xdr:colOff>
      <xdr:row>30</xdr:row>
      <xdr:rowOff>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390525" y="5491009"/>
          <a:ext cx="6885346" cy="654152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l"/>
          <a:r>
            <a:rPr lang="es-CL" sz="1200" b="1"/>
            <a:t>DEBE VERIFICAR QUE TODA LA INFORMACION ESTE CORRECTA, NO NOS HACEMOS RESPONSABLE SI EXISTEN DIFERENCIAS CON LO PRESUPUESTADO.</a:t>
          </a: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23</xdr:row>
      <xdr:rowOff>9525</xdr:rowOff>
    </xdr:from>
    <xdr:to>
      <xdr:col>5</xdr:col>
      <xdr:colOff>1728839</xdr:colOff>
      <xdr:row>26</xdr:row>
      <xdr:rowOff>16387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409677" y="4597912"/>
          <a:ext cx="6849807" cy="678733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 CUBIERTA SE ENTREGA CON SOBRE MEDIDA EN EL LARGO</a:t>
          </a:r>
        </a:p>
        <a:p>
          <a:pPr algn="l"/>
          <a:r>
            <a:rPr lang="es-CL" sz="1200" b="1" u="dbl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SUSTRATO MDF 18mm</a:t>
          </a:r>
        </a:p>
      </xdr:txBody>
    </xdr:sp>
    <xdr:clientData/>
  </xdr:twoCellAnchor>
  <xdr:twoCellAnchor editAs="oneCell">
    <xdr:from>
      <xdr:col>1</xdr:col>
      <xdr:colOff>0</xdr:colOff>
      <xdr:row>1</xdr:row>
      <xdr:rowOff>0</xdr:rowOff>
    </xdr:from>
    <xdr:to>
      <xdr:col>2</xdr:col>
      <xdr:colOff>311352</xdr:colOff>
      <xdr:row>5</xdr:row>
      <xdr:rowOff>151787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CE89DC00-951E-41FE-A238-EF9D07C7B22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409677" y="180258"/>
          <a:ext cx="1032385" cy="889206"/>
        </a:xfrm>
        <a:prstGeom prst="rect">
          <a:avLst/>
        </a:prstGeom>
      </xdr:spPr>
    </xdr:pic>
    <xdr:clientData/>
  </xdr:twoCellAnchor>
  <xdr:twoCellAnchor editAs="oneCell">
    <xdr:from>
      <xdr:col>2</xdr:col>
      <xdr:colOff>557161</xdr:colOff>
      <xdr:row>1</xdr:row>
      <xdr:rowOff>163871</xdr:rowOff>
    </xdr:from>
    <xdr:to>
      <xdr:col>2</xdr:col>
      <xdr:colOff>2376128</xdr:colOff>
      <xdr:row>5</xdr:row>
      <xdr:rowOff>112323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id="{A953E6C2-B4C9-405A-9AEA-7F40605C4259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049" t="33042" r="6293" b="29994"/>
        <a:stretch>
          <a:fillRect/>
        </a:stretch>
      </xdr:blipFill>
      <xdr:spPr bwMode="auto">
        <a:xfrm>
          <a:off x="1687871" y="344129"/>
          <a:ext cx="1818967" cy="68587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35</xdr:row>
      <xdr:rowOff>144780</xdr:rowOff>
    </xdr:from>
    <xdr:to>
      <xdr:col>6</xdr:col>
      <xdr:colOff>472440</xdr:colOff>
      <xdr:row>37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Y581"/>
  <sheetViews>
    <sheetView tabSelected="1" topLeftCell="A6" zoomScale="93" zoomScaleNormal="93" workbookViewId="0">
      <selection activeCell="G22" sqref="G22"/>
    </sheetView>
  </sheetViews>
  <sheetFormatPr baseColWidth="10" defaultRowHeight="14.4" x14ac:dyDescent="0.3"/>
  <cols>
    <col min="1" max="1" width="6" customWidth="1"/>
    <col min="2" max="2" width="10.5546875" customWidth="1"/>
    <col min="3" max="3" width="36.77734375" customWidth="1"/>
    <col min="4" max="4" width="11.109375" customWidth="1"/>
    <col min="5" max="5" width="10.5546875" customWidth="1"/>
    <col min="6" max="6" width="34.21875" customWidth="1"/>
    <col min="7" max="7" width="14" customWidth="1"/>
    <col min="8" max="9" width="15.44140625" customWidth="1"/>
    <col min="10" max="10" width="13.44140625" customWidth="1"/>
    <col min="12" max="12" width="9.5546875" style="18" customWidth="1"/>
    <col min="13" max="13" width="8.88671875" customWidth="1"/>
    <col min="14" max="14" width="8.33203125" customWidth="1"/>
    <col min="15" max="15" width="9.44140625" customWidth="1"/>
    <col min="16" max="16" width="7.6640625" customWidth="1"/>
    <col min="17" max="17" width="9.44140625" customWidth="1"/>
    <col min="18" max="18" width="10.109375" customWidth="1"/>
    <col min="19" max="19" width="8.88671875" customWidth="1"/>
    <col min="20" max="20" width="9.6640625" customWidth="1"/>
    <col min="21" max="21" width="9.33203125" customWidth="1"/>
    <col min="22" max="22" width="9.6640625" customWidth="1"/>
    <col min="23" max="23" width="10.88671875" customWidth="1"/>
    <col min="24" max="24" width="10.44140625" customWidth="1"/>
    <col min="25" max="25" width="9" customWidth="1"/>
  </cols>
  <sheetData>
    <row r="2" spans="2:24" ht="15.6" x14ac:dyDescent="0.3">
      <c r="F2" s="242" t="s">
        <v>142</v>
      </c>
      <c r="Q2" s="2"/>
      <c r="R2" s="2"/>
      <c r="S2" s="3"/>
      <c r="T2" s="3"/>
      <c r="U2" s="2"/>
      <c r="V2" s="2"/>
      <c r="W2" s="3"/>
      <c r="X2" s="4"/>
    </row>
    <row r="3" spans="2:24" x14ac:dyDescent="0.3">
      <c r="F3" s="59" t="s">
        <v>138</v>
      </c>
      <c r="Q3" s="2"/>
      <c r="R3" s="2"/>
      <c r="S3" s="3"/>
      <c r="T3" s="3"/>
      <c r="U3" s="2"/>
      <c r="V3" s="2"/>
      <c r="W3" s="3"/>
      <c r="X3" s="4"/>
    </row>
    <row r="4" spans="2:24" x14ac:dyDescent="0.3">
      <c r="F4" s="59" t="s">
        <v>143</v>
      </c>
      <c r="Q4" s="2"/>
      <c r="R4" s="2"/>
      <c r="S4" s="3"/>
      <c r="T4" s="3"/>
      <c r="U4" s="2"/>
      <c r="V4" s="2"/>
      <c r="W4" s="3"/>
      <c r="X4" s="4"/>
    </row>
    <row r="5" spans="2:24" x14ac:dyDescent="0.3">
      <c r="F5" s="59" t="s">
        <v>14</v>
      </c>
      <c r="Q5" s="2"/>
      <c r="R5" s="2"/>
      <c r="S5" s="3"/>
      <c r="T5" s="3"/>
      <c r="U5" s="2"/>
      <c r="V5" s="2"/>
      <c r="W5" s="3"/>
      <c r="X5" s="4"/>
    </row>
    <row r="6" spans="2:24" ht="15.6" x14ac:dyDescent="0.3">
      <c r="F6" s="59" t="s">
        <v>164</v>
      </c>
      <c r="O6" s="33" t="s">
        <v>19</v>
      </c>
      <c r="Q6" s="2"/>
      <c r="R6" s="2"/>
      <c r="S6" s="3"/>
      <c r="T6" s="3"/>
      <c r="U6" s="2"/>
      <c r="V6" s="2"/>
      <c r="W6" s="3"/>
    </row>
    <row r="7" spans="2:24" ht="15" thickBot="1" x14ac:dyDescent="0.35">
      <c r="F7" s="59" t="s">
        <v>124</v>
      </c>
      <c r="Q7" s="2"/>
      <c r="R7" s="2"/>
      <c r="S7" s="3"/>
      <c r="T7" s="3"/>
      <c r="U7" s="2"/>
      <c r="V7" s="2"/>
      <c r="W7" s="3"/>
    </row>
    <row r="8" spans="2:24" ht="21.6" thickBot="1" x14ac:dyDescent="0.45">
      <c r="B8" s="291" t="s">
        <v>126</v>
      </c>
      <c r="C8" s="292"/>
      <c r="D8" s="328" t="s">
        <v>174</v>
      </c>
      <c r="F8" s="59"/>
      <c r="J8">
        <v>152</v>
      </c>
      <c r="K8" s="52"/>
      <c r="R8" s="2"/>
      <c r="S8" s="3"/>
      <c r="T8" s="3"/>
      <c r="U8" s="2"/>
      <c r="V8" s="2"/>
      <c r="W8" s="3"/>
    </row>
    <row r="9" spans="2:24" ht="15" thickBot="1" x14ac:dyDescent="0.35">
      <c r="J9">
        <v>129</v>
      </c>
      <c r="R9" s="2"/>
      <c r="S9" s="3"/>
      <c r="T9" s="3"/>
      <c r="U9" s="4"/>
      <c r="V9" s="2"/>
      <c r="W9" s="3"/>
    </row>
    <row r="10" spans="2:24" x14ac:dyDescent="0.3">
      <c r="B10" s="305" t="s">
        <v>162</v>
      </c>
      <c r="C10" s="278" t="s">
        <v>171</v>
      </c>
      <c r="D10" s="243"/>
      <c r="E10" s="243"/>
      <c r="F10" s="244" t="s">
        <v>0</v>
      </c>
      <c r="G10" s="276">
        <v>45989</v>
      </c>
      <c r="H10" s="245"/>
      <c r="J10">
        <f>J8-J9</f>
        <v>23</v>
      </c>
      <c r="K10" s="1"/>
      <c r="R10" s="2"/>
      <c r="S10" s="3"/>
      <c r="T10" s="3"/>
      <c r="U10" s="4"/>
      <c r="V10" s="2"/>
      <c r="W10" s="3"/>
    </row>
    <row r="11" spans="2:24" ht="16.8" x14ac:dyDescent="0.4">
      <c r="B11" s="287" t="s">
        <v>12</v>
      </c>
      <c r="C11" s="298"/>
      <c r="F11" t="s">
        <v>123</v>
      </c>
      <c r="G11" s="288" t="s">
        <v>175</v>
      </c>
      <c r="H11" s="289"/>
      <c r="Q11" s="19"/>
      <c r="R11" s="25" t="s">
        <v>18</v>
      </c>
      <c r="S11" s="19"/>
    </row>
    <row r="12" spans="2:24" ht="16.8" x14ac:dyDescent="0.4">
      <c r="B12" s="246" t="s">
        <v>145</v>
      </c>
      <c r="C12" s="306" t="s">
        <v>169</v>
      </c>
      <c r="D12" s="247"/>
      <c r="E12" s="247"/>
      <c r="F12" s="247" t="s">
        <v>127</v>
      </c>
      <c r="G12" s="277" t="s">
        <v>135</v>
      </c>
      <c r="H12" s="248"/>
      <c r="J12">
        <v>44</v>
      </c>
      <c r="Q12" s="19"/>
      <c r="R12" s="25"/>
      <c r="S12" s="19"/>
    </row>
    <row r="13" spans="2:24" x14ac:dyDescent="0.3">
      <c r="B13" s="287" t="s">
        <v>146</v>
      </c>
      <c r="C13" t="s">
        <v>172</v>
      </c>
      <c r="G13" s="307"/>
      <c r="H13" s="289"/>
      <c r="J13">
        <v>114</v>
      </c>
      <c r="Q13" s="19"/>
      <c r="R13" s="25"/>
      <c r="S13" s="19"/>
    </row>
    <row r="14" spans="2:24" x14ac:dyDescent="0.3">
      <c r="B14" s="246" t="s">
        <v>139</v>
      </c>
      <c r="C14" s="313"/>
      <c r="D14" s="247"/>
      <c r="E14" s="247"/>
      <c r="F14" s="314" t="s">
        <v>136</v>
      </c>
      <c r="G14" s="290" t="s">
        <v>135</v>
      </c>
      <c r="H14" s="248"/>
      <c r="K14" s="29"/>
      <c r="Q14" s="20"/>
      <c r="R14" s="26" t="s">
        <v>17</v>
      </c>
      <c r="S14" s="20"/>
    </row>
    <row r="15" spans="2:24" ht="15.6" x14ac:dyDescent="0.3">
      <c r="B15" s="287" t="s">
        <v>4</v>
      </c>
      <c r="C15" s="333">
        <v>56998250017</v>
      </c>
      <c r="D15" s="309"/>
      <c r="F15" t="s">
        <v>134</v>
      </c>
      <c r="G15" s="308" t="s">
        <v>135</v>
      </c>
      <c r="H15" s="289"/>
      <c r="J15">
        <f>SUM(J12:J14)</f>
        <v>158</v>
      </c>
    </row>
    <row r="16" spans="2:24" ht="16.8" x14ac:dyDescent="0.4">
      <c r="B16" s="315" t="s">
        <v>3</v>
      </c>
      <c r="C16" s="306"/>
      <c r="D16" s="247"/>
      <c r="E16" s="247"/>
      <c r="F16" s="316" t="s">
        <v>129</v>
      </c>
      <c r="G16" s="317" t="s">
        <v>163</v>
      </c>
      <c r="H16" s="248"/>
    </row>
    <row r="17" spans="1:25" ht="15" thickBot="1" x14ac:dyDescent="0.35">
      <c r="B17" s="310" t="s">
        <v>13</v>
      </c>
      <c r="C17" s="311" t="s">
        <v>166</v>
      </c>
      <c r="D17" s="312"/>
      <c r="E17" s="119"/>
      <c r="F17" s="334" t="s">
        <v>165</v>
      </c>
      <c r="G17" s="334"/>
      <c r="H17" s="335"/>
      <c r="I17" s="263"/>
      <c r="J17" s="263"/>
      <c r="T17" s="6"/>
      <c r="U17" s="6"/>
    </row>
    <row r="18" spans="1:25" ht="15.75" customHeight="1" thickBot="1" x14ac:dyDescent="0.35">
      <c r="J18" s="47"/>
      <c r="K18" s="5"/>
      <c r="V18" s="9"/>
      <c r="X18" s="6"/>
      <c r="Y18" s="6"/>
    </row>
    <row r="19" spans="1:25" ht="13.5" customHeight="1" thickBot="1" x14ac:dyDescent="0.35">
      <c r="B19" s="336" t="s">
        <v>95</v>
      </c>
      <c r="C19" s="337"/>
      <c r="D19" s="337"/>
      <c r="E19" s="337"/>
      <c r="F19" s="337"/>
      <c r="G19" s="337"/>
      <c r="H19" s="338"/>
      <c r="I19" s="264"/>
      <c r="J19" s="264"/>
      <c r="K19" s="5"/>
      <c r="L19" s="250"/>
      <c r="M19" s="14">
        <v>0.08</v>
      </c>
      <c r="N19" s="14"/>
      <c r="O19" s="14"/>
      <c r="P19" s="251" t="s">
        <v>6</v>
      </c>
      <c r="Q19" s="36" t="s">
        <v>20</v>
      </c>
      <c r="R19" s="37" t="s">
        <v>133</v>
      </c>
      <c r="S19" s="10" t="s">
        <v>137</v>
      </c>
      <c r="U19" s="9"/>
      <c r="V19" s="9"/>
      <c r="X19" s="6"/>
      <c r="Y19" s="6"/>
    </row>
    <row r="20" spans="1:25" ht="17.399999999999999" x14ac:dyDescent="0.3">
      <c r="B20" s="325" t="s">
        <v>7</v>
      </c>
      <c r="C20" s="326" t="s">
        <v>1</v>
      </c>
      <c r="D20" s="326" t="s">
        <v>10</v>
      </c>
      <c r="E20" s="326" t="s">
        <v>11</v>
      </c>
      <c r="F20" s="326" t="s">
        <v>8</v>
      </c>
      <c r="G20" s="326" t="s">
        <v>5</v>
      </c>
      <c r="H20" s="327" t="s">
        <v>6</v>
      </c>
      <c r="I20" s="265"/>
      <c r="J20" s="265"/>
      <c r="K20" s="47"/>
      <c r="L20" s="268" t="str">
        <f>B20</f>
        <v>UNIDAD</v>
      </c>
      <c r="M20" s="267" t="s">
        <v>131</v>
      </c>
      <c r="N20" s="39" t="str">
        <f t="shared" ref="N20" si="0">E20</f>
        <v>ANCHO</v>
      </c>
      <c r="O20" s="261" t="s">
        <v>132</v>
      </c>
      <c r="P20" s="259" t="s">
        <v>16</v>
      </c>
      <c r="Q20" s="252">
        <f>O38</f>
        <v>111520.9433962264</v>
      </c>
      <c r="R20" s="258">
        <v>3000</v>
      </c>
      <c r="S20" s="38"/>
      <c r="T20" s="14" t="s">
        <v>128</v>
      </c>
      <c r="U20" s="9"/>
      <c r="X20" s="4"/>
    </row>
    <row r="21" spans="1:25" ht="17.399999999999999" x14ac:dyDescent="0.3">
      <c r="B21" s="329">
        <v>1</v>
      </c>
      <c r="C21" s="329" t="s">
        <v>170</v>
      </c>
      <c r="D21" s="332">
        <v>2.27</v>
      </c>
      <c r="E21" s="332">
        <v>0.53</v>
      </c>
      <c r="F21" s="329" t="s">
        <v>173</v>
      </c>
      <c r="G21" s="330">
        <v>141311</v>
      </c>
      <c r="H21" s="330">
        <f>G21*B21</f>
        <v>141311</v>
      </c>
      <c r="I21" s="319"/>
      <c r="J21" s="265"/>
      <c r="K21" s="47"/>
      <c r="L21" s="331">
        <v>1</v>
      </c>
      <c r="M21" s="39">
        <f>D21+M$19</f>
        <v>2.35</v>
      </c>
      <c r="N21" s="39">
        <f>E21+$N$19</f>
        <v>0.53</v>
      </c>
      <c r="O21" s="261">
        <f t="shared" ref="O21" si="1">M21*N21</f>
        <v>1.2455000000000001</v>
      </c>
      <c r="P21" s="259">
        <f t="shared" ref="P21" si="2">O21*L21</f>
        <v>1.2455000000000001</v>
      </c>
      <c r="Q21" s="252">
        <f t="shared" ref="Q21" si="3">Q$20*O21</f>
        <v>138899.33499999999</v>
      </c>
      <c r="R21" s="318">
        <f t="shared" ref="R21" si="4">Q21+R$20</f>
        <v>141899.33499999999</v>
      </c>
      <c r="S21" s="297">
        <f>M21*L21</f>
        <v>2.35</v>
      </c>
      <c r="T21" s="46">
        <f>M21*L21</f>
        <v>2.35</v>
      </c>
      <c r="U21" s="9"/>
      <c r="X21" s="4"/>
    </row>
    <row r="22" spans="1:25" ht="17.399999999999999" x14ac:dyDescent="0.3">
      <c r="B22" s="285"/>
      <c r="C22" s="285"/>
      <c r="D22" s="286"/>
      <c r="E22" s="286"/>
      <c r="F22" s="285"/>
      <c r="G22" s="319"/>
      <c r="H22" s="319"/>
      <c r="I22" s="319"/>
      <c r="J22" s="265"/>
      <c r="K22" s="47"/>
      <c r="L22" s="331"/>
      <c r="M22" s="39"/>
      <c r="N22" s="39"/>
      <c r="O22" s="261"/>
      <c r="P22" s="259"/>
      <c r="Q22" s="252"/>
      <c r="R22" s="318"/>
      <c r="S22" s="297"/>
      <c r="T22" s="46"/>
      <c r="U22" s="9"/>
      <c r="X22" s="4"/>
    </row>
    <row r="23" spans="1:25" ht="18" thickBot="1" x14ac:dyDescent="0.35">
      <c r="B23" s="285"/>
      <c r="C23" s="285"/>
      <c r="D23" s="286"/>
      <c r="E23" s="286"/>
      <c r="F23" s="285"/>
      <c r="G23" s="265"/>
      <c r="H23" s="320"/>
      <c r="I23" s="322"/>
      <c r="J23" s="233"/>
      <c r="K23" s="47"/>
      <c r="L23" s="47"/>
      <c r="M23" s="39"/>
      <c r="N23" s="39"/>
      <c r="O23" s="261"/>
      <c r="P23" s="259"/>
      <c r="Q23" s="252"/>
      <c r="R23" s="258"/>
      <c r="S23" s="297"/>
      <c r="T23" s="14"/>
      <c r="U23" s="9"/>
      <c r="X23" s="4"/>
    </row>
    <row r="24" spans="1:25" ht="17.399999999999999" x14ac:dyDescent="0.3">
      <c r="B24" s="285"/>
      <c r="C24" s="285"/>
      <c r="D24" s="286"/>
      <c r="E24" s="286"/>
      <c r="F24" s="285"/>
      <c r="G24" s="323" t="s">
        <v>28</v>
      </c>
      <c r="H24" s="324">
        <f>SUM(H21:H23)</f>
        <v>141311</v>
      </c>
      <c r="I24" s="321"/>
      <c r="J24" s="265"/>
      <c r="K24" s="47"/>
      <c r="L24" s="47"/>
      <c r="M24" s="39"/>
      <c r="N24" s="39"/>
      <c r="O24" s="261"/>
      <c r="P24" s="259"/>
      <c r="Q24" s="252"/>
      <c r="R24" s="258"/>
      <c r="S24" s="297"/>
      <c r="T24" s="46">
        <f>SUM(T21:T23)</f>
        <v>2.35</v>
      </c>
      <c r="U24" s="9"/>
      <c r="X24" s="4"/>
    </row>
    <row r="25" spans="1:25" ht="17.399999999999999" x14ac:dyDescent="0.3">
      <c r="B25" s="279"/>
      <c r="C25" s="282"/>
      <c r="D25" s="283"/>
      <c r="E25" s="283"/>
      <c r="F25" s="284"/>
      <c r="G25" s="296" t="s">
        <v>51</v>
      </c>
      <c r="H25" s="294">
        <f>H24*19%</f>
        <v>26849.09</v>
      </c>
      <c r="I25" s="321"/>
      <c r="J25" s="265"/>
      <c r="K25" s="47"/>
      <c r="L25" s="47"/>
      <c r="M25" s="39">
        <f>SUM(M21:M24)</f>
        <v>2.35</v>
      </c>
      <c r="N25" s="12"/>
      <c r="O25" s="12"/>
      <c r="P25" s="253">
        <f>SUM(P21:P23)</f>
        <v>1.2455000000000001</v>
      </c>
      <c r="Q25" s="14"/>
      <c r="R25" s="12"/>
      <c r="S25" s="239"/>
      <c r="T25" s="46"/>
      <c r="U25" s="9"/>
      <c r="X25" s="4"/>
    </row>
    <row r="26" spans="1:25" ht="18" thickBot="1" x14ac:dyDescent="0.35">
      <c r="B26" s="275"/>
      <c r="C26" s="281"/>
      <c r="D26" s="272"/>
      <c r="E26" s="272"/>
      <c r="F26" s="273"/>
      <c r="G26" s="280" t="s">
        <v>6</v>
      </c>
      <c r="H26" s="295">
        <f>H24+H25</f>
        <v>168160.09</v>
      </c>
      <c r="I26" s="321"/>
      <c r="J26" s="265">
        <v>168160</v>
      </c>
      <c r="K26" s="47"/>
      <c r="L26" s="47"/>
      <c r="M26" s="39"/>
      <c r="N26" s="12"/>
      <c r="O26" s="12"/>
      <c r="P26" s="253">
        <f>P25</f>
        <v>1.2455000000000001</v>
      </c>
      <c r="Q26" s="14"/>
      <c r="R26" s="12"/>
      <c r="S26" s="239">
        <f>SUM(S21:S25)</f>
        <v>2.35</v>
      </c>
      <c r="T26" s="46"/>
      <c r="U26" s="9"/>
      <c r="X26" s="4"/>
    </row>
    <row r="27" spans="1:25" ht="17.399999999999999" x14ac:dyDescent="0.3">
      <c r="B27" s="275"/>
      <c r="C27" s="271"/>
      <c r="D27" s="272"/>
      <c r="E27" s="272"/>
      <c r="F27" s="273"/>
      <c r="J27" s="265">
        <f>J26/1.19</f>
        <v>141310.9243697479</v>
      </c>
      <c r="K27" s="47"/>
      <c r="L27" s="47"/>
      <c r="M27" s="14"/>
      <c r="N27" s="12"/>
      <c r="O27" s="12"/>
      <c r="P27" s="39">
        <f>P26*20%</f>
        <v>0.24910000000000002</v>
      </c>
      <c r="Q27" s="39" t="s">
        <v>130</v>
      </c>
      <c r="R27" s="42"/>
      <c r="S27" s="240">
        <f>S26+T24</f>
        <v>4.7</v>
      </c>
      <c r="T27" s="14"/>
      <c r="U27" s="9"/>
      <c r="X27" s="4"/>
    </row>
    <row r="28" spans="1:25" ht="17.399999999999999" x14ac:dyDescent="0.35">
      <c r="B28" s="269"/>
      <c r="C28" s="230"/>
      <c r="D28" s="230"/>
      <c r="E28" s="233"/>
      <c r="F28" s="234"/>
      <c r="G28" s="230"/>
      <c r="H28" s="274"/>
      <c r="I28" s="274"/>
      <c r="J28" s="265"/>
      <c r="K28" s="47"/>
      <c r="L28" s="47"/>
      <c r="M28" s="14"/>
      <c r="N28" s="12"/>
      <c r="O28" s="12"/>
      <c r="P28" s="46">
        <f>P26+P27</f>
        <v>1.4946000000000002</v>
      </c>
      <c r="Q28" s="14"/>
      <c r="R28" s="14"/>
      <c r="S28" s="238">
        <f>S27*20%</f>
        <v>0.94000000000000006</v>
      </c>
      <c r="T28" s="14"/>
      <c r="U28" s="9"/>
      <c r="X28" s="4"/>
    </row>
    <row r="29" spans="1:25" ht="17.399999999999999" x14ac:dyDescent="0.35">
      <c r="B29" s="235"/>
      <c r="C29" s="236"/>
      <c r="D29" s="237"/>
      <c r="E29" s="235"/>
      <c r="F29" s="230"/>
      <c r="G29" s="230"/>
      <c r="I29" s="274"/>
      <c r="J29" s="265"/>
      <c r="K29" s="47"/>
      <c r="L29" s="47"/>
      <c r="M29" s="14"/>
      <c r="N29" s="14"/>
      <c r="O29" s="14"/>
      <c r="P29" s="14"/>
      <c r="Q29" s="14"/>
      <c r="R29" s="14"/>
      <c r="S29" s="240">
        <f>S27+S28</f>
        <v>5.6400000000000006</v>
      </c>
      <c r="T29" s="14"/>
      <c r="U29" s="302" t="s">
        <v>21</v>
      </c>
      <c r="V29" s="299" t="s">
        <v>152</v>
      </c>
      <c r="W29" s="303">
        <v>44971</v>
      </c>
      <c r="X29" s="304"/>
    </row>
    <row r="30" spans="1:25" ht="17.399999999999999" x14ac:dyDescent="0.35">
      <c r="B30" s="230"/>
      <c r="C30" s="230"/>
      <c r="D30" s="230"/>
      <c r="E30" s="230"/>
      <c r="F30" s="230"/>
      <c r="G30" s="230"/>
      <c r="J30" s="265"/>
      <c r="K30" s="47"/>
      <c r="L30" s="47"/>
      <c r="M30" s="39">
        <f>P28</f>
        <v>1.4946000000000002</v>
      </c>
      <c r="N30" s="12">
        <v>3500</v>
      </c>
      <c r="O30" s="12">
        <f t="shared" ref="O30:O35" si="5">M30*N30</f>
        <v>5231.1000000000004</v>
      </c>
      <c r="P30" s="14" t="s">
        <v>21</v>
      </c>
      <c r="Q30" s="14"/>
      <c r="R30" s="14"/>
      <c r="S30" s="241"/>
      <c r="T30" s="14"/>
      <c r="U30" s="302" t="s">
        <v>153</v>
      </c>
      <c r="V30" s="299">
        <v>3625</v>
      </c>
      <c r="W30" s="59" t="s">
        <v>154</v>
      </c>
      <c r="X30" s="304"/>
    </row>
    <row r="31" spans="1:25" ht="17.399999999999999" x14ac:dyDescent="0.35">
      <c r="A31" s="230"/>
      <c r="B31" s="230"/>
      <c r="C31" s="230"/>
      <c r="D31" s="230"/>
      <c r="E31" s="230"/>
      <c r="F31" s="230"/>
      <c r="G31" s="230"/>
      <c r="H31" s="230"/>
      <c r="J31" s="265"/>
      <c r="K31" s="47"/>
      <c r="L31" s="47"/>
      <c r="M31" s="249">
        <v>0.5</v>
      </c>
      <c r="N31" s="12">
        <v>23500</v>
      </c>
      <c r="O31" s="12">
        <f t="shared" si="5"/>
        <v>11750</v>
      </c>
      <c r="P31" s="39" t="s">
        <v>31</v>
      </c>
      <c r="Q31" s="42"/>
      <c r="R31" s="14"/>
      <c r="S31" s="240"/>
      <c r="T31" s="14"/>
      <c r="U31" s="302"/>
      <c r="V31" s="59">
        <v>906.25</v>
      </c>
      <c r="W31" s="59" t="s">
        <v>155</v>
      </c>
      <c r="X31" s="304"/>
    </row>
    <row r="32" spans="1:25" s="230" customFormat="1" ht="17.399999999999999" x14ac:dyDescent="0.35">
      <c r="B32" s="24" t="s">
        <v>151</v>
      </c>
      <c r="J32" s="262"/>
      <c r="K32" s="232"/>
      <c r="L32" s="250"/>
      <c r="M32" s="14"/>
      <c r="N32" s="250">
        <v>35000</v>
      </c>
      <c r="O32" s="12">
        <f t="shared" si="5"/>
        <v>0</v>
      </c>
      <c r="P32" s="39" t="s">
        <v>30</v>
      </c>
      <c r="Q32" s="42"/>
      <c r="S32" s="240"/>
      <c r="T32" s="256"/>
      <c r="U32" s="59"/>
      <c r="V32" s="59">
        <f>V31*20%</f>
        <v>181.25</v>
      </c>
      <c r="W32" s="304" t="s">
        <v>156</v>
      </c>
      <c r="X32" s="59"/>
    </row>
    <row r="33" spans="2:24" s="230" customFormat="1" ht="17.399999999999999" x14ac:dyDescent="0.35">
      <c r="B33" s="24" t="s">
        <v>144</v>
      </c>
      <c r="C33"/>
      <c r="D33"/>
      <c r="E33"/>
      <c r="F33"/>
      <c r="J33" s="262"/>
      <c r="K33" s="232"/>
      <c r="L33" s="250"/>
      <c r="M33" s="14">
        <v>1</v>
      </c>
      <c r="N33" s="250">
        <v>38600</v>
      </c>
      <c r="O33" s="12">
        <f t="shared" si="5"/>
        <v>38600</v>
      </c>
      <c r="P33" s="14" t="s">
        <v>141</v>
      </c>
      <c r="Q33" s="17"/>
      <c r="S33" s="238"/>
      <c r="T33" s="256"/>
      <c r="U33" s="59"/>
      <c r="V33" s="59">
        <f>V31+V32</f>
        <v>1087.5</v>
      </c>
      <c r="W33" s="304" t="s">
        <v>157</v>
      </c>
      <c r="X33" s="59"/>
    </row>
    <row r="34" spans="2:24" s="230" customFormat="1" ht="17.399999999999999" x14ac:dyDescent="0.35">
      <c r="B34" s="29" t="s">
        <v>125</v>
      </c>
      <c r="C34"/>
      <c r="D34"/>
      <c r="E34"/>
      <c r="F34" s="229" t="s">
        <v>15</v>
      </c>
      <c r="J34" s="262"/>
      <c r="K34" s="260"/>
      <c r="L34" s="250"/>
      <c r="M34" s="249"/>
      <c r="N34" s="250">
        <v>900</v>
      </c>
      <c r="O34" s="12">
        <f t="shared" si="5"/>
        <v>0</v>
      </c>
      <c r="P34" s="14" t="s">
        <v>32</v>
      </c>
      <c r="Q34" s="14"/>
      <c r="R34" s="230">
        <v>1.52</v>
      </c>
      <c r="S34" s="238"/>
      <c r="T34" s="238"/>
    </row>
    <row r="35" spans="2:24" s="230" customFormat="1" ht="17.399999999999999" x14ac:dyDescent="0.35">
      <c r="J35" s="293" t="s">
        <v>168</v>
      </c>
      <c r="K35" s="260">
        <v>38300</v>
      </c>
      <c r="L35" s="250"/>
      <c r="M35" s="266">
        <v>2.35</v>
      </c>
      <c r="N35" s="12">
        <v>1500</v>
      </c>
      <c r="O35" s="12">
        <f t="shared" si="5"/>
        <v>3525</v>
      </c>
      <c r="P35" s="14" t="s">
        <v>22</v>
      </c>
      <c r="Q35" s="14"/>
      <c r="R35">
        <v>2.44</v>
      </c>
      <c r="S35"/>
      <c r="T35" s="238"/>
      <c r="X35" s="231"/>
    </row>
    <row r="36" spans="2:24" s="230" customFormat="1" ht="17.399999999999999" x14ac:dyDescent="0.35">
      <c r="J36" s="230" t="s">
        <v>167</v>
      </c>
      <c r="K36" s="260">
        <v>31000</v>
      </c>
      <c r="L36" s="250"/>
      <c r="M36" s="14"/>
      <c r="N36" s="12"/>
      <c r="O36" s="12">
        <f>SUM(O30:O35)</f>
        <v>59106.1</v>
      </c>
      <c r="P36" s="39" t="s">
        <v>23</v>
      </c>
      <c r="Q36" s="14"/>
      <c r="R36">
        <f>R34*R35</f>
        <v>3.7088000000000001</v>
      </c>
      <c r="S36"/>
      <c r="T36" s="238"/>
      <c r="X36" s="231"/>
    </row>
    <row r="37" spans="2:24" s="230" customFormat="1" ht="17.399999999999999" x14ac:dyDescent="0.35">
      <c r="J37" s="230">
        <v>49560</v>
      </c>
      <c r="L37" s="250"/>
      <c r="M37" s="254" t="s">
        <v>33</v>
      </c>
      <c r="N37" s="12"/>
      <c r="O37" s="255">
        <f>O36*2.35</f>
        <v>138899.33499999999</v>
      </c>
      <c r="P37" s="14" t="s">
        <v>140</v>
      </c>
      <c r="Q37" s="14"/>
      <c r="R37" s="40">
        <f>P28/R36</f>
        <v>0.4029874892148404</v>
      </c>
      <c r="S37"/>
      <c r="T37" s="257"/>
    </row>
    <row r="38" spans="2:24" s="230" customFormat="1" ht="17.399999999999999" x14ac:dyDescent="0.35">
      <c r="G38"/>
      <c r="H38" s="260"/>
      <c r="I38" s="260"/>
      <c r="J38" s="260">
        <f>J37/1.19</f>
        <v>41647.058823529413</v>
      </c>
      <c r="L38" s="250"/>
      <c r="M38" s="14"/>
      <c r="N38" s="12"/>
      <c r="O38" s="12">
        <f>O37/P26</f>
        <v>111520.9433962264</v>
      </c>
      <c r="P38" s="45" t="s">
        <v>24</v>
      </c>
      <c r="Q38" s="14"/>
      <c r="R38" s="14"/>
      <c r="S38"/>
      <c r="T38" s="238"/>
      <c r="U38" s="59" t="s">
        <v>158</v>
      </c>
      <c r="V38" s="299">
        <v>43650</v>
      </c>
    </row>
    <row r="39" spans="2:24" s="230" customFormat="1" ht="17.399999999999999" x14ac:dyDescent="0.35">
      <c r="G39"/>
      <c r="L39" s="250"/>
      <c r="M39" s="13"/>
      <c r="N39" s="14"/>
      <c r="O39" s="17">
        <f>O37/O36</f>
        <v>2.35</v>
      </c>
      <c r="P39" s="15"/>
      <c r="Q39"/>
      <c r="R39"/>
      <c r="S39"/>
      <c r="T39" s="238"/>
      <c r="U39" s="59" t="s">
        <v>160</v>
      </c>
      <c r="V39" s="300" t="s">
        <v>159</v>
      </c>
      <c r="W39" s="59">
        <v>2.4</v>
      </c>
    </row>
    <row r="40" spans="2:24" s="230" customFormat="1" ht="17.399999999999999" x14ac:dyDescent="0.35">
      <c r="G40" s="23"/>
      <c r="L40" s="12"/>
      <c r="T40" s="238"/>
      <c r="U40" s="59" t="s">
        <v>161</v>
      </c>
      <c r="V40" s="301">
        <v>395.37</v>
      </c>
    </row>
    <row r="41" spans="2:24" s="230" customFormat="1" ht="17.399999999999999" x14ac:dyDescent="0.35">
      <c r="B41"/>
      <c r="C41" s="228"/>
      <c r="D41" s="22"/>
      <c r="E41" s="22"/>
      <c r="F41" s="21"/>
      <c r="G41" s="23"/>
      <c r="L41" s="12"/>
      <c r="T41" s="238"/>
      <c r="U41" s="59" t="s">
        <v>156</v>
      </c>
      <c r="V41" s="59">
        <v>474.45</v>
      </c>
    </row>
    <row r="42" spans="2:24" ht="14.4" customHeight="1" x14ac:dyDescent="0.3">
      <c r="L42" s="12"/>
      <c r="U42" s="59"/>
      <c r="V42" s="59"/>
    </row>
    <row r="43" spans="2:24" x14ac:dyDescent="0.3">
      <c r="L43" s="250"/>
    </row>
    <row r="44" spans="2:24" x14ac:dyDescent="0.3">
      <c r="L44" s="250"/>
      <c r="T44" s="270"/>
    </row>
    <row r="45" spans="2:24" x14ac:dyDescent="0.3">
      <c r="L45" s="250"/>
    </row>
    <row r="46" spans="2:24" ht="15" customHeight="1" x14ac:dyDescent="0.3"/>
    <row r="48" spans="2:24" x14ac:dyDescent="0.3">
      <c r="O48">
        <v>40935</v>
      </c>
      <c r="P48" t="s">
        <v>16</v>
      </c>
      <c r="Q48" t="s">
        <v>26</v>
      </c>
    </row>
    <row r="50" spans="15:20" x14ac:dyDescent="0.3">
      <c r="O50" s="54"/>
      <c r="P50" s="54"/>
    </row>
    <row r="51" spans="15:20" x14ac:dyDescent="0.3">
      <c r="S51" s="18"/>
      <c r="T51" s="18"/>
    </row>
    <row r="52" spans="15:20" x14ac:dyDescent="0.3">
      <c r="S52" s="18"/>
      <c r="T52" s="18"/>
    </row>
    <row r="53" spans="15:20" x14ac:dyDescent="0.3">
      <c r="S53" s="18"/>
      <c r="T53" s="18"/>
    </row>
    <row r="54" spans="15:20" x14ac:dyDescent="0.3">
      <c r="S54" s="18"/>
      <c r="T54" s="18"/>
    </row>
    <row r="55" spans="15:20" x14ac:dyDescent="0.3">
      <c r="S55" s="18"/>
      <c r="T55" s="18"/>
    </row>
    <row r="56" spans="15:20" x14ac:dyDescent="0.3">
      <c r="S56" s="18"/>
      <c r="T56" s="18"/>
    </row>
    <row r="57" spans="15:20" x14ac:dyDescent="0.3">
      <c r="S57" s="18"/>
      <c r="T57" s="18"/>
    </row>
    <row r="58" spans="15:20" x14ac:dyDescent="0.3">
      <c r="S58" s="18"/>
      <c r="T58" s="18"/>
    </row>
    <row r="59" spans="15:20" x14ac:dyDescent="0.3">
      <c r="S59" s="18"/>
      <c r="T59" s="18"/>
    </row>
    <row r="62" spans="15:20" x14ac:dyDescent="0.3">
      <c r="O62" s="43"/>
    </row>
    <row r="63" spans="15:20" x14ac:dyDescent="0.3">
      <c r="O63" s="43"/>
    </row>
    <row r="64" spans="15:20" x14ac:dyDescent="0.3">
      <c r="O64" s="6"/>
    </row>
    <row r="65" spans="3:15" x14ac:dyDescent="0.3">
      <c r="O65" s="6"/>
    </row>
    <row r="73" spans="3:15" x14ac:dyDescent="0.3">
      <c r="C73" t="s">
        <v>148</v>
      </c>
    </row>
    <row r="74" spans="3:15" x14ac:dyDescent="0.3">
      <c r="C74" t="s">
        <v>147</v>
      </c>
    </row>
    <row r="77" spans="3:15" x14ac:dyDescent="0.3">
      <c r="C77" t="s">
        <v>147</v>
      </c>
    </row>
    <row r="154" spans="3:3" x14ac:dyDescent="0.3">
      <c r="C154" t="s">
        <v>147</v>
      </c>
    </row>
    <row r="155" spans="3:3" x14ac:dyDescent="0.3">
      <c r="C155" t="s">
        <v>149</v>
      </c>
    </row>
    <row r="156" spans="3:3" x14ac:dyDescent="0.3">
      <c r="C156" t="s">
        <v>150</v>
      </c>
    </row>
    <row r="581" spans="3:3" x14ac:dyDescent="0.3">
      <c r="C581" t="s">
        <v>147</v>
      </c>
    </row>
  </sheetData>
  <mergeCells count="2">
    <mergeCell ref="F17:H17"/>
    <mergeCell ref="B19:H19"/>
  </mergeCells>
  <phoneticPr fontId="34" type="noConversion"/>
  <hyperlinks>
    <hyperlink ref="F34" r:id="rId1" xr:uid="{00000000-0004-0000-0000-000000000000}"/>
  </hyperlinks>
  <pageMargins left="0.23622047244094491" right="0.23622047244094491" top="0.74803149606299213" bottom="0.74803149606299213" header="0.31496062992125984" footer="0.31496062992125984"/>
  <pageSetup scale="74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22" workbookViewId="0">
      <selection activeCell="E33" sqref="E33"/>
    </sheetView>
  </sheetViews>
  <sheetFormatPr baseColWidth="10" defaultColWidth="11.44140625" defaultRowHeight="14.4" x14ac:dyDescent="0.3"/>
  <cols>
    <col min="2" max="2" width="15.5546875" customWidth="1"/>
    <col min="3" max="3" width="20.6640625" bestFit="1" customWidth="1"/>
    <col min="5" max="5" width="11.33203125" customWidth="1"/>
    <col min="8" max="8" width="9.109375" customWidth="1"/>
    <col min="9" max="9" width="9.66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2:31" ht="18" x14ac:dyDescent="0.35">
      <c r="B2" s="147" t="s">
        <v>105</v>
      </c>
      <c r="C2" s="48"/>
      <c r="D2" s="48"/>
      <c r="E2" s="146"/>
      <c r="F2" s="6"/>
    </row>
    <row r="3" spans="2:31" ht="18" x14ac:dyDescent="0.35">
      <c r="E3" s="145"/>
      <c r="F3" s="144"/>
    </row>
    <row r="5" spans="2:31" ht="15.6" x14ac:dyDescent="0.3">
      <c r="B5" s="140" t="s">
        <v>0</v>
      </c>
      <c r="C5" s="143">
        <f>'2229'!G10</f>
        <v>45989</v>
      </c>
    </row>
    <row r="6" spans="2:31" ht="16.2" thickBot="1" x14ac:dyDescent="0.35">
      <c r="B6" s="140" t="s">
        <v>2</v>
      </c>
      <c r="C6" s="139" t="str">
        <f>'2229'!C10</f>
        <v>VICENTE MUEBLES</v>
      </c>
      <c r="D6" s="138"/>
      <c r="E6" s="138"/>
      <c r="F6" s="138"/>
      <c r="N6" s="75" t="s">
        <v>104</v>
      </c>
      <c r="O6" s="75"/>
      <c r="P6" s="142" t="s">
        <v>103</v>
      </c>
      <c r="Q6" s="142"/>
    </row>
    <row r="7" spans="2:31" ht="16.2" thickBot="1" x14ac:dyDescent="0.35">
      <c r="B7" s="140" t="s">
        <v>3</v>
      </c>
      <c r="C7" s="139" t="e">
        <f>'2229'!#REF!</f>
        <v>#REF!</v>
      </c>
      <c r="D7" s="138"/>
      <c r="E7" s="138"/>
      <c r="F7" s="138"/>
      <c r="H7" s="340" t="s">
        <v>98</v>
      </c>
      <c r="I7" s="341"/>
      <c r="J7" s="341"/>
      <c r="K7" s="342"/>
      <c r="N7" s="75"/>
      <c r="O7" s="339" t="s">
        <v>102</v>
      </c>
      <c r="P7" s="141" t="s">
        <v>101</v>
      </c>
      <c r="Q7" s="141"/>
    </row>
    <row r="8" spans="2:31" ht="16.2" thickBot="1" x14ac:dyDescent="0.35">
      <c r="B8" s="140" t="s">
        <v>100</v>
      </c>
      <c r="C8" s="139" t="str">
        <f>'2229'!D8</f>
        <v>N° 11775</v>
      </c>
      <c r="D8" s="138"/>
      <c r="E8" s="138"/>
      <c r="F8" s="138"/>
      <c r="H8" s="182" t="s">
        <v>117</v>
      </c>
      <c r="I8" s="154" t="s">
        <v>116</v>
      </c>
      <c r="J8" s="227" t="s">
        <v>95</v>
      </c>
      <c r="K8" s="135" t="s">
        <v>6</v>
      </c>
      <c r="L8" s="134" t="s">
        <v>6</v>
      </c>
      <c r="N8" s="75"/>
      <c r="O8" s="339"/>
      <c r="P8" s="75" t="s">
        <v>99</v>
      </c>
      <c r="Q8" s="75"/>
      <c r="X8">
        <f>SUM(Q11:Q16)</f>
        <v>6</v>
      </c>
    </row>
    <row r="9" spans="2:31" ht="15" thickBot="1" x14ac:dyDescent="0.35">
      <c r="H9" s="197" t="s">
        <v>96</v>
      </c>
      <c r="I9" s="198" t="s">
        <v>115</v>
      </c>
      <c r="J9" s="183" t="s">
        <v>92</v>
      </c>
      <c r="K9" s="156"/>
      <c r="L9" s="102">
        <f>SUM(K10:K23)</f>
        <v>2550</v>
      </c>
      <c r="S9" s="28" t="s">
        <v>9</v>
      </c>
      <c r="T9" s="28"/>
      <c r="W9" s="8"/>
      <c r="X9" s="176">
        <f>(E15-D11)/X8</f>
        <v>-10677.655866787441</v>
      </c>
    </row>
    <row r="10" spans="2:31" ht="16.2" thickBot="1" x14ac:dyDescent="0.35">
      <c r="D10" s="218" t="s">
        <v>28</v>
      </c>
      <c r="E10" s="219" t="s">
        <v>51</v>
      </c>
      <c r="F10" s="220" t="s">
        <v>6</v>
      </c>
      <c r="H10" s="190">
        <v>3</v>
      </c>
      <c r="I10" s="204">
        <v>350</v>
      </c>
      <c r="J10" s="201" t="s">
        <v>32</v>
      </c>
      <c r="K10" s="157">
        <f t="shared" ref="K10:K23" si="0">I10*H10</f>
        <v>1050</v>
      </c>
      <c r="Q10" s="28" t="s">
        <v>7</v>
      </c>
      <c r="R10" s="28" t="s">
        <v>1</v>
      </c>
      <c r="S10" s="28" t="s">
        <v>10</v>
      </c>
      <c r="T10" s="28" t="s">
        <v>11</v>
      </c>
      <c r="U10" s="28" t="s">
        <v>8</v>
      </c>
      <c r="V10" s="28" t="s">
        <v>5</v>
      </c>
      <c r="W10" s="28" t="s">
        <v>6</v>
      </c>
      <c r="X10" s="96"/>
      <c r="AB10" s="6"/>
      <c r="AC10" s="14"/>
      <c r="AD10" s="226"/>
      <c r="AE10" s="10"/>
    </row>
    <row r="11" spans="2:31" ht="16.2" thickBot="1" x14ac:dyDescent="0.35">
      <c r="C11" s="211" t="s">
        <v>93</v>
      </c>
      <c r="D11" s="133">
        <f>'2229'!H24</f>
        <v>141311</v>
      </c>
      <c r="E11" s="132">
        <f>D11*0.19</f>
        <v>26849.09</v>
      </c>
      <c r="F11" s="131">
        <f>E11+D11</f>
        <v>168160.09</v>
      </c>
      <c r="H11" s="191">
        <v>3</v>
      </c>
      <c r="I11" s="174">
        <v>500</v>
      </c>
      <c r="J11" s="148" t="s">
        <v>22</v>
      </c>
      <c r="K11" s="158">
        <f t="shared" si="0"/>
        <v>1500</v>
      </c>
      <c r="Q11" s="7">
        <v>1</v>
      </c>
      <c r="R11" s="7" t="s">
        <v>35</v>
      </c>
      <c r="S11" s="51">
        <v>2.8</v>
      </c>
      <c r="T11" s="51">
        <v>0.62</v>
      </c>
      <c r="U11" s="7" t="s">
        <v>38</v>
      </c>
      <c r="V11" s="55">
        <v>105990</v>
      </c>
      <c r="W11" s="49">
        <f t="shared" ref="W11:W18" si="1">V11*Q11</f>
        <v>105990</v>
      </c>
      <c r="X11" s="176">
        <f t="shared" ref="X11:X16" si="2">V11+$X$9</f>
        <v>95312.344133212551</v>
      </c>
      <c r="Y11" s="175">
        <v>108990</v>
      </c>
      <c r="AA11" s="6"/>
      <c r="AB11" s="6"/>
      <c r="AC11" s="225"/>
      <c r="AD11" s="53"/>
      <c r="AE11" s="222"/>
    </row>
    <row r="12" spans="2:31" ht="16.2" thickBot="1" x14ac:dyDescent="0.35">
      <c r="C12" s="137" t="s">
        <v>97</v>
      </c>
      <c r="D12" s="136">
        <f>SUM(M43:M45)</f>
        <v>46815.190787439613</v>
      </c>
      <c r="F12" s="61"/>
      <c r="H12" s="191">
        <v>0</v>
      </c>
      <c r="I12" s="174">
        <v>7500</v>
      </c>
      <c r="J12" s="150" t="s">
        <v>111</v>
      </c>
      <c r="K12" s="158">
        <f t="shared" si="0"/>
        <v>0</v>
      </c>
      <c r="L12" s="61"/>
      <c r="Q12" s="7">
        <v>1</v>
      </c>
      <c r="R12" s="7" t="s">
        <v>35</v>
      </c>
      <c r="S12" s="51">
        <v>2.2999999999999998</v>
      </c>
      <c r="T12" s="51">
        <v>0.62</v>
      </c>
      <c r="U12" s="7" t="s">
        <v>38</v>
      </c>
      <c r="V12" s="55">
        <v>87990</v>
      </c>
      <c r="W12" s="49">
        <f t="shared" si="1"/>
        <v>87990</v>
      </c>
      <c r="X12" s="176">
        <f t="shared" si="2"/>
        <v>77312.344133212551</v>
      </c>
      <c r="Y12" s="175">
        <v>89990</v>
      </c>
      <c r="Z12" s="2"/>
      <c r="AA12" s="223"/>
      <c r="AB12" s="224"/>
      <c r="AC12" s="225"/>
      <c r="AD12" s="53"/>
      <c r="AE12" s="222"/>
    </row>
    <row r="13" spans="2:31" ht="16.2" thickBot="1" x14ac:dyDescent="0.35">
      <c r="C13" s="212" t="s">
        <v>91</v>
      </c>
      <c r="D13" s="217">
        <f>D11-D12</f>
        <v>94495.809212560387</v>
      </c>
      <c r="E13" s="221">
        <f>(D11/D12)-1</f>
        <v>2.0184860431651463</v>
      </c>
      <c r="H13" s="191">
        <v>0</v>
      </c>
      <c r="I13" s="174">
        <v>50</v>
      </c>
      <c r="J13" s="150" t="s">
        <v>112</v>
      </c>
      <c r="K13" s="158">
        <f t="shared" si="0"/>
        <v>0</v>
      </c>
      <c r="L13" s="61"/>
      <c r="Q13" s="7">
        <v>1</v>
      </c>
      <c r="R13" s="7" t="s">
        <v>35</v>
      </c>
      <c r="S13" s="51">
        <v>2.0299999999999998</v>
      </c>
      <c r="T13" s="51">
        <v>0.62</v>
      </c>
      <c r="U13" s="7" t="s">
        <v>38</v>
      </c>
      <c r="V13" s="55">
        <v>78990</v>
      </c>
      <c r="W13" s="49">
        <f t="shared" si="1"/>
        <v>78990</v>
      </c>
      <c r="X13" s="176">
        <f t="shared" si="2"/>
        <v>68312.344133212551</v>
      </c>
      <c r="Y13" s="175">
        <v>81990</v>
      </c>
      <c r="Z13" s="2"/>
      <c r="AA13" s="223"/>
      <c r="AB13" s="224"/>
      <c r="AC13" s="225"/>
      <c r="AD13" s="53"/>
      <c r="AE13" s="222"/>
    </row>
    <row r="14" spans="2:31" ht="15" thickBot="1" x14ac:dyDescent="0.35">
      <c r="D14" s="146" t="s">
        <v>122</v>
      </c>
      <c r="E14" s="179" t="s">
        <v>28</v>
      </c>
      <c r="F14" s="178" t="s">
        <v>110</v>
      </c>
      <c r="H14" s="191">
        <v>0</v>
      </c>
      <c r="I14" s="174">
        <v>50</v>
      </c>
      <c r="J14" s="150" t="s">
        <v>113</v>
      </c>
      <c r="K14" s="158">
        <f t="shared" si="0"/>
        <v>0</v>
      </c>
      <c r="L14" s="61"/>
      <c r="P14" s="126"/>
      <c r="Q14" s="7">
        <v>1</v>
      </c>
      <c r="R14" s="7" t="s">
        <v>35</v>
      </c>
      <c r="S14" s="51">
        <v>1.08</v>
      </c>
      <c r="T14" s="51">
        <v>0.62</v>
      </c>
      <c r="U14" s="7" t="s">
        <v>38</v>
      </c>
      <c r="V14" s="55">
        <v>39990</v>
      </c>
      <c r="W14" s="49">
        <f t="shared" si="1"/>
        <v>39990</v>
      </c>
      <c r="X14" s="176">
        <f t="shared" si="2"/>
        <v>29312.344133212559</v>
      </c>
      <c r="Y14" s="175">
        <v>39990</v>
      </c>
      <c r="Z14" s="2"/>
      <c r="AA14" s="223"/>
      <c r="AB14" s="224"/>
      <c r="AC14" s="225"/>
      <c r="AD14" s="53"/>
      <c r="AE14" s="222"/>
    </row>
    <row r="15" spans="2:31" ht="15" thickBot="1" x14ac:dyDescent="0.35">
      <c r="C15" s="213" t="s">
        <v>121</v>
      </c>
      <c r="D15" s="214">
        <v>0.65</v>
      </c>
      <c r="E15" s="215">
        <f>(100%+D15)*D12</f>
        <v>77245.064799275351</v>
      </c>
      <c r="F15" s="216">
        <f>E15-D12</f>
        <v>30429.874011835738</v>
      </c>
      <c r="H15" s="191">
        <v>0</v>
      </c>
      <c r="I15" s="174">
        <v>10</v>
      </c>
      <c r="J15" s="150" t="s">
        <v>114</v>
      </c>
      <c r="K15" s="158">
        <f t="shared" si="0"/>
        <v>0</v>
      </c>
      <c r="L15" s="61"/>
      <c r="Q15" s="7">
        <v>1</v>
      </c>
      <c r="R15" s="7" t="s">
        <v>35</v>
      </c>
      <c r="S15" s="51">
        <v>1.08</v>
      </c>
      <c r="T15" s="51">
        <v>0.62</v>
      </c>
      <c r="U15" s="7" t="s">
        <v>38</v>
      </c>
      <c r="V15" s="55">
        <v>39990</v>
      </c>
      <c r="W15" s="49">
        <f t="shared" si="1"/>
        <v>39990</v>
      </c>
      <c r="X15" s="176">
        <f t="shared" si="2"/>
        <v>29312.344133212559</v>
      </c>
      <c r="Y15" s="175">
        <v>39990</v>
      </c>
      <c r="Z15" s="101"/>
      <c r="AA15" s="101"/>
      <c r="AB15" s="124"/>
      <c r="AD15" s="40"/>
      <c r="AE15" s="41"/>
    </row>
    <row r="16" spans="2:31" ht="15" thickBot="1" x14ac:dyDescent="0.35">
      <c r="H16" s="192">
        <v>1</v>
      </c>
      <c r="I16" s="202"/>
      <c r="J16" s="148" t="s">
        <v>90</v>
      </c>
      <c r="K16" s="158">
        <f t="shared" si="0"/>
        <v>0</v>
      </c>
      <c r="L16" s="61"/>
      <c r="Q16" s="7">
        <v>1</v>
      </c>
      <c r="R16" s="7" t="s">
        <v>35</v>
      </c>
      <c r="S16" s="51">
        <v>2.06</v>
      </c>
      <c r="T16" s="51">
        <v>0.62</v>
      </c>
      <c r="U16" s="7" t="s">
        <v>38</v>
      </c>
      <c r="V16" s="55">
        <v>79990</v>
      </c>
      <c r="W16" s="49">
        <f t="shared" si="1"/>
        <v>79990</v>
      </c>
      <c r="X16" s="176">
        <f t="shared" si="2"/>
        <v>69312.344133212551</v>
      </c>
      <c r="Y16" s="175">
        <v>83990</v>
      </c>
      <c r="Z16" s="101"/>
      <c r="AA16" s="101"/>
      <c r="AB16" s="39"/>
      <c r="AC16" s="39"/>
      <c r="AD16" s="42"/>
      <c r="AE16" s="42"/>
    </row>
    <row r="17" spans="1:31" ht="15" thickBot="1" x14ac:dyDescent="0.35">
      <c r="B17" s="130" t="s">
        <v>88</v>
      </c>
      <c r="C17" s="129" t="s">
        <v>87</v>
      </c>
      <c r="D17" s="129" t="s">
        <v>28</v>
      </c>
      <c r="E17" s="128" t="s">
        <v>51</v>
      </c>
      <c r="F17" s="127" t="s">
        <v>6</v>
      </c>
      <c r="H17" s="193">
        <v>1</v>
      </c>
      <c r="I17" s="202"/>
      <c r="J17" s="188" t="s">
        <v>89</v>
      </c>
      <c r="K17" s="158">
        <f t="shared" si="0"/>
        <v>0</v>
      </c>
      <c r="L17" s="61"/>
      <c r="Q17" s="7">
        <v>6</v>
      </c>
      <c r="R17" s="7" t="s">
        <v>36</v>
      </c>
      <c r="S17" s="51"/>
      <c r="T17" s="51"/>
      <c r="U17" s="7"/>
      <c r="V17" s="55">
        <v>5000</v>
      </c>
      <c r="W17" s="49">
        <f t="shared" si="1"/>
        <v>30000</v>
      </c>
      <c r="X17" s="106"/>
      <c r="Y17" s="14"/>
      <c r="Z17" s="101"/>
      <c r="AA17" s="101"/>
      <c r="AB17" s="46"/>
    </row>
    <row r="18" spans="1:31" x14ac:dyDescent="0.3">
      <c r="C18" s="125" t="s">
        <v>85</v>
      </c>
      <c r="D18" s="122">
        <f>'2229'!O32</f>
        <v>0</v>
      </c>
      <c r="E18" s="123">
        <f>D18*0.19</f>
        <v>0</v>
      </c>
      <c r="F18" s="120">
        <f>SUM(D18:E18)</f>
        <v>0</v>
      </c>
      <c r="H18" s="192">
        <v>1</v>
      </c>
      <c r="I18" s="202"/>
      <c r="J18" s="184" t="s">
        <v>86</v>
      </c>
      <c r="K18" s="158">
        <f t="shared" si="0"/>
        <v>0</v>
      </c>
      <c r="L18" s="61"/>
      <c r="Q18" s="7">
        <v>1</v>
      </c>
      <c r="R18" s="56" t="s">
        <v>37</v>
      </c>
      <c r="S18" s="51"/>
      <c r="T18" s="51"/>
      <c r="U18" s="7"/>
      <c r="V18" s="49">
        <v>10000</v>
      </c>
      <c r="W18" s="49">
        <f t="shared" si="1"/>
        <v>10000</v>
      </c>
      <c r="X18" s="106"/>
    </row>
    <row r="19" spans="1:31" x14ac:dyDescent="0.3">
      <c r="C19" s="79" t="s">
        <v>31</v>
      </c>
      <c r="D19" s="122">
        <f>'2229'!O31</f>
        <v>11750</v>
      </c>
      <c r="E19" s="123">
        <f>D19*0.19</f>
        <v>2232.5</v>
      </c>
      <c r="F19" s="120">
        <f>SUM(D19:E19)</f>
        <v>13982.5</v>
      </c>
      <c r="H19" s="192">
        <v>1</v>
      </c>
      <c r="I19" s="202"/>
      <c r="J19" s="184" t="s">
        <v>84</v>
      </c>
      <c r="K19" s="158">
        <f t="shared" si="0"/>
        <v>0</v>
      </c>
      <c r="L19" s="61"/>
      <c r="Q19" s="16"/>
      <c r="T19" s="5"/>
      <c r="U19" s="6"/>
      <c r="V19" s="30" t="s">
        <v>28</v>
      </c>
      <c r="W19" s="34">
        <f>SUM(W11:W18)</f>
        <v>472940</v>
      </c>
      <c r="X19" s="106"/>
      <c r="Y19" s="176">
        <f>SUM(Y11:Y16)+SUM(W17:W18)</f>
        <v>484940</v>
      </c>
    </row>
    <row r="20" spans="1:31" ht="15" thickBot="1" x14ac:dyDescent="0.35">
      <c r="C20" s="74" t="s">
        <v>21</v>
      </c>
      <c r="D20" s="122">
        <f>'2229'!O30</f>
        <v>5231.1000000000004</v>
      </c>
      <c r="E20" s="121">
        <f>D20*0.19</f>
        <v>993.90900000000011</v>
      </c>
      <c r="F20" s="120">
        <f>SUM(D20:E20)</f>
        <v>6225.009</v>
      </c>
      <c r="H20" s="192">
        <v>1</v>
      </c>
      <c r="I20" s="202"/>
      <c r="J20" s="184" t="s">
        <v>83</v>
      </c>
      <c r="K20" s="158">
        <f t="shared" si="0"/>
        <v>0</v>
      </c>
      <c r="V20" s="31" t="s">
        <v>29</v>
      </c>
      <c r="W20" s="35">
        <f>W19*19%</f>
        <v>89858.6</v>
      </c>
      <c r="X20" s="106"/>
      <c r="Y20" s="177">
        <f>Y19*0.19</f>
        <v>92138.6</v>
      </c>
      <c r="Z20" s="101"/>
      <c r="AA20" s="101"/>
      <c r="AB20" s="14"/>
      <c r="AC20" s="14"/>
      <c r="AE20" s="3"/>
    </row>
    <row r="21" spans="1:31" ht="15" thickBot="1" x14ac:dyDescent="0.35">
      <c r="A21" s="80">
        <f>450000*1.2</f>
        <v>540000</v>
      </c>
      <c r="B21" s="119"/>
      <c r="C21" s="118" t="s">
        <v>6</v>
      </c>
      <c r="D21" s="117">
        <f>SUM(D18:D20)</f>
        <v>16981.099999999999</v>
      </c>
      <c r="E21" s="116">
        <f>SUM(E18:E20)</f>
        <v>3226.4090000000001</v>
      </c>
      <c r="F21" s="115">
        <f>SUM(F18:F20)</f>
        <v>20207.508999999998</v>
      </c>
      <c r="H21" s="192">
        <v>1</v>
      </c>
      <c r="I21" s="202"/>
      <c r="J21" s="184" t="s">
        <v>82</v>
      </c>
      <c r="K21" s="158">
        <f t="shared" si="0"/>
        <v>0</v>
      </c>
      <c r="M21" s="153">
        <f>B32/9</f>
        <v>2318.840579710145</v>
      </c>
      <c r="Q21" s="50" t="s">
        <v>39</v>
      </c>
      <c r="R21" s="50"/>
      <c r="S21" s="50"/>
      <c r="V21" s="32" t="s">
        <v>6</v>
      </c>
      <c r="W21" s="35">
        <f>W19+W20</f>
        <v>562798.6</v>
      </c>
      <c r="X21" s="106"/>
      <c r="Y21" s="177">
        <f>SUM(Y19:Y20)</f>
        <v>577078.6</v>
      </c>
      <c r="Z21" s="101"/>
      <c r="AA21" s="101"/>
      <c r="AB21" s="39"/>
      <c r="AC21" s="4"/>
      <c r="AE21" s="4"/>
    </row>
    <row r="22" spans="1:31" ht="15" thickBot="1" x14ac:dyDescent="0.35">
      <c r="A22" s="80">
        <f>450000*1.2</f>
        <v>540000</v>
      </c>
      <c r="B22" s="114" t="s">
        <v>80</v>
      </c>
      <c r="C22" s="113" t="s">
        <v>79</v>
      </c>
      <c r="D22" s="112" t="s">
        <v>78</v>
      </c>
      <c r="E22" s="111" t="s">
        <v>77</v>
      </c>
      <c r="F22" s="110" t="s">
        <v>6</v>
      </c>
      <c r="H22" s="192">
        <v>1</v>
      </c>
      <c r="I22" s="202"/>
      <c r="J22" s="148" t="s">
        <v>81</v>
      </c>
      <c r="K22" s="158">
        <f t="shared" si="0"/>
        <v>0</v>
      </c>
      <c r="M22" s="105"/>
      <c r="N22" s="58"/>
      <c r="Q22" s="50" t="s">
        <v>34</v>
      </c>
      <c r="R22" s="50"/>
      <c r="S22" s="50"/>
      <c r="T22" s="50"/>
      <c r="X22" s="96"/>
      <c r="Y22" s="14"/>
      <c r="Z22" s="101"/>
      <c r="AA22" s="101"/>
      <c r="AB22" s="39"/>
      <c r="AC22" s="4"/>
      <c r="AD22" s="14"/>
      <c r="AE22" s="4"/>
    </row>
    <row r="23" spans="1:31" ht="15" thickBot="1" x14ac:dyDescent="0.35">
      <c r="A23" s="80">
        <f>800000*1.2</f>
        <v>960000</v>
      </c>
      <c r="B23" s="103">
        <f>A21/23</f>
        <v>23478.260869565216</v>
      </c>
      <c r="C23" s="82" t="s">
        <v>25</v>
      </c>
      <c r="D23" s="109">
        <f t="shared" ref="D23:D29" si="3">B23/9</f>
        <v>2608.695652173913</v>
      </c>
      <c r="E23" s="108">
        <v>0.5</v>
      </c>
      <c r="F23" s="107">
        <f t="shared" ref="F23:F32" si="4">D23*E23</f>
        <v>1304.3478260869565</v>
      </c>
      <c r="H23" s="194">
        <v>1</v>
      </c>
      <c r="I23" s="203"/>
      <c r="J23" s="185" t="s">
        <v>76</v>
      </c>
      <c r="K23" s="158">
        <f t="shared" si="0"/>
        <v>0</v>
      </c>
      <c r="M23" s="105"/>
      <c r="N23" s="58"/>
      <c r="Q23" s="50" t="s">
        <v>27</v>
      </c>
      <c r="R23" s="50"/>
      <c r="X23" s="104"/>
      <c r="Y23" s="27"/>
      <c r="Z23" s="101"/>
      <c r="AA23" s="101"/>
      <c r="AB23" s="14"/>
      <c r="AC23" s="11"/>
      <c r="AD23" s="43"/>
    </row>
    <row r="24" spans="1:31" ht="15" thickBot="1" x14ac:dyDescent="0.35">
      <c r="A24" s="80">
        <v>450000</v>
      </c>
      <c r="B24" s="103">
        <f>A22/23</f>
        <v>23478.260869565216</v>
      </c>
      <c r="C24" s="79" t="s">
        <v>74</v>
      </c>
      <c r="D24" s="100">
        <f t="shared" si="3"/>
        <v>2608.695652173913</v>
      </c>
      <c r="E24" s="99">
        <v>0.5</v>
      </c>
      <c r="F24" s="98">
        <f t="shared" si="4"/>
        <v>1304.3478260869565</v>
      </c>
      <c r="H24" s="151" t="s">
        <v>117</v>
      </c>
      <c r="I24" s="155" t="s">
        <v>115</v>
      </c>
      <c r="J24" s="181" t="s">
        <v>75</v>
      </c>
      <c r="K24" s="152" t="s">
        <v>94</v>
      </c>
      <c r="L24" s="102">
        <f>SUM(K25:K35)</f>
        <v>0</v>
      </c>
      <c r="X24" s="101"/>
      <c r="Y24" s="101"/>
      <c r="Z24" s="101"/>
      <c r="AA24" s="101"/>
      <c r="AB24" s="14"/>
      <c r="AD24" s="43"/>
    </row>
    <row r="25" spans="1:31" x14ac:dyDescent="0.3">
      <c r="A25" s="80">
        <v>450000</v>
      </c>
      <c r="B25" s="103">
        <f>A23/23</f>
        <v>41739.130434782608</v>
      </c>
      <c r="C25" s="79" t="s">
        <v>73</v>
      </c>
      <c r="D25" s="100">
        <f t="shared" si="3"/>
        <v>4637.68115942029</v>
      </c>
      <c r="E25" s="99"/>
      <c r="F25" s="98">
        <f t="shared" si="4"/>
        <v>0</v>
      </c>
      <c r="H25" s="209">
        <v>0</v>
      </c>
      <c r="I25" s="204">
        <f>((480000/23)/9)</f>
        <v>2318.840579710145</v>
      </c>
      <c r="J25" s="187" t="s">
        <v>108</v>
      </c>
      <c r="K25" s="149">
        <f t="shared" ref="K25:K35" si="5">H25*I25</f>
        <v>0</v>
      </c>
      <c r="X25" s="101"/>
      <c r="Z25" s="101"/>
      <c r="AA25" s="101"/>
      <c r="AB25" s="39"/>
      <c r="AD25" s="43"/>
    </row>
    <row r="26" spans="1:31" x14ac:dyDescent="0.3">
      <c r="A26" s="80"/>
      <c r="B26" s="103">
        <f>A24/23</f>
        <v>19565.217391304348</v>
      </c>
      <c r="C26" s="79" t="s">
        <v>71</v>
      </c>
      <c r="D26" s="100">
        <f t="shared" si="3"/>
        <v>2173.913043478261</v>
      </c>
      <c r="E26" s="99">
        <v>0.5</v>
      </c>
      <c r="F26" s="98">
        <f t="shared" si="4"/>
        <v>1086.9565217391305</v>
      </c>
      <c r="H26" s="192">
        <v>0</v>
      </c>
      <c r="I26" s="174"/>
      <c r="J26" s="184" t="s">
        <v>72</v>
      </c>
      <c r="K26" s="97">
        <f t="shared" si="5"/>
        <v>0</v>
      </c>
      <c r="L26" s="61"/>
      <c r="X26" s="96"/>
      <c r="Z26" s="101"/>
      <c r="AA26" s="101"/>
      <c r="AB26" s="14"/>
      <c r="AD26" s="44"/>
    </row>
    <row r="27" spans="1:31" x14ac:dyDescent="0.3">
      <c r="A27" s="80">
        <v>350000</v>
      </c>
      <c r="B27" s="103">
        <f>A25/23</f>
        <v>19565.217391304348</v>
      </c>
      <c r="C27" s="79" t="s">
        <v>70</v>
      </c>
      <c r="D27" s="100">
        <f t="shared" si="3"/>
        <v>2173.913043478261</v>
      </c>
      <c r="E27" s="99">
        <v>0.5</v>
      </c>
      <c r="F27" s="98">
        <f t="shared" si="4"/>
        <v>1086.9565217391305</v>
      </c>
      <c r="H27" s="192">
        <v>0</v>
      </c>
      <c r="I27" s="174"/>
      <c r="J27" s="184" t="s">
        <v>69</v>
      </c>
      <c r="K27" s="97">
        <f t="shared" si="5"/>
        <v>0</v>
      </c>
      <c r="L27" s="61"/>
      <c r="X27" s="96"/>
      <c r="Z27" s="101"/>
      <c r="AA27" s="101"/>
      <c r="AB27" s="45"/>
    </row>
    <row r="28" spans="1:31" x14ac:dyDescent="0.3">
      <c r="A28" s="80">
        <v>500000</v>
      </c>
      <c r="B28" s="103">
        <f>A27/23</f>
        <v>15217.391304347826</v>
      </c>
      <c r="C28" s="79" t="s">
        <v>68</v>
      </c>
      <c r="D28" s="100">
        <f t="shared" si="3"/>
        <v>1690.8212560386473</v>
      </c>
      <c r="E28" s="99">
        <v>0.7</v>
      </c>
      <c r="F28" s="98">
        <f t="shared" si="4"/>
        <v>1183.5748792270531</v>
      </c>
      <c r="H28" s="192">
        <v>0</v>
      </c>
      <c r="I28" s="174"/>
      <c r="J28" s="184" t="s">
        <v>106</v>
      </c>
      <c r="K28" s="97">
        <f t="shared" si="5"/>
        <v>0</v>
      </c>
      <c r="L28" s="61"/>
      <c r="X28" s="96"/>
      <c r="Y28" s="13"/>
      <c r="Z28" s="14"/>
      <c r="AA28" s="17"/>
      <c r="AB28" s="95"/>
    </row>
    <row r="29" spans="1:31" x14ac:dyDescent="0.3">
      <c r="A29" s="80"/>
      <c r="B29" s="103">
        <f>A28/23</f>
        <v>21739.130434782608</v>
      </c>
      <c r="C29" s="79" t="s">
        <v>67</v>
      </c>
      <c r="D29" s="100">
        <f t="shared" si="3"/>
        <v>2415.4589371980674</v>
      </c>
      <c r="E29" s="99">
        <v>0.7</v>
      </c>
      <c r="F29" s="98">
        <f t="shared" si="4"/>
        <v>1690.8212560386471</v>
      </c>
      <c r="H29" s="191">
        <v>0</v>
      </c>
      <c r="I29" s="174">
        <f>((550000*1.2)/23)/9</f>
        <v>3188.4057971014495</v>
      </c>
      <c r="J29" s="150" t="s">
        <v>118</v>
      </c>
      <c r="K29" s="97">
        <f t="shared" si="5"/>
        <v>0</v>
      </c>
      <c r="L29" s="61"/>
    </row>
    <row r="30" spans="1:31" x14ac:dyDescent="0.3">
      <c r="A30" s="80">
        <v>450000</v>
      </c>
      <c r="B30" s="94"/>
      <c r="C30" s="79" t="s">
        <v>22</v>
      </c>
      <c r="D30" s="100">
        <v>2415</v>
      </c>
      <c r="E30" s="99"/>
      <c r="F30" s="98">
        <f t="shared" si="4"/>
        <v>0</v>
      </c>
      <c r="H30" s="191">
        <v>0</v>
      </c>
      <c r="I30" s="174">
        <f>((450000*1.2)/23)/9</f>
        <v>2608.695652173913</v>
      </c>
      <c r="J30" s="150" t="s">
        <v>119</v>
      </c>
      <c r="K30" s="97">
        <f t="shared" si="5"/>
        <v>0</v>
      </c>
      <c r="L30" s="61"/>
    </row>
    <row r="31" spans="1:31" x14ac:dyDescent="0.3">
      <c r="A31" s="80">
        <v>350000</v>
      </c>
      <c r="B31" s="94">
        <f>A30/23</f>
        <v>19565.217391304348</v>
      </c>
      <c r="C31" s="79" t="s">
        <v>65</v>
      </c>
      <c r="D31" s="100">
        <f>B31/9</f>
        <v>2173.913043478261</v>
      </c>
      <c r="E31" s="99">
        <v>0</v>
      </c>
      <c r="F31" s="98">
        <f t="shared" si="4"/>
        <v>0</v>
      </c>
      <c r="H31" s="191">
        <v>0</v>
      </c>
      <c r="I31" s="174">
        <f>((450000*1.2)/23)/9</f>
        <v>2608.695652173913</v>
      </c>
      <c r="J31" s="150" t="s">
        <v>120</v>
      </c>
      <c r="K31" s="97">
        <f t="shared" si="5"/>
        <v>0</v>
      </c>
    </row>
    <row r="32" spans="1:31" ht="15" thickBot="1" x14ac:dyDescent="0.35">
      <c r="A32" s="80">
        <f>A21+A24+A27+A28+A30</f>
        <v>2290000</v>
      </c>
      <c r="B32" s="94">
        <f>480000/23</f>
        <v>20869.565217391304</v>
      </c>
      <c r="C32" s="93" t="s">
        <v>64</v>
      </c>
      <c r="D32" s="92">
        <f>B32/9</f>
        <v>2318.840579710145</v>
      </c>
      <c r="E32" s="91">
        <v>0.5</v>
      </c>
      <c r="F32" s="90">
        <f t="shared" si="4"/>
        <v>1159.4202898550725</v>
      </c>
      <c r="H32" s="193">
        <v>0</v>
      </c>
      <c r="I32" s="205"/>
      <c r="J32" s="188" t="s">
        <v>41</v>
      </c>
      <c r="K32" s="97">
        <f t="shared" si="5"/>
        <v>0</v>
      </c>
    </row>
    <row r="33" spans="2:16" ht="15" thickBot="1" x14ac:dyDescent="0.35">
      <c r="B33" s="80"/>
      <c r="C33" s="88" t="s">
        <v>6</v>
      </c>
      <c r="D33" s="87">
        <f>SUM(D23:D32)</f>
        <v>25216.932367149755</v>
      </c>
      <c r="E33" s="86">
        <f>SUM(E23:E32)</f>
        <v>3.9000000000000004</v>
      </c>
      <c r="F33" s="85">
        <f>SUM(F23:F32)</f>
        <v>8816.4251207729467</v>
      </c>
      <c r="H33" s="195">
        <v>0</v>
      </c>
      <c r="I33" s="174"/>
      <c r="J33" s="186" t="s">
        <v>40</v>
      </c>
      <c r="K33" s="97">
        <f t="shared" si="5"/>
        <v>0</v>
      </c>
    </row>
    <row r="34" spans="2:16" ht="15" thickBot="1" x14ac:dyDescent="0.35">
      <c r="B34" s="83" t="s">
        <v>63</v>
      </c>
      <c r="C34" s="82" t="s">
        <v>62</v>
      </c>
      <c r="D34" s="81">
        <f>L9</f>
        <v>2550</v>
      </c>
      <c r="H34" s="192">
        <v>1</v>
      </c>
      <c r="I34" s="174"/>
      <c r="J34" s="148" t="s">
        <v>107</v>
      </c>
      <c r="K34" s="97">
        <f t="shared" si="5"/>
        <v>0</v>
      </c>
      <c r="N34" s="65"/>
      <c r="P34" s="61"/>
    </row>
    <row r="35" spans="2:16" ht="15" thickBot="1" x14ac:dyDescent="0.35">
      <c r="B35" s="75"/>
      <c r="C35" s="79" t="s">
        <v>61</v>
      </c>
      <c r="D35" s="78">
        <f>L24</f>
        <v>0</v>
      </c>
      <c r="H35" s="194">
        <v>6</v>
      </c>
      <c r="I35" s="206"/>
      <c r="J35" s="180" t="s">
        <v>109</v>
      </c>
      <c r="K35" s="210">
        <f t="shared" si="5"/>
        <v>0</v>
      </c>
      <c r="N35" s="65"/>
    </row>
    <row r="36" spans="2:16" ht="15" thickBot="1" x14ac:dyDescent="0.35">
      <c r="B36" s="75"/>
      <c r="C36" s="79" t="s">
        <v>59</v>
      </c>
      <c r="D36" s="78">
        <f>L36</f>
        <v>18467.665666666668</v>
      </c>
      <c r="E36" s="58"/>
      <c r="H36" s="151" t="s">
        <v>96</v>
      </c>
      <c r="I36" s="155" t="s">
        <v>115</v>
      </c>
      <c r="J36" s="189" t="s">
        <v>66</v>
      </c>
      <c r="K36" s="152" t="s">
        <v>94</v>
      </c>
      <c r="L36" s="208">
        <f>SUM(K37:K39)</f>
        <v>18467.665666666668</v>
      </c>
      <c r="N36" s="65"/>
    </row>
    <row r="37" spans="2:16" ht="15" thickBot="1" x14ac:dyDescent="0.35">
      <c r="B37" s="75"/>
      <c r="C37" s="74" t="s">
        <v>42</v>
      </c>
      <c r="D37" s="73"/>
      <c r="H37" s="199">
        <f>$E$33</f>
        <v>3.9000000000000004</v>
      </c>
      <c r="I37" s="204">
        <f>32609.69/9</f>
        <v>3623.2988888888885</v>
      </c>
      <c r="J37" s="187" t="s">
        <v>45</v>
      </c>
      <c r="K37" s="149">
        <f>I37*H37</f>
        <v>14130.865666666667</v>
      </c>
      <c r="N37" s="65"/>
      <c r="O37" s="65"/>
      <c r="P37" s="61"/>
    </row>
    <row r="38" spans="2:16" ht="15" thickBot="1" x14ac:dyDescent="0.35">
      <c r="C38" s="71" t="s">
        <v>6</v>
      </c>
      <c r="D38" s="70">
        <f>SUM(D34:D37)</f>
        <v>21017.665666666668</v>
      </c>
      <c r="H38" s="196">
        <f>$E$33</f>
        <v>3.9000000000000004</v>
      </c>
      <c r="I38" s="174">
        <v>967</v>
      </c>
      <c r="J38" s="184" t="s">
        <v>43</v>
      </c>
      <c r="K38" s="89">
        <f>I38*H38</f>
        <v>3771.3</v>
      </c>
    </row>
    <row r="39" spans="2:16" ht="15" thickBot="1" x14ac:dyDescent="0.35">
      <c r="H39" s="200">
        <f>$E$33</f>
        <v>3.9000000000000004</v>
      </c>
      <c r="I39" s="206">
        <v>145</v>
      </c>
      <c r="J39" s="185" t="s">
        <v>44</v>
      </c>
      <c r="K39" s="84">
        <f>I39*H39</f>
        <v>565.5</v>
      </c>
    </row>
    <row r="40" spans="2:16" ht="15" thickBot="1" x14ac:dyDescent="0.35">
      <c r="B40" s="68" t="s">
        <v>52</v>
      </c>
      <c r="C40" s="67" t="s">
        <v>51</v>
      </c>
      <c r="D40" s="66">
        <f>E11-E21</f>
        <v>23622.681</v>
      </c>
    </row>
    <row r="41" spans="2:16" ht="15" thickBot="1" x14ac:dyDescent="0.35">
      <c r="H41" s="343" t="s">
        <v>60</v>
      </c>
      <c r="I41" s="344"/>
      <c r="J41" s="344"/>
      <c r="K41" s="344"/>
      <c r="L41" s="344"/>
      <c r="M41" s="345"/>
    </row>
    <row r="42" spans="2:16" ht="15" thickBot="1" x14ac:dyDescent="0.35">
      <c r="B42" s="75" t="s">
        <v>46</v>
      </c>
      <c r="C42" s="75"/>
      <c r="D42" s="207">
        <f>E33</f>
        <v>3.9000000000000004</v>
      </c>
      <c r="H42" s="77" t="s">
        <v>58</v>
      </c>
      <c r="I42" s="159" t="s">
        <v>57</v>
      </c>
      <c r="J42" s="160"/>
      <c r="K42" s="160"/>
      <c r="L42" s="161"/>
      <c r="M42" s="76">
        <f>D11</f>
        <v>141311</v>
      </c>
    </row>
    <row r="43" spans="2:16" ht="15" thickBot="1" x14ac:dyDescent="0.35">
      <c r="D43" s="57"/>
      <c r="H43" s="72" t="s">
        <v>56</v>
      </c>
      <c r="I43" s="162" t="s">
        <v>55</v>
      </c>
      <c r="J43" s="163"/>
      <c r="K43" s="163"/>
      <c r="L43" s="164"/>
      <c r="M43" s="64">
        <f>D21</f>
        <v>16981.099999999999</v>
      </c>
    </row>
    <row r="44" spans="2:16" x14ac:dyDescent="0.3">
      <c r="D44" s="57"/>
      <c r="I44" s="165" t="s">
        <v>54</v>
      </c>
      <c r="J44" s="166"/>
      <c r="K44" s="166"/>
      <c r="L44" s="167"/>
      <c r="M44" s="69">
        <f>F33</f>
        <v>8816.4251207729467</v>
      </c>
    </row>
    <row r="45" spans="2:16" ht="15" thickBot="1" x14ac:dyDescent="0.35">
      <c r="D45" s="60"/>
      <c r="I45" s="168" t="s">
        <v>53</v>
      </c>
      <c r="J45" s="169"/>
      <c r="K45" s="169"/>
      <c r="L45" s="170"/>
      <c r="M45" s="63">
        <f>D38</f>
        <v>21017.665666666668</v>
      </c>
    </row>
    <row r="46" spans="2:16" ht="15" thickBot="1" x14ac:dyDescent="0.35">
      <c r="D46" s="60"/>
      <c r="I46" s="171" t="s">
        <v>50</v>
      </c>
      <c r="J46" s="172"/>
      <c r="K46" s="172"/>
      <c r="L46" s="173"/>
      <c r="M46" s="62">
        <f>M42-(SUM(M43:M45))</f>
        <v>94495.809212560387</v>
      </c>
    </row>
    <row r="47" spans="2:16" x14ac:dyDescent="0.3">
      <c r="I47" s="162" t="s">
        <v>49</v>
      </c>
      <c r="J47" s="163"/>
      <c r="K47" s="163"/>
      <c r="L47" s="164"/>
      <c r="M47" s="64"/>
    </row>
    <row r="48" spans="2:16" ht="15" thickBot="1" x14ac:dyDescent="0.35">
      <c r="D48" s="60"/>
      <c r="I48" s="168" t="s">
        <v>48</v>
      </c>
      <c r="J48" s="169"/>
      <c r="K48" s="169"/>
      <c r="L48" s="170"/>
      <c r="M48" s="63"/>
    </row>
    <row r="49" spans="3:13" ht="15" thickBot="1" x14ac:dyDescent="0.35">
      <c r="C49" s="59"/>
      <c r="D49" s="58"/>
      <c r="I49" s="171" t="s">
        <v>47</v>
      </c>
      <c r="J49" s="172"/>
      <c r="K49" s="172"/>
      <c r="L49" s="173"/>
      <c r="M49" s="62">
        <f>M46-SUM(M47:M48)</f>
        <v>94495.809212560387</v>
      </c>
    </row>
    <row r="52" spans="3:13" x14ac:dyDescent="0.3">
      <c r="D52" s="57"/>
    </row>
    <row r="54" spans="3:13" x14ac:dyDescent="0.3">
      <c r="D54" s="57"/>
    </row>
    <row r="56" spans="3:13" x14ac:dyDescent="0.3">
      <c r="D56" s="57"/>
    </row>
  </sheetData>
  <mergeCells count="3">
    <mergeCell ref="O7:O8"/>
    <mergeCell ref="H7:K7"/>
    <mergeCell ref="H41:M4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2229</vt:lpstr>
      <vt:lpstr>COSTOS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2025-04-03T19:02:46Z</cp:lastPrinted>
  <dcterms:created xsi:type="dcterms:W3CDTF">2013-03-18T13:35:42Z</dcterms:created>
  <dcterms:modified xsi:type="dcterms:W3CDTF">2025-12-01T18:33:47Z</dcterms:modified>
</cp:coreProperties>
</file>