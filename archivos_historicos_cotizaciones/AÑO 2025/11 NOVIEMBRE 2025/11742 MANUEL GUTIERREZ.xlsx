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7E10A34A-0BB6-4EC8-A6EF-576AC2888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<sst xmlns="http://schemas.openxmlformats.org/spreadsheetml/2006/main" count="231" uniqueCount="176">
  <si>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</si>
  <si>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</si>
  <si>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</si>
  <si>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</si>
  <si>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</si>
  <si>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</si>
  <si>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</si>
  <si>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</si>
  <si>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</si>
  <si>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</si>
  <si>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</si>
  <si>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</si>
  <si>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</si>
  <si>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</si>
  <si>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</si>
  <si>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</si>
  <si>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</si>
  <si>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</si>
  <si>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</si>
  <si>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</si>
  <si>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</si>
  <si>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</si>
  <si>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</si>
  <si>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</si>
  <si>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</si>
  <si>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</si>
  <si>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</si>
  <si>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</si>
  <si>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</si>
  <si>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</si>
  <si>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</si>
  <si>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</si>
  <si>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</si>
  <si>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</si>
  <si>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</si>
  <si>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</si>
  <si>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</si>
  <si>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</si>
  <si>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</si>
  <si>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</si>
  <si>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</si>
  <si>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</si>
  <si>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</si>
  <si>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</si>
  <si>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</si>
  <si>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</si>
  <si>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</si>
  <si>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</si>
  <si>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</si>
  <si>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</si>
  <si>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</si>
  <si>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</si>
  <si>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</si>
  <si>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</si>
  <si>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</si>
  <si>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</si>
  <si>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</si>
  <si>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</si>
  <si>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</si>
  <si>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</si>
  <si>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</si>
  <si>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</si>
  <si>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</si>
  <si>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</si>
  <si>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</si>
  <si>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</si>
  <si>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</si>
  <si>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</si>
  <si>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</si>
  <si>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</si>
  <si>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</si>
  <si>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</si>
  <si>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</si>
  <si>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</si>
  <si>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</si>
  <si>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</si>
  <si>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</si>
  <si>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</si>
  <si>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</si>
  <si>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</si>
  <si>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</si>
  <si>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</si>
  <si>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</si>
  <si>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</si>
  <si>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</si>
  <si>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</si>
  <si>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</si>
  <si>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</si>
  <si>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</si>
  <si>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</si>
  <si>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</si>
  <si>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</si>
  <si>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</si>
  <si>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</si>
  <si>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</si>
  <si>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</si>
  <si>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</si>
  <si>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</si>
  <si>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</si>
  <si>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</si>
  <si>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</si>
  <si>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</si>
  <si>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</si>
  <si>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</si>
  <si>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</si>
  <si>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</si>
  <si>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</si>
  <si>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</si>
  <si>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</si>
  <si>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</si>
  <si>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</si>
  <si>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</si>
  <si>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</si>
  <si>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</si>
  <si>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</si>
  <si>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</si>
  <si>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</si>
  <si>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</si>
  <si>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</si>
  <si>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</si>
  <si>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</si>
  <si>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</si>
  <si>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</si>
  <si>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</si>
  <si>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</si>
  <si>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</si>
  <si>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</si>
  <si>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</si>
  <si>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</si>
  <si>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</si>
  <si>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</si>
  <si>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</si>
  <si>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</si>
  <si>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</si>
  <si>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</si>
  <si>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</si>
  <si>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</si>
  <si>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</si>
  <si>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</si>
  <si>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</si>
  <si>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</si>
  <si>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</si>
  <si>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</si>
  <si>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</si>
  <si>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</si>
  <si>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</si>
  <si>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</si>
  <si>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</si>
  <si>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</si>
  <si>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</si>
  <si>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</si>
  <si>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</si>
  <si>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</si>
  <si>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</si>
  <si>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</si>
  <si>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</si>
  <si>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</si>
  <si>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</si>
  <si>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</si>
  <si>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</si>
  <si>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</si>
  <si>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</si>
  <si>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</si>
  <si>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</si>
  <si>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</si>
  <si>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</si>
  <si>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</si>
  <si>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</si>
  <si>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</si>
  <si>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</si>
  <si>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</si>
  <si>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BLANCO MT</t>
  </si>
  <si>
    <t>MANUEL GUTIERREZ</t>
  </si>
  <si>
    <t>+569 9538 3854</t>
  </si>
  <si>
    <t>10 DIAS HABILES</t>
  </si>
  <si>
    <t>N° 11742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</si>
</sst>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/>
            <a:t>LLEVA</a:t>
          </a:r>
          <a:r>
            <a:rPr lang="es-CL" sz="1200" b="1" baseline="0"/>
            <a:t> CORTE 45° EN LA PUNTA DEL LADO IZQUIERDO MIRANDOLA DESDE EL FRENTE</a:t>
          </a:r>
          <a:endParaRPr lang="es-CL" sz="1200" b="1"/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5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172</v>
      </c>
      <c r="D10" s="239"/>
      <c r="E10" s="239"/>
      <c r="F10" s="240" t="s">
        <v>166</v>
      </c>
      <c r="G10" s="271">
        <v>45971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68009.378057302587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1.54</v>
      </c>
      <c r="E21" s="323">
        <v>0.27</v>
      </c>
      <c r="F21" s="322" t="s">
        <v>171</v>
      </c>
      <c r="G21" s="324">
        <f>R21</f>
        <v>32196.426000000007</v>
      </c>
      <c r="H21" s="324">
        <f>G21*B21</f>
        <v>32196.426000000007</v>
      </c>
      <c r="I21" s="297"/>
      <c r="J21" s="260"/>
      <c r="K21" s="44"/>
      <c r="L21" s="44">
        <f>B21</f>
        <v>1</v>
      </c>
      <c r="M21" s="36">
        <f>D21+M$19</f>
        <v>1.59</v>
      </c>
      <c r="N21" s="36">
        <f>E21+$N$19</f>
        <v>0.27</v>
      </c>
      <c r="O21" s="256">
        <f t="shared" ref="O21" si="1">M21*N21</f>
        <v>0.42930000000000007</v>
      </c>
      <c r="P21" s="254">
        <f t="shared" ref="P21" si="2">O21*L21</f>
        <v>0.42930000000000007</v>
      </c>
      <c r="Q21" s="247">
        <f t="shared" ref="Q21" si="3">Q$20*O21</f>
        <v>29196.426000000007</v>
      </c>
      <c r="R21" s="296">
        <f t="shared" ref="R21" si="4">Q21+R$20</f>
        <v>32196.426000000007</v>
      </c>
      <c r="S21" s="284">
        <f>M21*L21</f>
        <v>1.59</v>
      </c>
      <c r="T21" s="43">
        <f>N21*2*L21*2</f>
        <v>1.08</v>
      </c>
      <c r="U21" s="9"/>
      <c r="X21" s="4"/>
    </row>
    <row r="22" spans="1:25" ht="17.399999999999999" x14ac:dyDescent="0.3">
      <c r="B22" s="278"/>
      <c r="C22" s="334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32196.426000000007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1.08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6117.3209400000014</v>
      </c>
      <c r="I25" s="299"/>
      <c r="J25" s="260"/>
      <c r="K25" s="315"/>
      <c r="L25" s="44"/>
      <c r="M25" s="36">
        <f>SUM(M21:M21)</f>
        <v>1.59</v>
      </c>
      <c r="N25" s="12"/>
      <c r="O25" s="12"/>
      <c r="P25" s="248">
        <f>SUM(P21:P23)</f>
        <v>0.42930000000000007</v>
      </c>
      <c r="Q25" s="14"/>
      <c r="R25" s="12"/>
      <c r="S25" s="235">
        <f>SUM(S21:S24)</f>
        <v>1.59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38313.746940000012</v>
      </c>
      <c r="I26" s="299"/>
      <c r="J26" s="260"/>
      <c r="K26" s="315"/>
      <c r="L26" s="44"/>
      <c r="M26" s="36"/>
      <c r="N26" s="12"/>
      <c r="O26" s="12"/>
      <c r="P26" s="248">
        <f>P25</f>
        <v>0.42930000000000007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8.586000000000002E-2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0.51516000000000006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0.51516000000000006</v>
      </c>
      <c r="N30" s="12">
        <v>3500</v>
      </c>
      <c r="O30" s="12">
        <f t="shared" ref="O30:O35" si="5">M30*N30</f>
        <v>1803.0600000000002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0.2</v>
      </c>
      <c r="N31" s="12">
        <v>23500</v>
      </c>
      <c r="O31" s="12">
        <f t="shared" si="5"/>
        <v>4700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0.25</v>
      </c>
      <c r="N33" s="245">
        <v>20000</v>
      </c>
      <c r="O33" s="12">
        <f t="shared" si="5"/>
        <v>5000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1.6</v>
      </c>
      <c r="N35" s="12">
        <v>1500</v>
      </c>
      <c r="O35" s="12">
        <f t="shared" si="5"/>
        <v>2400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13903.060000000001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29196.426000000003</v>
      </c>
      <c r="P37" s="14" t="s">
        <v>138</v>
      </c>
      <c r="Q37" s="14"/>
      <c r="R37" s="37">
        <f>P28/R36</f>
        <v>0.13890207075064712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68009.378057302587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45971</v>
      </c>
    </row>
    <row r="6" spans="1:31" ht="16.2" thickBot="1" x14ac:dyDescent="0.35">
      <c r="B6" s="137" t="s">
        <v>2</v>
      </c>
      <c r="C6" s="136" t="str">
        <f>'2229'!C10</f>
        <v>MANUEL GUTIERREZ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11742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1695.7877400966183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32196.426000000007</v>
      </c>
      <c r="E11" s="129">
        <f>D11*0.19</f>
        <v>6117.3209400000014</v>
      </c>
      <c r="F11" s="128">
        <f>E11+D11</f>
        <v>38313.746940000012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107685.78774009662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26481.970275362321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89685.787740096624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5714.4557246376862</v>
      </c>
      <c r="E13" s="218">
        <f>(D11/D12)-1</f>
        <v>0.21578665277614073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80685.787740096624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41685.787740096617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50421.67140428986</v>
      </c>
      <c r="C15" s="210" t="s">
        <v>121</v>
      </c>
      <c r="D15" s="211">
        <v>0.6</v>
      </c>
      <c r="E15" s="212">
        <f>(100%+D15)*D12</f>
        <v>42371.152440579717</v>
      </c>
      <c r="F15" s="213">
        <f>E15-D12</f>
        <v>15889.182165217397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41685.787740096617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81685.787740096624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4700</v>
      </c>
      <c r="E19" s="120">
        <f>D19*0.19</f>
        <v>893</v>
      </c>
      <c r="F19" s="117">
        <f>SUM(D19:E19)</f>
        <v>5593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1803.0600000000002</v>
      </c>
      <c r="E20" s="118">
        <f>D20*0.19</f>
        <v>342.58140000000003</v>
      </c>
      <c r="F20" s="117">
        <f>SUM(D20:E20)</f>
        <v>2145.6414000000004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6503.06</v>
      </c>
      <c r="E21" s="113">
        <f>SUM(E18:E20)</f>
        <v>1235.5814</v>
      </c>
      <c r="F21" s="112">
        <f>SUM(F18:F20)</f>
        <v>7738.6414000000004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4881.7395400000014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32196.426000000007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6503.06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5714.4557246376862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5714.4557246376862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2025-11-10T19:36:58Z</cp:lastPrinted>
  <dcterms:created xsi:type="dcterms:W3CDTF">2013-03-18T13:35:42Z</dcterms:created>
  <dcterms:modified xsi:type="dcterms:W3CDTF">2025-11-17T13:26:04Z</dcterms:modified>
</cp:coreProperties>
</file>