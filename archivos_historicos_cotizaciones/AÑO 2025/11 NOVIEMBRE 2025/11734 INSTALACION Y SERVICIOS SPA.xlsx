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C483108D-17CA-438C-BAF9-C67597B0A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<sst xmlns="http://schemas.openxmlformats.org/spreadsheetml/2006/main" count="234" uniqueCount="179">
  <si>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</si>
  <si>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</si>
  <si>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</si>
  <si>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</si>
  <si>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</si>
  <si>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</si>
  <si>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</si>
  <si>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</si>
  <si>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</si>
  <si>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</si>
  <si>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</si>
  <si>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</si>
  <si>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</si>
  <si>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</si>
  <si>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</si>
  <si>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</si>
  <si>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</si>
  <si>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</si>
  <si>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</si>
  <si>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</si>
  <si>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</si>
  <si>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</si>
  <si>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</si>
  <si>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</si>
  <si>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</si>
  <si>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</si>
  <si>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</si>
  <si>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</si>
  <si>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</si>
  <si>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</si>
  <si>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</si>
  <si>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</si>
  <si>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</si>
  <si>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</si>
  <si>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</si>
  <si>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</si>
  <si>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</si>
  <si>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</si>
  <si>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</si>
  <si>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</si>
  <si>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</si>
  <si>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</si>
  <si>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</si>
  <si>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</si>
  <si>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</si>
  <si>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</si>
  <si>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</si>
  <si>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</si>
  <si>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</si>
  <si>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</si>
  <si>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</si>
  <si>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</si>
  <si>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</si>
  <si>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</si>
  <si>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</si>
  <si>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</si>
  <si>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</si>
  <si>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</si>
  <si>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</si>
  <si>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</si>
  <si>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</si>
  <si>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</si>
  <si>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</si>
  <si>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</si>
  <si>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</si>
  <si>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</si>
  <si>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</si>
  <si>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</si>
  <si>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</si>
  <si>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</si>
  <si>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</si>
  <si>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</si>
  <si>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</si>
  <si>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</si>
  <si>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</si>
  <si>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</si>
  <si>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</si>
  <si>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</si>
  <si>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</si>
  <si>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</si>
  <si>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</si>
  <si>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</si>
  <si>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</si>
  <si>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</si>
  <si>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</si>
  <si>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</si>
  <si>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</si>
  <si>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</si>
  <si>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</si>
  <si>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</si>
  <si>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</si>
  <si>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</si>
  <si>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</si>
  <si>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</si>
  <si>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</si>
  <si>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</si>
  <si>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</si>
  <si>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</si>
  <si>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</si>
  <si>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</si>
  <si>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</si>
  <si>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</si>
  <si>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</si>
  <si>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</si>
  <si>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</si>
  <si>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</si>
  <si>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</si>
  <si>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</si>
  <si>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</si>
  <si>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</si>
  <si>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</si>
  <si>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</si>
  <si>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</si>
  <si>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</si>
  <si>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</si>
  <si>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</si>
  <si>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</si>
  <si>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</si>
  <si>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</si>
  <si>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</si>
  <si>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</si>
  <si>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</si>
  <si>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</si>
  <si>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</si>
  <si>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</si>
  <si>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</si>
  <si>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</si>
  <si>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</si>
  <si>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</si>
  <si>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</si>
  <si>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</si>
  <si>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</si>
  <si>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</si>
  <si>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</si>
  <si>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</si>
  <si>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</si>
  <si>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</si>
  <si>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</si>
  <si>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</si>
  <si>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</si>
  <si>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</si>
  <si>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</si>
  <si>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</si>
  <si>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</si>
  <si>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</si>
  <si>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</si>
  <si>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</si>
  <si>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</si>
  <si>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</si>
  <si>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</si>
  <si>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</si>
  <si>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</si>
  <si>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</si>
  <si>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</si>
  <si>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</si>
  <si>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</si>
  <si>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</si>
  <si>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</si>
  <si>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</si>
  <si>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</si>
  <si>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</si>
  <si>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</si>
  <si>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</si>
  <si>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</si>
  <si>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</si>
  <si>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</si>
  <si>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</si>
  <si>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</si>
  <si>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</si>
  <si>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INSTALACION Y SERVICIOS SPA</t>
  </si>
  <si>
    <t>76.553.287-6</t>
  </si>
  <si>
    <t>BLANCO OPACO</t>
  </si>
  <si>
    <t>URETA COX 660 SAN MIGUEK</t>
  </si>
  <si>
    <t>FCA DE MUEBLES</t>
  </si>
  <si>
    <t>SAINT</t>
  </si>
  <si>
    <t>5 DIAS HABILES</t>
  </si>
  <si>
    <t>SI</t>
  </si>
  <si>
    <t>N° 11734</t>
  </si>
  <si>
    <t>CUB S/R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</si>
</sst>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CORTADA A LA MEDIDA Y ENCHAPADA SIN REGRUESO</a:t>
          </a:r>
          <a:r>
            <a:rPr lang="es-CL" sz="1200" b="1" baseline="0"/>
            <a:t>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177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45966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173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174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176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172</v>
      </c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73019.624060150381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178</v>
      </c>
      <c r="D21" s="332">
        <v>1.25</v>
      </c>
      <c r="E21" s="332">
        <v>0.5</v>
      </c>
      <c r="F21" s="329" t="s">
        <v>171</v>
      </c>
      <c r="G21" s="330">
        <v>53558</v>
      </c>
      <c r="H21" s="330">
        <f>G21*B21</f>
        <v>53558</v>
      </c>
      <c r="I21" s="319"/>
      <c r="J21" s="265"/>
      <c r="K21" s="47"/>
      <c r="L21" s="331">
        <v>1</v>
      </c>
      <c r="M21" s="39">
        <f>D21+M$19</f>
        <v>1.33</v>
      </c>
      <c r="N21" s="39">
        <f>E21+$N$19</f>
        <v>0.5</v>
      </c>
      <c r="O21" s="261">
        <f t="shared" ref="O21" si="1">M21*N21</f>
        <v>0.66500000000000004</v>
      </c>
      <c r="P21" s="259">
        <f t="shared" ref="P21" si="2">O21*L21</f>
        <v>0.66500000000000004</v>
      </c>
      <c r="Q21" s="252">
        <f t="shared" ref="Q21" si="3">Q$20*O21</f>
        <v>48558.05</v>
      </c>
      <c r="R21" s="318">
        <f t="shared" ref="R21" si="4">Q21+R$20</f>
        <v>53558.05</v>
      </c>
      <c r="S21" s="297">
        <f>M21*L21</f>
        <v>1.33</v>
      </c>
      <c r="T21" s="46">
        <f>M21*L21</f>
        <v>1.33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53558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1.33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10176.02</v>
      </c>
      <c r="I26" s="321"/>
      <c r="J26" s="265"/>
      <c r="K26" s="47"/>
      <c r="L26" s="47"/>
      <c r="M26" s="39">
        <f>SUM(M21:M25)</f>
        <v>1.33</v>
      </c>
      <c r="N26" s="12"/>
      <c r="O26" s="12"/>
      <c r="P26" s="253">
        <f>SUM(P21:P24)</f>
        <v>0.66500000000000004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63734.020000000004</v>
      </c>
      <c r="I27" s="321"/>
      <c r="J27" s="265"/>
      <c r="K27" s="47"/>
      <c r="L27" s="47"/>
      <c r="M27" s="39"/>
      <c r="N27" s="12"/>
      <c r="O27" s="12"/>
      <c r="P27" s="253">
        <f>P26</f>
        <v>0.66500000000000004</v>
      </c>
      <c r="Q27" s="14"/>
      <c r="R27" s="12"/>
      <c r="S27" s="239">
        <f>SUM(S21:S26)</f>
        <v>1.33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0.13300000000000001</v>
      </c>
      <c r="Q28" s="39" t="s">
        <v>130</v>
      </c>
      <c r="R28" s="42"/>
      <c r="S28" s="240">
        <f>S27+T25</f>
        <v>2.66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0.79800000000000004</v>
      </c>
      <c r="Q29" s="14"/>
      <c r="R29" s="14"/>
      <c r="S29" s="238">
        <f>S28*20%</f>
        <v>0.53200000000000003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3.1920000000000002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0.79800000000000004</v>
      </c>
      <c r="N31" s="12">
        <v>3500</v>
      </c>
      <c r="O31" s="12">
        <f t="shared" ref="O31:O36" si="5">M31*N31</f>
        <v>2793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0.25</v>
      </c>
      <c r="N32" s="12">
        <v>23500</v>
      </c>
      <c r="O32" s="12">
        <f t="shared" si="5"/>
        <v>5875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0.5</v>
      </c>
      <c r="N34" s="250">
        <v>20000</v>
      </c>
      <c r="O34" s="12">
        <f t="shared" si="5"/>
        <v>10000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1.33</v>
      </c>
      <c r="N36" s="12">
        <v>1500</v>
      </c>
      <c r="O36" s="12">
        <f t="shared" si="5"/>
        <v>1995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20663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O37*2.35</f>
        <v>48558.05</v>
      </c>
      <c r="P38" s="14" t="s">
        <v>140</v>
      </c>
      <c r="Q38" s="14"/>
      <c r="R38" s="40">
        <f>P29/R37</f>
        <v>0.21516393442622953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73019.624060150381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2.35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45966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1661.7416332125601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53558</v>
      </c>
      <c r="E11" s="132">
        <f>D11*0.19</f>
        <v>10176.02</v>
      </c>
      <c r="F11" s="131">
        <f>E11+D11</f>
        <v>63734.020000000004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107651.74163321256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38502.090787439614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89651.741633212558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15055.909212560386</v>
      </c>
      <c r="E13" s="221">
        <f>(D11/D12)-1</f>
        <v>0.39104134099314969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80651.741633212558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41651.741633212558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63528.44979927536</v>
      </c>
      <c r="F15" s="216">
        <f>E15-D12</f>
        <v>25026.359011835746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41651.741633212558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81651.741633212558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5875</v>
      </c>
      <c r="E19" s="123">
        <f>D19*0.19</f>
        <v>1116.25</v>
      </c>
      <c r="F19" s="120">
        <f>SUM(D19:E19)</f>
        <v>6991.25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2793</v>
      </c>
      <c r="E20" s="121">
        <f>D20*0.19</f>
        <v>530.66999999999996</v>
      </c>
      <c r="F20" s="120">
        <f>SUM(D20:E20)</f>
        <v>3323.67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8668</v>
      </c>
      <c r="E21" s="116">
        <f>SUM(E18:E20)</f>
        <v>1646.92</v>
      </c>
      <c r="F21" s="115">
        <f>SUM(F18:F20)</f>
        <v>10314.92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8529.1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53558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8668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15055.909212560386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15055.909212560386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2025-11-06T00:51:53Z</dcterms:modified>
</cp:coreProperties>
</file>