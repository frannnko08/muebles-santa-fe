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B8CDB4C8-4CD9-446C-A9A7-3AE463E235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1" l="1"/>
  <c r="M31" i="1"/>
  <c r="L21" i="1"/>
  <c r="J41" i="1"/>
  <c r="H22" i="1"/>
  <c r="N22" i="1"/>
  <c r="M22" i="1"/>
  <c r="O22" i="1" s="1"/>
  <c r="L22" i="1"/>
  <c r="K35" i="1"/>
  <c r="K36" i="1" s="1"/>
  <c r="P22" i="1" l="1"/>
  <c r="H21" i="1"/>
  <c r="M21" i="1"/>
  <c r="S21" i="1" s="1"/>
  <c r="N21" i="1"/>
  <c r="J15" i="1"/>
  <c r="J10" i="1"/>
  <c r="O21" i="1" l="1"/>
  <c r="P21" i="1" s="1"/>
  <c r="P26" i="1" s="1"/>
  <c r="S27" i="1"/>
  <c r="M26" i="1"/>
  <c r="T25" i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R22" i="1" s="1"/>
  <c r="Q21" i="1"/>
  <c r="R21" i="1" s="1"/>
  <c r="O40" i="1"/>
  <c r="E15" i="3"/>
  <c r="F15" i="3" l="1"/>
  <c r="H25" i="1" l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<sst xmlns="http://schemas.openxmlformats.org/spreadsheetml/2006/main" count="232" uniqueCount="175">
  <si>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</si>
  <si>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</si>
  <si>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</si>
  <si>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</si>
  <si>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</si>
  <si>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</si>
  <si>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</si>
  <si>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</si>
  <si>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</si>
  <si>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</si>
  <si>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</si>
  <si>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</si>
  <si>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</si>
  <si>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</si>
  <si>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</si>
  <si>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</si>
  <si>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</si>
  <si>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</si>
  <si>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</si>
  <si>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</si>
  <si>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</si>
  <si>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</si>
  <si>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</si>
  <si>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</si>
  <si>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</si>
  <si>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</si>
  <si>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</si>
  <si>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</si>
  <si>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</si>
  <si>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</si>
  <si>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</si>
  <si>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</si>
  <si>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</si>
  <si>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</si>
  <si>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</si>
  <si>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</si>
  <si>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</si>
  <si>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</si>
  <si>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</si>
  <si>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</si>
  <si>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</si>
  <si>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</si>
  <si>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</si>
  <si>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</si>
  <si>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</si>
  <si>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</si>
  <si>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</si>
  <si>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</si>
  <si>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</si>
  <si>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</si>
  <si>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</si>
  <si>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</si>
  <si>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</si>
  <si>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</si>
  <si>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</si>
  <si>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</si>
  <si>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</si>
  <si>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</si>
  <si>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</si>
  <si>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</si>
  <si>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</si>
  <si>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</si>
  <si>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</si>
  <si>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</si>
  <si>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</si>
  <si>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</si>
  <si>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</si>
  <si>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</si>
  <si>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</si>
  <si>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</si>
  <si>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</si>
  <si>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</si>
  <si>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</si>
  <si>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</si>
  <si>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</si>
  <si>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</si>
  <si>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</si>
  <si>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</si>
  <si>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</si>
  <si>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</si>
  <si>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</si>
  <si>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</si>
  <si>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</si>
  <si>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</si>
  <si>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</si>
  <si>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</si>
  <si>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</si>
  <si>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</si>
  <si>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</si>
  <si>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</si>
  <si>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</si>
  <si>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</si>
  <si>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</si>
  <si>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</si>
  <si>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</si>
  <si>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</si>
  <si>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</si>
  <si>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</si>
  <si>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</si>
  <si>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</si>
  <si>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</si>
  <si>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</si>
  <si>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</si>
  <si>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</si>
  <si>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</si>
  <si>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</si>
  <si>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</si>
  <si>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</si>
  <si>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</si>
  <si>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</si>
  <si>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</si>
  <si>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</si>
  <si>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</si>
  <si>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</si>
  <si>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</si>
  <si>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</si>
  <si>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</si>
  <si>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</si>
  <si>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</si>
  <si>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</si>
  <si>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</si>
  <si>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</si>
  <si>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</si>
  <si>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</si>
  <si>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</si>
  <si>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</si>
  <si>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</si>
  <si>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</si>
  <si>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</si>
  <si>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</si>
  <si>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</si>
  <si>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</si>
  <si>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</si>
  <si>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</si>
  <si>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</si>
  <si>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</si>
  <si>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</si>
  <si>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</si>
  <si>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</si>
  <si>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</si>
  <si>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</si>
  <si>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</si>
  <si>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</si>
  <si>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</si>
  <si>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</si>
  <si>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</si>
  <si>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</si>
  <si>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</si>
  <si>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</si>
  <si>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</si>
  <si>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</si>
  <si>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</si>
  <si>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</si>
  <si>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</si>
  <si>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</si>
  <si>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</si>
  <si>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</si>
  <si>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</si>
  <si>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</si>
  <si>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</si>
  <si>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</si>
  <si>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</si>
  <si>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</si>
  <si>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</si>
  <si>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</si>
  <si>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</si>
  <si>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</si>
  <si>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</si>
  <si>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</si>
  <si>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</si>
  <si>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 xml:space="preserve">ORDEN DE COMPRA </t>
  </si>
  <si>
    <t>LAMINA 122X306</t>
  </si>
  <si>
    <t>BLANCO MERINO 22191 SF</t>
  </si>
  <si>
    <t>N° 11774</t>
  </si>
  <si>
    <t>4 dias hábiles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</si>
</sst>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9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45988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174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169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170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37320.449897750514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7</v>
      </c>
      <c r="C21" s="330" t="s">
        <v>35</v>
      </c>
      <c r="D21" s="333">
        <v>1.6</v>
      </c>
      <c r="E21" s="333">
        <v>0.6</v>
      </c>
      <c r="F21" s="330" t="s">
        <v>172</v>
      </c>
      <c r="G21" s="331">
        <v>39619</v>
      </c>
      <c r="H21" s="331">
        <f t="shared" ref="H21:H22" si="1">G21*B21</f>
        <v>277333</v>
      </c>
      <c r="I21" s="320"/>
      <c r="J21" s="265"/>
      <c r="K21" s="47"/>
      <c r="L21" s="332">
        <f>B21</f>
        <v>7</v>
      </c>
      <c r="M21" s="39">
        <f t="shared" ref="M21" si="2">D21+M$19</f>
        <v>1.6800000000000002</v>
      </c>
      <c r="N21" s="39">
        <f t="shared" ref="N21" si="3">E21+$N$19</f>
        <v>0.6</v>
      </c>
      <c r="O21" s="261">
        <f t="shared" ref="O21" si="4">M21*N21</f>
        <v>1.008</v>
      </c>
      <c r="P21" s="259">
        <f t="shared" ref="P21" si="5">O21*L21</f>
        <v>7.056</v>
      </c>
      <c r="Q21" s="252">
        <f t="shared" ref="Q21" si="6">Q$20*O21</f>
        <v>37619.013496932515</v>
      </c>
      <c r="R21" s="319">
        <f t="shared" ref="R21" si="7">Q21+R$20</f>
        <v>40619.013496932515</v>
      </c>
      <c r="S21" s="297">
        <f>L21*M21</f>
        <v>11.760000000000002</v>
      </c>
      <c r="T21" s="46"/>
      <c r="U21" s="9"/>
      <c r="X21" s="4"/>
    </row>
    <row r="22" spans="1:25" ht="17.399999999999999" x14ac:dyDescent="0.3">
      <c r="B22" s="330">
        <v>1</v>
      </c>
      <c r="C22" s="330" t="s">
        <v>35</v>
      </c>
      <c r="D22" s="333">
        <v>1.2</v>
      </c>
      <c r="E22" s="333">
        <v>0.6</v>
      </c>
      <c r="F22" s="330" t="s">
        <v>172</v>
      </c>
      <c r="G22" s="331">
        <v>29662</v>
      </c>
      <c r="H22" s="331">
        <f t="shared" si="1"/>
        <v>29662</v>
      </c>
      <c r="I22" s="320"/>
      <c r="J22" s="265"/>
      <c r="K22" s="47"/>
      <c r="L22" s="332">
        <f t="shared" ref="L22" si="8">B22</f>
        <v>1</v>
      </c>
      <c r="M22" s="39">
        <f t="shared" ref="M22" si="9">D22+M$19</f>
        <v>1.28</v>
      </c>
      <c r="N22" s="39">
        <f t="shared" ref="N22" si="10">E22+$N$19</f>
        <v>0.6</v>
      </c>
      <c r="O22" s="261">
        <f t="shared" ref="O22" si="11">M22*N22</f>
        <v>0.76800000000000002</v>
      </c>
      <c r="P22" s="259">
        <f t="shared" ref="P22" si="12">O22*L22</f>
        <v>0.76800000000000002</v>
      </c>
      <c r="Q22" s="252">
        <f t="shared" ref="Q22" si="13">Q$20*O22</f>
        <v>28662.105521472397</v>
      </c>
      <c r="R22" s="319">
        <f t="shared" ref="R22" si="14">Q22+R$20</f>
        <v>31662.105521472397</v>
      </c>
      <c r="S22" s="297">
        <f>L22*M22</f>
        <v>1.28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332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306995</v>
      </c>
      <c r="I25" s="322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0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58329.05</v>
      </c>
      <c r="I26" s="322"/>
      <c r="J26" s="265"/>
      <c r="K26" s="47"/>
      <c r="L26" s="47"/>
      <c r="M26" s="39">
        <f>SUM(M21:M25)</f>
        <v>2.96</v>
      </c>
      <c r="N26" s="12"/>
      <c r="O26" s="12"/>
      <c r="P26" s="253">
        <f>SUM(P21:P24)</f>
        <v>7.8239999999999998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365324.05</v>
      </c>
      <c r="I27" s="322"/>
      <c r="J27" s="265"/>
      <c r="K27" s="47"/>
      <c r="L27" s="47"/>
      <c r="M27" s="39"/>
      <c r="N27" s="12"/>
      <c r="O27" s="12"/>
      <c r="P27" s="253">
        <f>P26</f>
        <v>7.8239999999999998</v>
      </c>
      <c r="Q27" s="14"/>
      <c r="R27" s="12"/>
      <c r="S27" s="239">
        <f>SUM(S21:S26)</f>
        <v>13.040000000000001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1.5648</v>
      </c>
      <c r="Q28" s="39" t="s">
        <v>130</v>
      </c>
      <c r="R28" s="42"/>
      <c r="S28" s="240">
        <f>S27+T25</f>
        <v>13.040000000000001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9.3887999999999998</v>
      </c>
      <c r="Q29" s="14"/>
      <c r="R29" s="14"/>
      <c r="S29" s="238">
        <f>S28*20%</f>
        <v>2.6080000000000005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15.648000000000001</v>
      </c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9.3887999999999998</v>
      </c>
      <c r="N31" s="12">
        <v>2000</v>
      </c>
      <c r="O31" s="12">
        <f t="shared" ref="O31:O36" si="15">M31*N31</f>
        <v>18777.599999999999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2</v>
      </c>
      <c r="N32" s="12">
        <v>23500</v>
      </c>
      <c r="O32" s="12">
        <f t="shared" si="15"/>
        <v>47000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>
        <v>1220</v>
      </c>
      <c r="L33" s="250"/>
      <c r="M33" s="14">
        <v>2</v>
      </c>
      <c r="N33" s="250">
        <v>36850</v>
      </c>
      <c r="O33" s="12">
        <f t="shared" si="15"/>
        <v>73700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143</v>
      </c>
      <c r="C34"/>
      <c r="D34"/>
      <c r="E34"/>
      <c r="F34"/>
      <c r="J34" s="262">
        <v>32859</v>
      </c>
      <c r="K34" s="232">
        <v>230</v>
      </c>
      <c r="L34" s="250"/>
      <c r="M34" s="14"/>
      <c r="N34" s="250">
        <v>15700</v>
      </c>
      <c r="O34" s="12">
        <f t="shared" si="15"/>
        <v>0</v>
      </c>
      <c r="P34" s="14" t="s">
        <v>171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>
        <f>K33/K34</f>
        <v>5.3043478260869561</v>
      </c>
      <c r="L35" s="250"/>
      <c r="M35" s="249"/>
      <c r="N35" s="250">
        <v>15700</v>
      </c>
      <c r="O35" s="12">
        <f t="shared" si="15"/>
        <v>0</v>
      </c>
      <c r="P35" s="14" t="s">
        <v>32</v>
      </c>
      <c r="Q35" s="14"/>
      <c r="R35" s="230">
        <v>1.83</v>
      </c>
      <c r="S35" s="238"/>
      <c r="T35" s="238"/>
    </row>
    <row r="36" spans="2:24" s="230" customFormat="1" ht="17.399999999999999" x14ac:dyDescent="0.35">
      <c r="J36" s="293"/>
      <c r="K36" s="260">
        <f>B22/K35</f>
        <v>0.18852459016393444</v>
      </c>
      <c r="L36" s="250"/>
      <c r="M36" s="266">
        <v>13.04</v>
      </c>
      <c r="N36" s="12">
        <v>500</v>
      </c>
      <c r="O36" s="12">
        <f t="shared" si="15"/>
        <v>6520</v>
      </c>
      <c r="P36" s="14" t="s">
        <v>22</v>
      </c>
      <c r="Q36" s="14"/>
      <c r="R36">
        <v>2.5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145997.6</v>
      </c>
      <c r="P37" s="39" t="s">
        <v>23</v>
      </c>
      <c r="Q37" s="14"/>
      <c r="R37">
        <f>R35*R36</f>
        <v>4.5750000000000002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</f>
        <v>291995.2</v>
      </c>
      <c r="P38" s="14" t="s">
        <v>140</v>
      </c>
      <c r="Q38" s="14"/>
      <c r="R38" s="40">
        <f>P29/R37</f>
        <v>2.0521967213114753</v>
      </c>
      <c r="S38"/>
      <c r="T38" s="257"/>
    </row>
    <row r="39" spans="2:24" s="230" customFormat="1" ht="17.399999999999999" x14ac:dyDescent="0.35">
      <c r="G39"/>
      <c r="H39" s="260"/>
      <c r="I39" s="260"/>
      <c r="J39" s="260">
        <v>22475</v>
      </c>
      <c r="K39" s="230">
        <v>40000</v>
      </c>
      <c r="L39" s="250"/>
      <c r="M39" s="14"/>
      <c r="N39" s="12"/>
      <c r="O39" s="12">
        <f>O38/P27</f>
        <v>37320.449897750514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J40" s="230">
        <v>6</v>
      </c>
      <c r="K40" s="230">
        <f>K39/1.19</f>
        <v>33613.445378151264</v>
      </c>
      <c r="L40" s="250"/>
      <c r="M40" s="13"/>
      <c r="N40" s="14"/>
      <c r="O40" s="17">
        <f>O38/O37</f>
        <v>2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J41" s="260">
        <f>J39*J40</f>
        <v>134850</v>
      </c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45988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11774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-4605.1183667874429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306995</v>
      </c>
      <c r="E11" s="132">
        <f>D11*0.19</f>
        <v>58329.05</v>
      </c>
      <c r="F11" s="131">
        <f>E11+D11</f>
        <v>365324.05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101384.88163321256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169311.69078743961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83384.881633212557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137683.30921256039</v>
      </c>
      <c r="E13" s="221">
        <f>(D11/D12)-1</f>
        <v>0.81319434335702967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74384.881633212557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35384.881633212557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279364.28979927534</v>
      </c>
      <c r="F15" s="216">
        <f>E15-D12</f>
        <v>110052.59901183573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35384.881633212557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75384.881633212557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73700</v>
      </c>
      <c r="E18" s="123">
        <f>D18*0.19</f>
        <v>14003</v>
      </c>
      <c r="F18" s="120">
        <f>SUM(D18:E18)</f>
        <v>87703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47000</v>
      </c>
      <c r="E19" s="123">
        <f>D19*0.19</f>
        <v>8930</v>
      </c>
      <c r="F19" s="120">
        <f>SUM(D19:E19)</f>
        <v>55930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18777.599999999999</v>
      </c>
      <c r="E20" s="121">
        <f>D20*0.19</f>
        <v>3567.7439999999997</v>
      </c>
      <c r="F20" s="120">
        <f>SUM(D20:E20)</f>
        <v>22345.343999999997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139477.6</v>
      </c>
      <c r="E21" s="116">
        <f>SUM(E18:E20)</f>
        <v>26500.743999999999</v>
      </c>
      <c r="F21" s="115">
        <f>SUM(F18:F20)</f>
        <v>165978.34399999998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31828.306000000004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306995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139477.6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137683.30921256039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137683.30921256039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2025-11-27T12:19:00Z</cp:lastPrinted>
  <dcterms:created xsi:type="dcterms:W3CDTF">2013-03-18T13:35:42Z</dcterms:created>
  <dcterms:modified xsi:type="dcterms:W3CDTF">2025-11-27T12:28:28Z</dcterms:modified>
</cp:coreProperties>
</file>