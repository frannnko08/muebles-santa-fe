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63AED661-E81D-4C41-9CB0-D9AFFB493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M32" i="1"/>
  <c r="L23" i="1"/>
  <c r="M23" i="1"/>
  <c r="N23" i="1"/>
  <c r="O23" i="1"/>
  <c r="P23" i="1" s="1"/>
  <c r="H23" i="1"/>
  <c r="H22" i="1"/>
  <c r="N22" i="1"/>
  <c r="M22" i="1"/>
  <c r="O22" i="1" s="1"/>
  <c r="L22" i="1"/>
  <c r="K36" i="1"/>
  <c r="K37" i="1" s="1"/>
  <c r="P22" i="1" l="1"/>
  <c r="H21" i="1"/>
  <c r="M21" i="1"/>
  <c r="S21" i="1" s="1"/>
  <c r="N21" i="1"/>
  <c r="J15" i="1"/>
  <c r="J10" i="1"/>
  <c r="O21" i="1" l="1"/>
  <c r="P21" i="1" s="1"/>
  <c r="P27" i="1" s="1"/>
  <c r="S28" i="1"/>
  <c r="M27" i="1"/>
  <c r="T26" i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Q21" i="1"/>
  <c r="R21" i="1" s="1"/>
  <c r="O41" i="1"/>
  <c r="E15" i="3"/>
  <c r="F15" i="3" l="1"/>
  <c r="H26" i="1" l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<sst xmlns="http://schemas.openxmlformats.org/spreadsheetml/2006/main" count="234" uniqueCount="176">
  <si>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</si>
  <si>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</si>
  <si>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</si>
  <si>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</si>
  <si>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</si>
  <si>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</si>
  <si>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</si>
  <si>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</si>
  <si>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</si>
  <si>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</si>
  <si>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</si>
  <si>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</si>
  <si>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</si>
  <si>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</si>
  <si>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</si>
  <si>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</si>
  <si>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</si>
  <si>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</si>
  <si>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</si>
  <si>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</si>
  <si>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</si>
  <si>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</si>
  <si>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</si>
  <si>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</si>
  <si>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</si>
  <si>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</si>
  <si>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</si>
  <si>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</si>
  <si>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</si>
  <si>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</si>
  <si>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</si>
  <si>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</si>
  <si>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</si>
  <si>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</si>
  <si>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</si>
  <si>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</si>
  <si>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</si>
  <si>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</si>
  <si>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</si>
  <si>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</si>
  <si>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</si>
  <si>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</si>
  <si>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</si>
  <si>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</si>
  <si>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</si>
  <si>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</si>
  <si>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</si>
  <si>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</si>
  <si>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</si>
  <si>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</si>
  <si>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</si>
  <si>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</si>
  <si>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</si>
  <si>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</si>
  <si>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</si>
  <si>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</si>
  <si>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</si>
  <si>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</si>
  <si>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</si>
  <si>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</si>
  <si>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</si>
  <si>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</si>
  <si>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</si>
  <si>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</si>
  <si>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</si>
  <si>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</si>
  <si>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</si>
  <si>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</si>
  <si>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</si>
  <si>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</si>
  <si>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</si>
  <si>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</si>
  <si>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</si>
  <si>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</si>
  <si>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</si>
  <si>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</si>
  <si>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</si>
  <si>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</si>
  <si>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</si>
  <si>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</si>
  <si>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</si>
  <si>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</si>
  <si>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</si>
  <si>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</si>
  <si>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</si>
  <si>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</si>
  <si>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</si>
  <si>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</si>
  <si>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</si>
  <si>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</si>
  <si>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</si>
  <si>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</si>
  <si>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</si>
  <si>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</si>
  <si>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</si>
  <si>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</si>
  <si>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</si>
  <si>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</si>
  <si>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</si>
  <si>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</si>
  <si>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</si>
  <si>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</si>
  <si>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</si>
  <si>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</si>
  <si>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</si>
  <si>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</si>
  <si>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</si>
  <si>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</si>
  <si>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</si>
  <si>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</si>
  <si>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</si>
  <si>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</si>
  <si>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</si>
  <si>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</si>
  <si>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</si>
  <si>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</si>
  <si>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</si>
  <si>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</si>
  <si>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</si>
  <si>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</si>
  <si>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</si>
  <si>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</si>
  <si>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</si>
  <si>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</si>
  <si>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</si>
  <si>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</si>
  <si>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</si>
  <si>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</si>
  <si>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</si>
  <si>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</si>
  <si>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</si>
  <si>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</si>
  <si>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</si>
  <si>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</si>
  <si>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</si>
  <si>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</si>
  <si>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</si>
  <si>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</si>
  <si>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</si>
  <si>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</si>
  <si>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</si>
  <si>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</si>
  <si>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</si>
  <si>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</si>
  <si>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</si>
  <si>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</si>
  <si>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</si>
  <si>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</si>
  <si>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</si>
  <si>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</si>
  <si>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</si>
  <si>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</si>
  <si>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</si>
  <si>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</si>
  <si>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</si>
  <si>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</si>
  <si>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</si>
  <si>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</si>
  <si>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</si>
  <si>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</si>
  <si>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</si>
  <si>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</si>
  <si>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</si>
  <si>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</si>
  <si>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</si>
  <si>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</si>
  <si>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</si>
  <si>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</si>
  <si>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</si>
  <si>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</si>
  <si>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</si>
  <si>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</si>
  <si>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15 DIAS HABILES</t>
  </si>
  <si>
    <t>FRENTE CAJON</t>
  </si>
  <si>
    <t>BLANCO MERINO 22191 SF</t>
  </si>
  <si>
    <t>N° 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</si>
</sst>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8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45971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52433.096590909088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3</v>
      </c>
      <c r="C21" s="330" t="s">
        <v>173</v>
      </c>
      <c r="D21" s="333">
        <v>3</v>
      </c>
      <c r="E21" s="333">
        <v>0.6</v>
      </c>
      <c r="F21" s="330" t="s">
        <v>174</v>
      </c>
      <c r="G21" s="331">
        <v>112766</v>
      </c>
      <c r="H21" s="331">
        <f t="shared" ref="H21:H23" si="1">G21*B21</f>
        <v>338298</v>
      </c>
      <c r="I21" s="320"/>
      <c r="J21" s="265">
        <v>92285</v>
      </c>
      <c r="K21" s="47"/>
      <c r="L21" s="332">
        <v>3</v>
      </c>
      <c r="M21" s="39">
        <f t="shared" ref="M21" si="2">D21+M$19</f>
        <v>3.08</v>
      </c>
      <c r="N21" s="39">
        <f t="shared" ref="N21" si="3">E21+$N$19</f>
        <v>0.6</v>
      </c>
      <c r="O21" s="261">
        <f t="shared" ref="O21" si="4">M21*N21</f>
        <v>1.8479999999999999</v>
      </c>
      <c r="P21" s="259">
        <f t="shared" ref="P21" si="5">O21*L21</f>
        <v>5.5439999999999996</v>
      </c>
      <c r="Q21" s="252">
        <f t="shared" ref="Q21" si="6">Q$20*O21</f>
        <v>96896.362499999988</v>
      </c>
      <c r="R21" s="319">
        <f t="shared" ref="R21" si="7">Q21+R$20</f>
        <v>99896.362499999988</v>
      </c>
      <c r="S21" s="297">
        <f>L21*M21</f>
        <v>9.24</v>
      </c>
      <c r="T21" s="46"/>
      <c r="U21" s="9"/>
      <c r="X21" s="4"/>
    </row>
    <row r="22" spans="2:25" ht="17.399999999999999" x14ac:dyDescent="0.3">
      <c r="B22" s="330">
        <v>2</v>
      </c>
      <c r="C22" s="330" t="s">
        <v>173</v>
      </c>
      <c r="D22" s="333">
        <v>1.6</v>
      </c>
      <c r="E22" s="333">
        <v>0.6</v>
      </c>
      <c r="F22" s="330" t="s">
        <v>174</v>
      </c>
      <c r="G22" s="331">
        <v>61509</v>
      </c>
      <c r="H22" s="331">
        <f t="shared" si="1"/>
        <v>123018</v>
      </c>
      <c r="I22" s="320"/>
      <c r="J22" s="265"/>
      <c r="K22" s="47"/>
      <c r="L22" s="332">
        <f t="shared" ref="L22" si="8">B22</f>
        <v>2</v>
      </c>
      <c r="M22" s="39">
        <f t="shared" ref="M22" si="9">D22+M$19</f>
        <v>1.6800000000000002</v>
      </c>
      <c r="N22" s="39">
        <f t="shared" ref="N22" si="10">E22+$N$19</f>
        <v>0.6</v>
      </c>
      <c r="O22" s="261">
        <f t="shared" ref="O22" si="11">M22*N22</f>
        <v>1.008</v>
      </c>
      <c r="P22" s="259">
        <f t="shared" ref="P22" si="12">O22*L22</f>
        <v>2.016</v>
      </c>
      <c r="Q22" s="252">
        <f t="shared" ref="Q22" si="13">Q$20*O22</f>
        <v>52852.561363636363</v>
      </c>
      <c r="R22" s="319">
        <f t="shared" ref="R22" si="14">Q22+R$20</f>
        <v>55852.561363636363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3">
        <v>1.4</v>
      </c>
      <c r="E23" s="333">
        <v>0.6</v>
      </c>
      <c r="F23" s="330" t="s">
        <v>174</v>
      </c>
      <c r="G23" s="331">
        <v>54186</v>
      </c>
      <c r="H23" s="331">
        <f t="shared" si="1"/>
        <v>54186</v>
      </c>
      <c r="I23" s="320"/>
      <c r="J23" s="265"/>
      <c r="K23" s="47"/>
      <c r="L23" s="332">
        <f t="shared" ref="L23" si="15">B23</f>
        <v>1</v>
      </c>
      <c r="M23" s="39">
        <f t="shared" ref="M23" si="16">D23+M$19</f>
        <v>1.48</v>
      </c>
      <c r="N23" s="39">
        <f t="shared" ref="N23" si="17">E23+$N$19</f>
        <v>0.6</v>
      </c>
      <c r="O23" s="261">
        <f t="shared" ref="O23" si="18">M23*N23</f>
        <v>0.88800000000000001</v>
      </c>
      <c r="P23" s="259">
        <f t="shared" ref="P23" si="19">O23*L23</f>
        <v>0.88800000000000001</v>
      </c>
      <c r="Q23" s="252">
        <f t="shared" ref="Q23" si="20">Q$20*O23</f>
        <v>46560.589772727268</v>
      </c>
      <c r="R23" s="319">
        <f t="shared" ref="R23" si="21">Q23+R$20</f>
        <v>49560.589772727268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332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515502</v>
      </c>
      <c r="I26" s="322"/>
      <c r="J26" s="265">
        <v>442955</v>
      </c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97945.38</v>
      </c>
      <c r="I27" s="322"/>
      <c r="J27" s="265"/>
      <c r="K27" s="47"/>
      <c r="L27" s="47"/>
      <c r="M27" s="39">
        <f>SUM(M21:M26)</f>
        <v>6.24</v>
      </c>
      <c r="N27" s="12"/>
      <c r="O27" s="12"/>
      <c r="P27" s="253">
        <f>SUM(P21:P25)</f>
        <v>8.4480000000000004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613447.38</v>
      </c>
      <c r="I28" s="322"/>
      <c r="J28" s="265"/>
      <c r="K28" s="47"/>
      <c r="L28" s="47"/>
      <c r="M28" s="39"/>
      <c r="N28" s="12"/>
      <c r="O28" s="12"/>
      <c r="P28" s="253">
        <f>P27</f>
        <v>8.4480000000000004</v>
      </c>
      <c r="Q28" s="14"/>
      <c r="R28" s="12"/>
      <c r="S28" s="239">
        <f>SUM(S21:S27)</f>
        <v>9.24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1.6896000000000002</v>
      </c>
      <c r="Q29" s="39" t="s">
        <v>130</v>
      </c>
      <c r="R29" s="42"/>
      <c r="S29" s="240">
        <f>S28+T26</f>
        <v>9.24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10.137600000000001</v>
      </c>
      <c r="Q30" s="14"/>
      <c r="R30" s="14"/>
      <c r="S30" s="238">
        <f>S29*20%</f>
        <v>1.8480000000000001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11.088000000000001</v>
      </c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P30*2</f>
        <v>20.275200000000002</v>
      </c>
      <c r="N32" s="12">
        <v>2000</v>
      </c>
      <c r="O32" s="12">
        <f t="shared" ref="O32:O37" si="22">M32*N32</f>
        <v>40550.400000000001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/>
      <c r="N33" s="12">
        <v>40000</v>
      </c>
      <c r="O33" s="12">
        <f t="shared" si="22"/>
        <v>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>
        <v>1220</v>
      </c>
      <c r="L34" s="250"/>
      <c r="M34" s="14">
        <v>1.5</v>
      </c>
      <c r="N34" s="250">
        <v>23500</v>
      </c>
      <c r="O34" s="12">
        <f t="shared" si="22"/>
        <v>35250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143</v>
      </c>
      <c r="C35"/>
      <c r="D35"/>
      <c r="E35"/>
      <c r="F35"/>
      <c r="J35" s="262">
        <v>32859</v>
      </c>
      <c r="K35" s="232">
        <v>230</v>
      </c>
      <c r="L35" s="250"/>
      <c r="M35" s="14">
        <v>3</v>
      </c>
      <c r="N35" s="250">
        <v>32859</v>
      </c>
      <c r="O35" s="12">
        <f t="shared" si="22"/>
        <v>98577</v>
      </c>
      <c r="P35" s="14" t="s">
        <v>171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>
        <f>K34/K35</f>
        <v>5.3043478260869561</v>
      </c>
      <c r="L36" s="250"/>
      <c r="M36" s="249">
        <v>3</v>
      </c>
      <c r="N36" s="250">
        <v>15700</v>
      </c>
      <c r="O36" s="12">
        <f t="shared" si="22"/>
        <v>47100</v>
      </c>
      <c r="P36" s="14" t="s">
        <v>32</v>
      </c>
      <c r="Q36" s="14"/>
      <c r="R36" s="230">
        <v>1.83</v>
      </c>
      <c r="S36" s="238"/>
      <c r="T36" s="238"/>
    </row>
    <row r="37" spans="1:24" s="230" customFormat="1" ht="17.399999999999999" x14ac:dyDescent="0.35">
      <c r="J37" s="293"/>
      <c r="K37" s="260">
        <f>B22/K36</f>
        <v>0.37704918032786888</v>
      </c>
      <c r="L37" s="250"/>
      <c r="M37" s="266"/>
      <c r="N37" s="12">
        <v>500</v>
      </c>
      <c r="O37" s="12">
        <f t="shared" si="22"/>
        <v>0</v>
      </c>
      <c r="P37" s="14" t="s">
        <v>22</v>
      </c>
      <c r="Q37" s="14"/>
      <c r="R37">
        <v>2.5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221477.4</v>
      </c>
      <c r="P38" s="39" t="s">
        <v>23</v>
      </c>
      <c r="Q38" s="14"/>
      <c r="R38">
        <f>R36*R37</f>
        <v>4.5750000000000002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</f>
        <v>442954.8</v>
      </c>
      <c r="P39" s="14" t="s">
        <v>140</v>
      </c>
      <c r="Q39" s="14"/>
      <c r="R39" s="40">
        <f>P30/R38</f>
        <v>2.2158688524590167</v>
      </c>
      <c r="S39"/>
      <c r="T39" s="257"/>
    </row>
    <row r="40" spans="1:24" s="230" customFormat="1" ht="17.399999999999999" x14ac:dyDescent="0.35">
      <c r="G40"/>
      <c r="H40" s="260"/>
      <c r="I40" s="260"/>
      <c r="J40" s="260">
        <v>22475</v>
      </c>
      <c r="K40" s="230">
        <v>40000</v>
      </c>
      <c r="L40" s="250"/>
      <c r="M40" s="14"/>
      <c r="N40" s="12"/>
      <c r="O40" s="12">
        <f>O39/P28</f>
        <v>52433.096590909088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J41" s="230">
        <v>6</v>
      </c>
      <c r="K41" s="230">
        <f>K40/1.19</f>
        <v>33613.445378151264</v>
      </c>
      <c r="L41" s="250"/>
      <c r="M41" s="13"/>
      <c r="N41" s="14"/>
      <c r="O41" s="17">
        <f>O39/O38</f>
        <v>2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J42" s="260">
        <f>J40*J41</f>
        <v>134850</v>
      </c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45971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-56867.51503345411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515502</v>
      </c>
      <c r="E11" s="132">
        <f>D11*0.19</f>
        <v>97945.38</v>
      </c>
      <c r="F11" s="131">
        <f>E11+D11</f>
        <v>613447.38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49122.48496654589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105634.4907874396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31122.48496654589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409867.50921256037</v>
      </c>
      <c r="E13" s="221">
        <f>(D11/D12)-1</f>
        <v>3.8800538172452237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22122.48496654589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-16877.51503345411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174296.90979927534</v>
      </c>
      <c r="F15" s="216">
        <f>E15-D12</f>
        <v>68662.419011835736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-16877.51503345411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23122.48496654589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35250</v>
      </c>
      <c r="E18" s="123">
        <f>D18*0.19</f>
        <v>6697.5</v>
      </c>
      <c r="F18" s="120">
        <f>SUM(D18:E18)</f>
        <v>41947.5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40550.400000000001</v>
      </c>
      <c r="E20" s="121">
        <f>D20*0.19</f>
        <v>7704.576</v>
      </c>
      <c r="F20" s="120">
        <f>SUM(D20:E20)</f>
        <v>48254.976000000002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75800.399999999994</v>
      </c>
      <c r="E21" s="116">
        <f>SUM(E18:E20)</f>
        <v>14402.076000000001</v>
      </c>
      <c r="F21" s="115">
        <f>SUM(F18:F20)</f>
        <v>90202.475999999995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83543.304000000004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515502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75800.399999999994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409867.50921256037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409867.50921256037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2025-11-10T20:45:20Z</dcterms:modified>
</cp:coreProperties>
</file>