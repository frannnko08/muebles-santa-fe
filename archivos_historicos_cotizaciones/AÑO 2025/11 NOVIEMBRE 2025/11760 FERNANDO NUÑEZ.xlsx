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8F98FF3E-1730-4EB3-80DE-7C45EE1DB2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M21" i="1"/>
  <c r="M25" i="1" l="1"/>
  <c r="L21" i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9" i="1" l="1"/>
  <c r="Q21" i="1" l="1"/>
  <c r="F15" i="3"/>
  <c r="R21" i="1" l="1"/>
  <c r="H21" i="1" l="1"/>
  <c r="H24" i="1" l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<sst xmlns="http://schemas.openxmlformats.org/spreadsheetml/2006/main" count="231" uniqueCount="176">
  <si>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</si>
  <si>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</si>
  <si>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</si>
  <si>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</si>
  <si>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</si>
  <si>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</si>
  <si>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</si>
  <si>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</si>
  <si>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</si>
  <si>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</si>
  <si>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</si>
  <si>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</si>
  <si>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</si>
  <si>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</si>
  <si>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</si>
  <si>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</si>
  <si>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</si>
  <si>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</si>
  <si>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</si>
  <si>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</si>
  <si>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</si>
  <si>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</si>
  <si>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</si>
  <si>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</si>
  <si>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</si>
  <si>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</si>
  <si>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</si>
  <si>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</si>
  <si>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</si>
  <si>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</si>
  <si>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</si>
  <si>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</si>
  <si>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</si>
  <si>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</si>
  <si>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</si>
  <si>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</si>
  <si>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</si>
  <si>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</si>
  <si>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</si>
  <si>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</si>
  <si>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</si>
  <si>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</si>
  <si>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</si>
  <si>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</si>
  <si>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</si>
  <si>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</si>
  <si>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</si>
  <si>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</si>
  <si>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</si>
  <si>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</si>
  <si>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</si>
  <si>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</si>
  <si>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</si>
  <si>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</si>
  <si>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</si>
  <si>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</si>
  <si>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</si>
  <si>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</si>
  <si>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</si>
  <si>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</si>
  <si>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</si>
  <si>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</si>
  <si>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</si>
  <si>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</si>
  <si>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</si>
  <si>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</si>
  <si>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</si>
  <si>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</si>
  <si>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</si>
  <si>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</si>
  <si>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</si>
  <si>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</si>
  <si>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</si>
  <si>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</si>
  <si>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</si>
  <si>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</si>
  <si>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</si>
  <si>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</si>
  <si>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</si>
  <si>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</si>
  <si>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</si>
  <si>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</si>
  <si>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</si>
  <si>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</si>
  <si>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</si>
  <si>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</si>
  <si>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</si>
  <si>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</si>
  <si>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</si>
  <si>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</si>
  <si>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</si>
  <si>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</si>
  <si>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</si>
  <si>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</si>
  <si>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</si>
  <si>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</si>
  <si>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</si>
  <si>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</si>
  <si>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</si>
  <si>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</si>
  <si>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</si>
  <si>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</si>
  <si>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</si>
  <si>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</si>
  <si>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</si>
  <si>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</si>
  <si>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</si>
  <si>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</si>
  <si>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</si>
  <si>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</si>
  <si>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</si>
  <si>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</si>
  <si>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</si>
  <si>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</si>
  <si>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</si>
  <si>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</si>
  <si>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</si>
  <si>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</si>
  <si>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</si>
  <si>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</si>
  <si>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</si>
  <si>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</si>
  <si>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</si>
  <si>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</si>
  <si>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</si>
  <si>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</si>
  <si>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</si>
  <si>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</si>
  <si>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</si>
  <si>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</si>
  <si>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</si>
  <si>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</si>
  <si>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</si>
  <si>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</si>
  <si>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</si>
  <si>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</si>
  <si>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</si>
  <si>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</si>
  <si>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</si>
  <si>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</si>
  <si>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</si>
  <si>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</si>
  <si>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</si>
  <si>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</si>
  <si>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</si>
  <si>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</si>
  <si>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</si>
  <si>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</si>
  <si>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</si>
  <si>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</si>
  <si>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</si>
  <si>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</si>
  <si>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</si>
  <si>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</si>
  <si>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</si>
  <si>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</si>
  <si>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</si>
  <si>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</si>
  <si>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</si>
  <si>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</si>
  <si>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</si>
  <si>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</si>
  <si>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</si>
  <si>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</si>
  <si>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</si>
  <si>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</si>
  <si>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</si>
  <si>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</si>
  <si>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</si>
  <si>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</si>
  <si>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CUBIERTA CON RESPALDO FRENTE 90°</t>
  </si>
  <si>
    <t>N° 11760</t>
  </si>
  <si>
    <t>FERNANDO NUÑEZ</t>
  </si>
  <si>
    <t>+569 9716 8657</t>
  </si>
  <si>
    <t>NEO LUNA</t>
  </si>
  <si>
    <t>2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</si>
</sst>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 baseline="0"/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5" zoomScale="93" zoomScaleNormal="93" workbookViewId="0">
      <selection activeCell="C15" sqref="C15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171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172</v>
      </c>
      <c r="D10" s="239"/>
      <c r="E10" s="239"/>
      <c r="F10" s="240" t="s">
        <v>166</v>
      </c>
      <c r="G10" s="271">
        <v>45979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175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173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5" t="s">
        <v>162</v>
      </c>
      <c r="G17" s="335"/>
      <c r="H17" s="336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O38</f>
        <v>72543.557692307688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2">
        <v>1</v>
      </c>
      <c r="C21" s="333" t="s">
        <v>170</v>
      </c>
      <c r="D21" s="323">
        <v>2</v>
      </c>
      <c r="E21" s="323">
        <v>0.6</v>
      </c>
      <c r="F21" s="322" t="s">
        <v>174</v>
      </c>
      <c r="G21" s="324">
        <v>90000</v>
      </c>
      <c r="H21" s="324">
        <f>G21*B21</f>
        <v>90000</v>
      </c>
      <c r="I21" s="297"/>
      <c r="J21" s="260"/>
      <c r="K21" s="44"/>
      <c r="L21" s="44">
        <f>B21</f>
        <v>1</v>
      </c>
      <c r="M21" s="36">
        <f>D21+M$19</f>
        <v>2.08</v>
      </c>
      <c r="N21" s="36">
        <f>E21+$N$19</f>
        <v>0.6</v>
      </c>
      <c r="O21" s="256">
        <f t="shared" ref="O21" si="1">M21*N21</f>
        <v>1.248</v>
      </c>
      <c r="P21" s="254">
        <f t="shared" ref="P21" si="2">O21*L21</f>
        <v>1.248</v>
      </c>
      <c r="Q21" s="247">
        <f t="shared" ref="Q21" si="3">Q$20*O21</f>
        <v>90534.36</v>
      </c>
      <c r="R21" s="296">
        <f t="shared" ref="R21" si="4">Q21+R$20</f>
        <v>93534.36</v>
      </c>
      <c r="S21" s="284">
        <f>M21*L21</f>
        <v>2.08</v>
      </c>
      <c r="T21" s="43">
        <f>N21*2*L21*2</f>
        <v>2.4</v>
      </c>
      <c r="U21" s="9"/>
      <c r="X21" s="4"/>
    </row>
    <row r="22" spans="1:25" ht="17.399999999999999" x14ac:dyDescent="0.3">
      <c r="B22" s="278"/>
      <c r="C22" s="334"/>
      <c r="D22" s="279"/>
      <c r="E22" s="279"/>
      <c r="F22" s="278"/>
      <c r="G22" s="297"/>
      <c r="H22" s="297"/>
      <c r="I22" s="297"/>
      <c r="J22" s="260"/>
      <c r="K22" s="44"/>
      <c r="L22" s="44"/>
      <c r="M22" s="36"/>
      <c r="N22" s="36"/>
      <c r="O22" s="256"/>
      <c r="P22" s="254"/>
      <c r="Q22" s="247"/>
      <c r="R22" s="296"/>
      <c r="S22" s="284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298"/>
      <c r="I23" s="300"/>
      <c r="J23" s="229"/>
      <c r="K23" s="44"/>
      <c r="L23" s="44"/>
      <c r="M23" s="36"/>
      <c r="N23" s="36"/>
      <c r="O23" s="256"/>
      <c r="P23" s="254"/>
      <c r="Q23" s="247"/>
      <c r="R23" s="253"/>
      <c r="S23" s="284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1" t="s">
        <v>28</v>
      </c>
      <c r="H24" s="325">
        <f>SUM(H21:H23)</f>
        <v>90000</v>
      </c>
      <c r="I24" s="299"/>
      <c r="J24" s="260"/>
      <c r="K24" s="315"/>
      <c r="L24" s="44"/>
      <c r="M24" s="36"/>
      <c r="N24" s="36"/>
      <c r="O24" s="256"/>
      <c r="P24" s="254"/>
      <c r="Q24" s="247"/>
      <c r="R24" s="253"/>
      <c r="S24" s="284"/>
      <c r="T24" s="43">
        <f>SUM(T21:T23)</f>
        <v>2.4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3" t="s">
        <v>51</v>
      </c>
      <c r="H25" s="326"/>
      <c r="I25" s="299"/>
      <c r="J25" s="260"/>
      <c r="K25" s="315"/>
      <c r="L25" s="44"/>
      <c r="M25" s="36">
        <f>SUM(M21:M21)</f>
        <v>2.08</v>
      </c>
      <c r="N25" s="12"/>
      <c r="O25" s="12"/>
      <c r="P25" s="248">
        <f>SUM(P21:P23)</f>
        <v>1.248</v>
      </c>
      <c r="Q25" s="14"/>
      <c r="R25" s="12"/>
      <c r="S25" s="235">
        <f>SUM(S21:S24)</f>
        <v>2.08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327">
        <f>H24+H25</f>
        <v>90000</v>
      </c>
      <c r="I26" s="299"/>
      <c r="J26" s="260"/>
      <c r="K26" s="315"/>
      <c r="L26" s="44"/>
      <c r="M26" s="36"/>
      <c r="N26" s="12"/>
      <c r="O26" s="12"/>
      <c r="P26" s="248">
        <f>P25</f>
        <v>1.248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5"/>
      <c r="L27" s="44"/>
      <c r="M27" s="14"/>
      <c r="N27" s="12"/>
      <c r="O27" s="12"/>
      <c r="P27" s="36">
        <f>P26*20%</f>
        <v>0.24960000000000002</v>
      </c>
      <c r="Q27" s="36" t="s">
        <v>129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260"/>
      <c r="K28" s="44"/>
      <c r="L28" s="44"/>
      <c r="M28" s="14"/>
      <c r="N28" s="12"/>
      <c r="O28" s="12"/>
      <c r="P28" s="43">
        <f>P26+P27</f>
        <v>1.4976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88" t="s">
        <v>21</v>
      </c>
      <c r="V29" s="285" t="s">
        <v>149</v>
      </c>
      <c r="W29" s="289">
        <v>44971</v>
      </c>
      <c r="X29" s="290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</f>
        <v>1.4976</v>
      </c>
      <c r="N30" s="12">
        <v>3500</v>
      </c>
      <c r="O30" s="12">
        <f t="shared" ref="O30:O35" si="5">M30*N30</f>
        <v>5241.6000000000004</v>
      </c>
      <c r="P30" s="14" t="s">
        <v>21</v>
      </c>
      <c r="Q30" s="14"/>
      <c r="R30" s="14"/>
      <c r="S30" s="237"/>
      <c r="T30" s="14"/>
      <c r="U30" s="288" t="s">
        <v>150</v>
      </c>
      <c r="V30" s="285">
        <v>3625</v>
      </c>
      <c r="W30" s="56" t="s">
        <v>151</v>
      </c>
      <c r="X30" s="290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0.5</v>
      </c>
      <c r="N31" s="12">
        <v>23500</v>
      </c>
      <c r="O31" s="12">
        <f t="shared" si="5"/>
        <v>11750</v>
      </c>
      <c r="P31" s="36" t="s">
        <v>168</v>
      </c>
      <c r="Q31" s="39"/>
      <c r="R31" s="14"/>
      <c r="S31" s="236"/>
      <c r="T31" s="14"/>
      <c r="U31" s="288"/>
      <c r="V31" s="56">
        <v>906.25</v>
      </c>
      <c r="W31" s="56" t="s">
        <v>152</v>
      </c>
      <c r="X31" s="290"/>
    </row>
    <row r="32" spans="1:25" s="226" customFormat="1" ht="17.399999999999999" x14ac:dyDescent="0.35">
      <c r="B32" s="21" t="s">
        <v>148</v>
      </c>
      <c r="J32" s="257"/>
      <c r="K32" s="228"/>
      <c r="L32" s="245"/>
      <c r="M32" s="14"/>
      <c r="N32" s="245">
        <v>80000</v>
      </c>
      <c r="O32" s="12">
        <f t="shared" si="5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0" t="s">
        <v>153</v>
      </c>
      <c r="X32" s="56"/>
    </row>
    <row r="33" spans="2:24" s="226" customFormat="1" ht="17.399999999999999" x14ac:dyDescent="0.35">
      <c r="B33" s="21" t="s">
        <v>163</v>
      </c>
      <c r="C33"/>
      <c r="D33"/>
      <c r="E33"/>
      <c r="F33"/>
      <c r="J33" s="257">
        <v>46000</v>
      </c>
      <c r="K33" s="228"/>
      <c r="L33" s="245"/>
      <c r="M33" s="14">
        <v>1</v>
      </c>
      <c r="N33" s="245">
        <v>23000</v>
      </c>
      <c r="O33" s="12">
        <f t="shared" si="5"/>
        <v>23000</v>
      </c>
      <c r="P33" s="14" t="s">
        <v>139</v>
      </c>
      <c r="Q33" s="17"/>
      <c r="S33" s="234"/>
      <c r="T33" s="251"/>
      <c r="U33" s="56"/>
      <c r="V33" s="56">
        <f>V31+V32</f>
        <v>1087.5</v>
      </c>
      <c r="W33" s="290" t="s">
        <v>154</v>
      </c>
      <c r="X33" s="56"/>
    </row>
    <row r="34" spans="2:24" s="226" customFormat="1" ht="17.399999999999999" x14ac:dyDescent="0.35">
      <c r="B34" s="26" t="s">
        <v>124</v>
      </c>
      <c r="C34"/>
      <c r="D34"/>
      <c r="E34"/>
      <c r="F34" s="225" t="s">
        <v>15</v>
      </c>
      <c r="J34" s="257">
        <f>J33/1.19</f>
        <v>38655.462184873948</v>
      </c>
      <c r="K34" s="255"/>
      <c r="L34" s="245"/>
      <c r="M34" s="244"/>
      <c r="N34" s="245">
        <v>900</v>
      </c>
      <c r="O34" s="12">
        <f t="shared" si="5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>
        <v>2.08</v>
      </c>
      <c r="N35" s="12">
        <v>1500</v>
      </c>
      <c r="O35" s="12">
        <f t="shared" si="5"/>
        <v>3120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43111.6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 t="s">
        <v>33</v>
      </c>
      <c r="N37" s="12"/>
      <c r="O37" s="250">
        <f>O36*2.1</f>
        <v>90534.36</v>
      </c>
      <c r="P37" s="14" t="s">
        <v>138</v>
      </c>
      <c r="Q37" s="14"/>
      <c r="R37" s="37">
        <f>P28/R36</f>
        <v>0.40379637618636754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72543.557692307688</v>
      </c>
      <c r="P38" s="42" t="s">
        <v>24</v>
      </c>
      <c r="Q38" s="14"/>
      <c r="R38" s="14"/>
      <c r="S38"/>
      <c r="T38" s="234"/>
      <c r="U38" s="56" t="s">
        <v>155</v>
      </c>
      <c r="V38" s="285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2.1</v>
      </c>
      <c r="P39" s="15"/>
      <c r="Q39"/>
      <c r="R39"/>
      <c r="S39"/>
      <c r="T39" s="234"/>
      <c r="U39" s="56" t="s">
        <v>157</v>
      </c>
      <c r="V39" s="286" t="s">
        <v>156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16"/>
      <c r="H40" s="320"/>
      <c r="L40" s="12"/>
      <c r="T40" s="234"/>
      <c r="U40" s="56" t="s">
        <v>158</v>
      </c>
      <c r="V40" s="287">
        <v>395.37</v>
      </c>
    </row>
    <row r="41" spans="2:24" s="226" customFormat="1" ht="17.399999999999999" x14ac:dyDescent="0.35">
      <c r="B41"/>
      <c r="C41" s="321"/>
      <c r="D41" s="279"/>
      <c r="E41" s="279"/>
      <c r="F41" s="278"/>
      <c r="G41" s="316"/>
      <c r="H41" s="320"/>
      <c r="L41" s="12"/>
      <c r="T41" s="234"/>
      <c r="U41" s="56" t="s">
        <v>153</v>
      </c>
      <c r="V41" s="56">
        <v>474.45</v>
      </c>
    </row>
    <row r="42" spans="2:24" ht="14.4" customHeight="1" x14ac:dyDescent="0.35">
      <c r="D42" s="279"/>
      <c r="E42" s="279"/>
      <c r="F42" s="278"/>
      <c r="G42" s="316"/>
      <c r="H42" s="320"/>
      <c r="L42" s="12"/>
      <c r="U42" s="56"/>
      <c r="V42" s="56"/>
    </row>
    <row r="43" spans="2:24" ht="17.399999999999999" x14ac:dyDescent="0.35">
      <c r="D43" s="279"/>
      <c r="E43" s="279"/>
      <c r="F43" s="278"/>
      <c r="G43" s="316"/>
      <c r="H43" s="320"/>
      <c r="L43" s="245"/>
    </row>
    <row r="44" spans="2:24" ht="17.399999999999999" x14ac:dyDescent="0.35">
      <c r="D44" s="279"/>
      <c r="E44" s="279"/>
      <c r="F44" s="278"/>
      <c r="G44" s="316"/>
      <c r="H44" s="320"/>
      <c r="L44" s="245"/>
      <c r="T44" s="265"/>
    </row>
    <row r="45" spans="2:24" ht="17.399999999999999" x14ac:dyDescent="0.35">
      <c r="D45" s="279"/>
      <c r="E45" s="279"/>
      <c r="F45" s="278"/>
      <c r="G45" s="316"/>
      <c r="H45" s="320"/>
      <c r="L45" s="245"/>
    </row>
    <row r="46" spans="2:24" ht="15" customHeight="1" x14ac:dyDescent="0.35">
      <c r="D46" s="279"/>
      <c r="E46" s="279"/>
      <c r="F46" s="278"/>
      <c r="G46" s="316"/>
      <c r="H46" s="320"/>
    </row>
    <row r="47" spans="2:24" ht="17.399999999999999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16"/>
      <c r="H49" s="320"/>
    </row>
    <row r="50" spans="4:20" ht="17.399999999999999" x14ac:dyDescent="0.35">
      <c r="D50" s="279"/>
      <c r="E50" s="279"/>
      <c r="F50" s="278"/>
      <c r="G50" s="316"/>
      <c r="H50" s="320"/>
      <c r="O50" s="51"/>
      <c r="P50" s="51"/>
    </row>
    <row r="51" spans="4:20" ht="17.399999999999999" x14ac:dyDescent="0.35">
      <c r="D51" s="279"/>
      <c r="E51" s="279"/>
      <c r="F51" s="278"/>
      <c r="G51" s="316"/>
      <c r="H51" s="320"/>
      <c r="S51" s="18"/>
      <c r="T51" s="18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3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45979</v>
      </c>
    </row>
    <row r="6" spans="1:31" ht="16.2" thickBot="1" x14ac:dyDescent="0.35">
      <c r="B6" s="137" t="s">
        <v>2</v>
      </c>
      <c r="C6" s="136" t="str">
        <f>'2229'!C10</f>
        <v>FERNANDO NUÑEZ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1" t="s">
        <v>98</v>
      </c>
      <c r="I7" s="342"/>
      <c r="J7" s="342"/>
      <c r="K7" s="343"/>
      <c r="N7" s="72"/>
      <c r="O7" s="340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11760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0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-5141.1972599033807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90000</v>
      </c>
      <c r="E11" s="129">
        <f>D11*0.19</f>
        <v>17100</v>
      </c>
      <c r="F11" s="128">
        <f>E11+D11</f>
        <v>107100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100848.80274009662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36970.510275362321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82848.802740096624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53029.489724637679</v>
      </c>
      <c r="E13" s="218">
        <f>(D11/D12)-1</f>
        <v>1.4343726751312191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73848.802740096624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34848.802740096617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70391.851564289856</v>
      </c>
      <c r="C15" s="210" t="s">
        <v>121</v>
      </c>
      <c r="D15" s="211">
        <v>0.6</v>
      </c>
      <c r="E15" s="212">
        <f>(100%+D15)*D12</f>
        <v>59152.816440579714</v>
      </c>
      <c r="F15" s="213">
        <f>E15-D12</f>
        <v>22182.306165217393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34848.802740096617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74848.802740096624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11750</v>
      </c>
      <c r="E19" s="120">
        <f>D19*0.19</f>
        <v>2232.5</v>
      </c>
      <c r="F19" s="117">
        <f>SUM(D19:E19)</f>
        <v>13982.5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5241.6000000000004</v>
      </c>
      <c r="E20" s="118">
        <f>D20*0.19</f>
        <v>995.90400000000011</v>
      </c>
      <c r="F20" s="117">
        <f>SUM(D20:E20)</f>
        <v>6237.5040000000008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16991.599999999999</v>
      </c>
      <c r="E21" s="113">
        <f>SUM(E18:E20)</f>
        <v>3228.404</v>
      </c>
      <c r="F21" s="112">
        <f>SUM(F18:F20)</f>
        <v>20220.004000000001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13871.596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90000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16991.599999999999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53029.489724637679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53029.489724637679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2025-11-18T14:58:48Z</cp:lastPrinted>
  <dcterms:created xsi:type="dcterms:W3CDTF">2013-03-18T13:35:42Z</dcterms:created>
  <dcterms:modified xsi:type="dcterms:W3CDTF">2025-11-18T15:08:45Z</dcterms:modified>
</cp:coreProperties>
</file>