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1 NOVIEMBRE 2025\"/>
    </mc:Choice>
  </mc:AlternateContent>
  <xr:revisionPtr revIDLastSave="0" documentId="13_ncr:1_{6726A52C-20CE-4F19-9B5D-2226C3F902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1" l="1"/>
  <c r="M22" i="1"/>
  <c r="N22" i="1"/>
  <c r="T22" i="1" s="1"/>
  <c r="O22" i="1"/>
  <c r="P22" i="1" s="1"/>
  <c r="S22" i="1"/>
  <c r="L23" i="1"/>
  <c r="M23" i="1"/>
  <c r="O23" i="1" s="1"/>
  <c r="P23" i="1" s="1"/>
  <c r="N23" i="1"/>
  <c r="T23" i="1" s="1"/>
  <c r="L24" i="1"/>
  <c r="M24" i="1"/>
  <c r="O24" i="1" s="1"/>
  <c r="P24" i="1" s="1"/>
  <c r="N24" i="1"/>
  <c r="T24" i="1"/>
  <c r="L25" i="1"/>
  <c r="S25" i="1" s="1"/>
  <c r="M25" i="1"/>
  <c r="N25" i="1"/>
  <c r="O25" i="1"/>
  <c r="P25" i="1"/>
  <c r="T25" i="1"/>
  <c r="L26" i="1"/>
  <c r="M26" i="1"/>
  <c r="N26" i="1"/>
  <c r="T26" i="1" s="1"/>
  <c r="O26" i="1"/>
  <c r="P26" i="1" s="1"/>
  <c r="S26" i="1"/>
  <c r="L27" i="1"/>
  <c r="M27" i="1"/>
  <c r="O27" i="1" s="1"/>
  <c r="P27" i="1" s="1"/>
  <c r="N27" i="1"/>
  <c r="T27" i="1" s="1"/>
  <c r="L28" i="1"/>
  <c r="M28" i="1"/>
  <c r="O28" i="1" s="1"/>
  <c r="P28" i="1" s="1"/>
  <c r="N28" i="1"/>
  <c r="T28" i="1"/>
  <c r="L29" i="1"/>
  <c r="S29" i="1" s="1"/>
  <c r="M29" i="1"/>
  <c r="N29" i="1"/>
  <c r="O29" i="1"/>
  <c r="P29" i="1"/>
  <c r="T29" i="1"/>
  <c r="L30" i="1"/>
  <c r="M30" i="1"/>
  <c r="N30" i="1"/>
  <c r="T30" i="1" s="1"/>
  <c r="O30" i="1"/>
  <c r="P30" i="1" s="1"/>
  <c r="S30" i="1"/>
  <c r="L31" i="1"/>
  <c r="M31" i="1"/>
  <c r="O31" i="1" s="1"/>
  <c r="P31" i="1" s="1"/>
  <c r="N31" i="1"/>
  <c r="T31" i="1" s="1"/>
  <c r="L32" i="1"/>
  <c r="M32" i="1"/>
  <c r="O32" i="1" s="1"/>
  <c r="P32" i="1" s="1"/>
  <c r="N32" i="1"/>
  <c r="T32" i="1"/>
  <c r="L33" i="1"/>
  <c r="S33" i="1" s="1"/>
  <c r="M33" i="1"/>
  <c r="N33" i="1"/>
  <c r="O33" i="1"/>
  <c r="P33" i="1"/>
  <c r="T33" i="1"/>
  <c r="L34" i="1"/>
  <c r="M34" i="1"/>
  <c r="N34" i="1"/>
  <c r="T34" i="1" s="1"/>
  <c r="O34" i="1"/>
  <c r="P34" i="1" s="1"/>
  <c r="S34" i="1"/>
  <c r="L35" i="1"/>
  <c r="M35" i="1"/>
  <c r="O35" i="1" s="1"/>
  <c r="P35" i="1" s="1"/>
  <c r="N35" i="1"/>
  <c r="T35" i="1" s="1"/>
  <c r="L36" i="1"/>
  <c r="M36" i="1"/>
  <c r="O36" i="1" s="1"/>
  <c r="P36" i="1" s="1"/>
  <c r="N36" i="1"/>
  <c r="T36" i="1"/>
  <c r="L37" i="1"/>
  <c r="S37" i="1" s="1"/>
  <c r="M37" i="1"/>
  <c r="N37" i="1"/>
  <c r="O37" i="1"/>
  <c r="P37" i="1"/>
  <c r="T37" i="1"/>
  <c r="L38" i="1"/>
  <c r="M38" i="1"/>
  <c r="N38" i="1"/>
  <c r="T38" i="1" s="1"/>
  <c r="O38" i="1"/>
  <c r="P38" i="1" s="1"/>
  <c r="S38" i="1"/>
  <c r="L39" i="1"/>
  <c r="M39" i="1"/>
  <c r="O39" i="1" s="1"/>
  <c r="P39" i="1" s="1"/>
  <c r="N39" i="1"/>
  <c r="T39" i="1" s="1"/>
  <c r="L40" i="1"/>
  <c r="M40" i="1"/>
  <c r="O40" i="1" s="1"/>
  <c r="P40" i="1" s="1"/>
  <c r="N40" i="1"/>
  <c r="T40" i="1"/>
  <c r="L41" i="1"/>
  <c r="S41" i="1" s="1"/>
  <c r="M41" i="1"/>
  <c r="N41" i="1"/>
  <c r="O41" i="1"/>
  <c r="P41" i="1"/>
  <c r="T41" i="1"/>
  <c r="L42" i="1"/>
  <c r="M42" i="1"/>
  <c r="N42" i="1"/>
  <c r="T42" i="1" s="1"/>
  <c r="O42" i="1"/>
  <c r="P42" i="1" s="1"/>
  <c r="S42" i="1"/>
  <c r="L43" i="1"/>
  <c r="M43" i="1"/>
  <c r="O43" i="1" s="1"/>
  <c r="P43" i="1" s="1"/>
  <c r="N43" i="1"/>
  <c r="T43" i="1" s="1"/>
  <c r="L44" i="1"/>
  <c r="M44" i="1"/>
  <c r="O44" i="1" s="1"/>
  <c r="P44" i="1" s="1"/>
  <c r="N44" i="1"/>
  <c r="T44" i="1"/>
  <c r="L45" i="1"/>
  <c r="S45" i="1" s="1"/>
  <c r="M45" i="1"/>
  <c r="N45" i="1"/>
  <c r="O45" i="1"/>
  <c r="P45" i="1"/>
  <c r="T45" i="1"/>
  <c r="S44" i="1" l="1"/>
  <c r="S40" i="1"/>
  <c r="S36" i="1"/>
  <c r="S32" i="1"/>
  <c r="S28" i="1"/>
  <c r="S24" i="1"/>
  <c r="S43" i="1"/>
  <c r="S39" i="1"/>
  <c r="S35" i="1"/>
  <c r="S31" i="1"/>
  <c r="S27" i="1"/>
  <c r="S23" i="1"/>
  <c r="J57" i="1"/>
  <c r="M21" i="1"/>
  <c r="M48" i="1" l="1"/>
  <c r="L21" i="1"/>
  <c r="N21" i="1"/>
  <c r="S21" i="1" l="1"/>
  <c r="S48" i="1" s="1"/>
  <c r="T21" i="1"/>
  <c r="T47" i="1" s="1"/>
  <c r="O21" i="1"/>
  <c r="P21" i="1" s="1"/>
  <c r="P48" i="1" s="1"/>
  <c r="V55" i="1" l="1"/>
  <c r="V56" i="1" s="1"/>
  <c r="O54" i="1" l="1"/>
  <c r="P49" i="1" l="1"/>
  <c r="N20" i="1"/>
  <c r="L20" i="1"/>
  <c r="P50" i="1" l="1"/>
  <c r="P51" i="1" s="1"/>
  <c r="M53" i="1" s="1"/>
  <c r="O55" i="1"/>
  <c r="R59" i="1"/>
  <c r="R60" i="1" l="1"/>
  <c r="O56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58" i="1"/>
  <c r="O57" i="1"/>
  <c r="F18" i="3" l="1"/>
  <c r="O53" i="1" l="1"/>
  <c r="O59" i="1" s="1"/>
  <c r="O60" i="1" s="1"/>
  <c r="O61" i="1" l="1"/>
  <c r="D20" i="3"/>
  <c r="E20" i="3" s="1"/>
  <c r="E21" i="3" s="1"/>
  <c r="Q20" i="1" l="1"/>
  <c r="D21" i="3"/>
  <c r="M43" i="3" s="1"/>
  <c r="D12" i="3" s="1"/>
  <c r="E15" i="3" s="1"/>
  <c r="A15" i="3" s="1"/>
  <c r="F20" i="3"/>
  <c r="F21" i="3" s="1"/>
  <c r="Q25" i="1" l="1"/>
  <c r="R25" i="1" s="1"/>
  <c r="G25" i="1" s="1"/>
  <c r="H25" i="1" s="1"/>
  <c r="Q29" i="1"/>
  <c r="R29" i="1" s="1"/>
  <c r="G29" i="1" s="1"/>
  <c r="H29" i="1" s="1"/>
  <c r="Q33" i="1"/>
  <c r="R33" i="1" s="1"/>
  <c r="G33" i="1" s="1"/>
  <c r="H33" i="1" s="1"/>
  <c r="Q37" i="1"/>
  <c r="R37" i="1" s="1"/>
  <c r="G37" i="1" s="1"/>
  <c r="H37" i="1" s="1"/>
  <c r="Q41" i="1"/>
  <c r="R41" i="1" s="1"/>
  <c r="G41" i="1" s="1"/>
  <c r="H41" i="1" s="1"/>
  <c r="Q45" i="1"/>
  <c r="R45" i="1" s="1"/>
  <c r="G45" i="1" s="1"/>
  <c r="H45" i="1" s="1"/>
  <c r="Q23" i="1"/>
  <c r="R23" i="1" s="1"/>
  <c r="G23" i="1" s="1"/>
  <c r="H23" i="1" s="1"/>
  <c r="Q27" i="1"/>
  <c r="R27" i="1" s="1"/>
  <c r="G27" i="1" s="1"/>
  <c r="H27" i="1" s="1"/>
  <c r="Q35" i="1"/>
  <c r="R35" i="1" s="1"/>
  <c r="G35" i="1" s="1"/>
  <c r="H35" i="1" s="1"/>
  <c r="Q39" i="1"/>
  <c r="R39" i="1" s="1"/>
  <c r="G39" i="1" s="1"/>
  <c r="H39" i="1" s="1"/>
  <c r="Q43" i="1"/>
  <c r="R43" i="1" s="1"/>
  <c r="G43" i="1" s="1"/>
  <c r="H43" i="1" s="1"/>
  <c r="Q24" i="1"/>
  <c r="R24" i="1" s="1"/>
  <c r="G24" i="1" s="1"/>
  <c r="H24" i="1" s="1"/>
  <c r="Q28" i="1"/>
  <c r="R28" i="1" s="1"/>
  <c r="G28" i="1" s="1"/>
  <c r="H28" i="1" s="1"/>
  <c r="Q44" i="1"/>
  <c r="R44" i="1" s="1"/>
  <c r="G44" i="1" s="1"/>
  <c r="H44" i="1" s="1"/>
  <c r="Q22" i="1"/>
  <c r="R22" i="1" s="1"/>
  <c r="G22" i="1" s="1"/>
  <c r="H22" i="1" s="1"/>
  <c r="Q26" i="1"/>
  <c r="R26" i="1" s="1"/>
  <c r="G26" i="1" s="1"/>
  <c r="H26" i="1" s="1"/>
  <c r="Q30" i="1"/>
  <c r="R30" i="1" s="1"/>
  <c r="G30" i="1" s="1"/>
  <c r="H30" i="1" s="1"/>
  <c r="Q34" i="1"/>
  <c r="R34" i="1" s="1"/>
  <c r="G34" i="1" s="1"/>
  <c r="H34" i="1" s="1"/>
  <c r="Q38" i="1"/>
  <c r="R38" i="1" s="1"/>
  <c r="G38" i="1" s="1"/>
  <c r="H38" i="1" s="1"/>
  <c r="Q42" i="1"/>
  <c r="R42" i="1" s="1"/>
  <c r="G42" i="1" s="1"/>
  <c r="H42" i="1" s="1"/>
  <c r="Q31" i="1"/>
  <c r="R31" i="1" s="1"/>
  <c r="G31" i="1" s="1"/>
  <c r="H31" i="1" s="1"/>
  <c r="Q32" i="1"/>
  <c r="R32" i="1" s="1"/>
  <c r="G32" i="1" s="1"/>
  <c r="H32" i="1" s="1"/>
  <c r="Q36" i="1"/>
  <c r="R36" i="1" s="1"/>
  <c r="G36" i="1" s="1"/>
  <c r="H36" i="1" s="1"/>
  <c r="Q40" i="1"/>
  <c r="R40" i="1" s="1"/>
  <c r="G40" i="1" s="1"/>
  <c r="H40" i="1" s="1"/>
  <c r="O62" i="1"/>
  <c r="Q21" i="1" l="1"/>
  <c r="F15" i="3"/>
  <c r="R21" i="1" l="1"/>
  <c r="G21" i="1" s="1"/>
  <c r="H21" i="1" l="1"/>
  <c r="H47" i="1" l="1"/>
  <c r="H48" i="1" s="1"/>
  <c r="H49" i="1" s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<sst xmlns="http://schemas.openxmlformats.org/spreadsheetml/2006/main" count="279" uniqueCount="176">
  <si>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</si>
  <si>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</si>
  <si>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</si>
  <si>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</si>
  <si>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</si>
  <si>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</si>
  <si>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</si>
  <si>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</si>
  <si>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</si>
  <si>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</si>
  <si>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</si>
  <si>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</si>
  <si>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</si>
  <si>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</si>
  <si>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</si>
  <si>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</si>
  <si>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</si>
  <si>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</si>
  <si>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</si>
  <si>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</si>
  <si>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</si>
  <si>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</si>
  <si>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</si>
  <si>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</si>
  <si>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</si>
  <si>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</si>
  <si>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</si>
  <si>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</si>
  <si>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</si>
  <si>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</si>
  <si>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</si>
  <si>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</si>
  <si>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</si>
  <si>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</si>
  <si>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</si>
  <si>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</si>
  <si>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</si>
  <si>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</si>
  <si>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</si>
  <si>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</si>
  <si>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</si>
  <si>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</si>
  <si>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</si>
  <si>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</si>
  <si>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</si>
  <si>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</si>
  <si>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</si>
  <si>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</si>
  <si>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</si>
  <si>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</si>
  <si>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</si>
  <si>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</si>
  <si>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</si>
  <si>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</si>
  <si>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</si>
  <si>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</si>
  <si>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</si>
  <si>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</si>
  <si>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</si>
  <si>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</si>
  <si>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</si>
  <si>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</si>
  <si>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</si>
  <si>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</si>
  <si>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</si>
  <si>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</si>
  <si>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</si>
  <si>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</si>
  <si>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</si>
  <si>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</si>
  <si>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</si>
  <si>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</si>
  <si>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</si>
  <si>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</si>
  <si>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</si>
  <si>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</si>
  <si>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</si>
  <si>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</si>
  <si>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</si>
  <si>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</si>
  <si>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</si>
  <si>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</si>
  <si>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</si>
  <si>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</si>
  <si>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</si>
  <si>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</si>
  <si>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</si>
  <si>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</si>
  <si>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</si>
  <si>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</si>
  <si>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</si>
  <si>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</si>
  <si>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</si>
  <si>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</si>
  <si>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</si>
  <si>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</si>
  <si>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</si>
  <si>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</si>
  <si>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</si>
  <si>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</si>
  <si>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</si>
  <si>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</si>
  <si>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</si>
  <si>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</si>
  <si>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</si>
  <si>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</si>
  <si>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</si>
  <si>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</si>
  <si>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</si>
  <si>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</si>
  <si>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</si>
  <si>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</si>
  <si>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</si>
  <si>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</si>
  <si>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</si>
  <si>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</si>
  <si>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</si>
  <si>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</si>
  <si>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</si>
  <si>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</si>
  <si>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</si>
  <si>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</si>
  <si>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</si>
  <si>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</si>
  <si>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</si>
  <si>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</si>
  <si>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</si>
  <si>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</si>
  <si>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</si>
  <si>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</si>
  <si>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</si>
  <si>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</si>
  <si>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</si>
  <si>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</si>
  <si>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</si>
  <si>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</si>
  <si>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</si>
  <si>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</si>
  <si>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</si>
  <si>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</si>
  <si>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</si>
  <si>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</si>
  <si>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</si>
  <si>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</si>
  <si>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</si>
  <si>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</si>
  <si>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</si>
  <si>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</si>
  <si>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</si>
  <si>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</si>
  <si>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</si>
  <si>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</si>
  <si>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</si>
  <si>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</si>
  <si>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</si>
  <si>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</si>
  <si>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</si>
  <si>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</si>
  <si>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</si>
  <si>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</si>
  <si>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</si>
  <si>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</si>
  <si>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</si>
  <si>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</si>
  <si>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</si>
  <si>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</si>
  <si>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</si>
  <si>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</si>
  <si>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</si>
  <si>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>PUERTA POSTFORMADA R6</t>
  </si>
  <si>
    <t>BLANCO OPACO</t>
  </si>
  <si>
    <t>ARIEL DURAN</t>
  </si>
  <si>
    <t>SANTIAGO</t>
  </si>
  <si>
    <t>+569 8185 8890</t>
  </si>
  <si>
    <t>N° 11733</t>
  </si>
  <si>
    <t>12 DIAS HABILES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</si>
</sst>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4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sz val="9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5" fillId="0" borderId="0" xfId="0" applyFont="1" applyAlignment="1">
      <alignment horizontal="center" vertical="center"/>
    </xf>
    <xf numFmtId="166" fontId="25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/>
    </xf>
    <xf numFmtId="167" fontId="27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14" fontId="28" fillId="8" borderId="46" xfId="0" applyNumberFormat="1" applyFont="1" applyFill="1" applyBorder="1" applyAlignment="1">
      <alignment horizontal="left"/>
    </xf>
    <xf numFmtId="0" fontId="30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166" fontId="28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1" fillId="0" borderId="0" xfId="0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8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2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0" fontId="34" fillId="0" borderId="0" xfId="0" applyFont="1"/>
    <xf numFmtId="14" fontId="28" fillId="0" borderId="0" xfId="0" applyNumberFormat="1" applyFont="1" applyAlignment="1">
      <alignment horizontal="left"/>
    </xf>
    <xf numFmtId="0" fontId="36" fillId="8" borderId="0" xfId="0" applyFont="1" applyFill="1"/>
    <xf numFmtId="0" fontId="0" fillId="8" borderId="0" xfId="0" applyFill="1"/>
    <xf numFmtId="0" fontId="28" fillId="8" borderId="0" xfId="0" applyFont="1" applyFill="1" applyAlignment="1">
      <alignment horizontal="left"/>
    </xf>
    <xf numFmtId="0" fontId="28" fillId="0" borderId="0" xfId="0" applyFont="1" applyAlignment="1">
      <alignment horizontal="left"/>
    </xf>
    <xf numFmtId="0" fontId="28" fillId="8" borderId="0" xfId="0" applyFont="1" applyFill="1"/>
    <xf numFmtId="0" fontId="35" fillId="0" borderId="0" xfId="0" quotePrefix="1" applyFont="1"/>
    <xf numFmtId="0" fontId="24" fillId="0" borderId="0" xfId="0" applyFont="1"/>
    <xf numFmtId="0" fontId="28" fillId="0" borderId="0" xfId="0" applyFont="1"/>
    <xf numFmtId="0" fontId="34" fillId="8" borderId="0" xfId="0" applyFont="1" applyFill="1"/>
    <xf numFmtId="0" fontId="14" fillId="8" borderId="0" xfId="0" applyFont="1" applyFill="1"/>
    <xf numFmtId="0" fontId="29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66" fontId="22" fillId="0" borderId="0" xfId="0" applyNumberFormat="1" applyFont="1"/>
    <xf numFmtId="0" fontId="20" fillId="0" borderId="0" xfId="0" applyFont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166" fontId="31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2" fontId="37" fillId="0" borderId="27" xfId="8" applyFont="1" applyFill="1" applyBorder="1"/>
    <xf numFmtId="42" fontId="37" fillId="18" borderId="20" xfId="8" applyFont="1" applyFill="1" applyBorder="1"/>
    <xf numFmtId="42" fontId="37" fillId="0" borderId="29" xfId="8" applyFont="1" applyFill="1" applyBorder="1"/>
    <xf numFmtId="0" fontId="23" fillId="20" borderId="9" xfId="0" applyFont="1" applyFill="1" applyBorder="1"/>
    <xf numFmtId="0" fontId="38" fillId="20" borderId="2" xfId="0" applyFont="1" applyFill="1" applyBorder="1" applyAlignment="1">
      <alignment horizontal="left" indent="1"/>
    </xf>
    <xf numFmtId="0" fontId="38" fillId="20" borderId="3" xfId="0" applyFont="1" applyFill="1" applyBorder="1" applyAlignment="1">
      <alignment horizontal="center"/>
    </xf>
    <xf numFmtId="0" fontId="9" fillId="0" borderId="0" xfId="3"/>
    <xf numFmtId="0" fontId="8" fillId="8" borderId="46" xfId="0" applyFont="1" applyFill="1" applyBorder="1"/>
    <xf numFmtId="0" fontId="39" fillId="0" borderId="1" xfId="0" applyFont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50</xdr:row>
      <xdr:rowOff>8194</xdr:rowOff>
    </xdr:from>
    <xdr:to>
      <xdr:col>8</xdr:col>
      <xdr:colOff>8193</xdr:colOff>
      <xdr:row>53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52</xdr:row>
      <xdr:rowOff>154305</xdr:rowOff>
    </xdr:from>
    <xdr:to>
      <xdr:col>7</xdr:col>
      <xdr:colOff>853440</xdr:colOff>
      <xdr:row>52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50</xdr:row>
      <xdr:rowOff>9525</xdr:rowOff>
    </xdr:from>
    <xdr:to>
      <xdr:col>5</xdr:col>
      <xdr:colOff>1745226</xdr:colOff>
      <xdr:row>53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46</xdr:row>
      <xdr:rowOff>9525</xdr:rowOff>
    </xdr:from>
    <xdr:to>
      <xdr:col>5</xdr:col>
      <xdr:colOff>1728839</xdr:colOff>
      <xdr:row>49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CLIENTE APORTA PUERTAS TERMOLAMINADAS</a:t>
          </a:r>
          <a:r>
            <a:rPr lang="es-CL" sz="1200" b="1" baseline="0"/>
            <a:t> PARA POSTFORMAR, DEBE EL SUSTRATO EN EXECELENTE ESTADO .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604"/>
  <sheetViews>
    <sheetView tabSelected="1" zoomScale="93" zoomScaleNormal="93" workbookViewId="0">
      <selection activeCell="J10" sqref="J10"/>
    </sheetView>
  </sheetViews>
  <sheetFormatPr baseColWidth="10" defaultRowHeight="14.4" x14ac:dyDescent="0.3"/>
  <cols>
    <col min="1" max="1" width="6" customWidth="1"/>
    <col min="2" max="2" width="10.5546875" customWidth="1"/>
    <col min="3" max="3" width="30.5546875" customWidth="1"/>
    <col min="4" max="4" width="15.33203125" customWidth="1"/>
    <col min="5" max="5" width="12" customWidth="1"/>
    <col min="6" max="6" width="27.1093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8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161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29" t="s">
        <v>125</v>
      </c>
      <c r="C8" s="328"/>
      <c r="D8" s="330" t="s">
        <v>174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1" t="s">
        <v>159</v>
      </c>
      <c r="C10" s="332" t="s">
        <v>171</v>
      </c>
      <c r="D10" s="239"/>
      <c r="E10" s="239"/>
      <c r="F10" s="240" t="s">
        <v>166</v>
      </c>
      <c r="G10" s="271">
        <v>45966</v>
      </c>
      <c r="H10" s="241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2"/>
      <c r="F11" t="s">
        <v>165</v>
      </c>
      <c r="G11" s="303" t="s">
        <v>175</v>
      </c>
      <c r="H11" s="281"/>
      <c r="Q11" s="19"/>
      <c r="R11" s="22" t="s">
        <v>18</v>
      </c>
      <c r="S11" s="19"/>
    </row>
    <row r="12" spans="2:24" x14ac:dyDescent="0.3">
      <c r="B12" s="242" t="s">
        <v>142</v>
      </c>
      <c r="C12" s="304"/>
      <c r="D12" s="305"/>
      <c r="E12" s="305"/>
      <c r="F12" s="305" t="s">
        <v>126</v>
      </c>
      <c r="G12" s="306" t="s">
        <v>133</v>
      </c>
      <c r="H12" s="243"/>
      <c r="Q12" s="19"/>
      <c r="R12" s="22"/>
      <c r="S12" s="19"/>
    </row>
    <row r="13" spans="2:24" x14ac:dyDescent="0.3">
      <c r="B13" s="280" t="s">
        <v>143</v>
      </c>
      <c r="F13" t="s">
        <v>164</v>
      </c>
      <c r="G13" s="307" t="s">
        <v>133</v>
      </c>
      <c r="H13" s="281"/>
      <c r="Q13" s="19"/>
      <c r="R13" s="22"/>
      <c r="S13" s="19"/>
    </row>
    <row r="14" spans="2:24" x14ac:dyDescent="0.3">
      <c r="B14" s="242" t="s">
        <v>137</v>
      </c>
      <c r="C14" s="331"/>
      <c r="D14" s="305"/>
      <c r="E14" s="305"/>
      <c r="F14" s="305" t="s">
        <v>134</v>
      </c>
      <c r="G14" s="308" t="s">
        <v>133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09" t="s">
        <v>173</v>
      </c>
      <c r="D15" s="310"/>
      <c r="F15" t="s">
        <v>167</v>
      </c>
      <c r="G15" s="311" t="s">
        <v>133</v>
      </c>
      <c r="H15" s="281"/>
    </row>
    <row r="16" spans="2:24" ht="16.8" x14ac:dyDescent="0.4">
      <c r="B16" s="295" t="s">
        <v>3</v>
      </c>
      <c r="C16" s="312"/>
      <c r="D16" s="305"/>
      <c r="E16" s="305"/>
      <c r="F16" s="313" t="s">
        <v>128</v>
      </c>
      <c r="G16" s="314" t="s">
        <v>160</v>
      </c>
      <c r="H16" s="243"/>
    </row>
    <row r="17" spans="2:25" ht="15" thickBot="1" x14ac:dyDescent="0.35">
      <c r="B17" s="292" t="s">
        <v>13</v>
      </c>
      <c r="C17" s="293" t="s">
        <v>172</v>
      </c>
      <c r="D17" s="294"/>
      <c r="E17" s="116"/>
      <c r="F17" s="334" t="s">
        <v>162</v>
      </c>
      <c r="G17" s="334"/>
      <c r="H17" s="335"/>
      <c r="I17" s="258"/>
      <c r="J17" s="258"/>
      <c r="T17" s="6"/>
      <c r="U17" s="6"/>
    </row>
    <row r="18" spans="2:25" ht="15.75" customHeight="1" thickBot="1" x14ac:dyDescent="0.35">
      <c r="J18" s="44"/>
      <c r="K18" s="5"/>
      <c r="V18" s="9"/>
      <c r="X18" s="6"/>
      <c r="Y18" s="6"/>
    </row>
    <row r="19" spans="2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59"/>
      <c r="J19" s="259"/>
      <c r="K19" s="5"/>
      <c r="L19" s="245"/>
      <c r="M19" s="14">
        <v>0.05</v>
      </c>
      <c r="N19" s="14"/>
      <c r="O19" s="14"/>
      <c r="P19" s="246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2:25" ht="17.399999999999999" x14ac:dyDescent="0.3">
      <c r="B20" s="317" t="s">
        <v>7</v>
      </c>
      <c r="C20" s="318" t="s">
        <v>1</v>
      </c>
      <c r="D20" s="318" t="s">
        <v>130</v>
      </c>
      <c r="E20" s="318" t="s">
        <v>11</v>
      </c>
      <c r="F20" s="318" t="s">
        <v>8</v>
      </c>
      <c r="G20" s="318" t="s">
        <v>5</v>
      </c>
      <c r="H20" s="319" t="s">
        <v>6</v>
      </c>
      <c r="I20" s="260"/>
      <c r="J20" s="260"/>
      <c r="K20" s="44"/>
      <c r="L20" s="263" t="str">
        <f>B20</f>
        <v>UNIDAD</v>
      </c>
      <c r="M20" s="262" t="s">
        <v>130</v>
      </c>
      <c r="N20" s="36" t="str">
        <f t="shared" ref="N20" si="0">E20</f>
        <v>ANCHO</v>
      </c>
      <c r="O20" s="256" t="s">
        <v>131</v>
      </c>
      <c r="P20" s="254" t="s">
        <v>16</v>
      </c>
      <c r="Q20" s="247">
        <f>O61</f>
        <v>33069.762657510044</v>
      </c>
      <c r="R20" s="253">
        <v>3000</v>
      </c>
      <c r="S20" s="35"/>
      <c r="T20" s="14" t="s">
        <v>127</v>
      </c>
      <c r="U20" s="9"/>
      <c r="X20" s="4"/>
    </row>
    <row r="21" spans="2:25" ht="17.399999999999999" x14ac:dyDescent="0.3">
      <c r="B21" s="322">
        <v>1</v>
      </c>
      <c r="C21" s="333" t="s">
        <v>169</v>
      </c>
      <c r="D21" s="323">
        <v>0.94</v>
      </c>
      <c r="E21" s="323">
        <v>0.34799999999999998</v>
      </c>
      <c r="F21" s="322" t="s">
        <v>170</v>
      </c>
      <c r="G21" s="324">
        <f>R21</f>
        <v>14393.19463076536</v>
      </c>
      <c r="H21" s="324">
        <f>G21*B21</f>
        <v>14393.19463076536</v>
      </c>
      <c r="I21" s="297"/>
      <c r="J21" s="260"/>
      <c r="K21" s="44"/>
      <c r="L21" s="44">
        <f>B21</f>
        <v>1</v>
      </c>
      <c r="M21" s="36">
        <f>D21+M$19</f>
        <v>0.99</v>
      </c>
      <c r="N21" s="36">
        <f>E21+$N$19</f>
        <v>0.34799999999999998</v>
      </c>
      <c r="O21" s="256">
        <f t="shared" ref="O21" si="1">M21*N21</f>
        <v>0.34451999999999999</v>
      </c>
      <c r="P21" s="254">
        <f t="shared" ref="P21" si="2">O21*L21</f>
        <v>0.34451999999999999</v>
      </c>
      <c r="Q21" s="247">
        <f t="shared" ref="Q21" si="3">Q$20*O21</f>
        <v>11393.19463076536</v>
      </c>
      <c r="R21" s="296">
        <f t="shared" ref="R21" si="4">Q21+R$20</f>
        <v>14393.19463076536</v>
      </c>
      <c r="S21" s="284">
        <f>M21*L21</f>
        <v>0.99</v>
      </c>
      <c r="T21" s="43">
        <f>N21*2*L21*2</f>
        <v>1.3919999999999999</v>
      </c>
      <c r="U21" s="9"/>
      <c r="X21" s="4"/>
    </row>
    <row r="22" spans="2:25" ht="17.399999999999999" x14ac:dyDescent="0.3">
      <c r="B22" s="322">
        <v>2</v>
      </c>
      <c r="C22" s="333" t="s">
        <v>169</v>
      </c>
      <c r="D22" s="323">
        <v>0.94</v>
      </c>
      <c r="E22" s="323">
        <v>0.34399999999999997</v>
      </c>
      <c r="F22" s="322" t="s">
        <v>170</v>
      </c>
      <c r="G22" s="324">
        <f t="shared" ref="G22:G45" si="5">R22</f>
        <v>14262.23837064162</v>
      </c>
      <c r="H22" s="324">
        <f t="shared" ref="H22:H45" si="6">G22*B22</f>
        <v>28524.476741283241</v>
      </c>
      <c r="I22" s="297"/>
      <c r="J22" s="260"/>
      <c r="K22" s="44"/>
      <c r="L22" s="44">
        <f t="shared" ref="L22:L45" si="7">B22</f>
        <v>2</v>
      </c>
      <c r="M22" s="36">
        <f t="shared" ref="M22:M45" si="8">D22+M$19</f>
        <v>0.99</v>
      </c>
      <c r="N22" s="36">
        <f t="shared" ref="N22:N45" si="9">E22+$N$19</f>
        <v>0.34399999999999997</v>
      </c>
      <c r="O22" s="256">
        <f t="shared" ref="O22:O45" si="10">M22*N22</f>
        <v>0.34055999999999997</v>
      </c>
      <c r="P22" s="254">
        <f t="shared" ref="P22:P45" si="11">O22*L22</f>
        <v>0.68111999999999995</v>
      </c>
      <c r="Q22" s="247">
        <f t="shared" ref="Q22:Q45" si="12">Q$20*O22</f>
        <v>11262.23837064162</v>
      </c>
      <c r="R22" s="296">
        <f t="shared" ref="R22:R45" si="13">Q22+R$20</f>
        <v>14262.23837064162</v>
      </c>
      <c r="S22" s="284">
        <f t="shared" ref="S22:S45" si="14">M22*L22</f>
        <v>1.98</v>
      </c>
      <c r="T22" s="43">
        <f t="shared" ref="T22:T45" si="15">N22*2*L22*2</f>
        <v>2.7519999999999998</v>
      </c>
      <c r="U22" s="9"/>
      <c r="X22" s="4"/>
    </row>
    <row r="23" spans="2:25" ht="17.399999999999999" x14ac:dyDescent="0.3">
      <c r="B23" s="322">
        <v>3</v>
      </c>
      <c r="C23" s="333" t="s">
        <v>169</v>
      </c>
      <c r="D23" s="323">
        <v>0.94</v>
      </c>
      <c r="E23" s="323">
        <v>0.314</v>
      </c>
      <c r="F23" s="322" t="s">
        <v>170</v>
      </c>
      <c r="G23" s="324">
        <f t="shared" si="5"/>
        <v>13280.066419713574</v>
      </c>
      <c r="H23" s="324">
        <f t="shared" si="6"/>
        <v>39840.199259140718</v>
      </c>
      <c r="I23" s="297"/>
      <c r="J23" s="260"/>
      <c r="K23" s="44"/>
      <c r="L23" s="44">
        <f t="shared" si="7"/>
        <v>3</v>
      </c>
      <c r="M23" s="36">
        <f t="shared" si="8"/>
        <v>0.99</v>
      </c>
      <c r="N23" s="36">
        <f t="shared" si="9"/>
        <v>0.314</v>
      </c>
      <c r="O23" s="256">
        <f t="shared" si="10"/>
        <v>0.31086000000000003</v>
      </c>
      <c r="P23" s="254">
        <f t="shared" si="11"/>
        <v>0.93258000000000008</v>
      </c>
      <c r="Q23" s="247">
        <f t="shared" si="12"/>
        <v>10280.066419713574</v>
      </c>
      <c r="R23" s="296">
        <f t="shared" si="13"/>
        <v>13280.066419713574</v>
      </c>
      <c r="S23" s="284">
        <f t="shared" si="14"/>
        <v>2.9699999999999998</v>
      </c>
      <c r="T23" s="43">
        <f t="shared" si="15"/>
        <v>3.7679999999999998</v>
      </c>
      <c r="U23" s="9"/>
      <c r="X23" s="4"/>
    </row>
    <row r="24" spans="2:25" ht="17.399999999999999" x14ac:dyDescent="0.3">
      <c r="B24" s="322">
        <v>2</v>
      </c>
      <c r="C24" s="333" t="s">
        <v>169</v>
      </c>
      <c r="D24" s="323">
        <v>0.50700000000000001</v>
      </c>
      <c r="E24" s="323">
        <v>0.48</v>
      </c>
      <c r="F24" s="322" t="s">
        <v>170</v>
      </c>
      <c r="G24" s="324">
        <f t="shared" si="5"/>
        <v>11841.531744111886</v>
      </c>
      <c r="H24" s="324">
        <f t="shared" si="6"/>
        <v>23683.063488223772</v>
      </c>
      <c r="I24" s="297"/>
      <c r="J24" s="260"/>
      <c r="K24" s="44"/>
      <c r="L24" s="44">
        <f t="shared" si="7"/>
        <v>2</v>
      </c>
      <c r="M24" s="36">
        <f t="shared" si="8"/>
        <v>0.55700000000000005</v>
      </c>
      <c r="N24" s="36">
        <f t="shared" si="9"/>
        <v>0.48</v>
      </c>
      <c r="O24" s="256">
        <f t="shared" si="10"/>
        <v>0.26736000000000004</v>
      </c>
      <c r="P24" s="254">
        <f t="shared" si="11"/>
        <v>0.53472000000000008</v>
      </c>
      <c r="Q24" s="247">
        <f t="shared" si="12"/>
        <v>8841.5317441118859</v>
      </c>
      <c r="R24" s="296">
        <f t="shared" si="13"/>
        <v>11841.531744111886</v>
      </c>
      <c r="S24" s="284">
        <f t="shared" si="14"/>
        <v>1.1140000000000001</v>
      </c>
      <c r="T24" s="43">
        <f t="shared" si="15"/>
        <v>3.84</v>
      </c>
      <c r="U24" s="9"/>
      <c r="X24" s="4"/>
    </row>
    <row r="25" spans="2:25" ht="17.399999999999999" x14ac:dyDescent="0.3">
      <c r="B25" s="322">
        <v>3</v>
      </c>
      <c r="C25" s="333" t="s">
        <v>169</v>
      </c>
      <c r="D25" s="323">
        <v>0.75</v>
      </c>
      <c r="E25" s="323">
        <v>0.30599999999999999</v>
      </c>
      <c r="F25" s="322" t="s">
        <v>170</v>
      </c>
      <c r="G25" s="324">
        <f t="shared" si="5"/>
        <v>11095.47789855846</v>
      </c>
      <c r="H25" s="324">
        <f t="shared" si="6"/>
        <v>33286.433695675383</v>
      </c>
      <c r="I25" s="297"/>
      <c r="J25" s="260"/>
      <c r="K25" s="44"/>
      <c r="L25" s="44">
        <f t="shared" si="7"/>
        <v>3</v>
      </c>
      <c r="M25" s="36">
        <f t="shared" si="8"/>
        <v>0.8</v>
      </c>
      <c r="N25" s="36">
        <f t="shared" si="9"/>
        <v>0.30599999999999999</v>
      </c>
      <c r="O25" s="256">
        <f t="shared" si="10"/>
        <v>0.24480000000000002</v>
      </c>
      <c r="P25" s="254">
        <f t="shared" si="11"/>
        <v>0.73440000000000005</v>
      </c>
      <c r="Q25" s="247">
        <f t="shared" si="12"/>
        <v>8095.4778985584589</v>
      </c>
      <c r="R25" s="296">
        <f t="shared" si="13"/>
        <v>11095.47789855846</v>
      </c>
      <c r="S25" s="284">
        <f t="shared" si="14"/>
        <v>2.4000000000000004</v>
      </c>
      <c r="T25" s="43">
        <f t="shared" si="15"/>
        <v>3.6719999999999997</v>
      </c>
      <c r="U25" s="9"/>
      <c r="X25" s="4"/>
    </row>
    <row r="26" spans="2:25" ht="17.399999999999999" x14ac:dyDescent="0.3">
      <c r="B26" s="322">
        <v>2</v>
      </c>
      <c r="C26" s="333" t="s">
        <v>169</v>
      </c>
      <c r="D26" s="323">
        <v>0.62</v>
      </c>
      <c r="E26" s="323">
        <v>0.3</v>
      </c>
      <c r="F26" s="322" t="s">
        <v>170</v>
      </c>
      <c r="G26" s="324">
        <f t="shared" si="5"/>
        <v>9647.0222941595202</v>
      </c>
      <c r="H26" s="324">
        <f t="shared" si="6"/>
        <v>19294.04458831904</v>
      </c>
      <c r="I26" s="297"/>
      <c r="J26" s="260"/>
      <c r="K26" s="44"/>
      <c r="L26" s="44">
        <f t="shared" si="7"/>
        <v>2</v>
      </c>
      <c r="M26" s="36">
        <f t="shared" si="8"/>
        <v>0.67</v>
      </c>
      <c r="N26" s="36">
        <f t="shared" si="9"/>
        <v>0.3</v>
      </c>
      <c r="O26" s="256">
        <f t="shared" si="10"/>
        <v>0.20100000000000001</v>
      </c>
      <c r="P26" s="254">
        <f t="shared" si="11"/>
        <v>0.40200000000000002</v>
      </c>
      <c r="Q26" s="247">
        <f t="shared" si="12"/>
        <v>6647.0222941595193</v>
      </c>
      <c r="R26" s="296">
        <f t="shared" si="13"/>
        <v>9647.0222941595202</v>
      </c>
      <c r="S26" s="284">
        <f t="shared" si="14"/>
        <v>1.34</v>
      </c>
      <c r="T26" s="43">
        <f t="shared" si="15"/>
        <v>2.4</v>
      </c>
      <c r="U26" s="9"/>
      <c r="X26" s="4"/>
    </row>
    <row r="27" spans="2:25" ht="17.399999999999999" x14ac:dyDescent="0.3">
      <c r="B27" s="322">
        <v>1</v>
      </c>
      <c r="C27" s="333" t="s">
        <v>169</v>
      </c>
      <c r="D27" s="323">
        <v>0.15</v>
      </c>
      <c r="E27" s="323">
        <v>0.89800000000000002</v>
      </c>
      <c r="F27" s="322" t="s">
        <v>170</v>
      </c>
      <c r="G27" s="324">
        <f t="shared" si="5"/>
        <v>8939.3293732888051</v>
      </c>
      <c r="H27" s="324">
        <f t="shared" si="6"/>
        <v>8939.3293732888051</v>
      </c>
      <c r="I27" s="297"/>
      <c r="J27" s="260"/>
      <c r="K27" s="44"/>
      <c r="L27" s="44">
        <f t="shared" si="7"/>
        <v>1</v>
      </c>
      <c r="M27" s="36">
        <f t="shared" si="8"/>
        <v>0.2</v>
      </c>
      <c r="N27" s="36">
        <f t="shared" si="9"/>
        <v>0.89800000000000002</v>
      </c>
      <c r="O27" s="256">
        <f t="shared" si="10"/>
        <v>0.17960000000000001</v>
      </c>
      <c r="P27" s="254">
        <f t="shared" si="11"/>
        <v>0.17960000000000001</v>
      </c>
      <c r="Q27" s="247">
        <f t="shared" si="12"/>
        <v>5939.3293732888042</v>
      </c>
      <c r="R27" s="296">
        <f t="shared" si="13"/>
        <v>8939.3293732888051</v>
      </c>
      <c r="S27" s="284">
        <f t="shared" si="14"/>
        <v>0.2</v>
      </c>
      <c r="T27" s="43">
        <f t="shared" si="15"/>
        <v>3.5920000000000001</v>
      </c>
      <c r="U27" s="9"/>
      <c r="X27" s="4"/>
    </row>
    <row r="28" spans="2:25" ht="17.399999999999999" x14ac:dyDescent="0.3">
      <c r="B28" s="322">
        <v>2</v>
      </c>
      <c r="C28" s="333" t="s">
        <v>169</v>
      </c>
      <c r="D28" s="323">
        <v>0.29799999999999999</v>
      </c>
      <c r="E28" s="323">
        <v>0.89800000000000002</v>
      </c>
      <c r="F28" s="322" t="s">
        <v>170</v>
      </c>
      <c r="G28" s="324">
        <f t="shared" si="5"/>
        <v>13334.433109522519</v>
      </c>
      <c r="H28" s="324">
        <f t="shared" si="6"/>
        <v>26668.866219045038</v>
      </c>
      <c r="I28" s="297"/>
      <c r="J28" s="260"/>
      <c r="K28" s="44"/>
      <c r="L28" s="44">
        <f t="shared" si="7"/>
        <v>2</v>
      </c>
      <c r="M28" s="36">
        <f t="shared" si="8"/>
        <v>0.34799999999999998</v>
      </c>
      <c r="N28" s="36">
        <f t="shared" si="9"/>
        <v>0.89800000000000002</v>
      </c>
      <c r="O28" s="256">
        <f t="shared" si="10"/>
        <v>0.312504</v>
      </c>
      <c r="P28" s="254">
        <f t="shared" si="11"/>
        <v>0.62500800000000001</v>
      </c>
      <c r="Q28" s="247">
        <f t="shared" si="12"/>
        <v>10334.433109522519</v>
      </c>
      <c r="R28" s="296">
        <f t="shared" si="13"/>
        <v>13334.433109522519</v>
      </c>
      <c r="S28" s="284">
        <f t="shared" si="14"/>
        <v>0.69599999999999995</v>
      </c>
      <c r="T28" s="43">
        <f t="shared" si="15"/>
        <v>7.1840000000000002</v>
      </c>
      <c r="U28" s="9"/>
      <c r="X28" s="4"/>
    </row>
    <row r="29" spans="2:25" ht="17.399999999999999" x14ac:dyDescent="0.3">
      <c r="B29" s="322">
        <v>1</v>
      </c>
      <c r="C29" s="333" t="s">
        <v>169</v>
      </c>
      <c r="D29" s="323">
        <v>0.75</v>
      </c>
      <c r="E29" s="323">
        <v>0.34699999999999998</v>
      </c>
      <c r="F29" s="322" t="s">
        <v>170</v>
      </c>
      <c r="G29" s="324">
        <f t="shared" si="5"/>
        <v>12180.166113724788</v>
      </c>
      <c r="H29" s="324">
        <f t="shared" si="6"/>
        <v>12180.166113724788</v>
      </c>
      <c r="I29" s="297"/>
      <c r="J29" s="260"/>
      <c r="K29" s="44"/>
      <c r="L29" s="44">
        <f t="shared" si="7"/>
        <v>1</v>
      </c>
      <c r="M29" s="36">
        <f t="shared" si="8"/>
        <v>0.8</v>
      </c>
      <c r="N29" s="36">
        <f t="shared" si="9"/>
        <v>0.34699999999999998</v>
      </c>
      <c r="O29" s="256">
        <f t="shared" si="10"/>
        <v>0.27760000000000001</v>
      </c>
      <c r="P29" s="254">
        <f t="shared" si="11"/>
        <v>0.27760000000000001</v>
      </c>
      <c r="Q29" s="247">
        <f t="shared" si="12"/>
        <v>9180.1661137247884</v>
      </c>
      <c r="R29" s="296">
        <f t="shared" si="13"/>
        <v>12180.166113724788</v>
      </c>
      <c r="S29" s="284">
        <f t="shared" si="14"/>
        <v>0.8</v>
      </c>
      <c r="T29" s="43">
        <f t="shared" si="15"/>
        <v>1.3879999999999999</v>
      </c>
      <c r="U29" s="9"/>
      <c r="X29" s="4"/>
    </row>
    <row r="30" spans="2:25" ht="17.399999999999999" x14ac:dyDescent="0.3">
      <c r="B30" s="322">
        <v>2</v>
      </c>
      <c r="C30" s="333" t="s">
        <v>169</v>
      </c>
      <c r="D30" s="323">
        <v>0.75</v>
      </c>
      <c r="E30" s="323">
        <v>0.35299999999999998</v>
      </c>
      <c r="F30" s="322" t="s">
        <v>170</v>
      </c>
      <c r="G30" s="324">
        <f t="shared" si="5"/>
        <v>12338.900974480835</v>
      </c>
      <c r="H30" s="324">
        <f t="shared" si="6"/>
        <v>24677.801948961671</v>
      </c>
      <c r="I30" s="297"/>
      <c r="J30" s="260"/>
      <c r="K30" s="44"/>
      <c r="L30" s="44">
        <f t="shared" si="7"/>
        <v>2</v>
      </c>
      <c r="M30" s="36">
        <f t="shared" si="8"/>
        <v>0.8</v>
      </c>
      <c r="N30" s="36">
        <f t="shared" si="9"/>
        <v>0.35299999999999998</v>
      </c>
      <c r="O30" s="256">
        <f t="shared" si="10"/>
        <v>0.28239999999999998</v>
      </c>
      <c r="P30" s="254">
        <f t="shared" si="11"/>
        <v>0.56479999999999997</v>
      </c>
      <c r="Q30" s="247">
        <f t="shared" si="12"/>
        <v>9338.9009744808354</v>
      </c>
      <c r="R30" s="296">
        <f t="shared" si="13"/>
        <v>12338.900974480835</v>
      </c>
      <c r="S30" s="284">
        <f t="shared" si="14"/>
        <v>1.6</v>
      </c>
      <c r="T30" s="43">
        <f t="shared" si="15"/>
        <v>2.8239999999999998</v>
      </c>
      <c r="U30" s="9"/>
      <c r="X30" s="4"/>
    </row>
    <row r="31" spans="2:25" ht="17.399999999999999" x14ac:dyDescent="0.3">
      <c r="B31" s="322">
        <v>2</v>
      </c>
      <c r="C31" s="333" t="s">
        <v>169</v>
      </c>
      <c r="D31" s="323">
        <v>0.94</v>
      </c>
      <c r="E31" s="323">
        <v>0.30299999999999999</v>
      </c>
      <c r="F31" s="322" t="s">
        <v>170</v>
      </c>
      <c r="G31" s="324">
        <f t="shared" si="5"/>
        <v>12919.936704373289</v>
      </c>
      <c r="H31" s="324">
        <f t="shared" si="6"/>
        <v>25839.873408746578</v>
      </c>
      <c r="I31" s="297"/>
      <c r="J31" s="260"/>
      <c r="K31" s="44"/>
      <c r="L31" s="44">
        <f t="shared" si="7"/>
        <v>2</v>
      </c>
      <c r="M31" s="36">
        <f t="shared" si="8"/>
        <v>0.99</v>
      </c>
      <c r="N31" s="36">
        <f t="shared" si="9"/>
        <v>0.30299999999999999</v>
      </c>
      <c r="O31" s="256">
        <f t="shared" si="10"/>
        <v>0.29997000000000001</v>
      </c>
      <c r="P31" s="254">
        <f t="shared" si="11"/>
        <v>0.59994000000000003</v>
      </c>
      <c r="Q31" s="247">
        <f t="shared" si="12"/>
        <v>9919.9367043732891</v>
      </c>
      <c r="R31" s="296">
        <f t="shared" si="13"/>
        <v>12919.936704373289</v>
      </c>
      <c r="S31" s="284">
        <f t="shared" si="14"/>
        <v>1.98</v>
      </c>
      <c r="T31" s="43">
        <f t="shared" si="15"/>
        <v>2.4239999999999999</v>
      </c>
      <c r="U31" s="9"/>
      <c r="X31" s="4"/>
    </row>
    <row r="32" spans="2:25" ht="17.399999999999999" x14ac:dyDescent="0.3">
      <c r="B32" s="322">
        <v>2</v>
      </c>
      <c r="C32" s="333" t="s">
        <v>169</v>
      </c>
      <c r="D32" s="323">
        <v>0.75</v>
      </c>
      <c r="E32" s="323">
        <v>0.44700000000000001</v>
      </c>
      <c r="F32" s="322" t="s">
        <v>170</v>
      </c>
      <c r="G32" s="324">
        <f t="shared" si="5"/>
        <v>14825.747126325592</v>
      </c>
      <c r="H32" s="324">
        <f t="shared" si="6"/>
        <v>29651.494252651184</v>
      </c>
      <c r="I32" s="297"/>
      <c r="J32" s="260"/>
      <c r="K32" s="44"/>
      <c r="L32" s="44">
        <f t="shared" si="7"/>
        <v>2</v>
      </c>
      <c r="M32" s="36">
        <f t="shared" si="8"/>
        <v>0.8</v>
      </c>
      <c r="N32" s="36">
        <f t="shared" si="9"/>
        <v>0.44700000000000001</v>
      </c>
      <c r="O32" s="256">
        <f t="shared" si="10"/>
        <v>0.35760000000000003</v>
      </c>
      <c r="P32" s="254">
        <f t="shared" si="11"/>
        <v>0.71520000000000006</v>
      </c>
      <c r="Q32" s="247">
        <f t="shared" si="12"/>
        <v>11825.747126325592</v>
      </c>
      <c r="R32" s="296">
        <f t="shared" si="13"/>
        <v>14825.747126325592</v>
      </c>
      <c r="S32" s="284">
        <f t="shared" si="14"/>
        <v>1.6</v>
      </c>
      <c r="T32" s="43">
        <f t="shared" si="15"/>
        <v>3.5760000000000001</v>
      </c>
      <c r="U32" s="9"/>
      <c r="X32" s="4"/>
    </row>
    <row r="33" spans="2:24" ht="17.399999999999999" x14ac:dyDescent="0.3">
      <c r="B33" s="322">
        <v>2</v>
      </c>
      <c r="C33" s="333" t="s">
        <v>169</v>
      </c>
      <c r="D33" s="323">
        <v>0.94</v>
      </c>
      <c r="E33" s="323">
        <v>0.39800000000000002</v>
      </c>
      <c r="F33" s="322" t="s">
        <v>170</v>
      </c>
      <c r="G33" s="324">
        <f t="shared" si="5"/>
        <v>16030.147882312109</v>
      </c>
      <c r="H33" s="324">
        <f t="shared" si="6"/>
        <v>32060.295764624218</v>
      </c>
      <c r="I33" s="297"/>
      <c r="J33" s="260"/>
      <c r="K33" s="44"/>
      <c r="L33" s="44">
        <f t="shared" si="7"/>
        <v>2</v>
      </c>
      <c r="M33" s="36">
        <f t="shared" si="8"/>
        <v>0.99</v>
      </c>
      <c r="N33" s="36">
        <f t="shared" si="9"/>
        <v>0.39800000000000002</v>
      </c>
      <c r="O33" s="256">
        <f t="shared" si="10"/>
        <v>0.39402000000000004</v>
      </c>
      <c r="P33" s="254">
        <f t="shared" si="11"/>
        <v>0.78804000000000007</v>
      </c>
      <c r="Q33" s="247">
        <f t="shared" si="12"/>
        <v>13030.147882312109</v>
      </c>
      <c r="R33" s="296">
        <f t="shared" si="13"/>
        <v>16030.147882312109</v>
      </c>
      <c r="S33" s="284">
        <f t="shared" si="14"/>
        <v>1.98</v>
      </c>
      <c r="T33" s="43">
        <f t="shared" si="15"/>
        <v>3.1840000000000002</v>
      </c>
      <c r="U33" s="9"/>
      <c r="X33" s="4"/>
    </row>
    <row r="34" spans="2:24" ht="17.399999999999999" x14ac:dyDescent="0.3">
      <c r="B34" s="322">
        <v>4</v>
      </c>
      <c r="C34" s="333" t="s">
        <v>169</v>
      </c>
      <c r="D34" s="323">
        <v>0.15</v>
      </c>
      <c r="E34" s="323">
        <v>0.44800000000000001</v>
      </c>
      <c r="F34" s="322" t="s">
        <v>170</v>
      </c>
      <c r="G34" s="324">
        <f t="shared" si="5"/>
        <v>5963.0507341129005</v>
      </c>
      <c r="H34" s="324">
        <f t="shared" si="6"/>
        <v>23852.202936451602</v>
      </c>
      <c r="I34" s="297"/>
      <c r="J34" s="260"/>
      <c r="K34" s="44"/>
      <c r="L34" s="44">
        <f t="shared" si="7"/>
        <v>4</v>
      </c>
      <c r="M34" s="36">
        <f t="shared" si="8"/>
        <v>0.2</v>
      </c>
      <c r="N34" s="36">
        <f t="shared" si="9"/>
        <v>0.44800000000000001</v>
      </c>
      <c r="O34" s="256">
        <f t="shared" si="10"/>
        <v>8.9600000000000013E-2</v>
      </c>
      <c r="P34" s="254">
        <f t="shared" si="11"/>
        <v>0.35840000000000005</v>
      </c>
      <c r="Q34" s="247">
        <f t="shared" si="12"/>
        <v>2963.0507341129005</v>
      </c>
      <c r="R34" s="296">
        <f t="shared" si="13"/>
        <v>5963.0507341129005</v>
      </c>
      <c r="S34" s="284">
        <f t="shared" si="14"/>
        <v>0.8</v>
      </c>
      <c r="T34" s="43">
        <f t="shared" si="15"/>
        <v>7.1680000000000001</v>
      </c>
      <c r="U34" s="9"/>
      <c r="X34" s="4"/>
    </row>
    <row r="35" spans="2:24" ht="17.399999999999999" x14ac:dyDescent="0.3">
      <c r="B35" s="322">
        <v>2</v>
      </c>
      <c r="C35" s="333" t="s">
        <v>169</v>
      </c>
      <c r="D35" s="323">
        <v>0.22</v>
      </c>
      <c r="E35" s="323">
        <v>0.89800000000000002</v>
      </c>
      <c r="F35" s="322" t="s">
        <v>170</v>
      </c>
      <c r="G35" s="324">
        <f t="shared" si="5"/>
        <v>11018.094653939886</v>
      </c>
      <c r="H35" s="324">
        <f t="shared" si="6"/>
        <v>22036.189307879773</v>
      </c>
      <c r="I35" s="297"/>
      <c r="J35" s="260"/>
      <c r="K35" s="44"/>
      <c r="L35" s="44">
        <f t="shared" si="7"/>
        <v>2</v>
      </c>
      <c r="M35" s="36">
        <f t="shared" si="8"/>
        <v>0.27</v>
      </c>
      <c r="N35" s="36">
        <f t="shared" si="9"/>
        <v>0.89800000000000002</v>
      </c>
      <c r="O35" s="256">
        <f t="shared" si="10"/>
        <v>0.24246000000000001</v>
      </c>
      <c r="P35" s="254">
        <f t="shared" si="11"/>
        <v>0.48492000000000002</v>
      </c>
      <c r="Q35" s="247">
        <f t="shared" si="12"/>
        <v>8018.0946539398856</v>
      </c>
      <c r="R35" s="296">
        <f t="shared" si="13"/>
        <v>11018.094653939886</v>
      </c>
      <c r="S35" s="284">
        <f t="shared" si="14"/>
        <v>0.54</v>
      </c>
      <c r="T35" s="43">
        <f t="shared" si="15"/>
        <v>7.1840000000000002</v>
      </c>
      <c r="U35" s="9"/>
      <c r="X35" s="4"/>
    </row>
    <row r="36" spans="2:24" ht="17.399999999999999" x14ac:dyDescent="0.3">
      <c r="B36" s="322">
        <v>1</v>
      </c>
      <c r="C36" s="333" t="s">
        <v>169</v>
      </c>
      <c r="D36" s="323">
        <v>0.24</v>
      </c>
      <c r="E36" s="323">
        <v>0.9</v>
      </c>
      <c r="F36" s="322" t="s">
        <v>170</v>
      </c>
      <c r="G36" s="324">
        <f t="shared" si="5"/>
        <v>11631.208053610122</v>
      </c>
      <c r="H36" s="324">
        <f t="shared" si="6"/>
        <v>11631.208053610122</v>
      </c>
      <c r="I36" s="297"/>
      <c r="J36" s="260"/>
      <c r="K36" s="44"/>
      <c r="L36" s="44">
        <f t="shared" si="7"/>
        <v>1</v>
      </c>
      <c r="M36" s="36">
        <f t="shared" si="8"/>
        <v>0.28999999999999998</v>
      </c>
      <c r="N36" s="36">
        <f t="shared" si="9"/>
        <v>0.9</v>
      </c>
      <c r="O36" s="256">
        <f t="shared" si="10"/>
        <v>0.26100000000000001</v>
      </c>
      <c r="P36" s="254">
        <f t="shared" si="11"/>
        <v>0.26100000000000001</v>
      </c>
      <c r="Q36" s="247">
        <f t="shared" si="12"/>
        <v>8631.2080536101221</v>
      </c>
      <c r="R36" s="296">
        <f t="shared" si="13"/>
        <v>11631.208053610122</v>
      </c>
      <c r="S36" s="284">
        <f t="shared" si="14"/>
        <v>0.28999999999999998</v>
      </c>
      <c r="T36" s="43">
        <f t="shared" si="15"/>
        <v>3.6</v>
      </c>
      <c r="U36" s="9"/>
      <c r="X36" s="4"/>
    </row>
    <row r="37" spans="2:24" ht="17.399999999999999" x14ac:dyDescent="0.3">
      <c r="B37" s="322">
        <v>2</v>
      </c>
      <c r="C37" s="333" t="s">
        <v>169</v>
      </c>
      <c r="D37" s="323">
        <v>0.75</v>
      </c>
      <c r="E37" s="323">
        <v>0.27800000000000002</v>
      </c>
      <c r="F37" s="322" t="s">
        <v>170</v>
      </c>
      <c r="G37" s="324">
        <f t="shared" si="5"/>
        <v>10354.715215030235</v>
      </c>
      <c r="H37" s="324">
        <f t="shared" si="6"/>
        <v>20709.430430060471</v>
      </c>
      <c r="I37" s="297"/>
      <c r="J37" s="260"/>
      <c r="K37" s="44"/>
      <c r="L37" s="44">
        <f t="shared" si="7"/>
        <v>2</v>
      </c>
      <c r="M37" s="36">
        <f t="shared" si="8"/>
        <v>0.8</v>
      </c>
      <c r="N37" s="36">
        <f t="shared" si="9"/>
        <v>0.27800000000000002</v>
      </c>
      <c r="O37" s="256">
        <f t="shared" si="10"/>
        <v>0.22240000000000004</v>
      </c>
      <c r="P37" s="254">
        <f t="shared" si="11"/>
        <v>0.44480000000000008</v>
      </c>
      <c r="Q37" s="247">
        <f t="shared" si="12"/>
        <v>7354.7152150302354</v>
      </c>
      <c r="R37" s="296">
        <f t="shared" si="13"/>
        <v>10354.715215030235</v>
      </c>
      <c r="S37" s="284">
        <f t="shared" si="14"/>
        <v>1.6</v>
      </c>
      <c r="T37" s="43">
        <f t="shared" si="15"/>
        <v>2.2240000000000002</v>
      </c>
      <c r="U37" s="9"/>
      <c r="X37" s="4"/>
    </row>
    <row r="38" spans="2:24" ht="17.399999999999999" x14ac:dyDescent="0.3">
      <c r="B38" s="322">
        <v>1</v>
      </c>
      <c r="C38" s="333" t="s">
        <v>169</v>
      </c>
      <c r="D38" s="323">
        <v>0.65500000000000003</v>
      </c>
      <c r="E38" s="323">
        <v>0.53</v>
      </c>
      <c r="F38" s="322" t="s">
        <v>170</v>
      </c>
      <c r="G38" s="324">
        <f t="shared" si="5"/>
        <v>15356.516816978628</v>
      </c>
      <c r="H38" s="324">
        <f t="shared" si="6"/>
        <v>15356.516816978628</v>
      </c>
      <c r="I38" s="297"/>
      <c r="J38" s="260"/>
      <c r="K38" s="44"/>
      <c r="L38" s="44">
        <f t="shared" si="7"/>
        <v>1</v>
      </c>
      <c r="M38" s="36">
        <f t="shared" si="8"/>
        <v>0.70500000000000007</v>
      </c>
      <c r="N38" s="36">
        <f t="shared" si="9"/>
        <v>0.53</v>
      </c>
      <c r="O38" s="256">
        <f t="shared" si="10"/>
        <v>0.37365000000000004</v>
      </c>
      <c r="P38" s="254">
        <f t="shared" si="11"/>
        <v>0.37365000000000004</v>
      </c>
      <c r="Q38" s="247">
        <f t="shared" si="12"/>
        <v>12356.516816978628</v>
      </c>
      <c r="R38" s="296">
        <f t="shared" si="13"/>
        <v>15356.516816978628</v>
      </c>
      <c r="S38" s="284">
        <f t="shared" si="14"/>
        <v>0.70500000000000007</v>
      </c>
      <c r="T38" s="43">
        <f t="shared" si="15"/>
        <v>2.12</v>
      </c>
      <c r="U38" s="9"/>
      <c r="X38" s="4"/>
    </row>
    <row r="39" spans="2:24" ht="17.399999999999999" x14ac:dyDescent="0.3">
      <c r="B39" s="322">
        <v>2</v>
      </c>
      <c r="C39" s="333" t="s">
        <v>169</v>
      </c>
      <c r="D39" s="323">
        <v>0.9</v>
      </c>
      <c r="E39" s="323">
        <v>0.62</v>
      </c>
      <c r="F39" s="322" t="s">
        <v>170</v>
      </c>
      <c r="G39" s="324">
        <f t="shared" si="5"/>
        <v>22478.09020527342</v>
      </c>
      <c r="H39" s="324">
        <f t="shared" si="6"/>
        <v>44956.18041054684</v>
      </c>
      <c r="I39" s="297"/>
      <c r="J39" s="260"/>
      <c r="K39" s="44"/>
      <c r="L39" s="44">
        <f t="shared" si="7"/>
        <v>2</v>
      </c>
      <c r="M39" s="36">
        <f t="shared" si="8"/>
        <v>0.95000000000000007</v>
      </c>
      <c r="N39" s="36">
        <f t="shared" si="9"/>
        <v>0.62</v>
      </c>
      <c r="O39" s="256">
        <f t="shared" si="10"/>
        <v>0.58900000000000008</v>
      </c>
      <c r="P39" s="254">
        <f t="shared" si="11"/>
        <v>1.1780000000000002</v>
      </c>
      <c r="Q39" s="247">
        <f t="shared" si="12"/>
        <v>19478.09020527342</v>
      </c>
      <c r="R39" s="296">
        <f t="shared" si="13"/>
        <v>22478.09020527342</v>
      </c>
      <c r="S39" s="284">
        <f t="shared" si="14"/>
        <v>1.9000000000000001</v>
      </c>
      <c r="T39" s="43">
        <f t="shared" si="15"/>
        <v>4.96</v>
      </c>
      <c r="U39" s="9"/>
      <c r="X39" s="4"/>
    </row>
    <row r="40" spans="2:24" ht="17.399999999999999" x14ac:dyDescent="0.3">
      <c r="B40" s="322">
        <v>2</v>
      </c>
      <c r="C40" s="333" t="s">
        <v>169</v>
      </c>
      <c r="D40" s="323">
        <v>0.5</v>
      </c>
      <c r="E40" s="323">
        <v>0.34499999999999997</v>
      </c>
      <c r="F40" s="322" t="s">
        <v>170</v>
      </c>
      <c r="G40" s="324">
        <f t="shared" si="5"/>
        <v>9274.9874642625309</v>
      </c>
      <c r="H40" s="324">
        <f t="shared" si="6"/>
        <v>18549.974928525062</v>
      </c>
      <c r="I40" s="297"/>
      <c r="J40" s="260"/>
      <c r="K40" s="44"/>
      <c r="L40" s="44">
        <f t="shared" si="7"/>
        <v>2</v>
      </c>
      <c r="M40" s="36">
        <f t="shared" si="8"/>
        <v>0.55000000000000004</v>
      </c>
      <c r="N40" s="36">
        <f t="shared" si="9"/>
        <v>0.34499999999999997</v>
      </c>
      <c r="O40" s="256">
        <f t="shared" si="10"/>
        <v>0.18975</v>
      </c>
      <c r="P40" s="254">
        <f t="shared" si="11"/>
        <v>0.3795</v>
      </c>
      <c r="Q40" s="247">
        <f t="shared" si="12"/>
        <v>6274.9874642625309</v>
      </c>
      <c r="R40" s="296">
        <f t="shared" si="13"/>
        <v>9274.9874642625309</v>
      </c>
      <c r="S40" s="284">
        <f t="shared" si="14"/>
        <v>1.1000000000000001</v>
      </c>
      <c r="T40" s="43">
        <f t="shared" si="15"/>
        <v>2.76</v>
      </c>
      <c r="U40" s="9"/>
      <c r="X40" s="4"/>
    </row>
    <row r="41" spans="2:24" ht="17.399999999999999" x14ac:dyDescent="0.3">
      <c r="B41" s="322">
        <v>1</v>
      </c>
      <c r="C41" s="333" t="s">
        <v>169</v>
      </c>
      <c r="D41" s="323">
        <v>0.23</v>
      </c>
      <c r="E41" s="323">
        <v>0.69</v>
      </c>
      <c r="F41" s="322" t="s">
        <v>170</v>
      </c>
      <c r="G41" s="324">
        <f t="shared" si="5"/>
        <v>9389.0781454309399</v>
      </c>
      <c r="H41" s="324">
        <f t="shared" si="6"/>
        <v>9389.0781454309399</v>
      </c>
      <c r="I41" s="297"/>
      <c r="J41" s="260"/>
      <c r="K41" s="44"/>
      <c r="L41" s="44">
        <f t="shared" si="7"/>
        <v>1</v>
      </c>
      <c r="M41" s="36">
        <f t="shared" si="8"/>
        <v>0.28000000000000003</v>
      </c>
      <c r="N41" s="36">
        <f t="shared" si="9"/>
        <v>0.69</v>
      </c>
      <c r="O41" s="256">
        <f t="shared" si="10"/>
        <v>0.19320000000000001</v>
      </c>
      <c r="P41" s="254">
        <f t="shared" si="11"/>
        <v>0.19320000000000001</v>
      </c>
      <c r="Q41" s="247">
        <f t="shared" si="12"/>
        <v>6389.0781454309408</v>
      </c>
      <c r="R41" s="296">
        <f t="shared" si="13"/>
        <v>9389.0781454309399</v>
      </c>
      <c r="S41" s="284">
        <f t="shared" si="14"/>
        <v>0.28000000000000003</v>
      </c>
      <c r="T41" s="43">
        <f t="shared" si="15"/>
        <v>2.76</v>
      </c>
      <c r="U41" s="9"/>
      <c r="X41" s="4"/>
    </row>
    <row r="42" spans="2:24" ht="17.399999999999999" x14ac:dyDescent="0.3">
      <c r="B42" s="322">
        <v>2</v>
      </c>
      <c r="C42" s="333" t="s">
        <v>169</v>
      </c>
      <c r="D42" s="323">
        <v>0.5</v>
      </c>
      <c r="E42" s="323">
        <v>0.39700000000000002</v>
      </c>
      <c r="F42" s="322" t="s">
        <v>170</v>
      </c>
      <c r="G42" s="324">
        <f t="shared" si="5"/>
        <v>10220.782676267318</v>
      </c>
      <c r="H42" s="324">
        <f t="shared" si="6"/>
        <v>20441.565352534635</v>
      </c>
      <c r="I42" s="297"/>
      <c r="J42" s="260"/>
      <c r="K42" s="44"/>
      <c r="L42" s="44">
        <f t="shared" si="7"/>
        <v>2</v>
      </c>
      <c r="M42" s="36">
        <f t="shared" si="8"/>
        <v>0.55000000000000004</v>
      </c>
      <c r="N42" s="36">
        <f t="shared" si="9"/>
        <v>0.39700000000000002</v>
      </c>
      <c r="O42" s="256">
        <f t="shared" si="10"/>
        <v>0.21835000000000002</v>
      </c>
      <c r="P42" s="254">
        <f t="shared" si="11"/>
        <v>0.43670000000000003</v>
      </c>
      <c r="Q42" s="247">
        <f t="shared" si="12"/>
        <v>7220.7826762673185</v>
      </c>
      <c r="R42" s="296">
        <f t="shared" si="13"/>
        <v>10220.782676267318</v>
      </c>
      <c r="S42" s="284">
        <f t="shared" si="14"/>
        <v>1.1000000000000001</v>
      </c>
      <c r="T42" s="43">
        <f t="shared" si="15"/>
        <v>3.1760000000000002</v>
      </c>
      <c r="U42" s="9"/>
      <c r="X42" s="4"/>
    </row>
    <row r="43" spans="2:24" ht="17.399999999999999" x14ac:dyDescent="0.3">
      <c r="B43" s="322">
        <v>1</v>
      </c>
      <c r="C43" s="333" t="s">
        <v>169</v>
      </c>
      <c r="D43" s="323">
        <v>0.17799999999999999</v>
      </c>
      <c r="E43" s="323">
        <v>0.79400000000000004</v>
      </c>
      <c r="F43" s="322" t="s">
        <v>170</v>
      </c>
      <c r="G43" s="324">
        <f t="shared" si="5"/>
        <v>8986.6852734143577</v>
      </c>
      <c r="H43" s="324">
        <f t="shared" si="6"/>
        <v>8986.6852734143577</v>
      </c>
      <c r="I43" s="297"/>
      <c r="J43" s="260"/>
      <c r="K43" s="44"/>
      <c r="L43" s="44">
        <f t="shared" si="7"/>
        <v>1</v>
      </c>
      <c r="M43" s="36">
        <f t="shared" si="8"/>
        <v>0.22799999999999998</v>
      </c>
      <c r="N43" s="36">
        <f t="shared" si="9"/>
        <v>0.79400000000000004</v>
      </c>
      <c r="O43" s="256">
        <f t="shared" si="10"/>
        <v>0.181032</v>
      </c>
      <c r="P43" s="254">
        <f t="shared" si="11"/>
        <v>0.181032</v>
      </c>
      <c r="Q43" s="247">
        <f t="shared" si="12"/>
        <v>5986.6852734143586</v>
      </c>
      <c r="R43" s="296">
        <f t="shared" si="13"/>
        <v>8986.6852734143577</v>
      </c>
      <c r="S43" s="284">
        <f t="shared" si="14"/>
        <v>0.22799999999999998</v>
      </c>
      <c r="T43" s="43">
        <f t="shared" si="15"/>
        <v>3.1760000000000002</v>
      </c>
      <c r="U43" s="9"/>
      <c r="X43" s="4"/>
    </row>
    <row r="44" spans="2:24" ht="17.399999999999999" x14ac:dyDescent="0.3">
      <c r="B44" s="322">
        <v>2</v>
      </c>
      <c r="C44" s="333" t="s">
        <v>169</v>
      </c>
      <c r="D44" s="323">
        <v>0.5</v>
      </c>
      <c r="E44" s="323">
        <v>0.27700000000000002</v>
      </c>
      <c r="F44" s="322" t="s">
        <v>170</v>
      </c>
      <c r="G44" s="324">
        <f t="shared" si="5"/>
        <v>8038.1783408716556</v>
      </c>
      <c r="H44" s="324">
        <f t="shared" si="6"/>
        <v>16076.356681743311</v>
      </c>
      <c r="I44" s="297"/>
      <c r="J44" s="260"/>
      <c r="K44" s="44"/>
      <c r="L44" s="44">
        <f t="shared" si="7"/>
        <v>2</v>
      </c>
      <c r="M44" s="36">
        <f t="shared" si="8"/>
        <v>0.55000000000000004</v>
      </c>
      <c r="N44" s="36">
        <f t="shared" si="9"/>
        <v>0.27700000000000002</v>
      </c>
      <c r="O44" s="256">
        <f t="shared" si="10"/>
        <v>0.15235000000000001</v>
      </c>
      <c r="P44" s="254">
        <f t="shared" si="11"/>
        <v>0.30470000000000003</v>
      </c>
      <c r="Q44" s="247">
        <f t="shared" si="12"/>
        <v>5038.1783408716556</v>
      </c>
      <c r="R44" s="296">
        <f t="shared" si="13"/>
        <v>8038.1783408716556</v>
      </c>
      <c r="S44" s="284">
        <f t="shared" si="14"/>
        <v>1.1000000000000001</v>
      </c>
      <c r="T44" s="43">
        <f t="shared" si="15"/>
        <v>2.2160000000000002</v>
      </c>
      <c r="U44" s="9"/>
      <c r="X44" s="4"/>
    </row>
    <row r="45" spans="2:24" ht="17.399999999999999" x14ac:dyDescent="0.3">
      <c r="B45" s="322">
        <v>1</v>
      </c>
      <c r="C45" s="333" t="s">
        <v>169</v>
      </c>
      <c r="D45" s="323">
        <v>0.23</v>
      </c>
      <c r="E45" s="323">
        <v>0.53</v>
      </c>
      <c r="F45" s="322" t="s">
        <v>170</v>
      </c>
      <c r="G45" s="324">
        <f t="shared" si="5"/>
        <v>7907.5527783744919</v>
      </c>
      <c r="H45" s="324">
        <f t="shared" si="6"/>
        <v>7907.5527783744919</v>
      </c>
      <c r="I45" s="297"/>
      <c r="J45" s="260"/>
      <c r="K45" s="44"/>
      <c r="L45" s="44">
        <f t="shared" si="7"/>
        <v>1</v>
      </c>
      <c r="M45" s="36">
        <f t="shared" si="8"/>
        <v>0.28000000000000003</v>
      </c>
      <c r="N45" s="36">
        <f t="shared" si="9"/>
        <v>0.53</v>
      </c>
      <c r="O45" s="256">
        <f t="shared" si="10"/>
        <v>0.14840000000000003</v>
      </c>
      <c r="P45" s="254">
        <f t="shared" si="11"/>
        <v>0.14840000000000003</v>
      </c>
      <c r="Q45" s="247">
        <f t="shared" si="12"/>
        <v>4907.5527783744919</v>
      </c>
      <c r="R45" s="296">
        <f t="shared" si="13"/>
        <v>7907.5527783744919</v>
      </c>
      <c r="S45" s="284">
        <f t="shared" si="14"/>
        <v>0.28000000000000003</v>
      </c>
      <c r="T45" s="43">
        <f t="shared" si="15"/>
        <v>2.12</v>
      </c>
      <c r="U45" s="9"/>
      <c r="X45" s="4"/>
    </row>
    <row r="46" spans="2:24" ht="18" thickBot="1" x14ac:dyDescent="0.35">
      <c r="B46" s="278"/>
      <c r="C46" s="278"/>
      <c r="D46" s="279"/>
      <c r="E46" s="279"/>
      <c r="F46" s="278"/>
      <c r="G46" s="260"/>
      <c r="H46" s="298"/>
      <c r="I46" s="300"/>
      <c r="J46" s="229"/>
      <c r="K46" s="44"/>
      <c r="L46" s="44"/>
      <c r="M46" s="36"/>
      <c r="N46" s="36"/>
      <c r="O46" s="256"/>
      <c r="P46" s="254"/>
      <c r="Q46" s="247"/>
      <c r="R46" s="253"/>
      <c r="S46" s="284"/>
      <c r="T46" s="14"/>
      <c r="U46" s="9"/>
      <c r="X46" s="4"/>
    </row>
    <row r="47" spans="2:24" ht="17.399999999999999" x14ac:dyDescent="0.3">
      <c r="B47" s="278"/>
      <c r="C47" s="278"/>
      <c r="D47" s="279"/>
      <c r="E47" s="279"/>
      <c r="F47" s="278"/>
      <c r="G47" s="301" t="s">
        <v>28</v>
      </c>
      <c r="H47" s="325">
        <f>SUM(H21:H46)</f>
        <v>538932.18060000008</v>
      </c>
      <c r="I47" s="299"/>
      <c r="J47" s="260"/>
      <c r="K47" s="315"/>
      <c r="L47" s="44"/>
      <c r="M47" s="36"/>
      <c r="N47" s="36"/>
      <c r="O47" s="256"/>
      <c r="P47" s="254"/>
      <c r="Q47" s="247"/>
      <c r="R47" s="253"/>
      <c r="S47" s="284"/>
      <c r="T47" s="43">
        <f>SUM(T21:T46)</f>
        <v>85.460000000000008</v>
      </c>
      <c r="U47" s="9"/>
      <c r="X47" s="4"/>
    </row>
    <row r="48" spans="2:24" ht="17.399999999999999" x14ac:dyDescent="0.3">
      <c r="B48" s="272"/>
      <c r="C48" s="275"/>
      <c r="D48" s="276"/>
      <c r="E48" s="276"/>
      <c r="F48" s="277"/>
      <c r="G48" s="283" t="s">
        <v>51</v>
      </c>
      <c r="H48" s="326">
        <f>H47*19%</f>
        <v>102397.11431400002</v>
      </c>
      <c r="I48" s="299"/>
      <c r="J48" s="260"/>
      <c r="K48" s="315"/>
      <c r="L48" s="44"/>
      <c r="M48" s="36">
        <f>SUM(M21:M21)</f>
        <v>0.99</v>
      </c>
      <c r="N48" s="12"/>
      <c r="O48" s="12"/>
      <c r="P48" s="248">
        <f>SUM(P21:P46)</f>
        <v>12.123830000000002</v>
      </c>
      <c r="Q48" s="14"/>
      <c r="R48" s="12"/>
      <c r="S48" s="235">
        <f>SUM(S21:S47)</f>
        <v>29.573000000000008</v>
      </c>
      <c r="T48" s="43"/>
      <c r="U48" s="9"/>
      <c r="X48" s="4"/>
    </row>
    <row r="49" spans="1:24" ht="18" thickBot="1" x14ac:dyDescent="0.35">
      <c r="B49" s="270"/>
      <c r="C49" s="274"/>
      <c r="D49" s="267"/>
      <c r="E49" s="267"/>
      <c r="F49" s="268"/>
      <c r="G49" s="273" t="s">
        <v>6</v>
      </c>
      <c r="H49" s="327">
        <f>H47+H48</f>
        <v>641329.29491400009</v>
      </c>
      <c r="I49" s="299"/>
      <c r="J49" s="260"/>
      <c r="K49" s="315"/>
      <c r="L49" s="44"/>
      <c r="M49" s="36"/>
      <c r="N49" s="12"/>
      <c r="O49" s="12"/>
      <c r="P49" s="248">
        <f>P48</f>
        <v>12.123830000000002</v>
      </c>
      <c r="Q49" s="14"/>
      <c r="R49" s="12"/>
      <c r="S49" s="235"/>
      <c r="T49" s="43"/>
      <c r="U49" s="9"/>
      <c r="X49" s="4"/>
    </row>
    <row r="50" spans="1:24" ht="17.399999999999999" x14ac:dyDescent="0.3">
      <c r="B50" s="270"/>
      <c r="C50" s="266"/>
      <c r="D50" s="267"/>
      <c r="E50" s="267"/>
      <c r="F50" s="268"/>
      <c r="J50" s="260"/>
      <c r="K50" s="315"/>
      <c r="L50" s="44"/>
      <c r="M50" s="14"/>
      <c r="N50" s="12"/>
      <c r="O50" s="12"/>
      <c r="P50" s="36">
        <f>P49*20%</f>
        <v>2.4247660000000004</v>
      </c>
      <c r="Q50" s="36" t="s">
        <v>129</v>
      </c>
      <c r="R50" s="39"/>
      <c r="S50" s="236"/>
      <c r="T50" s="14"/>
      <c r="U50" s="9"/>
      <c r="X50" s="4"/>
    </row>
    <row r="51" spans="1:24" ht="17.399999999999999" x14ac:dyDescent="0.35">
      <c r="B51" s="264"/>
      <c r="C51" s="226"/>
      <c r="D51" s="226"/>
      <c r="E51" s="229"/>
      <c r="F51" s="230"/>
      <c r="G51" s="226"/>
      <c r="H51" s="269"/>
      <c r="I51" s="269"/>
      <c r="J51" s="260"/>
      <c r="K51" s="44"/>
      <c r="L51" s="44"/>
      <c r="M51" s="14"/>
      <c r="N51" s="12"/>
      <c r="O51" s="12"/>
      <c r="P51" s="43">
        <f>P49+P50</f>
        <v>14.548596000000002</v>
      </c>
      <c r="Q51" s="14"/>
      <c r="R51" s="14"/>
      <c r="S51" s="234"/>
      <c r="T51" s="14"/>
      <c r="U51" s="9"/>
      <c r="X51" s="4"/>
    </row>
    <row r="52" spans="1:24" ht="17.399999999999999" x14ac:dyDescent="0.35">
      <c r="B52" s="231"/>
      <c r="C52" s="232"/>
      <c r="D52" s="233"/>
      <c r="E52" s="231"/>
      <c r="F52" s="226"/>
      <c r="G52" s="226"/>
      <c r="I52" s="269"/>
      <c r="J52" s="260"/>
      <c r="K52" s="44"/>
      <c r="L52" s="44"/>
      <c r="M52" s="14"/>
      <c r="N52" s="14"/>
      <c r="O52" s="14"/>
      <c r="P52" s="14"/>
      <c r="Q52" s="14"/>
      <c r="R52" s="14"/>
      <c r="S52" s="236"/>
      <c r="T52" s="14"/>
      <c r="U52" s="288" t="s">
        <v>21</v>
      </c>
      <c r="V52" s="285" t="s">
        <v>149</v>
      </c>
      <c r="W52" s="289">
        <v>44971</v>
      </c>
      <c r="X52" s="290"/>
    </row>
    <row r="53" spans="1:24" ht="17.399999999999999" x14ac:dyDescent="0.35">
      <c r="B53" s="226"/>
      <c r="C53" s="226"/>
      <c r="D53" s="226"/>
      <c r="E53" s="226"/>
      <c r="F53" s="226"/>
      <c r="G53" s="226"/>
      <c r="J53" s="260"/>
      <c r="K53" s="44"/>
      <c r="L53" s="44"/>
      <c r="M53" s="36">
        <f>P51</f>
        <v>14.548596000000002</v>
      </c>
      <c r="N53" s="12">
        <v>3500</v>
      </c>
      <c r="O53" s="12">
        <f t="shared" ref="O53:O58" si="16">M53*N53</f>
        <v>50920.086000000003</v>
      </c>
      <c r="P53" s="14" t="s">
        <v>21</v>
      </c>
      <c r="Q53" s="14"/>
      <c r="R53" s="14"/>
      <c r="S53" s="237"/>
      <c r="T53" s="14"/>
      <c r="U53" s="288" t="s">
        <v>150</v>
      </c>
      <c r="V53" s="285">
        <v>3625</v>
      </c>
      <c r="W53" s="56" t="s">
        <v>151</v>
      </c>
      <c r="X53" s="290"/>
    </row>
    <row r="54" spans="1:24" ht="17.399999999999999" x14ac:dyDescent="0.35">
      <c r="A54" s="226"/>
      <c r="B54" s="226"/>
      <c r="C54" s="226"/>
      <c r="D54" s="226"/>
      <c r="E54" s="226"/>
      <c r="F54" s="226"/>
      <c r="G54" s="226"/>
      <c r="H54" s="226"/>
      <c r="J54" s="260"/>
      <c r="K54" s="44"/>
      <c r="L54" s="44"/>
      <c r="M54" s="244"/>
      <c r="N54" s="12">
        <v>40000</v>
      </c>
      <c r="O54" s="12">
        <f t="shared" si="16"/>
        <v>0</v>
      </c>
      <c r="P54" s="36" t="s">
        <v>168</v>
      </c>
      <c r="Q54" s="39"/>
      <c r="R54" s="14"/>
      <c r="S54" s="236"/>
      <c r="T54" s="14"/>
      <c r="U54" s="288"/>
      <c r="V54" s="56">
        <v>906.25</v>
      </c>
      <c r="W54" s="56" t="s">
        <v>152</v>
      </c>
      <c r="X54" s="290"/>
    </row>
    <row r="55" spans="1:24" s="226" customFormat="1" ht="17.399999999999999" x14ac:dyDescent="0.35">
      <c r="B55" s="21" t="s">
        <v>148</v>
      </c>
      <c r="J55" s="257"/>
      <c r="K55" s="228"/>
      <c r="L55" s="245"/>
      <c r="M55" s="14"/>
      <c r="N55" s="245">
        <v>80000</v>
      </c>
      <c r="O55" s="12">
        <f t="shared" si="16"/>
        <v>0</v>
      </c>
      <c r="P55" s="36" t="s">
        <v>30</v>
      </c>
      <c r="Q55" s="39"/>
      <c r="S55" s="236"/>
      <c r="T55" s="251"/>
      <c r="U55" s="56"/>
      <c r="V55" s="56">
        <f>V54*20%</f>
        <v>181.25</v>
      </c>
      <c r="W55" s="290" t="s">
        <v>153</v>
      </c>
      <c r="X55" s="56"/>
    </row>
    <row r="56" spans="1:24" s="226" customFormat="1" ht="17.399999999999999" x14ac:dyDescent="0.35">
      <c r="B56" s="21" t="s">
        <v>163</v>
      </c>
      <c r="C56"/>
      <c r="D56"/>
      <c r="E56"/>
      <c r="F56"/>
      <c r="J56" s="257">
        <v>46000</v>
      </c>
      <c r="K56" s="228"/>
      <c r="L56" s="245"/>
      <c r="M56" s="14">
        <v>8</v>
      </c>
      <c r="N56" s="245">
        <v>17500</v>
      </c>
      <c r="O56" s="12">
        <f t="shared" si="16"/>
        <v>140000</v>
      </c>
      <c r="P56" s="14" t="s">
        <v>139</v>
      </c>
      <c r="Q56" s="17"/>
      <c r="S56" s="234"/>
      <c r="T56" s="251"/>
      <c r="U56" s="56"/>
      <c r="V56" s="56">
        <f>V54+V55</f>
        <v>1087.5</v>
      </c>
      <c r="W56" s="290" t="s">
        <v>154</v>
      </c>
      <c r="X56" s="56"/>
    </row>
    <row r="57" spans="1:24" s="226" customFormat="1" ht="17.399999999999999" x14ac:dyDescent="0.35">
      <c r="B57" s="26" t="s">
        <v>124</v>
      </c>
      <c r="C57"/>
      <c r="D57"/>
      <c r="E57"/>
      <c r="F57" s="225" t="s">
        <v>15</v>
      </c>
      <c r="J57" s="257">
        <f>J56/1.19</f>
        <v>38655.462184873948</v>
      </c>
      <c r="K57" s="255"/>
      <c r="L57" s="245"/>
      <c r="M57" s="244"/>
      <c r="N57" s="245">
        <v>900</v>
      </c>
      <c r="O57" s="12">
        <f t="shared" si="16"/>
        <v>0</v>
      </c>
      <c r="P57" s="14" t="s">
        <v>32</v>
      </c>
      <c r="Q57" s="14"/>
      <c r="R57" s="226">
        <v>1.52</v>
      </c>
      <c r="S57" s="234"/>
      <c r="T57" s="234"/>
    </row>
    <row r="58" spans="1:24" s="226" customFormat="1" ht="17.399999999999999" x14ac:dyDescent="0.35">
      <c r="J58" s="282"/>
      <c r="K58" s="255"/>
      <c r="L58" s="245"/>
      <c r="M58" s="261"/>
      <c r="N58" s="12">
        <v>1500</v>
      </c>
      <c r="O58" s="12">
        <f t="shared" si="16"/>
        <v>0</v>
      </c>
      <c r="P58" s="14" t="s">
        <v>22</v>
      </c>
      <c r="Q58" s="14"/>
      <c r="R58">
        <v>2.44</v>
      </c>
      <c r="S58"/>
      <c r="T58" s="234"/>
      <c r="X58" s="227"/>
    </row>
    <row r="59" spans="1:24" s="226" customFormat="1" ht="17.399999999999999" x14ac:dyDescent="0.35">
      <c r="K59" s="255"/>
      <c r="L59" s="245"/>
      <c r="M59" s="14"/>
      <c r="N59" s="12"/>
      <c r="O59" s="12">
        <f>SUM(O53:O58)</f>
        <v>190920.08600000001</v>
      </c>
      <c r="P59" s="36" t="s">
        <v>23</v>
      </c>
      <c r="Q59" s="14"/>
      <c r="R59">
        <f>R57*R58</f>
        <v>3.7088000000000001</v>
      </c>
      <c r="S59"/>
      <c r="T59" s="234"/>
      <c r="X59" s="227"/>
    </row>
    <row r="60" spans="1:24" s="226" customFormat="1" ht="17.399999999999999" x14ac:dyDescent="0.35">
      <c r="L60" s="245"/>
      <c r="M60" s="249" t="s">
        <v>33</v>
      </c>
      <c r="N60" s="12"/>
      <c r="O60" s="250">
        <f>O59*2.1</f>
        <v>400932.18060000002</v>
      </c>
      <c r="P60" s="14" t="s">
        <v>138</v>
      </c>
      <c r="Q60" s="14"/>
      <c r="R60" s="37">
        <f>P51/R59</f>
        <v>3.922723252804142</v>
      </c>
      <c r="S60"/>
      <c r="T60" s="252"/>
    </row>
    <row r="61" spans="1:24" s="226" customFormat="1" ht="17.399999999999999" x14ac:dyDescent="0.35">
      <c r="G61"/>
      <c r="H61" s="255"/>
      <c r="I61" s="255"/>
      <c r="J61" s="255"/>
      <c r="L61" s="245"/>
      <c r="M61" s="14"/>
      <c r="N61" s="12"/>
      <c r="O61" s="12">
        <f>O60/P49</f>
        <v>33069.762657510044</v>
      </c>
      <c r="P61" s="42" t="s">
        <v>24</v>
      </c>
      <c r="Q61" s="14"/>
      <c r="R61" s="14"/>
      <c r="S61"/>
      <c r="T61" s="234"/>
      <c r="U61" s="56" t="s">
        <v>155</v>
      </c>
      <c r="V61" s="285">
        <v>43650</v>
      </c>
    </row>
    <row r="62" spans="1:24" s="226" customFormat="1" ht="17.399999999999999" x14ac:dyDescent="0.35">
      <c r="G62"/>
      <c r="L62" s="245"/>
      <c r="M62" s="13"/>
      <c r="N62" s="14"/>
      <c r="O62" s="17">
        <f>O60/O59</f>
        <v>2.1</v>
      </c>
      <c r="P62" s="15"/>
      <c r="Q62"/>
      <c r="R62"/>
      <c r="S62"/>
      <c r="T62" s="234"/>
      <c r="U62" s="56" t="s">
        <v>157</v>
      </c>
      <c r="V62" s="286" t="s">
        <v>156</v>
      </c>
      <c r="W62" s="56">
        <v>2.4</v>
      </c>
    </row>
    <row r="63" spans="1:24" s="226" customFormat="1" ht="17.399999999999999" x14ac:dyDescent="0.35">
      <c r="D63" s="279"/>
      <c r="E63" s="279"/>
      <c r="F63" s="278"/>
      <c r="G63" s="316"/>
      <c r="H63" s="320"/>
      <c r="L63" s="12"/>
      <c r="T63" s="234"/>
      <c r="U63" s="56" t="s">
        <v>158</v>
      </c>
      <c r="V63" s="287">
        <v>395.37</v>
      </c>
    </row>
    <row r="64" spans="1:24" s="226" customFormat="1" ht="17.399999999999999" x14ac:dyDescent="0.35">
      <c r="B64"/>
      <c r="C64" s="321"/>
      <c r="D64" s="279"/>
      <c r="E64" s="279"/>
      <c r="F64" s="278"/>
      <c r="G64" s="316"/>
      <c r="H64" s="320"/>
      <c r="L64" s="12"/>
      <c r="T64" s="234"/>
      <c r="U64" s="56" t="s">
        <v>153</v>
      </c>
      <c r="V64" s="56">
        <v>474.45</v>
      </c>
    </row>
    <row r="65" spans="4:22" ht="14.4" customHeight="1" x14ac:dyDescent="0.35">
      <c r="D65" s="279"/>
      <c r="E65" s="279"/>
      <c r="F65" s="278"/>
      <c r="G65" s="316"/>
      <c r="H65" s="320"/>
      <c r="L65" s="12"/>
      <c r="U65" s="56"/>
      <c r="V65" s="56"/>
    </row>
    <row r="66" spans="4:22" ht="17.399999999999999" x14ac:dyDescent="0.35">
      <c r="D66" s="279"/>
      <c r="E66" s="279"/>
      <c r="F66" s="278"/>
      <c r="G66" s="316"/>
      <c r="H66" s="320"/>
      <c r="L66" s="245"/>
    </row>
    <row r="67" spans="4:22" ht="17.399999999999999" x14ac:dyDescent="0.35">
      <c r="D67" s="279"/>
      <c r="E67" s="279"/>
      <c r="F67" s="278"/>
      <c r="G67" s="316"/>
      <c r="H67" s="320"/>
      <c r="L67" s="245"/>
      <c r="T67" s="265"/>
    </row>
    <row r="68" spans="4:22" ht="17.399999999999999" x14ac:dyDescent="0.35">
      <c r="D68" s="279"/>
      <c r="E68" s="279"/>
      <c r="F68" s="278"/>
      <c r="G68" s="316"/>
      <c r="H68" s="320"/>
      <c r="L68" s="245"/>
    </row>
    <row r="69" spans="4:22" ht="15" customHeight="1" x14ac:dyDescent="0.35">
      <c r="D69" s="279"/>
      <c r="E69" s="279"/>
      <c r="F69" s="278"/>
      <c r="G69" s="316"/>
      <c r="H69" s="320"/>
    </row>
    <row r="70" spans="4:22" ht="17.399999999999999" x14ac:dyDescent="0.35">
      <c r="D70" s="279"/>
      <c r="E70" s="279"/>
      <c r="F70" s="278"/>
      <c r="G70" s="316"/>
      <c r="H70" s="320"/>
    </row>
    <row r="71" spans="4:22" ht="17.399999999999999" x14ac:dyDescent="0.35">
      <c r="D71" s="279"/>
      <c r="E71" s="279"/>
      <c r="F71" s="278"/>
      <c r="G71" s="316"/>
      <c r="H71" s="320"/>
      <c r="O71">
        <v>40935</v>
      </c>
      <c r="P71" t="s">
        <v>16</v>
      </c>
      <c r="Q71" t="s">
        <v>26</v>
      </c>
    </row>
    <row r="72" spans="4:22" ht="17.399999999999999" x14ac:dyDescent="0.35">
      <c r="D72" s="279"/>
      <c r="E72" s="279"/>
      <c r="F72" s="278"/>
      <c r="G72" s="316"/>
      <c r="H72" s="320"/>
    </row>
    <row r="73" spans="4:22" ht="17.399999999999999" x14ac:dyDescent="0.35">
      <c r="D73" s="279"/>
      <c r="E73" s="279"/>
      <c r="F73" s="278"/>
      <c r="G73" s="316"/>
      <c r="H73" s="320"/>
      <c r="O73" s="51"/>
      <c r="P73" s="51"/>
    </row>
    <row r="74" spans="4:22" ht="17.399999999999999" x14ac:dyDescent="0.35">
      <c r="D74" s="279"/>
      <c r="E74" s="279"/>
      <c r="F74" s="278"/>
      <c r="G74" s="316"/>
      <c r="H74" s="320"/>
      <c r="S74" s="18"/>
      <c r="T74" s="18"/>
    </row>
    <row r="75" spans="4:22" ht="17.399999999999999" x14ac:dyDescent="0.35">
      <c r="D75" s="279"/>
      <c r="E75" s="279"/>
      <c r="F75" s="278"/>
      <c r="G75" s="316"/>
      <c r="H75" s="320"/>
      <c r="S75" s="18"/>
      <c r="T75" s="18"/>
    </row>
    <row r="76" spans="4:22" ht="17.399999999999999" x14ac:dyDescent="0.35">
      <c r="D76" s="279"/>
      <c r="E76" s="279"/>
      <c r="F76" s="278"/>
      <c r="G76" s="316"/>
      <c r="H76" s="320"/>
      <c r="S76" s="18"/>
      <c r="T76" s="18"/>
    </row>
    <row r="77" spans="4:22" x14ac:dyDescent="0.3">
      <c r="S77" s="18"/>
      <c r="T77" s="18"/>
    </row>
    <row r="78" spans="4:22" x14ac:dyDescent="0.3">
      <c r="S78" s="18"/>
      <c r="T78" s="18"/>
    </row>
    <row r="79" spans="4:22" x14ac:dyDescent="0.3">
      <c r="S79" s="18"/>
      <c r="T79" s="18"/>
    </row>
    <row r="80" spans="4:22" x14ac:dyDescent="0.3">
      <c r="S80" s="18"/>
      <c r="T80" s="18"/>
    </row>
    <row r="81" spans="3:20" x14ac:dyDescent="0.3">
      <c r="S81" s="18"/>
      <c r="T81" s="18"/>
    </row>
    <row r="82" spans="3:20" x14ac:dyDescent="0.3">
      <c r="S82" s="18"/>
      <c r="T82" s="18"/>
    </row>
    <row r="85" spans="3:20" x14ac:dyDescent="0.3">
      <c r="O85" s="40"/>
    </row>
    <row r="86" spans="3:20" x14ac:dyDescent="0.3">
      <c r="O86" s="40"/>
    </row>
    <row r="87" spans="3:20" x14ac:dyDescent="0.3">
      <c r="O87" s="6"/>
    </row>
    <row r="88" spans="3:20" x14ac:dyDescent="0.3">
      <c r="O88" s="6"/>
    </row>
    <row r="96" spans="3:20" x14ac:dyDescent="0.3">
      <c r="C96" t="s">
        <v>145</v>
      </c>
    </row>
    <row r="97" spans="3:3" x14ac:dyDescent="0.3">
      <c r="C97" t="s">
        <v>144</v>
      </c>
    </row>
    <row r="100" spans="3:3" x14ac:dyDescent="0.3">
      <c r="C100" t="s">
        <v>144</v>
      </c>
    </row>
    <row r="177" spans="3:3" x14ac:dyDescent="0.3">
      <c r="C177" t="s">
        <v>144</v>
      </c>
    </row>
    <row r="178" spans="3:3" x14ac:dyDescent="0.3">
      <c r="C178" t="s">
        <v>146</v>
      </c>
    </row>
    <row r="179" spans="3:3" x14ac:dyDescent="0.3">
      <c r="C179" t="s">
        <v>147</v>
      </c>
    </row>
    <row r="604" spans="3:3" x14ac:dyDescent="0.3">
      <c r="C604" t="s">
        <v>144</v>
      </c>
    </row>
  </sheetData>
  <mergeCells count="2">
    <mergeCell ref="F17:H17"/>
    <mergeCell ref="B19:H19"/>
  </mergeCells>
  <phoneticPr fontId="33" type="noConversion"/>
  <hyperlinks>
    <hyperlink ref="F5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9" workbookViewId="0">
      <selection activeCell="D16" sqref="D16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45966</v>
      </c>
    </row>
    <row r="6" spans="1:31" ht="16.2" thickBot="1" x14ac:dyDescent="0.35">
      <c r="B6" s="137" t="s">
        <v>2</v>
      </c>
      <c r="C6" s="136" t="str">
        <f>'2229'!C10</f>
        <v>ARIEL DURAN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40" t="s">
        <v>98</v>
      </c>
      <c r="I7" s="341"/>
      <c r="J7" s="341"/>
      <c r="K7" s="342"/>
      <c r="N7" s="72"/>
      <c r="O7" s="339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 t="str">
        <f>'2229'!D8</f>
        <v>N° 11733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39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-70915.63109323672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'2229'!H47</f>
        <v>538932.18060000008</v>
      </c>
      <c r="E11" s="129">
        <f>D11*0.19</f>
        <v>102397.11431400002</v>
      </c>
      <c r="F11" s="128">
        <f>E11+D11</f>
        <v>641329.29491400009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35074.36890676328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70898.996275362326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17074.36890676328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468033.18432463775</v>
      </c>
      <c r="E13" s="218">
        <f>(D11/D12)-1</f>
        <v>6.6014077619217453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8074.3689067632804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-30925.63109323672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134991.68890828989</v>
      </c>
      <c r="C15" s="210" t="s">
        <v>121</v>
      </c>
      <c r="D15" s="211">
        <v>0.6</v>
      </c>
      <c r="E15" s="212">
        <f>(100%+D15)*D12</f>
        <v>113438.39404057973</v>
      </c>
      <c r="F15" s="213">
        <f>E15-D12</f>
        <v>42539.397765217407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-30925.63109323672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9074.3689067632804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'2229'!O55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'2229'!O54</f>
        <v>0</v>
      </c>
      <c r="E19" s="120">
        <f>D19*0.19</f>
        <v>0</v>
      </c>
      <c r="F19" s="117">
        <f>SUM(D19:E19)</f>
        <v>0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'2229'!O53</f>
        <v>50920.086000000003</v>
      </c>
      <c r="E20" s="118">
        <f>D20*0.19</f>
        <v>9674.8163400000012</v>
      </c>
      <c r="F20" s="117">
        <f>SUM(D20:E20)</f>
        <v>60594.902340000001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50920.086000000003</v>
      </c>
      <c r="E21" s="113">
        <f>SUM(E18:E20)</f>
        <v>9674.8163400000012</v>
      </c>
      <c r="F21" s="112">
        <f>SUM(F18:F20)</f>
        <v>60594.902340000001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0.1</v>
      </c>
      <c r="F23" s="104">
        <f t="shared" ref="F23:F32" si="4">D23*E23</f>
        <v>260.86956521739131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0.1</v>
      </c>
      <c r="F24" s="95">
        <f t="shared" si="4"/>
        <v>260.86956521739131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>
        <v>0.1</v>
      </c>
      <c r="F25" s="95">
        <f t="shared" si="4"/>
        <v>463.768115942029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0.1</v>
      </c>
      <c r="F26" s="95">
        <f t="shared" si="4"/>
        <v>217.39130434782612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0.2</v>
      </c>
      <c r="F28" s="95">
        <f t="shared" si="4"/>
        <v>338.16425120772948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1</v>
      </c>
      <c r="F29" s="95">
        <f t="shared" si="4"/>
        <v>2415.4589371980674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2.1</v>
      </c>
      <c r="F33" s="82">
        <f>SUM(F23:F32)</f>
        <v>5115.942028985507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9944.1276666666672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9944.1276666666672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2.1</v>
      </c>
      <c r="I37" s="201">
        <f>32609.69/9</f>
        <v>3623.2988888888885</v>
      </c>
      <c r="J37" s="184" t="s">
        <v>45</v>
      </c>
      <c r="K37" s="146">
        <f>I37*H37</f>
        <v>7608.9276666666665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14862.968246376811</v>
      </c>
      <c r="H38" s="193">
        <f>$E$33</f>
        <v>2.1</v>
      </c>
      <c r="I38" s="171">
        <v>967</v>
      </c>
      <c r="J38" s="181" t="s">
        <v>43</v>
      </c>
      <c r="K38" s="86">
        <f>I38*H38</f>
        <v>2030.7</v>
      </c>
    </row>
    <row r="39" spans="2:16" ht="15" thickBot="1" x14ac:dyDescent="0.35">
      <c r="H39" s="197">
        <f>$E$33</f>
        <v>2.1</v>
      </c>
      <c r="I39" s="203">
        <v>145</v>
      </c>
      <c r="J39" s="182" t="s">
        <v>44</v>
      </c>
      <c r="K39" s="81">
        <f>I39*H39</f>
        <v>304.5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92722.297974000016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2" t="s">
        <v>46</v>
      </c>
      <c r="C42" s="72"/>
      <c r="D42" s="204">
        <f>E33</f>
        <v>2.1</v>
      </c>
      <c r="H42" s="74" t="s">
        <v>58</v>
      </c>
      <c r="I42" s="156" t="s">
        <v>57</v>
      </c>
      <c r="J42" s="157"/>
      <c r="K42" s="157"/>
      <c r="L42" s="158"/>
      <c r="M42" s="73">
        <f>D11</f>
        <v>538932.18060000008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50920.086000000003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5115.942028985507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14862.968246376811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468033.18432463775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468033.18432463775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2025-11-06T00:47:09Z</cp:lastPrinted>
  <dcterms:created xsi:type="dcterms:W3CDTF">2013-03-18T13:35:42Z</dcterms:created>
  <dcterms:modified xsi:type="dcterms:W3CDTF">2025-11-06T00:49:40Z</dcterms:modified>
</cp:coreProperties>
</file>