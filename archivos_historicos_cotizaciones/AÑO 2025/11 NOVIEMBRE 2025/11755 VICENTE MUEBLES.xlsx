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D8D6957B-1266-4DFB-8B35-57B1246AC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J15" i="1"/>
  <c r="J10" i="1"/>
  <c r="N21" i="1" l="1"/>
  <c r="M21" i="1" l="1"/>
  <c r="S21" i="1" s="1"/>
  <c r="M25" i="1" l="1"/>
  <c r="T21" i="1"/>
  <c r="T24" i="1" s="1"/>
  <c r="S26" i="1"/>
  <c r="O21" i="1"/>
  <c r="P21" i="1" s="1"/>
  <c r="P25" i="1" s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<sst xmlns="http://schemas.openxmlformats.org/spreadsheetml/2006/main" count="232" uniqueCount="176">
  <si>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</si>
  <si>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</si>
  <si>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</si>
  <si>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</si>
  <si>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</si>
  <si>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</si>
  <si>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</si>
  <si>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</si>
  <si>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</si>
  <si>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</si>
  <si>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</si>
  <si>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</si>
  <si>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</si>
  <si>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</si>
  <si>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</si>
  <si>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</si>
  <si>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</si>
  <si>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</si>
  <si>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</si>
  <si>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</si>
  <si>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</si>
  <si>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</si>
  <si>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</si>
  <si>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</si>
  <si>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</si>
  <si>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</si>
  <si>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</si>
  <si>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</si>
  <si>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</si>
  <si>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</si>
  <si>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</si>
  <si>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</si>
  <si>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</si>
  <si>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</si>
  <si>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</si>
  <si>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</si>
  <si>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</si>
  <si>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</si>
  <si>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</si>
  <si>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</si>
  <si>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</si>
  <si>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</si>
  <si>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</si>
  <si>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</si>
  <si>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</si>
  <si>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</si>
  <si>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</si>
  <si>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</si>
  <si>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</si>
  <si>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</si>
  <si>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</si>
  <si>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</si>
  <si>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</si>
  <si>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</si>
  <si>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</si>
  <si>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</si>
  <si>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</si>
  <si>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</si>
  <si>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</si>
  <si>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</si>
  <si>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</si>
  <si>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</si>
  <si>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</si>
  <si>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</si>
  <si>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</si>
  <si>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</si>
  <si>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</si>
  <si>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</si>
  <si>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</si>
  <si>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</si>
  <si>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</si>
  <si>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</si>
  <si>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</si>
  <si>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</si>
  <si>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</si>
  <si>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</si>
  <si>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</si>
  <si>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</si>
  <si>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</si>
  <si>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</si>
  <si>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</si>
  <si>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</si>
  <si>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</si>
  <si>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</si>
  <si>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</si>
  <si>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</si>
  <si>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</si>
  <si>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</si>
  <si>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</si>
  <si>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</si>
  <si>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</si>
  <si>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</si>
  <si>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</si>
  <si>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</si>
  <si>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</si>
  <si>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</si>
  <si>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</si>
  <si>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</si>
  <si>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</si>
  <si>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</si>
  <si>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</si>
  <si>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</si>
  <si>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</si>
  <si>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</si>
  <si>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</si>
  <si>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</si>
  <si>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</si>
  <si>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</si>
  <si>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</si>
  <si>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</si>
  <si>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</si>
  <si>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</si>
  <si>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</si>
  <si>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</si>
  <si>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</si>
  <si>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</si>
  <si>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</si>
  <si>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</si>
  <si>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</si>
  <si>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</si>
  <si>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</si>
  <si>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</si>
  <si>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</si>
  <si>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</si>
  <si>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</si>
  <si>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</si>
  <si>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</si>
  <si>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</si>
  <si>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</si>
  <si>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</si>
  <si>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</si>
  <si>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</si>
  <si>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</si>
  <si>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</si>
  <si>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</si>
  <si>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</si>
  <si>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</si>
  <si>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</si>
  <si>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</si>
  <si>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</si>
  <si>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</si>
  <si>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</si>
  <si>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</si>
  <si>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</si>
  <si>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</si>
  <si>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</si>
  <si>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</si>
  <si>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</si>
  <si>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</si>
  <si>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</si>
  <si>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</si>
  <si>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</si>
  <si>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</si>
  <si>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</si>
  <si>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</si>
  <si>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</si>
  <si>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</si>
  <si>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</si>
  <si>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</si>
  <si>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</si>
  <si>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</si>
  <si>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</si>
  <si>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</si>
  <si>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</si>
  <si>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</si>
  <si>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</si>
  <si>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</si>
  <si>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</si>
  <si>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</si>
  <si>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FCA DE MUEBLES</t>
  </si>
  <si>
    <t>CUB C/R 90° R8</t>
  </si>
  <si>
    <t>VICENTE MUEBLES</t>
  </si>
  <si>
    <t>MARTIN TEJEDA</t>
  </si>
  <si>
    <t>INDUSTRIAL CONCRETE 3127 MT</t>
  </si>
  <si>
    <t>N° 11755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</si>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</sst>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3" sqref="A23:XFD2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45975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169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172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56998250017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204082.64367816097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170</v>
      </c>
      <c r="D21" s="332">
        <v>0.64500000000000002</v>
      </c>
      <c r="E21" s="332">
        <v>0.45</v>
      </c>
      <c r="F21" s="329" t="s">
        <v>173</v>
      </c>
      <c r="G21" s="330">
        <v>69582</v>
      </c>
      <c r="H21" s="330">
        <f>G21*B21</f>
        <v>69582</v>
      </c>
      <c r="I21" s="319"/>
      <c r="J21" s="265"/>
      <c r="K21" s="47"/>
      <c r="L21" s="331">
        <v>1</v>
      </c>
      <c r="M21" s="39">
        <f>D21+M$19</f>
        <v>0.72499999999999998</v>
      </c>
      <c r="N21" s="39">
        <f>E21+$N$19</f>
        <v>0.45</v>
      </c>
      <c r="O21" s="261">
        <f t="shared" ref="O21" si="1">M21*N21</f>
        <v>0.32624999999999998</v>
      </c>
      <c r="P21" s="259">
        <f t="shared" ref="P21" si="2">O21*L21</f>
        <v>0.32624999999999998</v>
      </c>
      <c r="Q21" s="252">
        <f t="shared" ref="Q21" si="3">Q$20*O21</f>
        <v>66581.962500000009</v>
      </c>
      <c r="R21" s="318">
        <f t="shared" ref="R21" si="4">Q21+R$20</f>
        <v>69581.962500000009</v>
      </c>
      <c r="S21" s="297">
        <f>M21*L21</f>
        <v>0.72499999999999998</v>
      </c>
      <c r="T21" s="46">
        <f>M21*L21</f>
        <v>0.72499999999999998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69582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0.72499999999999998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13220.58</v>
      </c>
      <c r="I25" s="321"/>
      <c r="J25" s="265"/>
      <c r="K25" s="47"/>
      <c r="L25" s="47"/>
      <c r="M25" s="39">
        <f>SUM(M21:M24)</f>
        <v>0.72499999999999998</v>
      </c>
      <c r="N25" s="12"/>
      <c r="O25" s="12"/>
      <c r="P25" s="253">
        <f>SUM(P21:P23)</f>
        <v>0.32624999999999998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82802.58</v>
      </c>
      <c r="I26" s="321"/>
      <c r="J26" s="265"/>
      <c r="K26" s="47"/>
      <c r="L26" s="47"/>
      <c r="M26" s="39"/>
      <c r="N26" s="12"/>
      <c r="O26" s="12"/>
      <c r="P26" s="253">
        <f>P25</f>
        <v>0.32624999999999998</v>
      </c>
      <c r="Q26" s="14"/>
      <c r="R26" s="12"/>
      <c r="S26" s="239">
        <f>SUM(S21:S25)</f>
        <v>0.72499999999999998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6.5250000000000002E-2</v>
      </c>
      <c r="Q27" s="39" t="s">
        <v>130</v>
      </c>
      <c r="R27" s="42"/>
      <c r="S27" s="240">
        <f>S26+T24</f>
        <v>1.45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0.39149999999999996</v>
      </c>
      <c r="Q28" s="14"/>
      <c r="R28" s="14"/>
      <c r="S28" s="238">
        <f>S27*20%</f>
        <v>0.28999999999999998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1.74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0.39149999999999996</v>
      </c>
      <c r="N30" s="12">
        <v>3500</v>
      </c>
      <c r="O30" s="12">
        <f t="shared" ref="O30:O35" si="5">M30*N30</f>
        <v>1370.2499999999998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0.25</v>
      </c>
      <c r="N31" s="12">
        <v>23500</v>
      </c>
      <c r="O31" s="12">
        <f t="shared" si="5"/>
        <v>5875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35000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20000</v>
      </c>
      <c r="O33" s="12">
        <f t="shared" si="5"/>
        <v>20000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168</v>
      </c>
      <c r="K35" s="260">
        <v>38300</v>
      </c>
      <c r="L35" s="250"/>
      <c r="M35" s="266">
        <v>0.72499999999999998</v>
      </c>
      <c r="N35" s="12">
        <v>1500</v>
      </c>
      <c r="O35" s="12">
        <f t="shared" si="5"/>
        <v>1087.5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167</v>
      </c>
      <c r="K36" s="260">
        <v>31000</v>
      </c>
      <c r="L36" s="250"/>
      <c r="M36" s="14"/>
      <c r="N36" s="12"/>
      <c r="O36" s="12">
        <f>SUM(O30:O35)</f>
        <v>28332.75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49560</v>
      </c>
      <c r="L37" s="250"/>
      <c r="M37" s="254" t="s">
        <v>33</v>
      </c>
      <c r="N37" s="12"/>
      <c r="O37" s="255">
        <f>O36*2.35</f>
        <v>66581.962500000009</v>
      </c>
      <c r="P37" s="14" t="s">
        <v>140</v>
      </c>
      <c r="Q37" s="14"/>
      <c r="R37" s="40">
        <f>P28/R36</f>
        <v>0.10555974978429679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41647.058823529413</v>
      </c>
      <c r="L38" s="250"/>
      <c r="M38" s="14"/>
      <c r="N38" s="12"/>
      <c r="O38" s="12">
        <f>O37/P26</f>
        <v>204082.64367816097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2.35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45975</v>
      </c>
    </row>
    <row r="6" spans="2:31" ht="16.2" thickBot="1" x14ac:dyDescent="0.35">
      <c r="B6" s="140" t="s">
        <v>2</v>
      </c>
      <c r="C6" s="139" t="str">
        <f>'2229'!C10</f>
        <v>VICENTE MUEBLES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11755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-1400.1812834541063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69582</v>
      </c>
      <c r="E11" s="132">
        <f>D11*0.19</f>
        <v>13220.58</v>
      </c>
      <c r="F11" s="131">
        <f>E11+D11</f>
        <v>82802.58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104589.81871654589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37079.340787439614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86589.818716545895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32502.659212560386</v>
      </c>
      <c r="E13" s="221">
        <f>(D11/D12)-1</f>
        <v>0.87657057871887645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77589.818716545895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38589.818716545895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61180.912299275362</v>
      </c>
      <c r="F15" s="216">
        <f>E15-D12</f>
        <v>24101.571511835748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38589.818716545895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78589.818716545895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5875</v>
      </c>
      <c r="E19" s="123">
        <f>D19*0.19</f>
        <v>1116.25</v>
      </c>
      <c r="F19" s="120">
        <f>SUM(D19:E19)</f>
        <v>6991.25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1370.2499999999998</v>
      </c>
      <c r="E20" s="121">
        <f>D20*0.19</f>
        <v>260.34749999999997</v>
      </c>
      <c r="F20" s="120">
        <f>SUM(D20:E20)</f>
        <v>1630.5974999999999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7245.25</v>
      </c>
      <c r="E21" s="116">
        <f>SUM(E18:E20)</f>
        <v>1376.5974999999999</v>
      </c>
      <c r="F21" s="115">
        <f>SUM(F18:F20)</f>
        <v>8621.8474999999999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11843.9825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69582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7245.25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32502.659212560386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32502.659212560386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2025-11-14T18:28:26Z</dcterms:modified>
</cp:coreProperties>
</file>