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7AF6A020-1217-4B45-ACB4-A458869D49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M25" i="1"/>
  <c r="N25" i="1"/>
  <c r="O25" i="1"/>
  <c r="P25" i="1"/>
  <c r="Q25" i="1"/>
  <c r="R25" i="1" s="1"/>
  <c r="H22" i="1" l="1"/>
  <c r="H23" i="1"/>
  <c r="H24" i="1"/>
  <c r="M22" i="1" l="1"/>
  <c r="N22" i="1"/>
  <c r="M23" i="1"/>
  <c r="N23" i="1"/>
  <c r="M24" i="1"/>
  <c r="S24" i="1" s="1"/>
  <c r="N24" i="1"/>
  <c r="O22" i="1" l="1"/>
  <c r="P22" i="1" s="1"/>
  <c r="O23" i="1"/>
  <c r="P23" i="1" s="1"/>
  <c r="O24" i="1"/>
  <c r="P24" i="1" s="1"/>
  <c r="S23" i="1"/>
  <c r="S22" i="1"/>
  <c r="K27" i="1"/>
  <c r="M14" i="1"/>
  <c r="M16" i="1" s="1"/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8" i="1" l="1"/>
  <c r="S21" i="1"/>
  <c r="N21" i="1"/>
  <c r="T21" i="1" s="1"/>
  <c r="S28" i="1" l="1"/>
  <c r="T27" i="1"/>
  <c r="O21" i="1"/>
  <c r="P21" i="1" s="1"/>
  <c r="P28" i="1" s="1"/>
  <c r="S29" i="1" l="1"/>
  <c r="S30" i="1" s="1"/>
  <c r="S31" i="1" s="1"/>
  <c r="V35" i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8" i="1"/>
  <c r="O37" i="1"/>
  <c r="F18" i="3" l="1"/>
  <c r="O33" i="1" l="1"/>
  <c r="O39" i="1" s="1"/>
  <c r="O40" i="1" s="1"/>
  <c r="O41" i="1" l="1"/>
  <c r="D21" i="3"/>
  <c r="E21" i="3" s="1"/>
  <c r="E22" i="3" s="1"/>
  <c r="D22" i="3" l="1"/>
  <c r="M45" i="3" s="1"/>
  <c r="D12" i="3" s="1"/>
  <c r="E15" i="3" s="1"/>
  <c r="A15" i="3" s="1"/>
  <c r="F21" i="3"/>
  <c r="F22" i="3" s="1"/>
  <c r="Q22" i="1" l="1"/>
  <c r="R22" i="1" s="1"/>
  <c r="Q23" i="1"/>
  <c r="R23" i="1" s="1"/>
  <c r="Q24" i="1"/>
  <c r="R24" i="1" s="1"/>
  <c r="O42" i="1"/>
  <c r="Q21" i="1" l="1"/>
  <c r="F15" i="3"/>
  <c r="R21" i="1" l="1"/>
  <c r="H21" i="1" l="1"/>
  <c r="H27" i="1" l="1"/>
  <c r="H28" i="1" s="1"/>
  <c r="H29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<sst xmlns="http://schemas.openxmlformats.org/spreadsheetml/2006/main" count="243" uniqueCount="179">
  <si>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</si>
  <si>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</si>
  <si>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</si>
  <si>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</si>
  <si>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</si>
  <si>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</si>
  <si>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</si>
  <si>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</si>
  <si>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</si>
  <si>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</si>
  <si>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</si>
  <si>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</si>
  <si>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</si>
  <si>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</si>
  <si>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</si>
  <si>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</si>
  <si>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</si>
  <si>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</si>
  <si>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</si>
  <si>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</si>
  <si>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</si>
  <si>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</si>
  <si>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</si>
  <si>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</si>
  <si>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</si>
  <si>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</si>
  <si>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</si>
  <si>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</si>
  <si>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</si>
  <si>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</si>
  <si>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</si>
  <si>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</si>
  <si>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</si>
  <si>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</si>
  <si>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</si>
  <si>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</si>
  <si>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</si>
  <si>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</si>
  <si>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</si>
  <si>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</si>
  <si>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</si>
  <si>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</si>
  <si>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</si>
  <si>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</si>
  <si>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</si>
  <si>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</si>
  <si>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</si>
  <si>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</si>
  <si>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</si>
  <si>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</si>
  <si>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</si>
  <si>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</si>
  <si>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</si>
  <si>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</si>
  <si>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</si>
  <si>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</si>
  <si>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</si>
  <si>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</si>
  <si>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</si>
  <si>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</si>
  <si>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</si>
  <si>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</si>
  <si>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</si>
  <si>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</si>
  <si>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</si>
  <si>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</si>
  <si>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</si>
  <si>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</si>
  <si>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</si>
  <si>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</si>
  <si>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</si>
  <si>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</si>
  <si>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</si>
  <si>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</si>
  <si>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</si>
  <si>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</si>
  <si>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</si>
  <si>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</si>
  <si>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</si>
  <si>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</si>
  <si>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</si>
  <si>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</si>
  <si>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</si>
  <si>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</si>
  <si>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</si>
  <si>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</si>
  <si>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</si>
  <si>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</si>
  <si>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</si>
  <si>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</si>
  <si>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</si>
  <si>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</si>
  <si>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</si>
  <si>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</si>
  <si>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</si>
  <si>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</si>
  <si>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</si>
  <si>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</si>
  <si>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</si>
  <si>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</si>
  <si>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</si>
  <si>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</si>
  <si>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</si>
  <si>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</si>
  <si>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</si>
  <si>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</si>
  <si>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</si>
  <si>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</si>
  <si>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</si>
  <si>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</si>
  <si>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</si>
  <si>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</si>
  <si>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</si>
  <si>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</si>
  <si>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</si>
  <si>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</si>
  <si>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</si>
  <si>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</si>
  <si>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</si>
  <si>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</si>
  <si>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</si>
  <si>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</si>
  <si>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</si>
  <si>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</si>
  <si>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</si>
  <si>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</si>
  <si>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</si>
  <si>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</si>
  <si>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</si>
  <si>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</si>
  <si>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</si>
  <si>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</si>
  <si>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</si>
  <si>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</si>
  <si>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</si>
  <si>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</si>
  <si>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</si>
  <si>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</si>
  <si>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</si>
  <si>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</si>
  <si>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</si>
  <si>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</si>
  <si>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</si>
  <si>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</si>
  <si>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</si>
  <si>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</si>
  <si>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</si>
  <si>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</si>
  <si>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</si>
  <si>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</si>
  <si>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</si>
  <si>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</si>
  <si>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</si>
  <si>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</si>
  <si>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</si>
  <si>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</si>
  <si>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</si>
  <si>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</si>
  <si>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</si>
  <si>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</si>
  <si>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</si>
  <si>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</si>
  <si>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</si>
  <si>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</si>
  <si>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</si>
  <si>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</si>
  <si>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</si>
  <si>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</si>
  <si>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</si>
  <si>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 xml:space="preserve">10 DIAS HABILES </t>
  </si>
  <si>
    <t>BALANCE</t>
  </si>
  <si>
    <r>
      <t xml:space="preserve">CUENTA CORRIENTE BANCO BCI Nº 13738810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</si>
  <si>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N° 11730</t>
  </si>
  <si>
    <t>GRUPO VITAL</t>
  </si>
  <si>
    <t>CECILIA ROMAN</t>
  </si>
  <si>
    <t>+56 9 91950110</t>
  </si>
  <si>
    <t>SANTIAGO</t>
  </si>
  <si>
    <t>CENEFA 2V R6</t>
  </si>
  <si>
    <t>X DEFINIR 0,6MM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</si>
</sst>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2" fontId="30" fillId="0" borderId="0" xfId="8" applyFont="1" applyFill="1" applyBorder="1"/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0" fontId="37" fillId="20" borderId="2" xfId="0" applyFont="1" applyFill="1" applyBorder="1" applyAlignment="1">
      <alignment horizontal="left" indent="1"/>
    </xf>
    <xf numFmtId="0" fontId="38" fillId="20" borderId="9" xfId="0" applyFont="1" applyFill="1" applyBorder="1"/>
    <xf numFmtId="0" fontId="37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1" xfId="0" applyFont="1" applyBorder="1" applyAlignment="1">
      <alignment horizontal="center" vertical="center"/>
    </xf>
    <xf numFmtId="42" fontId="30" fillId="18" borderId="27" xfId="8" applyFont="1" applyFill="1" applyBorder="1"/>
    <xf numFmtId="42" fontId="30" fillId="17" borderId="20" xfId="8" applyFont="1" applyFill="1" applyBorder="1"/>
    <xf numFmtId="42" fontId="30" fillId="18" borderId="29" xfId="8" applyFont="1" applyFill="1" applyBorder="1"/>
    <xf numFmtId="0" fontId="39" fillId="0" borderId="1" xfId="0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29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166" fontId="29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7" fontId="11" fillId="0" borderId="57" xfId="2" applyNumberFormat="1" applyFont="1" applyFill="1" applyBorder="1" applyAlignment="1">
      <alignment horizontal="center" vertical="center"/>
    </xf>
    <xf numFmtId="167" fontId="11" fillId="0" borderId="15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CLIENTE APORTA SUSTRATO Y LAMINADO</a:t>
          </a:r>
          <a:r>
            <a:rPr lang="es-CL" sz="1200" b="1" baseline="0"/>
            <a:t> 06MM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DE MAQUILA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3</xdr:col>
      <xdr:colOff>43307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3" zoomScale="93" zoomScaleNormal="93" workbookViewId="0">
      <selection activeCell="J25" sqref="J25"/>
    </sheetView>
  </sheetViews>
  <sheetFormatPr baseColWidth="10" defaultRowHeight="14.4" x14ac:dyDescent="0.3"/>
  <cols>
    <col min="1" max="1" width="6" customWidth="1"/>
    <col min="2" max="2" width="10.5546875" customWidth="1"/>
    <col min="3" max="3" width="28.1093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136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132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137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156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119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1" t="s">
        <v>121</v>
      </c>
      <c r="C8" s="332"/>
      <c r="D8" s="333" t="s">
        <v>172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154</v>
      </c>
      <c r="C10" s="236" t="s">
        <v>173</v>
      </c>
      <c r="D10" s="236"/>
      <c r="E10" s="236"/>
      <c r="F10" s="237" t="s">
        <v>161</v>
      </c>
      <c r="G10" s="268">
        <v>45959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4"/>
      <c r="F11" t="s">
        <v>160</v>
      </c>
      <c r="G11" s="295" t="s">
        <v>169</v>
      </c>
      <c r="H11" s="277"/>
      <c r="Q11" s="19"/>
      <c r="R11" s="22" t="s">
        <v>18</v>
      </c>
      <c r="S11" s="19"/>
    </row>
    <row r="12" spans="2:24" x14ac:dyDescent="0.3">
      <c r="B12" s="239" t="s">
        <v>138</v>
      </c>
      <c r="C12" s="296"/>
      <c r="D12" s="297"/>
      <c r="E12" s="297"/>
      <c r="F12" s="297" t="s">
        <v>122</v>
      </c>
      <c r="G12" s="298" t="s">
        <v>129</v>
      </c>
      <c r="H12" s="240"/>
      <c r="M12">
        <v>1.22</v>
      </c>
      <c r="Q12" s="19"/>
      <c r="R12" s="22"/>
      <c r="S12" s="19"/>
    </row>
    <row r="13" spans="2:24" x14ac:dyDescent="0.3">
      <c r="B13" s="276" t="s">
        <v>139</v>
      </c>
      <c r="C13" t="s">
        <v>174</v>
      </c>
      <c r="F13" t="s">
        <v>159</v>
      </c>
      <c r="G13" s="299" t="s">
        <v>129</v>
      </c>
      <c r="H13" s="277"/>
      <c r="M13">
        <v>3.05</v>
      </c>
      <c r="Q13" s="19"/>
      <c r="R13" s="22"/>
      <c r="S13" s="19"/>
    </row>
    <row r="14" spans="2:24" x14ac:dyDescent="0.3">
      <c r="B14" s="239" t="s">
        <v>133</v>
      </c>
      <c r="C14" s="334"/>
      <c r="D14" s="297"/>
      <c r="E14" s="297"/>
      <c r="F14" s="297" t="s">
        <v>130</v>
      </c>
      <c r="G14" s="300" t="s">
        <v>129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1" t="s">
        <v>175</v>
      </c>
      <c r="D15" s="302"/>
      <c r="F15" t="s">
        <v>162</v>
      </c>
      <c r="G15" s="303" t="s">
        <v>129</v>
      </c>
      <c r="H15" s="277"/>
      <c r="M15">
        <v>27</v>
      </c>
    </row>
    <row r="16" spans="2:24" ht="16.8" x14ac:dyDescent="0.4">
      <c r="B16" s="290" t="s">
        <v>3</v>
      </c>
      <c r="C16" s="304"/>
      <c r="D16" s="297"/>
      <c r="E16" s="297"/>
      <c r="F16" s="305" t="s">
        <v>124</v>
      </c>
      <c r="G16" s="306" t="s">
        <v>155</v>
      </c>
      <c r="H16" s="240"/>
      <c r="M16">
        <f>M15/M14</f>
        <v>7.2561139478634784</v>
      </c>
    </row>
    <row r="17" spans="2:25" ht="15" thickBot="1" x14ac:dyDescent="0.35">
      <c r="B17" s="287" t="s">
        <v>13</v>
      </c>
      <c r="C17" s="288" t="s">
        <v>176</v>
      </c>
      <c r="D17" s="289"/>
      <c r="E17" s="113"/>
      <c r="F17" s="342" t="s">
        <v>157</v>
      </c>
      <c r="G17" s="342"/>
      <c r="H17" s="343"/>
      <c r="I17" s="255"/>
      <c r="J17" s="255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44" t="s">
        <v>91</v>
      </c>
      <c r="C19" s="345"/>
      <c r="D19" s="345"/>
      <c r="E19" s="345"/>
      <c r="F19" s="345"/>
      <c r="G19" s="345"/>
      <c r="H19" s="346"/>
      <c r="I19" s="256"/>
      <c r="J19" s="256"/>
      <c r="K19" s="5"/>
      <c r="L19" s="242"/>
      <c r="M19" s="14">
        <v>0.04</v>
      </c>
      <c r="N19" s="14"/>
      <c r="O19" s="14"/>
      <c r="P19" s="243" t="s">
        <v>6</v>
      </c>
      <c r="Q19" s="33" t="s">
        <v>20</v>
      </c>
      <c r="R19" s="34" t="s">
        <v>128</v>
      </c>
      <c r="S19" s="10" t="s">
        <v>131</v>
      </c>
      <c r="U19" s="9"/>
      <c r="V19" s="9"/>
      <c r="X19" s="6"/>
      <c r="Y19" s="6"/>
    </row>
    <row r="20" spans="2:25" ht="17.399999999999999" x14ac:dyDescent="0.3">
      <c r="B20" s="309" t="s">
        <v>7</v>
      </c>
      <c r="C20" s="310" t="s">
        <v>1</v>
      </c>
      <c r="D20" s="310" t="s">
        <v>126</v>
      </c>
      <c r="E20" s="310" t="s">
        <v>11</v>
      </c>
      <c r="F20" s="310" t="s">
        <v>8</v>
      </c>
      <c r="G20" s="310" t="s">
        <v>5</v>
      </c>
      <c r="H20" s="311" t="s">
        <v>6</v>
      </c>
      <c r="I20" s="257"/>
      <c r="J20" s="257"/>
      <c r="K20" s="44"/>
      <c r="L20" s="260" t="str">
        <f>B20</f>
        <v>UNIDAD</v>
      </c>
      <c r="M20" s="259" t="s">
        <v>126</v>
      </c>
      <c r="N20" s="36" t="str">
        <f>E20</f>
        <v>ANCHO</v>
      </c>
      <c r="O20" s="253" t="s">
        <v>127</v>
      </c>
      <c r="P20" s="251" t="s">
        <v>16</v>
      </c>
      <c r="Q20" s="244">
        <v>30000</v>
      </c>
      <c r="R20" s="250">
        <v>3000</v>
      </c>
      <c r="S20" s="35"/>
      <c r="T20" s="14" t="s">
        <v>123</v>
      </c>
      <c r="U20" s="9"/>
      <c r="X20" s="4"/>
    </row>
    <row r="21" spans="2:25" ht="17.399999999999999" x14ac:dyDescent="0.3">
      <c r="B21" s="335">
        <v>1</v>
      </c>
      <c r="C21" s="339" t="s">
        <v>177</v>
      </c>
      <c r="D21" s="340">
        <v>2.4</v>
      </c>
      <c r="E21" s="340">
        <v>0.09</v>
      </c>
      <c r="F21" s="144" t="s">
        <v>178</v>
      </c>
      <c r="G21" s="341">
        <v>6588</v>
      </c>
      <c r="H21" s="341">
        <f>G21*B21</f>
        <v>6588</v>
      </c>
      <c r="I21" s="292"/>
      <c r="J21" s="257"/>
      <c r="K21" s="44"/>
      <c r="L21" s="44">
        <v>1</v>
      </c>
      <c r="M21" s="36">
        <f>D21+M$19</f>
        <v>2.44</v>
      </c>
      <c r="N21" s="36">
        <f>E21+$N$19</f>
        <v>0.09</v>
      </c>
      <c r="O21" s="253">
        <f t="shared" ref="O21" si="0">M21*N21</f>
        <v>0.21959999999999999</v>
      </c>
      <c r="P21" s="251">
        <f t="shared" ref="P21" si="1">O21*L21</f>
        <v>0.21959999999999999</v>
      </c>
      <c r="Q21" s="244">
        <f t="shared" ref="Q21" si="2">Q$20*O21</f>
        <v>6588</v>
      </c>
      <c r="R21" s="291">
        <f t="shared" ref="R21" si="3">Q21+R$20</f>
        <v>9588</v>
      </c>
      <c r="S21" s="279">
        <f>M21*L21*2</f>
        <v>4.88</v>
      </c>
      <c r="T21" s="43">
        <f>N21*2*L21*2</f>
        <v>0.36</v>
      </c>
      <c r="U21" s="9"/>
      <c r="X21" s="4"/>
    </row>
    <row r="22" spans="2:25" ht="17.399999999999999" x14ac:dyDescent="0.3">
      <c r="B22" s="335">
        <v>1</v>
      </c>
      <c r="C22" s="339" t="s">
        <v>177</v>
      </c>
      <c r="D22" s="340">
        <v>2.4</v>
      </c>
      <c r="E22" s="340">
        <v>0.1</v>
      </c>
      <c r="F22" s="144" t="s">
        <v>178</v>
      </c>
      <c r="G22" s="341">
        <v>7320</v>
      </c>
      <c r="H22" s="341">
        <f>G22*B22</f>
        <v>7320</v>
      </c>
      <c r="I22" s="292"/>
      <c r="J22" s="257"/>
      <c r="K22" s="44"/>
      <c r="L22" s="44">
        <v>1</v>
      </c>
      <c r="M22" s="36">
        <f>D22+M$19</f>
        <v>2.44</v>
      </c>
      <c r="N22" s="36">
        <f>E22+$N$19</f>
        <v>0.1</v>
      </c>
      <c r="O22" s="253">
        <f t="shared" ref="O22:O24" si="4">M22*N22</f>
        <v>0.24399999999999999</v>
      </c>
      <c r="P22" s="251">
        <f t="shared" ref="P22:P24" si="5">O22*L22</f>
        <v>0.24399999999999999</v>
      </c>
      <c r="Q22" s="244">
        <f t="shared" ref="Q22:Q24" si="6">Q$20*O22</f>
        <v>7320</v>
      </c>
      <c r="R22" s="291">
        <f t="shared" ref="R22:R24" si="7">Q22+R$20</f>
        <v>10320</v>
      </c>
      <c r="S22" s="279">
        <f t="shared" ref="S22:S24" si="8">M22*L22*2</f>
        <v>4.88</v>
      </c>
      <c r="T22" s="43"/>
      <c r="U22" s="9"/>
      <c r="X22" s="4"/>
    </row>
    <row r="23" spans="2:25" ht="17.399999999999999" x14ac:dyDescent="0.3">
      <c r="B23" s="335">
        <v>1</v>
      </c>
      <c r="C23" s="339" t="s">
        <v>177</v>
      </c>
      <c r="D23" s="340">
        <v>2.4</v>
      </c>
      <c r="E23" s="340">
        <v>9.5000000000000001E-2</v>
      </c>
      <c r="F23" s="144" t="s">
        <v>178</v>
      </c>
      <c r="G23" s="341">
        <v>6954</v>
      </c>
      <c r="H23" s="341">
        <f>G23*B23</f>
        <v>6954</v>
      </c>
      <c r="I23" s="292"/>
      <c r="J23" s="257"/>
      <c r="K23" s="44"/>
      <c r="L23" s="44">
        <v>1</v>
      </c>
      <c r="M23" s="36">
        <f>D23+M$19</f>
        <v>2.44</v>
      </c>
      <c r="N23" s="36">
        <f>E23+$N$19</f>
        <v>9.5000000000000001E-2</v>
      </c>
      <c r="O23" s="253">
        <f t="shared" si="4"/>
        <v>0.23180000000000001</v>
      </c>
      <c r="P23" s="251">
        <f t="shared" si="5"/>
        <v>0.23180000000000001</v>
      </c>
      <c r="Q23" s="244">
        <f t="shared" si="6"/>
        <v>6954</v>
      </c>
      <c r="R23" s="291">
        <f t="shared" si="7"/>
        <v>9954</v>
      </c>
      <c r="S23" s="279">
        <f t="shared" si="8"/>
        <v>4.88</v>
      </c>
      <c r="T23" s="43"/>
      <c r="U23" s="9"/>
      <c r="X23" s="4"/>
    </row>
    <row r="24" spans="2:25" ht="17.399999999999999" x14ac:dyDescent="0.3">
      <c r="B24" s="335">
        <v>1</v>
      </c>
      <c r="C24" s="339" t="s">
        <v>177</v>
      </c>
      <c r="D24" s="340">
        <v>2.4</v>
      </c>
      <c r="E24" s="340">
        <v>0.03</v>
      </c>
      <c r="F24" s="144" t="s">
        <v>178</v>
      </c>
      <c r="G24" s="341">
        <v>2196</v>
      </c>
      <c r="H24" s="341">
        <f>G24*B24</f>
        <v>2196</v>
      </c>
      <c r="I24" s="292"/>
      <c r="J24" s="257"/>
      <c r="K24" s="44"/>
      <c r="L24" s="44">
        <v>1</v>
      </c>
      <c r="M24" s="36">
        <f>D24+M$19</f>
        <v>2.44</v>
      </c>
      <c r="N24" s="36">
        <f>E24+$N$19</f>
        <v>0.03</v>
      </c>
      <c r="O24" s="253">
        <f t="shared" si="4"/>
        <v>7.3200000000000001E-2</v>
      </c>
      <c r="P24" s="251">
        <f t="shared" si="5"/>
        <v>7.3200000000000001E-2</v>
      </c>
      <c r="Q24" s="244">
        <f t="shared" si="6"/>
        <v>2196</v>
      </c>
      <c r="R24" s="291">
        <f t="shared" si="7"/>
        <v>5196</v>
      </c>
      <c r="S24" s="279">
        <f t="shared" si="8"/>
        <v>4.88</v>
      </c>
      <c r="T24" s="43"/>
      <c r="U24" s="9"/>
      <c r="X24" s="4"/>
    </row>
    <row r="25" spans="2:25" ht="17.399999999999999" x14ac:dyDescent="0.3">
      <c r="B25" s="335">
        <v>1</v>
      </c>
      <c r="C25" s="339" t="s">
        <v>177</v>
      </c>
      <c r="D25" s="340">
        <v>2.4</v>
      </c>
      <c r="E25" s="340">
        <v>0.06</v>
      </c>
      <c r="F25" s="144" t="s">
        <v>178</v>
      </c>
      <c r="G25" s="341">
        <v>4392</v>
      </c>
      <c r="H25" s="341">
        <f>G25*B25</f>
        <v>4392</v>
      </c>
      <c r="I25" s="292"/>
      <c r="J25" s="257"/>
      <c r="K25" s="44"/>
      <c r="L25" s="44">
        <v>2</v>
      </c>
      <c r="M25" s="36">
        <f>D25+M$19</f>
        <v>2.44</v>
      </c>
      <c r="N25" s="36">
        <f>E25+$N$19</f>
        <v>0.06</v>
      </c>
      <c r="O25" s="253">
        <f t="shared" ref="O25" si="9">M25*N25</f>
        <v>0.1464</v>
      </c>
      <c r="P25" s="251">
        <f t="shared" ref="P25" si="10">O25*L25</f>
        <v>0.2928</v>
      </c>
      <c r="Q25" s="244">
        <f t="shared" ref="Q25" si="11">Q$20*O25</f>
        <v>4392</v>
      </c>
      <c r="R25" s="291">
        <f t="shared" ref="R25" si="12">Q25+R$20</f>
        <v>7392</v>
      </c>
      <c r="S25" s="279"/>
      <c r="T25" s="43"/>
      <c r="U25" s="9"/>
      <c r="X25" s="4"/>
    </row>
    <row r="26" spans="2:25" ht="18" thickBot="1" x14ac:dyDescent="0.35">
      <c r="B26" s="355"/>
      <c r="C26" s="356"/>
      <c r="D26" s="357"/>
      <c r="E26" s="357"/>
      <c r="F26" s="358"/>
      <c r="G26" s="360"/>
      <c r="H26" s="359"/>
      <c r="I26" s="292"/>
      <c r="J26" s="257"/>
      <c r="K26" s="44"/>
      <c r="L26" s="44"/>
      <c r="M26" s="36"/>
      <c r="N26" s="36"/>
      <c r="O26" s="253"/>
      <c r="P26" s="251"/>
      <c r="Q26" s="244"/>
      <c r="R26" s="291"/>
      <c r="S26" s="279"/>
      <c r="T26" s="43"/>
      <c r="U26" s="9"/>
      <c r="X26" s="4"/>
    </row>
    <row r="27" spans="2:25" ht="17.399999999999999" x14ac:dyDescent="0.3">
      <c r="B27" s="274"/>
      <c r="C27" s="274"/>
      <c r="D27" s="275"/>
      <c r="E27" s="275"/>
      <c r="F27" s="274"/>
      <c r="G27" s="330" t="s">
        <v>28</v>
      </c>
      <c r="H27" s="336">
        <f>SUM(H21:H25)</f>
        <v>27450</v>
      </c>
      <c r="I27" s="293"/>
      <c r="J27" s="325"/>
      <c r="K27" s="307" t="e">
        <f>#REF!/1.19</f>
        <v>#REF!</v>
      </c>
      <c r="L27" s="44"/>
      <c r="M27" s="36"/>
      <c r="N27" s="36"/>
      <c r="O27" s="253"/>
      <c r="P27" s="251"/>
      <c r="Q27" s="244"/>
      <c r="R27" s="250"/>
      <c r="S27" s="279"/>
      <c r="T27" s="43">
        <f>SUM(T21:T25)</f>
        <v>0.36</v>
      </c>
      <c r="U27" s="9"/>
      <c r="X27" s="4"/>
    </row>
    <row r="28" spans="2:25" ht="17.399999999999999" x14ac:dyDescent="0.3">
      <c r="B28" s="269"/>
      <c r="C28" s="271"/>
      <c r="D28" s="272"/>
      <c r="E28" s="272"/>
      <c r="F28" s="273"/>
      <c r="G28" s="326" t="s">
        <v>50</v>
      </c>
      <c r="H28" s="337">
        <f>H27*0.19</f>
        <v>5215.5</v>
      </c>
      <c r="I28" s="293"/>
      <c r="J28" s="257"/>
      <c r="K28" s="307"/>
      <c r="L28" s="44"/>
      <c r="M28" s="36">
        <f>SUM(M21:M21)</f>
        <v>2.44</v>
      </c>
      <c r="N28" s="12"/>
      <c r="O28" s="12"/>
      <c r="P28" s="245">
        <f>SUM(P21:P25)</f>
        <v>1.0614000000000001</v>
      </c>
      <c r="Q28" s="14"/>
      <c r="R28" s="12"/>
      <c r="S28" s="232">
        <f>SUM(S21:S27)</f>
        <v>19.52</v>
      </c>
      <c r="T28" s="43"/>
      <c r="U28" s="9"/>
      <c r="X28" s="4"/>
    </row>
    <row r="29" spans="2:25" ht="18" thickBot="1" x14ac:dyDescent="0.35">
      <c r="B29" s="267"/>
      <c r="C29" s="270"/>
      <c r="D29" s="264"/>
      <c r="E29" s="264"/>
      <c r="F29" s="265"/>
      <c r="G29" s="327" t="s">
        <v>6</v>
      </c>
      <c r="H29" s="338">
        <f>H28+H27</f>
        <v>32665.5</v>
      </c>
      <c r="I29" s="293"/>
      <c r="J29" s="257"/>
      <c r="K29" s="307"/>
      <c r="L29" s="44"/>
      <c r="M29" s="36"/>
      <c r="N29" s="12"/>
      <c r="O29" s="12"/>
      <c r="P29" s="245">
        <f>P28</f>
        <v>1.0614000000000001</v>
      </c>
      <c r="Q29" s="14"/>
      <c r="R29" s="12"/>
      <c r="S29" s="232">
        <f>S28+T27</f>
        <v>19.88</v>
      </c>
      <c r="T29" s="43"/>
      <c r="U29" s="9"/>
      <c r="X29" s="4"/>
    </row>
    <row r="30" spans="2:25" ht="17.399999999999999" x14ac:dyDescent="0.3">
      <c r="B30" s="267"/>
      <c r="C30" s="263"/>
      <c r="D30" s="264"/>
      <c r="E30" s="264"/>
      <c r="F30" s="265"/>
      <c r="J30" s="257"/>
      <c r="K30" s="307"/>
      <c r="L30" s="44"/>
      <c r="M30" s="14"/>
      <c r="N30" s="12"/>
      <c r="O30" s="12"/>
      <c r="P30" s="36">
        <f>P29*20%</f>
        <v>0.21228000000000002</v>
      </c>
      <c r="Q30" s="36" t="s">
        <v>125</v>
      </c>
      <c r="R30" s="39"/>
      <c r="S30" s="233">
        <f>S29*20%</f>
        <v>3.976</v>
      </c>
      <c r="T30" s="14"/>
      <c r="U30" s="9"/>
      <c r="X30" s="4"/>
    </row>
    <row r="31" spans="2:25" ht="17.399999999999999" x14ac:dyDescent="0.35">
      <c r="B31" s="261"/>
      <c r="C31" s="223"/>
      <c r="D31" s="223"/>
      <c r="E31" s="226"/>
      <c r="F31" s="227"/>
      <c r="G31" s="223"/>
      <c r="H31" s="266"/>
      <c r="I31" s="266"/>
      <c r="J31" s="257"/>
      <c r="K31" s="44"/>
      <c r="L31" s="44"/>
      <c r="M31" s="14"/>
      <c r="N31" s="12"/>
      <c r="O31" s="12"/>
      <c r="P31" s="43">
        <f>P29+P30</f>
        <v>1.2736800000000001</v>
      </c>
      <c r="Q31" s="14"/>
      <c r="R31" s="14"/>
      <c r="S31" s="232">
        <f>S29+S30</f>
        <v>23.855999999999998</v>
      </c>
      <c r="T31" s="14"/>
      <c r="U31" s="9"/>
      <c r="X31" s="4"/>
    </row>
    <row r="32" spans="2:25" ht="17.399999999999999" x14ac:dyDescent="0.35">
      <c r="B32" s="228"/>
      <c r="C32" s="229"/>
      <c r="D32" s="230"/>
      <c r="E32" s="228"/>
      <c r="F32" s="223"/>
      <c r="G32" s="223"/>
      <c r="I32" s="266"/>
      <c r="J32" s="257"/>
      <c r="K32" s="44"/>
      <c r="L32" s="44"/>
      <c r="M32" s="14"/>
      <c r="N32" s="14"/>
      <c r="O32" s="14"/>
      <c r="P32" s="14"/>
      <c r="Q32" s="14"/>
      <c r="R32" s="14"/>
      <c r="S32" s="233"/>
      <c r="T32" s="14"/>
      <c r="U32" s="283" t="s">
        <v>21</v>
      </c>
      <c r="V32" s="280" t="s">
        <v>144</v>
      </c>
      <c r="W32" s="284">
        <v>44971</v>
      </c>
      <c r="X32" s="285"/>
    </row>
    <row r="33" spans="1:24" ht="17.399999999999999" x14ac:dyDescent="0.35">
      <c r="B33" s="223"/>
      <c r="C33" s="223"/>
      <c r="D33" s="223"/>
      <c r="E33" s="223"/>
      <c r="F33" s="223"/>
      <c r="G33" s="223"/>
      <c r="J33" s="257"/>
      <c r="K33" s="44"/>
      <c r="L33" s="44"/>
      <c r="M33" s="36">
        <f>P31</f>
        <v>1.2736800000000001</v>
      </c>
      <c r="N33" s="12">
        <v>3500</v>
      </c>
      <c r="O33" s="12">
        <f t="shared" ref="O33:O38" si="13">M33*N33</f>
        <v>4457.88</v>
      </c>
      <c r="P33" s="14" t="s">
        <v>21</v>
      </c>
      <c r="Q33" s="14"/>
      <c r="R33" s="14"/>
      <c r="S33" s="234"/>
      <c r="T33" s="14"/>
      <c r="U33" s="283" t="s">
        <v>145</v>
      </c>
      <c r="V33" s="280">
        <v>3625</v>
      </c>
      <c r="W33" s="56" t="s">
        <v>146</v>
      </c>
      <c r="X33" s="285"/>
    </row>
    <row r="34" spans="1:24" ht="17.399999999999999" x14ac:dyDescent="0.35">
      <c r="A34" s="223"/>
      <c r="B34" s="223"/>
      <c r="C34" s="223"/>
      <c r="D34" s="223"/>
      <c r="E34" s="223"/>
      <c r="F34" s="223"/>
      <c r="G34" s="223"/>
      <c r="H34" s="223"/>
      <c r="J34" s="257"/>
      <c r="K34" s="44"/>
      <c r="L34" s="44"/>
      <c r="M34" s="241">
        <v>2</v>
      </c>
      <c r="N34" s="12">
        <v>40000</v>
      </c>
      <c r="O34" s="12">
        <f t="shared" si="13"/>
        <v>80000</v>
      </c>
      <c r="P34" s="36" t="s">
        <v>30</v>
      </c>
      <c r="Q34" s="39"/>
      <c r="R34" s="14"/>
      <c r="S34" s="233"/>
      <c r="T34" s="14"/>
      <c r="U34" s="283"/>
      <c r="V34" s="56">
        <v>906.25</v>
      </c>
      <c r="W34" s="56" t="s">
        <v>147</v>
      </c>
      <c r="X34" s="285"/>
    </row>
    <row r="35" spans="1:24" s="223" customFormat="1" ht="17.399999999999999" x14ac:dyDescent="0.35">
      <c r="B35" s="21" t="s">
        <v>171</v>
      </c>
      <c r="J35" s="254"/>
      <c r="K35" s="225"/>
      <c r="L35" s="242"/>
      <c r="M35" s="14"/>
      <c r="N35" s="242">
        <v>16000</v>
      </c>
      <c r="O35" s="12">
        <f t="shared" si="13"/>
        <v>0</v>
      </c>
      <c r="P35" s="36" t="s">
        <v>170</v>
      </c>
      <c r="Q35" s="39"/>
      <c r="S35" s="233"/>
      <c r="T35" s="248"/>
      <c r="U35" s="56"/>
      <c r="V35" s="56">
        <f>V34*20%</f>
        <v>181.25</v>
      </c>
      <c r="W35" s="285" t="s">
        <v>148</v>
      </c>
      <c r="X35" s="56"/>
    </row>
    <row r="36" spans="1:24" s="223" customFormat="1" ht="17.399999999999999" x14ac:dyDescent="0.35">
      <c r="B36" s="21" t="s">
        <v>158</v>
      </c>
      <c r="C36"/>
      <c r="D36"/>
      <c r="E36"/>
      <c r="F36"/>
      <c r="J36" s="254"/>
      <c r="K36" s="225"/>
      <c r="L36" s="242"/>
      <c r="M36" s="14">
        <v>3</v>
      </c>
      <c r="N36" s="242">
        <v>25000</v>
      </c>
      <c r="O36" s="12">
        <f t="shared" si="13"/>
        <v>75000</v>
      </c>
      <c r="P36" s="14" t="s">
        <v>135</v>
      </c>
      <c r="Q36" s="17"/>
      <c r="S36" s="231"/>
      <c r="T36" s="248"/>
      <c r="U36" s="56"/>
      <c r="V36" s="56">
        <f>V34+V35</f>
        <v>1087.5</v>
      </c>
      <c r="W36" s="285" t="s">
        <v>149</v>
      </c>
      <c r="X36" s="56"/>
    </row>
    <row r="37" spans="1:24" s="223" customFormat="1" ht="17.399999999999999" x14ac:dyDescent="0.35">
      <c r="B37" s="26" t="s">
        <v>120</v>
      </c>
      <c r="C37"/>
      <c r="D37"/>
      <c r="E37"/>
      <c r="F37" s="222" t="s">
        <v>15</v>
      </c>
      <c r="J37" s="254"/>
      <c r="K37" s="252"/>
      <c r="L37" s="242"/>
      <c r="M37" s="241"/>
      <c r="N37" s="242">
        <v>900</v>
      </c>
      <c r="O37" s="12">
        <f t="shared" si="13"/>
        <v>0</v>
      </c>
      <c r="P37" s="14" t="s">
        <v>31</v>
      </c>
      <c r="Q37" s="14"/>
      <c r="R37" s="223">
        <v>1.52</v>
      </c>
      <c r="S37" s="231"/>
      <c r="T37" s="231"/>
    </row>
    <row r="38" spans="1:24" s="223" customFormat="1" ht="17.399999999999999" x14ac:dyDescent="0.35">
      <c r="J38" s="278"/>
      <c r="K38" s="252"/>
      <c r="L38" s="242"/>
      <c r="M38" s="258"/>
      <c r="N38" s="12">
        <v>1500</v>
      </c>
      <c r="O38" s="12">
        <f t="shared" si="13"/>
        <v>0</v>
      </c>
      <c r="P38" s="14" t="s">
        <v>22</v>
      </c>
      <c r="Q38" s="14"/>
      <c r="R38">
        <v>2.44</v>
      </c>
      <c r="S38"/>
      <c r="T38" s="231"/>
      <c r="X38" s="224"/>
    </row>
    <row r="39" spans="1:24" s="223" customFormat="1" ht="17.399999999999999" x14ac:dyDescent="0.35">
      <c r="K39" s="252"/>
      <c r="L39" s="242"/>
      <c r="M39" s="14"/>
      <c r="N39" s="12"/>
      <c r="O39" s="12">
        <f>SUM(O33:O38)</f>
        <v>159457.88</v>
      </c>
      <c r="P39" s="36" t="s">
        <v>23</v>
      </c>
      <c r="Q39" s="14"/>
      <c r="R39">
        <f>R37*R38</f>
        <v>3.7088000000000001</v>
      </c>
      <c r="S39"/>
      <c r="T39" s="231"/>
      <c r="X39" s="224"/>
    </row>
    <row r="40" spans="1:24" s="223" customFormat="1" ht="17.399999999999999" x14ac:dyDescent="0.35">
      <c r="L40" s="242"/>
      <c r="M40" s="246" t="s">
        <v>32</v>
      </c>
      <c r="N40" s="12"/>
      <c r="O40" s="247">
        <f>O39*2.1</f>
        <v>334861.54800000001</v>
      </c>
      <c r="P40" s="14" t="s">
        <v>134</v>
      </c>
      <c r="Q40" s="14"/>
      <c r="R40" s="37">
        <f>P31/R39</f>
        <v>0.34342105263157896</v>
      </c>
      <c r="S40"/>
      <c r="T40" s="249"/>
    </row>
    <row r="41" spans="1:24" s="223" customFormat="1" ht="17.399999999999999" x14ac:dyDescent="0.35">
      <c r="G41"/>
      <c r="H41" s="252"/>
      <c r="I41" s="252"/>
      <c r="J41" s="328"/>
      <c r="L41" s="242"/>
      <c r="M41" s="14"/>
      <c r="N41" s="12"/>
      <c r="O41" s="12">
        <f>O40/P29</f>
        <v>315490.43527416617</v>
      </c>
      <c r="P41" s="42" t="s">
        <v>24</v>
      </c>
      <c r="Q41" s="14"/>
      <c r="R41" s="14"/>
      <c r="S41"/>
      <c r="T41" s="231"/>
      <c r="U41" s="56" t="s">
        <v>150</v>
      </c>
      <c r="V41" s="280">
        <v>43650</v>
      </c>
    </row>
    <row r="42" spans="1:24" s="223" customFormat="1" ht="17.399999999999999" x14ac:dyDescent="0.35">
      <c r="G42"/>
      <c r="L42" s="242"/>
      <c r="M42" s="13"/>
      <c r="N42" s="14"/>
      <c r="O42" s="17">
        <f>O40/O39</f>
        <v>2.1</v>
      </c>
      <c r="P42" s="15"/>
      <c r="Q42"/>
      <c r="R42"/>
      <c r="S42"/>
      <c r="T42" s="231"/>
      <c r="U42" s="56" t="s">
        <v>152</v>
      </c>
      <c r="V42" s="281" t="s">
        <v>151</v>
      </c>
      <c r="W42" s="56">
        <v>2.4</v>
      </c>
    </row>
    <row r="43" spans="1:24" s="223" customFormat="1" ht="17.399999999999999" x14ac:dyDescent="0.35">
      <c r="D43" s="275"/>
      <c r="E43" s="275"/>
      <c r="F43" s="274"/>
      <c r="G43" s="308"/>
      <c r="H43" s="312"/>
      <c r="J43" s="329"/>
      <c r="L43" s="12"/>
      <c r="T43" s="231"/>
      <c r="U43" s="56" t="s">
        <v>153</v>
      </c>
      <c r="V43" s="282">
        <v>395.37</v>
      </c>
    </row>
    <row r="44" spans="1:24" s="223" customFormat="1" ht="17.399999999999999" x14ac:dyDescent="0.35">
      <c r="B44"/>
      <c r="C44" s="313"/>
      <c r="D44" s="275"/>
      <c r="E44" s="275"/>
      <c r="F44" s="274"/>
      <c r="G44" s="308"/>
      <c r="H44" s="312"/>
      <c r="L44" s="12"/>
      <c r="T44" s="231"/>
      <c r="U44" s="56" t="s">
        <v>148</v>
      </c>
      <c r="V44" s="56">
        <v>474.45</v>
      </c>
    </row>
    <row r="45" spans="1:24" ht="14.4" customHeight="1" x14ac:dyDescent="0.35">
      <c r="D45" s="275"/>
      <c r="E45" s="275"/>
      <c r="F45" s="274"/>
      <c r="G45" s="308"/>
      <c r="H45" s="312"/>
      <c r="L45" s="12"/>
      <c r="U45" s="56"/>
      <c r="V45" s="56"/>
    </row>
    <row r="46" spans="1:24" ht="17.399999999999999" x14ac:dyDescent="0.35">
      <c r="D46" s="275"/>
      <c r="E46" s="275"/>
      <c r="F46" s="274"/>
      <c r="G46" s="308"/>
      <c r="H46" s="312"/>
      <c r="L46" s="242"/>
    </row>
    <row r="47" spans="1:24" ht="17.399999999999999" x14ac:dyDescent="0.35">
      <c r="D47" s="275"/>
      <c r="E47" s="275"/>
      <c r="F47" s="274"/>
      <c r="G47" s="308"/>
      <c r="H47" s="312"/>
      <c r="L47" s="242"/>
      <c r="T47" s="262"/>
    </row>
    <row r="48" spans="1:24" ht="17.399999999999999" x14ac:dyDescent="0.35">
      <c r="D48" s="275"/>
      <c r="E48" s="275"/>
      <c r="F48" s="274"/>
      <c r="G48" s="308"/>
      <c r="H48" s="312"/>
      <c r="L48" s="242"/>
    </row>
    <row r="49" spans="4:20" ht="15" customHeight="1" x14ac:dyDescent="0.35">
      <c r="D49" s="275"/>
      <c r="E49" s="275"/>
      <c r="F49" s="274"/>
      <c r="G49" s="308"/>
      <c r="H49" s="312"/>
    </row>
    <row r="50" spans="4:20" ht="17.399999999999999" x14ac:dyDescent="0.35">
      <c r="D50" s="275"/>
      <c r="E50" s="275"/>
      <c r="F50" s="274"/>
      <c r="G50" s="308"/>
      <c r="H50" s="312"/>
    </row>
    <row r="51" spans="4:20" ht="17.399999999999999" x14ac:dyDescent="0.35">
      <c r="D51" s="275"/>
      <c r="E51" s="275"/>
      <c r="F51" s="274"/>
      <c r="G51" s="308"/>
      <c r="H51" s="312"/>
      <c r="O51">
        <v>40935</v>
      </c>
      <c r="P51" t="s">
        <v>16</v>
      </c>
      <c r="Q51" t="s">
        <v>26</v>
      </c>
    </row>
    <row r="52" spans="4:20" ht="17.399999999999999" x14ac:dyDescent="0.35">
      <c r="D52" s="275"/>
      <c r="E52" s="275"/>
      <c r="F52" s="274"/>
      <c r="G52" s="308"/>
      <c r="H52" s="312"/>
    </row>
    <row r="53" spans="4:20" ht="17.399999999999999" x14ac:dyDescent="0.35">
      <c r="D53" s="275"/>
      <c r="E53" s="275"/>
      <c r="F53" s="274"/>
      <c r="G53" s="308"/>
      <c r="H53" s="312"/>
      <c r="O53" s="51"/>
      <c r="P53" s="51"/>
    </row>
    <row r="54" spans="4:20" ht="17.399999999999999" x14ac:dyDescent="0.35">
      <c r="D54" s="275"/>
      <c r="E54" s="275"/>
      <c r="F54" s="274"/>
      <c r="G54" s="308"/>
      <c r="H54" s="312"/>
      <c r="S54" s="18"/>
      <c r="T54" s="18"/>
    </row>
    <row r="55" spans="4:20" ht="17.399999999999999" x14ac:dyDescent="0.35">
      <c r="D55" s="275"/>
      <c r="E55" s="275"/>
      <c r="F55" s="274"/>
      <c r="G55" s="308"/>
      <c r="H55" s="312"/>
      <c r="S55" s="18"/>
      <c r="T55" s="18"/>
    </row>
    <row r="56" spans="4:20" ht="17.399999999999999" x14ac:dyDescent="0.35">
      <c r="D56" s="275"/>
      <c r="E56" s="275"/>
      <c r="F56" s="274"/>
      <c r="G56" s="308"/>
      <c r="H56" s="312"/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5" spans="3:15" x14ac:dyDescent="0.3">
      <c r="O65" s="40"/>
    </row>
    <row r="66" spans="3:15" x14ac:dyDescent="0.3">
      <c r="O66" s="40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141</v>
      </c>
    </row>
    <row r="77" spans="3:15" x14ac:dyDescent="0.3">
      <c r="C77" t="s">
        <v>140</v>
      </c>
    </row>
    <row r="80" spans="3:15" x14ac:dyDescent="0.3">
      <c r="C80" t="s">
        <v>140</v>
      </c>
    </row>
    <row r="157" spans="3:3" x14ac:dyDescent="0.3">
      <c r="C157" t="s">
        <v>140</v>
      </c>
    </row>
    <row r="158" spans="3:3" x14ac:dyDescent="0.3">
      <c r="C158" t="s">
        <v>142</v>
      </c>
    </row>
    <row r="159" spans="3:3" x14ac:dyDescent="0.3">
      <c r="C159" t="s">
        <v>143</v>
      </c>
    </row>
    <row r="584" spans="3:3" x14ac:dyDescent="0.3">
      <c r="C584" t="s">
        <v>140</v>
      </c>
    </row>
  </sheetData>
  <mergeCells count="2">
    <mergeCell ref="F17:H17"/>
    <mergeCell ref="B19:H19"/>
  </mergeCells>
  <phoneticPr fontId="31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101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45959</v>
      </c>
    </row>
    <row r="6" spans="1:31" ht="16.2" thickBot="1" x14ac:dyDescent="0.35">
      <c r="B6" s="134" t="s">
        <v>2</v>
      </c>
      <c r="C6" s="133" t="str">
        <f>'2229'!C10</f>
        <v>GRUPO VITAL</v>
      </c>
      <c r="D6" s="132"/>
      <c r="E6" s="132"/>
      <c r="F6" s="132"/>
      <c r="N6" s="72" t="s">
        <v>100</v>
      </c>
      <c r="O6" s="72"/>
      <c r="P6" s="136" t="s">
        <v>99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2" t="s">
        <v>94</v>
      </c>
      <c r="I7" s="353"/>
      <c r="J7" s="353"/>
      <c r="K7" s="354"/>
      <c r="N7" s="72"/>
      <c r="O7" s="351" t="s">
        <v>98</v>
      </c>
      <c r="P7" s="135" t="s">
        <v>97</v>
      </c>
      <c r="Q7" s="135"/>
    </row>
    <row r="8" spans="1:31" ht="16.2" thickBot="1" x14ac:dyDescent="0.35">
      <c r="B8" s="134" t="s">
        <v>96</v>
      </c>
      <c r="C8" s="133" t="str">
        <f>'2229'!D8</f>
        <v>N° 11730</v>
      </c>
      <c r="D8" s="132"/>
      <c r="E8" s="132"/>
      <c r="F8" s="132"/>
      <c r="H8" s="176" t="s">
        <v>113</v>
      </c>
      <c r="I8" s="148" t="s">
        <v>112</v>
      </c>
      <c r="J8" s="221" t="s">
        <v>91</v>
      </c>
      <c r="K8" s="129" t="s">
        <v>6</v>
      </c>
      <c r="L8" s="128" t="s">
        <v>6</v>
      </c>
      <c r="N8" s="72"/>
      <c r="O8" s="351"/>
      <c r="P8" s="72" t="s">
        <v>95</v>
      </c>
      <c r="Q8" s="72"/>
      <c r="X8">
        <f>SUM(Q11:Q16)</f>
        <v>6</v>
      </c>
    </row>
    <row r="9" spans="1:31" ht="15" thickBot="1" x14ac:dyDescent="0.35">
      <c r="H9" s="191" t="s">
        <v>92</v>
      </c>
      <c r="I9" s="192" t="s">
        <v>111</v>
      </c>
      <c r="J9" s="177" t="s">
        <v>88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50</v>
      </c>
      <c r="F10" s="214" t="s">
        <v>6</v>
      </c>
      <c r="H10" s="184">
        <v>0</v>
      </c>
      <c r="I10" s="198">
        <v>350</v>
      </c>
      <c r="J10" s="195" t="s">
        <v>31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89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93</v>
      </c>
      <c r="D12" s="130">
        <f>SUM(M45:M47)</f>
        <v>2417799.3860489135</v>
      </c>
      <c r="F12" s="58"/>
      <c r="H12" s="185">
        <v>0</v>
      </c>
      <c r="I12" s="168">
        <v>7500</v>
      </c>
      <c r="J12" s="144" t="s">
        <v>107</v>
      </c>
      <c r="K12" s="152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87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108</v>
      </c>
      <c r="K13" s="152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118</v>
      </c>
      <c r="E14" s="173" t="s">
        <v>28</v>
      </c>
      <c r="F14" s="172" t="s">
        <v>106</v>
      </c>
      <c r="H14" s="185">
        <v>0</v>
      </c>
      <c r="I14" s="168">
        <v>50</v>
      </c>
      <c r="J14" s="144" t="s">
        <v>109</v>
      </c>
      <c r="K14" s="152">
        <f t="shared" si="0"/>
        <v>0</v>
      </c>
      <c r="L14" s="58"/>
      <c r="P14" s="120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4977523.5960588977</v>
      </c>
      <c r="C15" s="207" t="s">
        <v>117</v>
      </c>
      <c r="D15" s="208">
        <v>0.73</v>
      </c>
      <c r="E15" s="209">
        <f>(100%+D15)*D12</f>
        <v>4182792.9378646202</v>
      </c>
      <c r="F15" s="210">
        <f>E15-D12</f>
        <v>1764993.5518157068</v>
      </c>
      <c r="H15" s="185">
        <v>0</v>
      </c>
      <c r="I15" s="168">
        <v>10</v>
      </c>
      <c r="J15" s="144" t="s">
        <v>110</v>
      </c>
      <c r="K15" s="152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86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85</v>
      </c>
      <c r="C17" s="123" t="s">
        <v>84</v>
      </c>
      <c r="D17" s="123" t="s">
        <v>28</v>
      </c>
      <c r="E17" s="122" t="s">
        <v>50</v>
      </c>
      <c r="F17" s="121" t="s">
        <v>6</v>
      </c>
      <c r="H17" s="187">
        <v>6</v>
      </c>
      <c r="I17" s="196">
        <v>1103</v>
      </c>
      <c r="J17" s="182" t="s">
        <v>166</v>
      </c>
      <c r="K17" s="152">
        <f t="shared" si="0"/>
        <v>6618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163</v>
      </c>
      <c r="D18" s="116">
        <f>'2229'!O35</f>
        <v>0</v>
      </c>
      <c r="E18" s="117">
        <f>D18*0.19</f>
        <v>0</v>
      </c>
      <c r="F18" s="114">
        <f>SUM(D18:E18)</f>
        <v>0</v>
      </c>
      <c r="H18" s="319">
        <v>6</v>
      </c>
      <c r="I18" s="318">
        <v>543</v>
      </c>
      <c r="J18" s="6" t="s">
        <v>167</v>
      </c>
      <c r="K18" s="320">
        <f t="shared" si="0"/>
        <v>3258</v>
      </c>
      <c r="N18">
        <v>5</v>
      </c>
      <c r="O18">
        <v>283</v>
      </c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164</v>
      </c>
      <c r="D19" s="116">
        <f>'2229'!O36</f>
        <v>75000</v>
      </c>
      <c r="E19" s="117">
        <f>D19*0.19</f>
        <v>14250</v>
      </c>
      <c r="F19" s="114">
        <f>SUM(D19:E19)</f>
        <v>89250</v>
      </c>
      <c r="H19" s="322"/>
      <c r="I19" s="321"/>
      <c r="J19" s="144" t="s">
        <v>168</v>
      </c>
      <c r="K19" s="323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4"/>
      <c r="C20" s="76" t="s">
        <v>30</v>
      </c>
      <c r="D20" s="116">
        <f>'2229'!O34</f>
        <v>80000</v>
      </c>
      <c r="E20" s="117">
        <f>D20*0.19</f>
        <v>15200</v>
      </c>
      <c r="F20" s="114">
        <f>SUM(D20:E20)</f>
        <v>95200</v>
      </c>
      <c r="H20" s="186">
        <v>4</v>
      </c>
      <c r="I20" s="168">
        <v>1572</v>
      </c>
      <c r="J20" s="178" t="s">
        <v>83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4">
        <f>1300000*1.2</f>
        <v>1560000</v>
      </c>
      <c r="B21" s="113"/>
      <c r="C21" s="71" t="s">
        <v>21</v>
      </c>
      <c r="D21" s="116">
        <f>'2229'!O33</f>
        <v>4457.88</v>
      </c>
      <c r="E21" s="115">
        <f>D21*0.19</f>
        <v>846.99720000000002</v>
      </c>
      <c r="F21" s="114">
        <f>SUM(D21:E21)</f>
        <v>5304.8771999999999</v>
      </c>
      <c r="H21" s="186">
        <v>1</v>
      </c>
      <c r="I21" s="196"/>
      <c r="J21" s="178" t="s">
        <v>82</v>
      </c>
      <c r="K21" s="152">
        <f t="shared" si="3"/>
        <v>0</v>
      </c>
      <c r="L21" s="58"/>
      <c r="O21">
        <f>O20/60</f>
        <v>23.583333333333332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4">
        <f>1300000*1.2</f>
        <v>1560000</v>
      </c>
      <c r="B22" s="108" t="s">
        <v>79</v>
      </c>
      <c r="C22" s="112" t="s">
        <v>6</v>
      </c>
      <c r="D22" s="111">
        <f>SUM(D18:D21)</f>
        <v>159457.88</v>
      </c>
      <c r="E22" s="110">
        <f>SUM(E18:E21)</f>
        <v>30296.997200000002</v>
      </c>
      <c r="F22" s="109">
        <f>SUM(F18:F21)</f>
        <v>189754.87719999999</v>
      </c>
      <c r="H22" s="186">
        <v>1</v>
      </c>
      <c r="I22" s="196"/>
      <c r="J22" s="178" t="s">
        <v>81</v>
      </c>
      <c r="K22" s="152">
        <f t="shared" si="3"/>
        <v>0</v>
      </c>
      <c r="N22" s="55"/>
      <c r="Q22" s="47" t="s">
        <v>33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4">
        <f>950000*1.2</f>
        <v>1140000</v>
      </c>
      <c r="B23" s="315">
        <f>A21/23</f>
        <v>67826.086956521744</v>
      </c>
      <c r="C23" s="107" t="s">
        <v>78</v>
      </c>
      <c r="D23" s="106" t="s">
        <v>77</v>
      </c>
      <c r="E23" s="105" t="s">
        <v>76</v>
      </c>
      <c r="F23" s="104" t="s">
        <v>6</v>
      </c>
      <c r="H23" s="186">
        <v>3</v>
      </c>
      <c r="I23" s="168">
        <v>3535</v>
      </c>
      <c r="J23" s="178" t="s">
        <v>165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4">
        <v>450000</v>
      </c>
      <c r="B24" s="315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80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4">
        <v>450000</v>
      </c>
      <c r="B25" s="315">
        <f>A23/23</f>
        <v>49565.217391304344</v>
      </c>
      <c r="C25" s="76" t="s">
        <v>73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75</v>
      </c>
      <c r="K25" s="324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4"/>
      <c r="B26" s="315">
        <f>A24/23</f>
        <v>19565.217391304348</v>
      </c>
      <c r="C26" s="76" t="s">
        <v>72</v>
      </c>
      <c r="D26" s="95">
        <f t="shared" si="4"/>
        <v>6195.652173913043</v>
      </c>
      <c r="E26" s="94"/>
      <c r="F26" s="93">
        <f t="shared" si="5"/>
        <v>0</v>
      </c>
      <c r="H26" s="145" t="s">
        <v>113</v>
      </c>
      <c r="I26" s="149" t="s">
        <v>111</v>
      </c>
      <c r="J26" s="175" t="s">
        <v>74</v>
      </c>
      <c r="K26" s="146" t="s">
        <v>90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4">
        <v>350000</v>
      </c>
      <c r="B27" s="315">
        <f>A25/23</f>
        <v>19565.217391304348</v>
      </c>
      <c r="C27" s="76" t="s">
        <v>70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104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4">
        <v>500000</v>
      </c>
      <c r="B28" s="315">
        <f>A28/23</f>
        <v>21739.130434782608</v>
      </c>
      <c r="C28" s="76" t="s">
        <v>69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71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4"/>
      <c r="B29" s="315">
        <f>A28/23</f>
        <v>21739.130434782608</v>
      </c>
      <c r="C29" s="76" t="s">
        <v>67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68</v>
      </c>
      <c r="K29" s="92">
        <f t="shared" si="6"/>
        <v>0</v>
      </c>
      <c r="L29" s="58"/>
    </row>
    <row r="30" spans="1:31" x14ac:dyDescent="0.3">
      <c r="A30" s="314">
        <v>450000</v>
      </c>
      <c r="B30" s="316"/>
      <c r="C30" s="76" t="s">
        <v>66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102</v>
      </c>
      <c r="K30" s="92">
        <f t="shared" si="6"/>
        <v>0</v>
      </c>
      <c r="L30" s="58"/>
    </row>
    <row r="31" spans="1:31" x14ac:dyDescent="0.3">
      <c r="A31" s="314">
        <v>350000</v>
      </c>
      <c r="B31" s="316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114</v>
      </c>
      <c r="K31" s="92">
        <f t="shared" si="6"/>
        <v>0</v>
      </c>
      <c r="L31" s="58"/>
    </row>
    <row r="32" spans="1:31" x14ac:dyDescent="0.3">
      <c r="A32" s="314">
        <f>A21+A24+A27+A28+A30</f>
        <v>3310000</v>
      </c>
      <c r="B32" s="316">
        <f>480000/23</f>
        <v>20869.565217391304</v>
      </c>
      <c r="C32" s="76" t="s">
        <v>64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115</v>
      </c>
      <c r="K32" s="92">
        <f t="shared" si="6"/>
        <v>0</v>
      </c>
      <c r="L32" s="58"/>
    </row>
    <row r="33" spans="1:16" ht="15" thickBot="1" x14ac:dyDescent="0.35">
      <c r="A33" s="314"/>
      <c r="B33" s="314"/>
      <c r="C33" s="89" t="s">
        <v>63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116</v>
      </c>
      <c r="K33" s="92">
        <f t="shared" si="6"/>
        <v>0</v>
      </c>
    </row>
    <row r="34" spans="1:16" ht="15" thickBot="1" x14ac:dyDescent="0.35">
      <c r="B34" s="79" t="s">
        <v>62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40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61</v>
      </c>
      <c r="D35" s="77">
        <f>L9</f>
        <v>41495</v>
      </c>
      <c r="H35" s="189">
        <v>0</v>
      </c>
      <c r="I35" s="168"/>
      <c r="J35" s="180" t="s">
        <v>39</v>
      </c>
      <c r="K35" s="92">
        <f t="shared" si="6"/>
        <v>0</v>
      </c>
      <c r="N35" s="62"/>
    </row>
    <row r="36" spans="1:16" x14ac:dyDescent="0.3">
      <c r="B36" s="72"/>
      <c r="C36" s="76" t="s">
        <v>60</v>
      </c>
      <c r="D36" s="75">
        <f>L26</f>
        <v>39086.956521739128</v>
      </c>
      <c r="H36" s="186">
        <v>1</v>
      </c>
      <c r="I36" s="168"/>
      <c r="J36" s="142" t="s">
        <v>103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58</v>
      </c>
      <c r="D37" s="75">
        <f>L38</f>
        <v>1401525.853875</v>
      </c>
      <c r="E37" s="55"/>
      <c r="H37" s="188">
        <v>6</v>
      </c>
      <c r="I37" s="200"/>
      <c r="J37" s="174" t="s">
        <v>105</v>
      </c>
      <c r="K37" s="204">
        <f t="shared" si="6"/>
        <v>0</v>
      </c>
      <c r="N37" s="317"/>
      <c r="O37" s="62"/>
      <c r="P37" s="58"/>
    </row>
    <row r="38" spans="1:16" ht="15" thickBot="1" x14ac:dyDescent="0.35">
      <c r="C38" s="71" t="s">
        <v>41</v>
      </c>
      <c r="D38" s="70"/>
      <c r="H38" s="145" t="s">
        <v>92</v>
      </c>
      <c r="I38" s="149" t="s">
        <v>111</v>
      </c>
      <c r="J38" s="183" t="s">
        <v>65</v>
      </c>
      <c r="K38" s="146" t="s">
        <v>90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44</v>
      </c>
      <c r="K39" s="143">
        <f>I39*H39</f>
        <v>928864.75387500005</v>
      </c>
    </row>
    <row r="40" spans="1:16" ht="15" thickBot="1" x14ac:dyDescent="0.35">
      <c r="B40" s="65" t="s">
        <v>51</v>
      </c>
      <c r="C40" s="64" t="s">
        <v>50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42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43</v>
      </c>
      <c r="K41" s="80">
        <f>I41*H41</f>
        <v>289027.8</v>
      </c>
    </row>
    <row r="42" spans="1:16" ht="15" thickBot="1" x14ac:dyDescent="0.35">
      <c r="B42" s="72" t="s">
        <v>45</v>
      </c>
      <c r="C42" s="72"/>
      <c r="D42" s="201">
        <f>E34</f>
        <v>189.9</v>
      </c>
    </row>
    <row r="43" spans="1:16" ht="15" thickBot="1" x14ac:dyDescent="0.35">
      <c r="D43" s="54"/>
      <c r="H43" s="348" t="s">
        <v>59</v>
      </c>
      <c r="I43" s="349"/>
      <c r="J43" s="349"/>
      <c r="K43" s="349"/>
      <c r="L43" s="349"/>
      <c r="M43" s="350"/>
    </row>
    <row r="44" spans="1:16" ht="15" thickBot="1" x14ac:dyDescent="0.35">
      <c r="D44" s="54"/>
      <c r="H44" s="74" t="s">
        <v>57</v>
      </c>
      <c r="I44" s="153" t="s">
        <v>56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55</v>
      </c>
      <c r="I45" s="156" t="s">
        <v>54</v>
      </c>
      <c r="J45" s="157"/>
      <c r="K45" s="157"/>
      <c r="L45" s="158"/>
      <c r="M45" s="61">
        <f>D22</f>
        <v>159457.88</v>
      </c>
    </row>
    <row r="46" spans="1:16" x14ac:dyDescent="0.3">
      <c r="D46" s="57"/>
      <c r="I46" s="159" t="s">
        <v>53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52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49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48</v>
      </c>
      <c r="J49" s="157"/>
      <c r="K49" s="157"/>
      <c r="L49" s="158"/>
      <c r="M49" s="61"/>
    </row>
    <row r="50" spans="3:13" ht="15" thickBot="1" x14ac:dyDescent="0.35">
      <c r="I50" s="162" t="s">
        <v>47</v>
      </c>
      <c r="J50" s="163"/>
      <c r="K50" s="163"/>
      <c r="L50" s="164"/>
      <c r="M50" s="60"/>
    </row>
    <row r="51" spans="3:13" ht="15" thickBot="1" x14ac:dyDescent="0.35">
      <c r="I51" s="165" t="s">
        <v>46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47"/>
      <c r="J52" s="347"/>
      <c r="K52" s="347"/>
      <c r="L52" s="347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2025-10-29T23:56:32Z</cp:lastPrinted>
  <dcterms:created xsi:type="dcterms:W3CDTF">2013-03-18T13:35:42Z</dcterms:created>
  <dcterms:modified xsi:type="dcterms:W3CDTF">2025-11-04T14:49:25Z</dcterms:modified>
</cp:coreProperties>
</file>