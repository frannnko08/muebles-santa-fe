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D30CEA13-3863-4E73-8AFA-B2A6AF9B16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M26" i="1"/>
  <c r="P26" i="1"/>
  <c r="L22" i="1"/>
  <c r="M22" i="1"/>
  <c r="N22" i="1"/>
  <c r="O22" i="1"/>
  <c r="P22" i="1" s="1"/>
  <c r="S22" i="1"/>
  <c r="H23" i="1"/>
  <c r="H22" i="1"/>
  <c r="J35" i="1"/>
  <c r="M21" i="1"/>
  <c r="L21" i="1" l="1"/>
  <c r="N21" i="1"/>
  <c r="S21" i="1" l="1"/>
  <c r="S26" i="1" s="1"/>
  <c r="T21" i="1"/>
  <c r="T25" i="1" s="1"/>
  <c r="O21" i="1"/>
  <c r="P21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Q22" i="1" s="1"/>
  <c r="R22" i="1" s="1"/>
  <c r="D21" i="3"/>
  <c r="M43" i="3" s="1"/>
  <c r="D12" i="3" s="1"/>
  <c r="E15" i="3" s="1"/>
  <c r="A15" i="3" s="1"/>
  <c r="F20" i="3"/>
  <c r="F21" i="3" s="1"/>
  <c r="O40" i="1" l="1"/>
  <c r="Q21" i="1" l="1"/>
  <c r="F15" i="3"/>
  <c r="R21" i="1" l="1"/>
  <c r="H21" i="1" l="1"/>
  <c r="H26" i="1" l="1"/>
  <c r="H27" i="1" s="1"/>
  <c r="D11" i="3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<sst xmlns="http://schemas.openxmlformats.org/spreadsheetml/2006/main" count="234" uniqueCount="177">
  <si>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</si>
  <si>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</si>
  <si>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</si>
  <si>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</si>
  <si>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</si>
  <si>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</si>
  <si>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</si>
  <si>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</si>
  <si>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</si>
  <si>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</si>
  <si>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</si>
  <si>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</si>
  <si>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</si>
  <si>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</si>
  <si>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</si>
  <si>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</si>
  <si>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</si>
  <si>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</si>
  <si>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</si>
  <si>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</si>
  <si>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</si>
  <si>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</si>
  <si>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</si>
  <si>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</si>
  <si>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</si>
  <si>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</si>
  <si>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</si>
  <si>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</si>
  <si>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</si>
  <si>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</si>
  <si>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</si>
  <si>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</si>
  <si>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</si>
  <si>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</si>
  <si>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</si>
  <si>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</si>
  <si>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</si>
  <si>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</si>
  <si>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</si>
  <si>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</si>
  <si>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</si>
  <si>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</si>
  <si>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</si>
  <si>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</si>
  <si>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</si>
  <si>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</si>
  <si>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</si>
  <si>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</si>
  <si>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</si>
  <si>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</si>
  <si>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</si>
  <si>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</si>
  <si>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</si>
  <si>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</si>
  <si>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</si>
  <si>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</si>
  <si>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</si>
  <si>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</si>
  <si>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</si>
  <si>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</si>
  <si>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</si>
  <si>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</si>
  <si>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</si>
  <si>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</si>
  <si>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</si>
  <si>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</si>
  <si>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</si>
  <si>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</si>
  <si>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</si>
  <si>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</si>
  <si>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</si>
  <si>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</si>
  <si>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</si>
  <si>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</si>
  <si>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</si>
  <si>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</si>
  <si>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</si>
  <si>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</si>
  <si>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</si>
  <si>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</si>
  <si>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</si>
  <si>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</si>
  <si>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</si>
  <si>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</si>
  <si>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</si>
  <si>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</si>
  <si>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</si>
  <si>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</si>
  <si>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</si>
  <si>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</si>
  <si>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</si>
  <si>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</si>
  <si>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</si>
  <si>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</si>
  <si>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</si>
  <si>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</si>
  <si>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</si>
  <si>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</si>
  <si>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</si>
  <si>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</si>
  <si>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</si>
  <si>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</si>
  <si>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</si>
  <si>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</si>
  <si>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</si>
  <si>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</si>
  <si>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</si>
  <si>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</si>
  <si>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</si>
  <si>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</si>
  <si>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</si>
  <si>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</si>
  <si>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</si>
  <si>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</si>
  <si>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</si>
  <si>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</si>
  <si>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</si>
  <si>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</si>
  <si>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</si>
  <si>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</si>
  <si>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</si>
  <si>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</si>
  <si>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</si>
  <si>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</si>
  <si>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</si>
  <si>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</si>
  <si>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</si>
  <si>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</si>
  <si>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</si>
  <si>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</si>
  <si>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</si>
  <si>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</si>
  <si>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</si>
  <si>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</si>
  <si>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</si>
  <si>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</si>
  <si>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</si>
  <si>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</si>
  <si>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</si>
  <si>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</si>
  <si>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</si>
  <si>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</si>
  <si>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</si>
  <si>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</si>
  <si>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</si>
  <si>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</si>
  <si>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</si>
  <si>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</si>
  <si>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</si>
  <si>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</si>
  <si>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</si>
  <si>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</si>
  <si>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</si>
  <si>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</si>
  <si>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</si>
  <si>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</si>
  <si>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</si>
  <si>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</si>
  <si>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</si>
  <si>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</si>
  <si>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</si>
  <si>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</si>
  <si>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</si>
  <si>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</si>
  <si>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</si>
  <si>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</si>
  <si>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</si>
  <si>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</si>
  <si>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</si>
  <si>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</si>
  <si>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CUBIERTA CON RESPALDO FRENTE 90°</t>
  </si>
  <si>
    <t>5 DIAS HABILES</t>
  </si>
  <si>
    <t>SERVICIO CORTE 45°</t>
  </si>
  <si>
    <t>WHITE MARBLE 42004 BRILLO</t>
  </si>
  <si>
    <t>N° 11766</t>
  </si>
  <si>
    <t>PAOLA ROJAS</t>
  </si>
  <si>
    <t>+569 6847 9772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</si>
</sst>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SOBRE MEDIDA EN EL LARGO</a:t>
          </a:r>
        </a:p>
        <a:p>
          <a:pPr algn="l"/>
          <a:r>
            <a:rPr lang="es-CL" sz="1200" b="1" baseline="0"/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8.8867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175</v>
      </c>
      <c r="D10" s="239"/>
      <c r="E10" s="239"/>
      <c r="F10" s="240" t="s">
        <v>166</v>
      </c>
      <c r="G10" s="271">
        <v>45985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171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176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4" t="s">
        <v>162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65044.770642201831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2">
        <v>1</v>
      </c>
      <c r="C21" s="333" t="s">
        <v>170</v>
      </c>
      <c r="D21" s="323">
        <v>2.8</v>
      </c>
      <c r="E21" s="323">
        <v>0.6</v>
      </c>
      <c r="F21" s="322" t="s">
        <v>173</v>
      </c>
      <c r="G21" s="324">
        <v>115397</v>
      </c>
      <c r="H21" s="324">
        <f>G21*B21</f>
        <v>115397</v>
      </c>
      <c r="I21" s="297"/>
      <c r="J21" s="260"/>
      <c r="K21" s="44"/>
      <c r="L21" s="44">
        <f>B21</f>
        <v>1</v>
      </c>
      <c r="M21" s="36">
        <f>D21+M$19</f>
        <v>2.88</v>
      </c>
      <c r="N21" s="36">
        <f>E21+$N$19</f>
        <v>0.6</v>
      </c>
      <c r="O21" s="256">
        <f t="shared" ref="O21" si="1">M21*N21</f>
        <v>1.728</v>
      </c>
      <c r="P21" s="254">
        <f t="shared" ref="P21" si="2">O21*L21</f>
        <v>1.728</v>
      </c>
      <c r="Q21" s="247">
        <f t="shared" ref="Q21" si="3">Q$20*O21</f>
        <v>112397.36366972476</v>
      </c>
      <c r="R21" s="296">
        <f t="shared" ref="R21" si="4">Q21+R$20</f>
        <v>115397.36366972476</v>
      </c>
      <c r="S21" s="284">
        <f>M21*L21</f>
        <v>2.88</v>
      </c>
      <c r="T21" s="43">
        <f>N21*2*L21*2</f>
        <v>2.4</v>
      </c>
      <c r="U21" s="9"/>
      <c r="X21" s="4"/>
    </row>
    <row r="22" spans="1:25" ht="17.399999999999999" x14ac:dyDescent="0.3">
      <c r="B22" s="322">
        <v>1</v>
      </c>
      <c r="C22" s="333" t="s">
        <v>170</v>
      </c>
      <c r="D22" s="323">
        <v>1.4</v>
      </c>
      <c r="E22" s="323">
        <v>0.6</v>
      </c>
      <c r="F22" s="322" t="s">
        <v>173</v>
      </c>
      <c r="G22" s="324">
        <v>60760</v>
      </c>
      <c r="H22" s="324">
        <f>G22*B22</f>
        <v>60760</v>
      </c>
      <c r="I22" s="297"/>
      <c r="J22" s="260"/>
      <c r="K22" s="44"/>
      <c r="L22" s="44">
        <f>B22</f>
        <v>1</v>
      </c>
      <c r="M22" s="36">
        <f>D22+M$19</f>
        <v>1.48</v>
      </c>
      <c r="N22" s="36">
        <f>E22+$N$19</f>
        <v>0.6</v>
      </c>
      <c r="O22" s="256">
        <f t="shared" ref="O22" si="5">M22*N22</f>
        <v>0.88800000000000001</v>
      </c>
      <c r="P22" s="254">
        <f t="shared" ref="P22" si="6">O22*L22</f>
        <v>0.88800000000000001</v>
      </c>
      <c r="Q22" s="247">
        <f t="shared" ref="Q22" si="7">Q$20*O22</f>
        <v>57759.756330275224</v>
      </c>
      <c r="R22" s="296">
        <f t="shared" ref="R22" si="8">Q22+R$20</f>
        <v>60759.756330275224</v>
      </c>
      <c r="S22" s="284">
        <f>M22*L22</f>
        <v>1.48</v>
      </c>
      <c r="T22" s="43"/>
      <c r="U22" s="9"/>
      <c r="X22" s="4"/>
    </row>
    <row r="23" spans="1:25" ht="17.399999999999999" x14ac:dyDescent="0.3">
      <c r="B23" s="322">
        <v>2</v>
      </c>
      <c r="C23" s="333" t="s">
        <v>172</v>
      </c>
      <c r="D23" s="323"/>
      <c r="E23" s="323"/>
      <c r="F23" s="322"/>
      <c r="G23" s="324">
        <v>10000</v>
      </c>
      <c r="H23" s="324">
        <f>G23*B23</f>
        <v>20000</v>
      </c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5">
        <f>SUM(H21:H24)</f>
        <v>196157</v>
      </c>
      <c r="I25" s="299"/>
      <c r="J25" s="260"/>
      <c r="K25" s="315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2.4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6">
        <f>H25*19%</f>
        <v>37269.83</v>
      </c>
      <c r="I26" s="299"/>
      <c r="J26" s="260"/>
      <c r="K26" s="315"/>
      <c r="L26" s="44"/>
      <c r="M26" s="36">
        <f>SUM(M21:M22)</f>
        <v>4.3599999999999994</v>
      </c>
      <c r="N26" s="12"/>
      <c r="O26" s="12"/>
      <c r="P26" s="248">
        <f>SUM(P21:P24)</f>
        <v>2.6160000000000001</v>
      </c>
      <c r="Q26" s="14"/>
      <c r="R26" s="12"/>
      <c r="S26" s="235">
        <f>SUM(S21:S25)</f>
        <v>4.3599999999999994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7">
        <f>H25+H26</f>
        <v>233426.83000000002</v>
      </c>
      <c r="I27" s="299"/>
      <c r="J27" s="260"/>
      <c r="K27" s="315"/>
      <c r="L27" s="44"/>
      <c r="M27" s="36"/>
      <c r="N27" s="12"/>
      <c r="O27" s="12"/>
      <c r="P27" s="248">
        <f>P26</f>
        <v>2.6160000000000001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5"/>
      <c r="L28" s="44"/>
      <c r="M28" s="14"/>
      <c r="N28" s="12"/>
      <c r="O28" s="12"/>
      <c r="P28" s="36">
        <f>P27*20%</f>
        <v>0.5232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3.1392000000000002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3.1392000000000002</v>
      </c>
      <c r="N31" s="12">
        <v>3500</v>
      </c>
      <c r="O31" s="12">
        <f t="shared" ref="O31:O36" si="9">M31*N31</f>
        <v>10987.2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1</v>
      </c>
      <c r="N32" s="12">
        <v>23500</v>
      </c>
      <c r="O32" s="12">
        <f t="shared" si="9"/>
        <v>23500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9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62090</v>
      </c>
      <c r="K34" s="228"/>
      <c r="L34" s="245"/>
      <c r="M34" s="14">
        <v>2</v>
      </c>
      <c r="N34" s="245">
        <v>20000</v>
      </c>
      <c r="O34" s="12">
        <f t="shared" si="9"/>
        <v>40000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52176.470588235294</v>
      </c>
      <c r="K35" s="255"/>
      <c r="L35" s="245"/>
      <c r="M35" s="244"/>
      <c r="N35" s="245">
        <v>900</v>
      </c>
      <c r="O35" s="12">
        <f t="shared" si="9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>
        <v>4.3600000000000003</v>
      </c>
      <c r="N36" s="12">
        <v>1500</v>
      </c>
      <c r="O36" s="12">
        <f t="shared" si="9"/>
        <v>6540.0000000000009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81027.199999999997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170157.12</v>
      </c>
      <c r="P38" s="14" t="s">
        <v>138</v>
      </c>
      <c r="Q38" s="14"/>
      <c r="R38" s="37">
        <f>P29/R37</f>
        <v>0.84641932700603972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65044.770642201831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6"/>
      <c r="H41" s="320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1"/>
      <c r="D42" s="279"/>
      <c r="E42" s="279"/>
      <c r="F42" s="278"/>
      <c r="G42" s="316"/>
      <c r="H42" s="320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6"/>
      <c r="H43" s="320"/>
      <c r="L43" s="12"/>
      <c r="U43" s="56"/>
      <c r="V43" s="56"/>
    </row>
    <row r="44" spans="2:24" ht="17.399999999999999" x14ac:dyDescent="0.35">
      <c r="D44" s="279"/>
      <c r="E44" s="279"/>
      <c r="F44" s="278"/>
      <c r="G44" s="316"/>
      <c r="H44" s="320"/>
      <c r="L44" s="245"/>
    </row>
    <row r="45" spans="2:24" ht="17.399999999999999" x14ac:dyDescent="0.35">
      <c r="D45" s="279"/>
      <c r="E45" s="279"/>
      <c r="F45" s="278"/>
      <c r="G45" s="316"/>
      <c r="H45" s="320"/>
      <c r="L45" s="245"/>
      <c r="T45" s="265"/>
    </row>
    <row r="46" spans="2:24" ht="17.399999999999999" x14ac:dyDescent="0.35">
      <c r="D46" s="279"/>
      <c r="E46" s="279"/>
      <c r="F46" s="278"/>
      <c r="G46" s="316"/>
      <c r="H46" s="320"/>
      <c r="L46" s="245"/>
    </row>
    <row r="47" spans="2:24" ht="15" customHeight="1" x14ac:dyDescent="0.35">
      <c r="D47" s="279"/>
      <c r="E47" s="279"/>
      <c r="F47" s="278"/>
      <c r="G47" s="316"/>
      <c r="H47" s="320"/>
    </row>
    <row r="48" spans="2:24" ht="17.399999999999999" x14ac:dyDescent="0.35">
      <c r="D48" s="279"/>
      <c r="E48" s="279"/>
      <c r="F48" s="278"/>
      <c r="G48" s="316"/>
      <c r="H48" s="320"/>
    </row>
    <row r="49" spans="4:20" ht="17.399999999999999" x14ac:dyDescent="0.35">
      <c r="D49" s="279"/>
      <c r="E49" s="279"/>
      <c r="F49" s="278"/>
      <c r="G49" s="316"/>
      <c r="H49" s="320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 s="51"/>
      <c r="P51" s="51"/>
    </row>
    <row r="52" spans="4:20" ht="17.399999999999999" x14ac:dyDescent="0.35">
      <c r="D52" s="279"/>
      <c r="E52" s="279"/>
      <c r="F52" s="278"/>
      <c r="G52" s="316"/>
      <c r="H52" s="320"/>
      <c r="S52" s="18"/>
      <c r="T52" s="18"/>
    </row>
    <row r="53" spans="4:20" ht="17.399999999999999" x14ac:dyDescent="0.35">
      <c r="D53" s="279"/>
      <c r="E53" s="279"/>
      <c r="F53" s="278"/>
      <c r="G53" s="316"/>
      <c r="H53" s="320"/>
      <c r="S53" s="18"/>
      <c r="T53" s="18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45985</v>
      </c>
    </row>
    <row r="6" spans="1:31" ht="16.2" thickBot="1" x14ac:dyDescent="0.35">
      <c r="B6" s="137" t="s">
        <v>2</v>
      </c>
      <c r="C6" s="136" t="str">
        <f>'2229'!C10</f>
        <v>PAOLA ROJAS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98</v>
      </c>
      <c r="I7" s="341"/>
      <c r="J7" s="341"/>
      <c r="K7" s="342"/>
      <c r="N7" s="72"/>
      <c r="O7" s="339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11766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9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-18168.537259903384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196157</v>
      </c>
      <c r="E11" s="129">
        <f>D11*0.19</f>
        <v>37269.83</v>
      </c>
      <c r="F11" s="128">
        <f>E11+D11</f>
        <v>233426.83000000002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87821.462740096613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54466.110275362313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69821.462740096613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141690.88972463767</v>
      </c>
      <c r="E13" s="218">
        <f>(D11/D12)-1</f>
        <v>2.6014504984530062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60821.462740096613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21821.462740096616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103703.47396428985</v>
      </c>
      <c r="C15" s="210" t="s">
        <v>121</v>
      </c>
      <c r="D15" s="211">
        <v>0.6</v>
      </c>
      <c r="E15" s="212">
        <f>(100%+D15)*D12</f>
        <v>87145.776440579706</v>
      </c>
      <c r="F15" s="213">
        <f>E15-D12</f>
        <v>32679.666165217393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21821.462740096616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61821.462740096613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10987.2</v>
      </c>
      <c r="E20" s="118">
        <f>D20*0.19</f>
        <v>2087.5680000000002</v>
      </c>
      <c r="F20" s="117">
        <f>SUM(D20:E20)</f>
        <v>13074.768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34487.199999999997</v>
      </c>
      <c r="E21" s="113">
        <f>SUM(E18:E20)</f>
        <v>6552.5680000000002</v>
      </c>
      <c r="F21" s="112">
        <f>SUM(F18:F20)</f>
        <v>41039.767999999996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30717.262000000002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196157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34487.199999999997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141690.88972463767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141690.88972463767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2025-11-22T11:46:28Z</cp:lastPrinted>
  <dcterms:created xsi:type="dcterms:W3CDTF">2013-03-18T13:35:42Z</dcterms:created>
  <dcterms:modified xsi:type="dcterms:W3CDTF">2025-11-24T12:48:01Z</dcterms:modified>
</cp:coreProperties>
</file>