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1 NOVIEMBRE 2025\"/>
    </mc:Choice>
  </mc:AlternateContent>
  <xr:revisionPtr revIDLastSave="0" documentId="13_ncr:1_{4349CD21-EE2F-4057-BC69-7AF69F4FB5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J37" i="1"/>
  <c r="J15" i="1"/>
  <c r="J10" i="1"/>
  <c r="N21" i="1" l="1"/>
  <c r="M21" i="1" l="1"/>
  <c r="S21" i="1" s="1"/>
  <c r="M24" i="1" l="1"/>
  <c r="T21" i="1"/>
  <c r="T23" i="1" s="1"/>
  <c r="S25" i="1"/>
  <c r="O21" i="1"/>
  <c r="P21" i="1" s="1"/>
  <c r="P24" i="1" s="1"/>
  <c r="S26" i="1" l="1"/>
  <c r="S27" i="1" s="1"/>
  <c r="S28" i="1" s="1"/>
  <c r="V31" i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G21" i="1" s="1"/>
  <c r="F15" i="3"/>
  <c r="R21" i="1" l="1"/>
  <c r="H21" i="1" l="1"/>
  <c r="H23" i="1" s="1"/>
  <c r="H24" i="1" s="1"/>
  <c r="H25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<sst xmlns="http://schemas.openxmlformats.org/spreadsheetml/2006/main" count="231" uniqueCount="175">
  <si>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</si>
  <si>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</si>
  <si>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</si>
  <si>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</si>
  <si>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</si>
  <si>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</si>
  <si>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</si>
  <si>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</si>
  <si>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</si>
  <si>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</si>
  <si>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</si>
  <si>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</si>
  <si>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</si>
  <si>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</si>
  <si>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</si>
  <si>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</si>
  <si>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</si>
  <si>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</si>
  <si>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</si>
  <si>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</si>
  <si>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</si>
  <si>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</si>
  <si>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</si>
  <si>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</si>
  <si>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</si>
  <si>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</si>
  <si>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</si>
  <si>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</si>
  <si>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</si>
  <si>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</si>
  <si>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</si>
  <si>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</si>
  <si>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</si>
  <si>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</si>
  <si>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</si>
  <si>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</si>
  <si>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</si>
  <si>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</si>
  <si>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</si>
  <si>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</si>
  <si>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</si>
  <si>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</si>
  <si>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</si>
  <si>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</si>
  <si>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</si>
  <si>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</si>
  <si>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</si>
  <si>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</si>
  <si>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</si>
  <si>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</si>
  <si>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</si>
  <si>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</si>
  <si>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</si>
  <si>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</si>
  <si>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</si>
  <si>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</si>
  <si>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</si>
  <si>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</si>
  <si>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</si>
  <si>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</si>
  <si>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</si>
  <si>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</si>
  <si>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</si>
  <si>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</si>
  <si>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</si>
  <si>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</si>
  <si>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</si>
  <si>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</si>
  <si>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</si>
  <si>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</si>
  <si>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</si>
  <si>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</si>
  <si>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</si>
  <si>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</si>
  <si>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</si>
  <si>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</si>
  <si>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</si>
  <si>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</si>
  <si>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</si>
  <si>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</si>
  <si>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</si>
  <si>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</si>
  <si>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</si>
  <si>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</si>
  <si>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</si>
  <si>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</si>
  <si>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</si>
  <si>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</si>
  <si>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</si>
  <si>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</si>
  <si>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</si>
  <si>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</si>
  <si>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</si>
  <si>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</si>
  <si>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</si>
  <si>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</si>
  <si>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</si>
  <si>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</si>
  <si>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</si>
  <si>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</si>
  <si>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</si>
  <si>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</si>
  <si>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</si>
  <si>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</si>
  <si>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</si>
  <si>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</si>
  <si>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</si>
  <si>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</si>
  <si>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</si>
  <si>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</si>
  <si>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</si>
  <si>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</si>
  <si>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</si>
  <si>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</si>
  <si>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</si>
  <si>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</si>
  <si>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</si>
  <si>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</si>
  <si>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</si>
  <si>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</si>
  <si>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</si>
  <si>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</si>
  <si>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</si>
  <si>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</si>
  <si>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</si>
  <si>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</si>
  <si>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</si>
  <si>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</si>
  <si>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</si>
  <si>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</si>
  <si>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</si>
  <si>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</si>
  <si>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</si>
  <si>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</si>
  <si>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</si>
  <si>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</si>
  <si>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</si>
  <si>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</si>
  <si>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</si>
  <si>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</si>
  <si>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</si>
  <si>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</si>
  <si>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</si>
  <si>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</si>
  <si>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</si>
  <si>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</si>
  <si>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</si>
  <si>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</si>
  <si>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</si>
  <si>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</si>
  <si>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</si>
  <si>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</si>
  <si>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</si>
  <si>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</si>
  <si>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</si>
  <si>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</si>
  <si>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</si>
  <si>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</si>
  <si>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</si>
  <si>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</si>
  <si>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</si>
  <si>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</si>
  <si>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</si>
  <si>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</si>
  <si>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</si>
  <si>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</si>
  <si>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</si>
  <si>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</si>
  <si>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</si>
  <si>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CUB C/R 90° R8</t>
  </si>
  <si>
    <t>5 DIAS HABILES</t>
  </si>
  <si>
    <t>NEGRO BR</t>
  </si>
  <si>
    <t>CLAUDIO</t>
  </si>
  <si>
    <t>+56 9 5266 2192</t>
  </si>
  <si>
    <t>N° 11779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</si>
</sst>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SE ENTREGA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174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172</v>
      </c>
      <c r="D10" s="243"/>
      <c r="E10" s="243"/>
      <c r="F10" s="244" t="s">
        <v>0</v>
      </c>
      <c r="G10" s="276">
        <v>45993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170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173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163</v>
      </c>
      <c r="H16" s="248"/>
    </row>
    <row r="17" spans="1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O37</f>
        <v>64162.773146116713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29" t="s">
        <v>169</v>
      </c>
      <c r="D21" s="332">
        <v>2.5</v>
      </c>
      <c r="E21" s="332">
        <v>0.53</v>
      </c>
      <c r="F21" s="329" t="s">
        <v>171</v>
      </c>
      <c r="G21" s="330">
        <f>Q21</f>
        <v>87736.176000000007</v>
      </c>
      <c r="H21" s="330">
        <f>G21*B21</f>
        <v>87736.176000000007</v>
      </c>
      <c r="I21" s="319"/>
      <c r="J21" s="265"/>
      <c r="K21" s="47"/>
      <c r="L21" s="331">
        <f>B21</f>
        <v>1</v>
      </c>
      <c r="M21" s="39">
        <f>D21+M$19</f>
        <v>2.58</v>
      </c>
      <c r="N21" s="39">
        <f>E21+$N$19</f>
        <v>0.53</v>
      </c>
      <c r="O21" s="261">
        <f t="shared" ref="O21" si="1">M21*N21</f>
        <v>1.3674000000000002</v>
      </c>
      <c r="P21" s="259">
        <f t="shared" ref="P21" si="2">O21*L21</f>
        <v>1.3674000000000002</v>
      </c>
      <c r="Q21" s="252">
        <f t="shared" ref="Q21" si="3">Q$20*O21</f>
        <v>87736.176000000007</v>
      </c>
      <c r="R21" s="318">
        <f t="shared" ref="R21" si="4">Q21+R$20</f>
        <v>90736.176000000007</v>
      </c>
      <c r="S21" s="297">
        <f>M21*L21</f>
        <v>2.58</v>
      </c>
      <c r="T21" s="46">
        <f>M21*L21</f>
        <v>2.58</v>
      </c>
      <c r="U21" s="9"/>
      <c r="X21" s="4"/>
    </row>
    <row r="22" spans="1:25" ht="18" thickBot="1" x14ac:dyDescent="0.35">
      <c r="B22" s="285"/>
      <c r="C22" s="285"/>
      <c r="D22" s="286"/>
      <c r="E22" s="286"/>
      <c r="F22" s="285"/>
      <c r="G22" s="265"/>
      <c r="H22" s="320"/>
      <c r="I22" s="322"/>
      <c r="J22" s="233"/>
      <c r="K22" s="47"/>
      <c r="L22" s="47"/>
      <c r="M22" s="39"/>
      <c r="N22" s="39"/>
      <c r="O22" s="261"/>
      <c r="P22" s="259"/>
      <c r="Q22" s="252"/>
      <c r="R22" s="258"/>
      <c r="S22" s="297"/>
      <c r="T22" s="14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3" t="s">
        <v>28</v>
      </c>
      <c r="H23" s="324">
        <f>SUM(H21:H22)</f>
        <v>87736.176000000007</v>
      </c>
      <c r="I23" s="321"/>
      <c r="J23" s="265"/>
      <c r="K23" s="47"/>
      <c r="L23" s="47"/>
      <c r="M23" s="39"/>
      <c r="N23" s="39"/>
      <c r="O23" s="261"/>
      <c r="P23" s="259"/>
      <c r="Q23" s="252"/>
      <c r="R23" s="258"/>
      <c r="S23" s="297"/>
      <c r="T23" s="46">
        <f>SUM(T21:T22)</f>
        <v>2.58</v>
      </c>
      <c r="U23" s="9"/>
      <c r="X23" s="4"/>
    </row>
    <row r="24" spans="1:25" ht="17.399999999999999" x14ac:dyDescent="0.3">
      <c r="B24" s="279"/>
      <c r="C24" s="282"/>
      <c r="D24" s="283"/>
      <c r="E24" s="283"/>
      <c r="F24" s="284"/>
      <c r="G24" s="296" t="s">
        <v>51</v>
      </c>
      <c r="H24" s="294">
        <f>H23*19%</f>
        <v>16669.873440000003</v>
      </c>
      <c r="I24" s="321"/>
      <c r="J24" s="265"/>
      <c r="K24" s="47"/>
      <c r="L24" s="47"/>
      <c r="M24" s="39">
        <f>SUM(M21:M23)</f>
        <v>2.58</v>
      </c>
      <c r="N24" s="12"/>
      <c r="O24" s="12"/>
      <c r="P24" s="253">
        <f>SUM(P21:P22)</f>
        <v>1.3674000000000002</v>
      </c>
      <c r="Q24" s="14"/>
      <c r="R24" s="12"/>
      <c r="S24" s="239"/>
      <c r="T24" s="46"/>
      <c r="U24" s="9"/>
      <c r="X24" s="4"/>
    </row>
    <row r="25" spans="1:25" ht="18" thickBot="1" x14ac:dyDescent="0.35">
      <c r="B25" s="275"/>
      <c r="C25" s="281"/>
      <c r="D25" s="272"/>
      <c r="E25" s="272"/>
      <c r="F25" s="273"/>
      <c r="G25" s="280" t="s">
        <v>6</v>
      </c>
      <c r="H25" s="295">
        <f>H23+H24</f>
        <v>104406.04944</v>
      </c>
      <c r="I25" s="321"/>
      <c r="J25" s="265"/>
      <c r="K25" s="47"/>
      <c r="L25" s="47"/>
      <c r="M25" s="39"/>
      <c r="N25" s="12"/>
      <c r="O25" s="12"/>
      <c r="P25" s="253">
        <f>P24</f>
        <v>1.3674000000000002</v>
      </c>
      <c r="Q25" s="14"/>
      <c r="R25" s="12"/>
      <c r="S25" s="239">
        <f>SUM(S21:S24)</f>
        <v>2.58</v>
      </c>
      <c r="T25" s="46"/>
      <c r="U25" s="9"/>
      <c r="X25" s="4"/>
    </row>
    <row r="26" spans="1:25" ht="17.399999999999999" x14ac:dyDescent="0.3">
      <c r="B26" s="275"/>
      <c r="C26" s="271"/>
      <c r="D26" s="272"/>
      <c r="E26" s="272"/>
      <c r="F26" s="273"/>
      <c r="J26" s="265"/>
      <c r="K26" s="47"/>
      <c r="L26" s="47"/>
      <c r="M26" s="14"/>
      <c r="N26" s="12"/>
      <c r="O26" s="12"/>
      <c r="P26" s="39">
        <f>P25*20%</f>
        <v>0.27348000000000006</v>
      </c>
      <c r="Q26" s="39" t="s">
        <v>130</v>
      </c>
      <c r="R26" s="42"/>
      <c r="S26" s="240">
        <f>S25+T23</f>
        <v>5.16</v>
      </c>
      <c r="T26" s="14"/>
      <c r="U26" s="9"/>
      <c r="X26" s="4"/>
    </row>
    <row r="27" spans="1:25" ht="17.399999999999999" x14ac:dyDescent="0.35">
      <c r="B27" s="269"/>
      <c r="C27" s="230"/>
      <c r="D27" s="230"/>
      <c r="E27" s="233"/>
      <c r="F27" s="234"/>
      <c r="G27" s="230"/>
      <c r="H27" s="274"/>
      <c r="I27" s="274"/>
      <c r="J27" s="265"/>
      <c r="K27" s="47"/>
      <c r="L27" s="47"/>
      <c r="M27" s="14"/>
      <c r="N27" s="12"/>
      <c r="O27" s="12"/>
      <c r="P27" s="46">
        <f>P25+P26</f>
        <v>1.6408800000000001</v>
      </c>
      <c r="Q27" s="14"/>
      <c r="R27" s="14"/>
      <c r="S27" s="238">
        <f>S26*20%</f>
        <v>1.032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4"/>
      <c r="J28" s="265"/>
      <c r="K28" s="47"/>
      <c r="L28" s="47"/>
      <c r="M28" s="14"/>
      <c r="N28" s="14"/>
      <c r="O28" s="14"/>
      <c r="P28" s="14"/>
      <c r="Q28" s="14"/>
      <c r="R28" s="14"/>
      <c r="S28" s="240">
        <f>S26+S27</f>
        <v>6.1920000000000002</v>
      </c>
      <c r="T28" s="14"/>
      <c r="U28" s="302" t="s">
        <v>21</v>
      </c>
      <c r="V28" s="299" t="s">
        <v>152</v>
      </c>
      <c r="W28" s="303">
        <v>44971</v>
      </c>
      <c r="X28" s="304"/>
    </row>
    <row r="29" spans="1:25" ht="17.399999999999999" x14ac:dyDescent="0.35">
      <c r="B29" s="230"/>
      <c r="C29" s="230"/>
      <c r="D29" s="230"/>
      <c r="E29" s="230"/>
      <c r="F29" s="230"/>
      <c r="G29" s="230"/>
      <c r="J29" s="265"/>
      <c r="K29" s="47"/>
      <c r="L29" s="47"/>
      <c r="M29" s="39">
        <f>P27</f>
        <v>1.6408800000000001</v>
      </c>
      <c r="N29" s="12">
        <v>3500</v>
      </c>
      <c r="O29" s="12">
        <f t="shared" ref="O29:O34" si="5">M29*N29</f>
        <v>5743.0800000000008</v>
      </c>
      <c r="P29" s="14" t="s">
        <v>21</v>
      </c>
      <c r="Q29" s="14"/>
      <c r="R29" s="14"/>
      <c r="S29" s="241"/>
      <c r="T29" s="14"/>
      <c r="U29" s="302" t="s">
        <v>153</v>
      </c>
      <c r="V29" s="299">
        <v>3625</v>
      </c>
      <c r="W29" s="59" t="s">
        <v>154</v>
      </c>
      <c r="X29" s="304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5"/>
      <c r="K30" s="47"/>
      <c r="L30" s="47"/>
      <c r="M30" s="249">
        <v>0.442</v>
      </c>
      <c r="N30" s="12">
        <v>23500</v>
      </c>
      <c r="O30" s="12">
        <f t="shared" si="5"/>
        <v>10387</v>
      </c>
      <c r="P30" s="39" t="s">
        <v>31</v>
      </c>
      <c r="Q30" s="42"/>
      <c r="R30" s="14"/>
      <c r="S30" s="240"/>
      <c r="T30" s="14"/>
      <c r="U30" s="302"/>
      <c r="V30" s="59">
        <v>906.25</v>
      </c>
      <c r="W30" s="59" t="s">
        <v>155</v>
      </c>
      <c r="X30" s="304"/>
    </row>
    <row r="31" spans="1:25" s="230" customFormat="1" ht="17.399999999999999" x14ac:dyDescent="0.35">
      <c r="B31" s="24" t="s">
        <v>151</v>
      </c>
      <c r="J31" s="262"/>
      <c r="K31" s="232"/>
      <c r="L31" s="250"/>
      <c r="M31" s="14"/>
      <c r="N31" s="250">
        <v>35000</v>
      </c>
      <c r="O31" s="12">
        <f t="shared" si="5"/>
        <v>0</v>
      </c>
      <c r="P31" s="39" t="s">
        <v>30</v>
      </c>
      <c r="Q31" s="42"/>
      <c r="S31" s="240"/>
      <c r="T31" s="256"/>
      <c r="U31" s="59"/>
      <c r="V31" s="59">
        <f>V30*20%</f>
        <v>181.25</v>
      </c>
      <c r="W31" s="304" t="s">
        <v>156</v>
      </c>
      <c r="X31" s="59"/>
    </row>
    <row r="32" spans="1:25" s="230" customFormat="1" ht="17.399999999999999" x14ac:dyDescent="0.35">
      <c r="B32" s="24" t="s">
        <v>144</v>
      </c>
      <c r="C32"/>
      <c r="D32"/>
      <c r="E32"/>
      <c r="F32"/>
      <c r="J32" s="262"/>
      <c r="K32" s="232"/>
      <c r="L32" s="250"/>
      <c r="M32" s="14">
        <v>1</v>
      </c>
      <c r="N32" s="250">
        <v>20000</v>
      </c>
      <c r="O32" s="12">
        <f t="shared" si="5"/>
        <v>20000</v>
      </c>
      <c r="P32" s="14" t="s">
        <v>141</v>
      </c>
      <c r="Q32" s="17"/>
      <c r="S32" s="238"/>
      <c r="T32" s="256"/>
      <c r="U32" s="59"/>
      <c r="V32" s="59">
        <f>V30+V31</f>
        <v>1087.5</v>
      </c>
      <c r="W32" s="304" t="s">
        <v>157</v>
      </c>
      <c r="X32" s="59"/>
    </row>
    <row r="33" spans="2:24" s="230" customFormat="1" ht="17.399999999999999" x14ac:dyDescent="0.35">
      <c r="B33" s="29" t="s">
        <v>125</v>
      </c>
      <c r="C33"/>
      <c r="D33"/>
      <c r="E33"/>
      <c r="F33" s="229" t="s">
        <v>15</v>
      </c>
      <c r="J33" s="262"/>
      <c r="K33" s="260"/>
      <c r="L33" s="250"/>
      <c r="M33" s="249"/>
      <c r="N33" s="250">
        <v>900</v>
      </c>
      <c r="O33" s="12">
        <f t="shared" si="5"/>
        <v>0</v>
      </c>
      <c r="P33" s="14" t="s">
        <v>32</v>
      </c>
      <c r="Q33" s="14"/>
      <c r="R33" s="230">
        <v>1.52</v>
      </c>
      <c r="S33" s="238"/>
      <c r="T33" s="238"/>
    </row>
    <row r="34" spans="2:24" s="230" customFormat="1" ht="17.399999999999999" x14ac:dyDescent="0.35">
      <c r="J34" s="293" t="s">
        <v>168</v>
      </c>
      <c r="K34" s="260">
        <v>38300</v>
      </c>
      <c r="L34" s="250"/>
      <c r="M34" s="266">
        <v>2.5</v>
      </c>
      <c r="N34" s="12">
        <v>1500</v>
      </c>
      <c r="O34" s="12">
        <f t="shared" si="5"/>
        <v>3750</v>
      </c>
      <c r="P34" s="14" t="s">
        <v>22</v>
      </c>
      <c r="Q34" s="14"/>
      <c r="R34">
        <v>2.44</v>
      </c>
      <c r="S34"/>
      <c r="T34" s="238"/>
      <c r="X34" s="231"/>
    </row>
    <row r="35" spans="2:24" s="230" customFormat="1" ht="17.399999999999999" x14ac:dyDescent="0.35">
      <c r="J35" s="230" t="s">
        <v>167</v>
      </c>
      <c r="K35" s="260">
        <v>31000</v>
      </c>
      <c r="L35" s="250"/>
      <c r="M35" s="14"/>
      <c r="N35" s="12"/>
      <c r="O35" s="12">
        <f>SUM(O29:O34)</f>
        <v>39880.080000000002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2:24" s="230" customFormat="1" ht="17.399999999999999" x14ac:dyDescent="0.35">
      <c r="J36" s="230">
        <v>49560</v>
      </c>
      <c r="L36" s="250"/>
      <c r="M36" s="254" t="s">
        <v>33</v>
      </c>
      <c r="N36" s="12"/>
      <c r="O36" s="255">
        <f>O35*2.2</f>
        <v>87736.176000000007</v>
      </c>
      <c r="P36" s="14" t="s">
        <v>140</v>
      </c>
      <c r="Q36" s="14"/>
      <c r="R36" s="40">
        <f>P27/R35</f>
        <v>0.44242881794650563</v>
      </c>
      <c r="S36"/>
      <c r="T36" s="257"/>
    </row>
    <row r="37" spans="2:24" s="230" customFormat="1" ht="17.399999999999999" x14ac:dyDescent="0.35">
      <c r="G37"/>
      <c r="H37" s="260"/>
      <c r="I37" s="260"/>
      <c r="J37" s="260">
        <f>J36/1.19</f>
        <v>41647.058823529413</v>
      </c>
      <c r="L37" s="250"/>
      <c r="M37" s="14"/>
      <c r="N37" s="12"/>
      <c r="O37" s="12">
        <f>O36/P25</f>
        <v>64162.773146116713</v>
      </c>
      <c r="P37" s="45" t="s">
        <v>24</v>
      </c>
      <c r="Q37" s="14"/>
      <c r="R37" s="14"/>
      <c r="S37"/>
      <c r="T37" s="238"/>
      <c r="U37" s="59" t="s">
        <v>158</v>
      </c>
      <c r="V37" s="299">
        <v>43650</v>
      </c>
    </row>
    <row r="38" spans="2:24" s="230" customFormat="1" ht="17.399999999999999" x14ac:dyDescent="0.35">
      <c r="G38"/>
      <c r="L38" s="250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160</v>
      </c>
      <c r="V38" s="300" t="s">
        <v>159</v>
      </c>
      <c r="W38" s="59">
        <v>2.4</v>
      </c>
    </row>
    <row r="39" spans="2:24" s="230" customFormat="1" ht="17.399999999999999" x14ac:dyDescent="0.35">
      <c r="G39" s="23"/>
      <c r="L39" s="12"/>
      <c r="T39" s="238"/>
      <c r="U39" s="59" t="s">
        <v>161</v>
      </c>
      <c r="V39" s="301">
        <v>395.37</v>
      </c>
    </row>
    <row r="40" spans="2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156</v>
      </c>
      <c r="V40" s="59">
        <v>474.45</v>
      </c>
    </row>
    <row r="41" spans="2:24" ht="14.4" customHeight="1" x14ac:dyDescent="0.3">
      <c r="L41" s="12"/>
      <c r="U41" s="59"/>
      <c r="V41" s="59"/>
    </row>
    <row r="42" spans="2:24" x14ac:dyDescent="0.3">
      <c r="L42" s="250"/>
    </row>
    <row r="43" spans="2:24" x14ac:dyDescent="0.3">
      <c r="L43" s="250"/>
      <c r="T43" s="270"/>
    </row>
    <row r="44" spans="2:24" x14ac:dyDescent="0.3">
      <c r="L44" s="250"/>
    </row>
    <row r="45" spans="2:24" ht="15" customHeight="1" x14ac:dyDescent="0.3"/>
    <row r="47" spans="2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148</v>
      </c>
    </row>
    <row r="73" spans="3:3" x14ac:dyDescent="0.3">
      <c r="C73" t="s">
        <v>147</v>
      </c>
    </row>
    <row r="76" spans="3:3" x14ac:dyDescent="0.3">
      <c r="C76" t="s">
        <v>147</v>
      </c>
    </row>
    <row r="153" spans="3:3" x14ac:dyDescent="0.3">
      <c r="C153" t="s">
        <v>147</v>
      </c>
    </row>
    <row r="154" spans="3:3" x14ac:dyDescent="0.3">
      <c r="C154" t="s">
        <v>149</v>
      </c>
    </row>
    <row r="155" spans="3:3" x14ac:dyDescent="0.3">
      <c r="C155" t="s">
        <v>150</v>
      </c>
    </row>
    <row r="580" spans="3:3" x14ac:dyDescent="0.3">
      <c r="C580" t="s">
        <v>147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45993</v>
      </c>
    </row>
    <row r="6" spans="2:31" ht="16.2" thickBot="1" x14ac:dyDescent="0.35">
      <c r="B6" s="140" t="s">
        <v>2</v>
      </c>
      <c r="C6" s="139" t="str">
        <f>'2229'!C10</f>
        <v>CLAUDIO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11779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-1982.5490334541075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87736.176000000007</v>
      </c>
      <c r="E11" s="132">
        <f>D11*0.19</f>
        <v>16669.873440000003</v>
      </c>
      <c r="F11" s="131">
        <f>E11+D11</f>
        <v>104406.04944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104007.45096654589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45964.170787439616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86007.45096654589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41772.005212560391</v>
      </c>
      <c r="E13" s="221">
        <f>(D11/D12)-1</f>
        <v>0.90879492650338878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77007.45096654589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38007.45096654589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75840.881799275361</v>
      </c>
      <c r="F15" s="216">
        <f>E15-D12</f>
        <v>29876.711011835745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38007.45096654589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78007.45096654589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10387</v>
      </c>
      <c r="E19" s="123">
        <f>D19*0.19</f>
        <v>1973.53</v>
      </c>
      <c r="F19" s="120">
        <f>SUM(D19:E19)</f>
        <v>12360.53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5743.0800000000008</v>
      </c>
      <c r="E20" s="121">
        <f>D20*0.19</f>
        <v>1091.1852000000001</v>
      </c>
      <c r="F20" s="120">
        <f>SUM(D20:E20)</f>
        <v>6834.2652000000007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16130.080000000002</v>
      </c>
      <c r="E21" s="116">
        <f>SUM(E18:E20)</f>
        <v>3064.7152000000001</v>
      </c>
      <c r="F21" s="115">
        <f>SUM(F18:F20)</f>
        <v>19194.7952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13605.158240000002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87736.176000000007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16130.080000000002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41772.005212560391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41772.005212560391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2025-12-02T12:07:24Z</cp:lastPrinted>
  <dcterms:created xsi:type="dcterms:W3CDTF">2013-03-18T13:35:42Z</dcterms:created>
  <dcterms:modified xsi:type="dcterms:W3CDTF">2025-12-02T12:07:31Z</dcterms:modified>
</cp:coreProperties>
</file>