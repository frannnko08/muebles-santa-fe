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5F5E79F6-52E1-45A6-AA57-2072272CD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H28" i="1"/>
  <c r="G29" i="1"/>
  <c r="H29" i="1"/>
  <c r="G30" i="1"/>
  <c r="H30" i="1"/>
  <c r="G31" i="1"/>
  <c r="H31" i="1"/>
  <c r="G32" i="1"/>
  <c r="H32" i="1"/>
  <c r="P28" i="1"/>
  <c r="P29" i="1"/>
  <c r="P30" i="1"/>
  <c r="P31" i="1"/>
  <c r="P37" i="1" s="1"/>
  <c r="P32" i="1"/>
  <c r="L28" i="1"/>
  <c r="L29" i="1"/>
  <c r="L30" i="1"/>
  <c r="L31" i="1"/>
  <c r="L32" i="1"/>
  <c r="N32" i="1"/>
  <c r="O32" i="1"/>
  <c r="M32" i="1"/>
  <c r="N31" i="1"/>
  <c r="O31" i="1"/>
  <c r="M31" i="1"/>
  <c r="N30" i="1"/>
  <c r="O30" i="1"/>
  <c r="M30" i="1"/>
  <c r="L27" i="1"/>
  <c r="P27" i="1" s="1"/>
  <c r="S27" i="1"/>
  <c r="N29" i="1"/>
  <c r="O29" i="1" s="1"/>
  <c r="M29" i="1"/>
  <c r="N28" i="1"/>
  <c r="O28" i="1"/>
  <c r="M28" i="1"/>
  <c r="N27" i="1"/>
  <c r="O27" i="1" s="1"/>
  <c r="M27" i="1"/>
  <c r="M25" i="1"/>
  <c r="S25" i="1" s="1"/>
  <c r="N25" i="1"/>
  <c r="M26" i="1"/>
  <c r="N26" i="1"/>
  <c r="L35" i="1"/>
  <c r="M22" i="1"/>
  <c r="N22" i="1"/>
  <c r="M23" i="1"/>
  <c r="N23" i="1"/>
  <c r="M24" i="1"/>
  <c r="N24" i="1"/>
  <c r="O26" i="1" l="1"/>
  <c r="P26" i="1" s="1"/>
  <c r="S26" i="1"/>
  <c r="O25" i="1"/>
  <c r="P25" i="1" s="1"/>
  <c r="S22" i="1"/>
  <c r="T22" i="1"/>
  <c r="T24" i="1"/>
  <c r="O22" i="1"/>
  <c r="P22" i="1" s="1"/>
  <c r="O24" i="1"/>
  <c r="P24" i="1" s="1"/>
  <c r="O23" i="1"/>
  <c r="P23" i="1" s="1"/>
  <c r="T23" i="1"/>
  <c r="S24" i="1"/>
  <c r="S23" i="1"/>
  <c r="J46" i="1"/>
  <c r="M21" i="1"/>
  <c r="M37" i="1" l="1"/>
  <c r="N21" i="1"/>
  <c r="S21" i="1" l="1"/>
  <c r="S37" i="1" s="1"/>
  <c r="T21" i="1"/>
  <c r="T36" i="1" s="1"/>
  <c r="O21" i="1"/>
  <c r="P21" i="1" s="1"/>
  <c r="V44" i="1" l="1"/>
  <c r="V45" i="1" s="1"/>
  <c r="O43" i="1" l="1"/>
  <c r="P38" i="1" l="1"/>
  <c r="N20" i="1"/>
  <c r="L20" i="1"/>
  <c r="P39" i="1" l="1"/>
  <c r="P40" i="1" s="1"/>
  <c r="M42" i="1" s="1"/>
  <c r="O44" i="1"/>
  <c r="R48" i="1"/>
  <c r="R49" i="1" l="1"/>
  <c r="O4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7" i="1"/>
  <c r="O46" i="1"/>
  <c r="F18" i="3" l="1"/>
  <c r="O42" i="1" l="1"/>
  <c r="O48" i="1" s="1"/>
  <c r="O49" i="1" s="1"/>
  <c r="O5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30" i="1" l="1"/>
  <c r="R30" i="1" s="1"/>
  <c r="Q32" i="1"/>
  <c r="R32" i="1" s="1"/>
  <c r="Q31" i="1"/>
  <c r="R31" i="1" s="1"/>
  <c r="Q28" i="1"/>
  <c r="R28" i="1" s="1"/>
  <c r="Q29" i="1"/>
  <c r="R29" i="1" s="1"/>
  <c r="Q27" i="1"/>
  <c r="R27" i="1" s="1"/>
  <c r="G27" i="1" s="1"/>
  <c r="H27" i="1" s="1"/>
  <c r="Q25" i="1"/>
  <c r="R25" i="1" s="1"/>
  <c r="G25" i="1" s="1"/>
  <c r="H25" i="1" s="1"/>
  <c r="Q26" i="1"/>
  <c r="R26" i="1" s="1"/>
  <c r="G26" i="1" s="1"/>
  <c r="H26" i="1" s="1"/>
  <c r="Q23" i="1"/>
  <c r="R23" i="1" s="1"/>
  <c r="G23" i="1" s="1"/>
  <c r="H23" i="1" s="1"/>
  <c r="Q24" i="1"/>
  <c r="R24" i="1" s="1"/>
  <c r="G24" i="1" s="1"/>
  <c r="H24" i="1" s="1"/>
  <c r="Q22" i="1"/>
  <c r="R22" i="1" s="1"/>
  <c r="G22" i="1" s="1"/>
  <c r="H22" i="1" s="1"/>
  <c r="O51" i="1"/>
  <c r="Q21" i="1" l="1"/>
  <c r="F15" i="3"/>
  <c r="R21" i="1" l="1"/>
  <c r="G21" i="1" s="1"/>
  <c r="H21" i="1" l="1"/>
  <c r="H36" i="1" l="1"/>
  <c r="H3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<sst xmlns="http://schemas.openxmlformats.org/spreadsheetml/2006/main" count="253" uniqueCount="179">
  <si>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</si>
  <si>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</si>
  <si>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</si>
  <si>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</si>
  <si>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</si>
  <si>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</si>
  <si>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</si>
  <si>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</si>
  <si>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</si>
  <si>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</si>
  <si>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</si>
  <si>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</si>
  <si>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</si>
  <si>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</si>
  <si>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</si>
  <si>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</si>
  <si>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</si>
  <si>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</si>
  <si>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</si>
  <si>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</si>
  <si>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</si>
  <si>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</si>
  <si>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</si>
  <si>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</si>
  <si>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</si>
  <si>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</si>
  <si>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</si>
  <si>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</si>
  <si>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</si>
  <si>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</si>
  <si>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</si>
  <si>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</si>
  <si>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</si>
  <si>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</si>
  <si>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</si>
  <si>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</si>
  <si>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</si>
  <si>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</si>
  <si>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</si>
  <si>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</si>
  <si>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</si>
  <si>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</si>
  <si>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</si>
  <si>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</si>
  <si>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</si>
  <si>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</si>
  <si>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</si>
  <si>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</si>
  <si>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</si>
  <si>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</si>
  <si>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</si>
  <si>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</si>
  <si>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</si>
  <si>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</si>
  <si>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</si>
  <si>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</si>
  <si>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</si>
  <si>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</si>
  <si>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</si>
  <si>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</si>
  <si>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</si>
  <si>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</si>
  <si>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</si>
  <si>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</si>
  <si>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</si>
  <si>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</si>
  <si>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</si>
  <si>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</si>
  <si>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</si>
  <si>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</si>
  <si>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</si>
  <si>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</si>
  <si>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</si>
  <si>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</si>
  <si>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</si>
  <si>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</si>
  <si>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</si>
  <si>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</si>
  <si>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</si>
  <si>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</si>
  <si>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</si>
  <si>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</si>
  <si>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</si>
  <si>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</si>
  <si>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</si>
  <si>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</si>
  <si>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</si>
  <si>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</si>
  <si>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</si>
  <si>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</si>
  <si>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</si>
  <si>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</si>
  <si>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</si>
  <si>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</si>
  <si>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</si>
  <si>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</si>
  <si>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</si>
  <si>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</si>
  <si>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</si>
  <si>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</si>
  <si>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</si>
  <si>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</si>
  <si>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</si>
  <si>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</si>
  <si>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</si>
  <si>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</si>
  <si>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</si>
  <si>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</si>
  <si>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</si>
  <si>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</si>
  <si>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</si>
  <si>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</si>
  <si>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</si>
  <si>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</si>
  <si>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</si>
  <si>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</si>
  <si>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</si>
  <si>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</si>
  <si>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</si>
  <si>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</si>
  <si>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</si>
  <si>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</si>
  <si>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</si>
  <si>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</si>
  <si>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</si>
  <si>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</si>
  <si>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</si>
  <si>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</si>
  <si>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</si>
  <si>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</si>
  <si>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</si>
  <si>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</si>
  <si>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</si>
  <si>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</si>
  <si>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</si>
  <si>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</si>
  <si>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</si>
  <si>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</si>
  <si>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</si>
  <si>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</si>
  <si>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</si>
  <si>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</si>
  <si>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</si>
  <si>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</si>
  <si>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</si>
  <si>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</si>
  <si>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</si>
  <si>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</si>
  <si>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</si>
  <si>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</si>
  <si>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</si>
  <si>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</si>
  <si>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</si>
  <si>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</si>
  <si>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</si>
  <si>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</si>
  <si>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</si>
  <si>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</si>
  <si>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</si>
  <si>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</si>
  <si>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</si>
  <si>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</si>
  <si>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</si>
  <si>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</si>
  <si>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</si>
  <si>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</si>
  <si>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</si>
  <si>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</si>
  <si>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</si>
  <si>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</si>
  <si>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12 DIAS HABILES</t>
  </si>
  <si>
    <t>SI</t>
  </si>
  <si>
    <t>E/R 1 CARA</t>
  </si>
  <si>
    <t>+569 7646 4375</t>
  </si>
  <si>
    <t>JORGE MORALES</t>
  </si>
  <si>
    <t>N° 11763</t>
  </si>
  <si>
    <t>CANADIAN WALNUT 10544 VNR</t>
  </si>
  <si>
    <t>PR6</t>
  </si>
  <si>
    <t>GRAFITO 2174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</si>
</sst>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1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8194</xdr:rowOff>
    </xdr:from>
    <xdr:to>
      <xdr:col>8</xdr:col>
      <xdr:colOff>8193</xdr:colOff>
      <xdr:row>42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5</xdr:col>
      <xdr:colOff>1745226</xdr:colOff>
      <xdr:row>42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9525</xdr:rowOff>
    </xdr:from>
    <xdr:to>
      <xdr:col>5</xdr:col>
      <xdr:colOff>1728839</xdr:colOff>
      <xdr:row>38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OBSERVACIONES:PUERTAS SE ENTREGAN CORTADAS</a:t>
          </a:r>
          <a:r>
            <a:rPr lang="es-CL" sz="1200" b="1" baseline="0"/>
            <a:t> A LA MEDIDA 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3"/>
  <sheetViews>
    <sheetView tabSelected="1" topLeftCell="A24" zoomScale="93" zoomScaleNormal="93" workbookViewId="0">
      <selection activeCell="I34" sqref="I34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31.66406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174</v>
      </c>
      <c r="D10" s="239"/>
      <c r="E10" s="239"/>
      <c r="F10" s="240" t="s">
        <v>166</v>
      </c>
      <c r="G10" s="271">
        <v>45979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171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36" t="s">
        <v>162</v>
      </c>
      <c r="G17" s="336"/>
      <c r="H17" s="337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O50</f>
        <v>91349.072111656758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172</v>
      </c>
      <c r="D21" s="323">
        <v>1.8</v>
      </c>
      <c r="E21" s="323">
        <v>0.45</v>
      </c>
      <c r="F21" s="322" t="s">
        <v>176</v>
      </c>
      <c r="G21" s="324">
        <f>R21</f>
        <v>79048.102532954246</v>
      </c>
      <c r="H21" s="324">
        <f>G21*B21</f>
        <v>79048.102532954246</v>
      </c>
      <c r="I21" s="297"/>
      <c r="J21" s="260"/>
      <c r="K21" s="44"/>
      <c r="L21" s="334"/>
      <c r="M21" s="335">
        <f>D21+M$19</f>
        <v>1.85</v>
      </c>
      <c r="N21" s="335">
        <f>E21+$N$19</f>
        <v>0.45</v>
      </c>
      <c r="O21" s="256">
        <f t="shared" ref="O21" si="1">M21*N21</f>
        <v>0.83250000000000002</v>
      </c>
      <c r="P21" s="254">
        <f t="shared" ref="P21" si="2">O21*L21</f>
        <v>0</v>
      </c>
      <c r="Q21" s="247">
        <f t="shared" ref="Q21" si="3">Q$20*O21</f>
        <v>76048.102532954246</v>
      </c>
      <c r="R21" s="296">
        <f t="shared" ref="R21" si="4">Q21+R$20</f>
        <v>79048.102532954246</v>
      </c>
      <c r="S21" s="284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22">
        <v>1</v>
      </c>
      <c r="C22" s="333" t="s">
        <v>172</v>
      </c>
      <c r="D22" s="323">
        <v>1.8</v>
      </c>
      <c r="E22" s="323">
        <v>0.45</v>
      </c>
      <c r="F22" s="322" t="s">
        <v>176</v>
      </c>
      <c r="G22" s="324">
        <f t="shared" ref="G22:G24" si="5">R22</f>
        <v>79048.102532954246</v>
      </c>
      <c r="H22" s="324">
        <f t="shared" ref="H22:H24" si="6">G22*B22</f>
        <v>79048.102532954246</v>
      </c>
      <c r="I22" s="297"/>
      <c r="J22" s="260"/>
      <c r="K22" s="44"/>
      <c r="L22" s="334"/>
      <c r="M22" s="335">
        <f t="shared" ref="M22:M24" si="7">D22+M$19</f>
        <v>1.85</v>
      </c>
      <c r="N22" s="335">
        <f t="shared" ref="N22:N24" si="8">E22+$N$19</f>
        <v>0.45</v>
      </c>
      <c r="O22" s="256">
        <f t="shared" ref="O22:O24" si="9">M22*N22</f>
        <v>0.83250000000000002</v>
      </c>
      <c r="P22" s="254">
        <f t="shared" ref="P22:P24" si="10">O22*L22</f>
        <v>0</v>
      </c>
      <c r="Q22" s="247">
        <f t="shared" ref="Q22:Q24" si="11">Q$20*O22</f>
        <v>76048.102532954246</v>
      </c>
      <c r="R22" s="296">
        <f t="shared" ref="R22:R24" si="12">Q22+R$20</f>
        <v>79048.102532954246</v>
      </c>
      <c r="S22" s="284">
        <f t="shared" ref="S22:S24" si="13">M22*L22</f>
        <v>0</v>
      </c>
      <c r="T22" s="43">
        <f t="shared" ref="T22:T24" si="14">N22*2*L22*2</f>
        <v>0</v>
      </c>
      <c r="U22" s="9"/>
      <c r="X22" s="4"/>
    </row>
    <row r="23" spans="2:25" ht="17.399999999999999" x14ac:dyDescent="0.3">
      <c r="B23" s="322">
        <v>2</v>
      </c>
      <c r="C23" s="333" t="s">
        <v>172</v>
      </c>
      <c r="D23" s="323">
        <v>1.8</v>
      </c>
      <c r="E23" s="323">
        <v>0.2</v>
      </c>
      <c r="F23" s="322" t="s">
        <v>176</v>
      </c>
      <c r="G23" s="324">
        <f t="shared" si="5"/>
        <v>36799.156681313005</v>
      </c>
      <c r="H23" s="324">
        <f t="shared" si="6"/>
        <v>73598.31336262601</v>
      </c>
      <c r="I23" s="297"/>
      <c r="J23" s="260"/>
      <c r="K23" s="44"/>
      <c r="L23" s="44"/>
      <c r="M23" s="36">
        <f t="shared" si="7"/>
        <v>1.85</v>
      </c>
      <c r="N23" s="36">
        <f t="shared" si="8"/>
        <v>0.2</v>
      </c>
      <c r="O23" s="256">
        <f t="shared" si="9"/>
        <v>0.37000000000000005</v>
      </c>
      <c r="P23" s="254">
        <f t="shared" si="10"/>
        <v>0</v>
      </c>
      <c r="Q23" s="247">
        <f t="shared" si="11"/>
        <v>33799.156681313005</v>
      </c>
      <c r="R23" s="296">
        <f t="shared" si="12"/>
        <v>36799.156681313005</v>
      </c>
      <c r="S23" s="284">
        <f t="shared" si="13"/>
        <v>0</v>
      </c>
      <c r="T23" s="43">
        <f t="shared" si="14"/>
        <v>0</v>
      </c>
      <c r="U23" s="9"/>
      <c r="X23" s="4"/>
    </row>
    <row r="24" spans="2:25" ht="17.399999999999999" x14ac:dyDescent="0.3">
      <c r="B24" s="322">
        <v>2</v>
      </c>
      <c r="C24" s="333" t="s">
        <v>172</v>
      </c>
      <c r="D24" s="323">
        <v>1.2</v>
      </c>
      <c r="E24" s="323">
        <v>0.2</v>
      </c>
      <c r="F24" s="322" t="s">
        <v>176</v>
      </c>
      <c r="G24" s="324">
        <f t="shared" si="5"/>
        <v>25837.26802791419</v>
      </c>
      <c r="H24" s="324">
        <f t="shared" si="6"/>
        <v>51674.536055828379</v>
      </c>
      <c r="I24" s="297"/>
      <c r="J24" s="260"/>
      <c r="K24" s="44"/>
      <c r="L24" s="334"/>
      <c r="M24" s="335">
        <f t="shared" si="7"/>
        <v>1.25</v>
      </c>
      <c r="N24" s="335">
        <f t="shared" si="8"/>
        <v>0.2</v>
      </c>
      <c r="O24" s="256">
        <f t="shared" si="9"/>
        <v>0.25</v>
      </c>
      <c r="P24" s="254">
        <f t="shared" si="10"/>
        <v>0</v>
      </c>
      <c r="Q24" s="247">
        <f t="shared" si="11"/>
        <v>22837.26802791419</v>
      </c>
      <c r="R24" s="296">
        <f t="shared" si="12"/>
        <v>25837.26802791419</v>
      </c>
      <c r="S24" s="284">
        <f t="shared" si="13"/>
        <v>0</v>
      </c>
      <c r="T24" s="43">
        <f t="shared" si="14"/>
        <v>0</v>
      </c>
      <c r="U24" s="9"/>
      <c r="X24" s="4"/>
    </row>
    <row r="25" spans="2:25" ht="17.399999999999999" x14ac:dyDescent="0.3">
      <c r="B25" s="322">
        <v>2</v>
      </c>
      <c r="C25" s="333" t="s">
        <v>172</v>
      </c>
      <c r="D25" s="323">
        <v>0.45</v>
      </c>
      <c r="E25" s="323">
        <v>0.2</v>
      </c>
      <c r="F25" s="322" t="s">
        <v>176</v>
      </c>
      <c r="G25" s="324">
        <f t="shared" ref="G25:G32" si="15">R25</f>
        <v>12134.907211165677</v>
      </c>
      <c r="H25" s="324">
        <f t="shared" ref="H25:H27" si="16">G25*B25</f>
        <v>24269.814422331354</v>
      </c>
      <c r="I25" s="297"/>
      <c r="J25" s="260"/>
      <c r="K25" s="44"/>
      <c r="L25" s="334"/>
      <c r="M25" s="335">
        <f t="shared" ref="M25:M32" si="17">D25+M$19</f>
        <v>0.5</v>
      </c>
      <c r="N25" s="335">
        <f t="shared" ref="N25:N32" si="18">E25+$N$19</f>
        <v>0.2</v>
      </c>
      <c r="O25" s="256">
        <f t="shared" ref="O25:O32" si="19">M25*N25</f>
        <v>0.1</v>
      </c>
      <c r="P25" s="254">
        <f t="shared" ref="P25:P32" si="20">O25*L25</f>
        <v>0</v>
      </c>
      <c r="Q25" s="247">
        <f t="shared" ref="Q25:Q32" si="21">Q$20*O25</f>
        <v>9134.9072111656769</v>
      </c>
      <c r="R25" s="296">
        <f t="shared" ref="R25:R32" si="22">Q25+R$20</f>
        <v>12134.907211165677</v>
      </c>
      <c r="S25" s="284">
        <f t="shared" ref="S25:S27" si="23">M25*L25</f>
        <v>0</v>
      </c>
      <c r="T25" s="43"/>
      <c r="U25" s="9"/>
      <c r="X25" s="4"/>
    </row>
    <row r="26" spans="2:25" ht="17.399999999999999" x14ac:dyDescent="0.3">
      <c r="B26" s="322">
        <v>1</v>
      </c>
      <c r="C26" s="333" t="s">
        <v>172</v>
      </c>
      <c r="D26" s="323">
        <v>0.9</v>
      </c>
      <c r="E26" s="323">
        <v>0.45</v>
      </c>
      <c r="F26" s="322" t="s">
        <v>176</v>
      </c>
      <c r="G26" s="324">
        <f t="shared" si="15"/>
        <v>42051.728327733268</v>
      </c>
      <c r="H26" s="324">
        <f t="shared" si="16"/>
        <v>42051.728327733268</v>
      </c>
      <c r="I26" s="297"/>
      <c r="J26" s="260"/>
      <c r="K26" s="44"/>
      <c r="L26" s="44"/>
      <c r="M26" s="36">
        <f t="shared" si="17"/>
        <v>0.95000000000000007</v>
      </c>
      <c r="N26" s="36">
        <f t="shared" si="18"/>
        <v>0.45</v>
      </c>
      <c r="O26" s="256">
        <f t="shared" si="19"/>
        <v>0.42750000000000005</v>
      </c>
      <c r="P26" s="254">
        <f t="shared" si="20"/>
        <v>0</v>
      </c>
      <c r="Q26" s="247">
        <f t="shared" si="21"/>
        <v>39051.728327733268</v>
      </c>
      <c r="R26" s="296">
        <f t="shared" si="22"/>
        <v>42051.728327733268</v>
      </c>
      <c r="S26" s="284">
        <f t="shared" si="23"/>
        <v>0</v>
      </c>
      <c r="T26" s="43"/>
      <c r="U26" s="9"/>
      <c r="X26" s="4"/>
    </row>
    <row r="27" spans="2:25" ht="17.399999999999999" x14ac:dyDescent="0.3">
      <c r="B27" s="322">
        <v>1</v>
      </c>
      <c r="C27" s="333" t="s">
        <v>177</v>
      </c>
      <c r="D27" s="323">
        <v>0.1</v>
      </c>
      <c r="E27" s="323">
        <v>0.6</v>
      </c>
      <c r="F27" s="322" t="s">
        <v>178</v>
      </c>
      <c r="G27" s="324">
        <f t="shared" si="15"/>
        <v>11221.416490049109</v>
      </c>
      <c r="H27" s="324">
        <f t="shared" si="16"/>
        <v>11221.416490049109</v>
      </c>
      <c r="I27" s="297"/>
      <c r="J27" s="260"/>
      <c r="K27" s="44"/>
      <c r="L27" s="44">
        <f t="shared" ref="L25:L32" si="24">B27</f>
        <v>1</v>
      </c>
      <c r="M27" s="36">
        <f t="shared" si="17"/>
        <v>0.15000000000000002</v>
      </c>
      <c r="N27" s="36">
        <f t="shared" si="18"/>
        <v>0.6</v>
      </c>
      <c r="O27" s="256">
        <f t="shared" si="19"/>
        <v>9.0000000000000011E-2</v>
      </c>
      <c r="P27" s="254">
        <f t="shared" si="20"/>
        <v>9.0000000000000011E-2</v>
      </c>
      <c r="Q27" s="247">
        <f t="shared" si="21"/>
        <v>8221.4164900491087</v>
      </c>
      <c r="R27" s="296">
        <f t="shared" si="22"/>
        <v>11221.416490049109</v>
      </c>
      <c r="S27" s="284">
        <f t="shared" si="23"/>
        <v>0.15000000000000002</v>
      </c>
      <c r="T27" s="43"/>
      <c r="U27" s="9"/>
      <c r="X27" s="4"/>
    </row>
    <row r="28" spans="2:25" ht="17.399999999999999" x14ac:dyDescent="0.3">
      <c r="B28" s="322">
        <v>1</v>
      </c>
      <c r="C28" s="333" t="s">
        <v>177</v>
      </c>
      <c r="D28" s="323">
        <v>0.75</v>
      </c>
      <c r="E28" s="323">
        <v>0.35</v>
      </c>
      <c r="F28" s="322" t="s">
        <v>178</v>
      </c>
      <c r="G28" s="324">
        <f t="shared" ref="G28:G32" si="25">R28</f>
        <v>28577.740191263889</v>
      </c>
      <c r="H28" s="324">
        <f t="shared" ref="H28:H32" si="26">G28*B28</f>
        <v>28577.740191263889</v>
      </c>
      <c r="I28" s="297"/>
      <c r="J28" s="260"/>
      <c r="K28" s="44"/>
      <c r="L28" s="44">
        <f t="shared" si="24"/>
        <v>1</v>
      </c>
      <c r="M28" s="36">
        <f t="shared" si="17"/>
        <v>0.8</v>
      </c>
      <c r="N28" s="36">
        <f t="shared" si="18"/>
        <v>0.35</v>
      </c>
      <c r="O28" s="256">
        <f t="shared" si="19"/>
        <v>0.27999999999999997</v>
      </c>
      <c r="P28" s="254">
        <f t="shared" si="20"/>
        <v>0.27999999999999997</v>
      </c>
      <c r="Q28" s="247">
        <f t="shared" si="21"/>
        <v>25577.740191263889</v>
      </c>
      <c r="R28" s="296">
        <f t="shared" si="22"/>
        <v>28577.740191263889</v>
      </c>
      <c r="S28" s="284"/>
      <c r="T28" s="43"/>
      <c r="U28" s="9"/>
      <c r="X28" s="4"/>
    </row>
    <row r="29" spans="2:25" ht="17.399999999999999" x14ac:dyDescent="0.3">
      <c r="B29" s="322">
        <v>2</v>
      </c>
      <c r="C29" s="333" t="s">
        <v>177</v>
      </c>
      <c r="D29" s="323">
        <v>0.75</v>
      </c>
      <c r="E29" s="323">
        <v>0.34799999999999998</v>
      </c>
      <c r="F29" s="322" t="s">
        <v>178</v>
      </c>
      <c r="G29" s="324">
        <f t="shared" si="25"/>
        <v>28431.581675885242</v>
      </c>
      <c r="H29" s="324">
        <f t="shared" si="26"/>
        <v>56863.163351770483</v>
      </c>
      <c r="I29" s="297"/>
      <c r="J29" s="260"/>
      <c r="K29" s="44"/>
      <c r="L29" s="44">
        <f t="shared" si="24"/>
        <v>2</v>
      </c>
      <c r="M29" s="36">
        <f t="shared" si="17"/>
        <v>0.8</v>
      </c>
      <c r="N29" s="36">
        <f t="shared" si="18"/>
        <v>0.34799999999999998</v>
      </c>
      <c r="O29" s="256">
        <f t="shared" si="19"/>
        <v>0.27839999999999998</v>
      </c>
      <c r="P29" s="254">
        <f t="shared" si="20"/>
        <v>0.55679999999999996</v>
      </c>
      <c r="Q29" s="247">
        <f t="shared" si="21"/>
        <v>25431.581675885242</v>
      </c>
      <c r="R29" s="296">
        <f t="shared" si="22"/>
        <v>28431.581675885242</v>
      </c>
      <c r="S29" s="284"/>
      <c r="T29" s="43"/>
      <c r="U29" s="9"/>
      <c r="X29" s="4"/>
    </row>
    <row r="30" spans="2:25" ht="17.399999999999999" x14ac:dyDescent="0.3">
      <c r="B30" s="322">
        <v>2</v>
      </c>
      <c r="C30" s="333" t="s">
        <v>177</v>
      </c>
      <c r="D30" s="323">
        <v>0.6</v>
      </c>
      <c r="E30" s="323">
        <v>0.34799999999999998</v>
      </c>
      <c r="F30" s="322" t="s">
        <v>178</v>
      </c>
      <c r="G30" s="324">
        <f t="shared" si="25"/>
        <v>23663.160111656758</v>
      </c>
      <c r="H30" s="324">
        <f t="shared" si="26"/>
        <v>47326.320223313516</v>
      </c>
      <c r="I30" s="297"/>
      <c r="J30" s="260"/>
      <c r="K30" s="44"/>
      <c r="L30" s="44">
        <f t="shared" si="24"/>
        <v>2</v>
      </c>
      <c r="M30" s="36">
        <f t="shared" si="17"/>
        <v>0.65</v>
      </c>
      <c r="N30" s="36">
        <f t="shared" si="18"/>
        <v>0.34799999999999998</v>
      </c>
      <c r="O30" s="256">
        <f t="shared" si="19"/>
        <v>0.22619999999999998</v>
      </c>
      <c r="P30" s="254">
        <f t="shared" si="20"/>
        <v>0.45239999999999997</v>
      </c>
      <c r="Q30" s="247">
        <f t="shared" si="21"/>
        <v>20663.160111656758</v>
      </c>
      <c r="R30" s="296">
        <f t="shared" si="22"/>
        <v>23663.160111656758</v>
      </c>
      <c r="S30" s="284"/>
      <c r="T30" s="43"/>
      <c r="U30" s="9"/>
      <c r="X30" s="4"/>
    </row>
    <row r="31" spans="2:25" ht="17.399999999999999" x14ac:dyDescent="0.3">
      <c r="B31" s="322">
        <v>1</v>
      </c>
      <c r="C31" s="333" t="s">
        <v>177</v>
      </c>
      <c r="D31" s="323">
        <v>0.6</v>
      </c>
      <c r="E31" s="323">
        <v>0.35</v>
      </c>
      <c r="F31" s="322" t="s">
        <v>178</v>
      </c>
      <c r="G31" s="324">
        <f t="shared" si="25"/>
        <v>23781.913905401911</v>
      </c>
      <c r="H31" s="324">
        <f t="shared" si="26"/>
        <v>23781.913905401911</v>
      </c>
      <c r="I31" s="297"/>
      <c r="J31" s="260"/>
      <c r="K31" s="44"/>
      <c r="L31" s="44">
        <f t="shared" si="24"/>
        <v>1</v>
      </c>
      <c r="M31" s="36">
        <f t="shared" si="17"/>
        <v>0.65</v>
      </c>
      <c r="N31" s="36">
        <f t="shared" si="18"/>
        <v>0.35</v>
      </c>
      <c r="O31" s="256">
        <f t="shared" si="19"/>
        <v>0.22749999999999998</v>
      </c>
      <c r="P31" s="254">
        <f t="shared" si="20"/>
        <v>0.22749999999999998</v>
      </c>
      <c r="Q31" s="247">
        <f t="shared" si="21"/>
        <v>20781.913905401911</v>
      </c>
      <c r="R31" s="296">
        <f t="shared" si="22"/>
        <v>23781.913905401911</v>
      </c>
      <c r="S31" s="284"/>
      <c r="T31" s="43"/>
      <c r="U31" s="9"/>
      <c r="X31" s="4"/>
    </row>
    <row r="32" spans="2:25" ht="17.399999999999999" x14ac:dyDescent="0.3">
      <c r="B32" s="322">
        <v>2</v>
      </c>
      <c r="C32" s="333" t="s">
        <v>177</v>
      </c>
      <c r="D32" s="323">
        <v>0.5</v>
      </c>
      <c r="E32" s="323">
        <v>0.29799999999999999</v>
      </c>
      <c r="F32" s="322" t="s">
        <v>178</v>
      </c>
      <c r="G32" s="324">
        <f t="shared" si="25"/>
        <v>17972.112919100546</v>
      </c>
      <c r="H32" s="324">
        <f t="shared" si="26"/>
        <v>35944.225838201091</v>
      </c>
      <c r="I32" s="297"/>
      <c r="J32" s="260"/>
      <c r="K32" s="44"/>
      <c r="L32" s="44">
        <f t="shared" si="24"/>
        <v>2</v>
      </c>
      <c r="M32" s="36">
        <f t="shared" si="17"/>
        <v>0.55000000000000004</v>
      </c>
      <c r="N32" s="36">
        <f t="shared" si="18"/>
        <v>0.29799999999999999</v>
      </c>
      <c r="O32" s="256">
        <f t="shared" si="19"/>
        <v>0.16390000000000002</v>
      </c>
      <c r="P32" s="254">
        <f t="shared" si="20"/>
        <v>0.32780000000000004</v>
      </c>
      <c r="Q32" s="247">
        <f t="shared" si="21"/>
        <v>14972.112919100544</v>
      </c>
      <c r="R32" s="296">
        <f t="shared" si="22"/>
        <v>17972.112919100546</v>
      </c>
      <c r="S32" s="284"/>
      <c r="T32" s="43"/>
      <c r="U32" s="9"/>
      <c r="X32" s="4"/>
    </row>
    <row r="33" spans="1:24" ht="17.399999999999999" x14ac:dyDescent="0.3">
      <c r="B33" s="348"/>
      <c r="C33" s="349"/>
      <c r="D33" s="350"/>
      <c r="E33" s="350"/>
      <c r="F33" s="348"/>
      <c r="G33" s="297"/>
      <c r="H33" s="297"/>
      <c r="I33" s="297"/>
      <c r="J33" s="260"/>
      <c r="K33" s="44"/>
      <c r="L33" s="44"/>
      <c r="M33" s="36"/>
      <c r="N33" s="36"/>
      <c r="O33" s="256"/>
      <c r="P33" s="254"/>
      <c r="Q33" s="247"/>
      <c r="R33" s="296"/>
      <c r="S33" s="284"/>
      <c r="T33" s="43"/>
      <c r="U33" s="9"/>
      <c r="X33" s="4"/>
    </row>
    <row r="34" spans="1:24" ht="17.399999999999999" x14ac:dyDescent="0.3">
      <c r="B34" s="348"/>
      <c r="C34" s="349"/>
      <c r="D34" s="350"/>
      <c r="E34" s="350"/>
      <c r="F34" s="348"/>
      <c r="G34" s="297"/>
      <c r="H34" s="297"/>
      <c r="I34" s="297"/>
      <c r="J34" s="260"/>
      <c r="K34" s="44"/>
      <c r="L34" s="44"/>
      <c r="M34" s="36"/>
      <c r="N34" s="36"/>
      <c r="O34" s="256"/>
      <c r="P34" s="254"/>
      <c r="Q34" s="247"/>
      <c r="R34" s="296"/>
      <c r="S34" s="284"/>
      <c r="T34" s="43"/>
      <c r="U34" s="9"/>
      <c r="X34" s="4"/>
    </row>
    <row r="35" spans="1:24" ht="18" thickBot="1" x14ac:dyDescent="0.35">
      <c r="B35" s="278"/>
      <c r="C35" s="278"/>
      <c r="D35" s="279"/>
      <c r="E35" s="279"/>
      <c r="F35" s="278"/>
      <c r="G35" s="260"/>
      <c r="H35" s="298"/>
      <c r="I35" s="300"/>
      <c r="J35" s="229"/>
      <c r="K35" s="44"/>
      <c r="L35" s="44">
        <f t="shared" ref="L22:L35" si="27">B35</f>
        <v>0</v>
      </c>
      <c r="M35" s="36"/>
      <c r="N35" s="36"/>
      <c r="O35" s="256"/>
      <c r="P35" s="254"/>
      <c r="Q35" s="247"/>
      <c r="R35" s="253"/>
      <c r="S35" s="284"/>
      <c r="T35" s="14"/>
      <c r="U35" s="9"/>
      <c r="X35" s="4"/>
    </row>
    <row r="36" spans="1:24" ht="17.399999999999999" x14ac:dyDescent="0.3">
      <c r="B36" s="278"/>
      <c r="C36" s="278"/>
      <c r="D36" s="279"/>
      <c r="E36" s="279"/>
      <c r="F36" s="278"/>
      <c r="G36" s="301" t="s">
        <v>28</v>
      </c>
      <c r="H36" s="325">
        <f>SUM(H21:H35)</f>
        <v>553405.37723442749</v>
      </c>
      <c r="I36" s="299"/>
      <c r="J36" s="260"/>
      <c r="K36" s="315"/>
      <c r="L36" s="44"/>
      <c r="M36" s="36"/>
      <c r="N36" s="36"/>
      <c r="O36" s="256"/>
      <c r="P36" s="254"/>
      <c r="Q36" s="247"/>
      <c r="R36" s="253"/>
      <c r="S36" s="284"/>
      <c r="T36" s="43">
        <f>SUM(T21:T35)</f>
        <v>0</v>
      </c>
      <c r="U36" s="9"/>
      <c r="X36" s="4"/>
    </row>
    <row r="37" spans="1:24" ht="17.399999999999999" x14ac:dyDescent="0.3">
      <c r="B37" s="272"/>
      <c r="C37" s="275"/>
      <c r="D37" s="276"/>
      <c r="E37" s="276"/>
      <c r="F37" s="277"/>
      <c r="G37" s="283" t="s">
        <v>51</v>
      </c>
      <c r="H37" s="326">
        <v>19000</v>
      </c>
      <c r="I37" s="299"/>
      <c r="J37" s="260"/>
      <c r="K37" s="315"/>
      <c r="L37" s="44"/>
      <c r="M37" s="36">
        <f>SUM(M21:M21)</f>
        <v>1.85</v>
      </c>
      <c r="N37" s="12"/>
      <c r="O37" s="12"/>
      <c r="P37" s="248">
        <f>SUM(P21:P35)</f>
        <v>1.9345000000000001</v>
      </c>
      <c r="Q37" s="14"/>
      <c r="R37" s="12"/>
      <c r="S37" s="235">
        <f>SUM(S21:S36)</f>
        <v>0.15000000000000002</v>
      </c>
      <c r="T37" s="43"/>
      <c r="U37" s="9"/>
      <c r="X37" s="4"/>
    </row>
    <row r="38" spans="1:24" ht="18" thickBot="1" x14ac:dyDescent="0.35">
      <c r="B38" s="270"/>
      <c r="C38" s="274"/>
      <c r="D38" s="267"/>
      <c r="E38" s="267"/>
      <c r="F38" s="268"/>
      <c r="G38" s="273" t="s">
        <v>6</v>
      </c>
      <c r="H38" s="327">
        <f>H36+H37</f>
        <v>572405.37723442749</v>
      </c>
      <c r="I38" s="299"/>
      <c r="J38" s="260"/>
      <c r="K38" s="315"/>
      <c r="L38" s="44"/>
      <c r="M38" s="36"/>
      <c r="N38" s="12"/>
      <c r="O38" s="12"/>
      <c r="P38" s="248">
        <f>P37</f>
        <v>1.9345000000000001</v>
      </c>
      <c r="Q38" s="14"/>
      <c r="R38" s="12"/>
      <c r="S38" s="235"/>
      <c r="T38" s="43"/>
      <c r="U38" s="9"/>
      <c r="X38" s="4"/>
    </row>
    <row r="39" spans="1:24" ht="17.399999999999999" x14ac:dyDescent="0.3">
      <c r="B39" s="270"/>
      <c r="C39" s="266"/>
      <c r="D39" s="267"/>
      <c r="E39" s="267"/>
      <c r="F39" s="268"/>
      <c r="J39" s="260"/>
      <c r="K39" s="315"/>
      <c r="L39" s="44"/>
      <c r="M39" s="14"/>
      <c r="N39" s="12"/>
      <c r="O39" s="12"/>
      <c r="P39" s="36">
        <f>P38*20%</f>
        <v>0.38690000000000002</v>
      </c>
      <c r="Q39" s="36" t="s">
        <v>129</v>
      </c>
      <c r="R39" s="39"/>
      <c r="S39" s="236"/>
      <c r="T39" s="14"/>
      <c r="U39" s="9"/>
      <c r="X39" s="4"/>
    </row>
    <row r="40" spans="1:24" ht="17.399999999999999" x14ac:dyDescent="0.35">
      <c r="B40" s="264"/>
      <c r="C40" s="226"/>
      <c r="D40" s="226"/>
      <c r="E40" s="229"/>
      <c r="F40" s="230"/>
      <c r="G40" s="226"/>
      <c r="H40" s="269"/>
      <c r="I40" s="269"/>
      <c r="J40" s="260"/>
      <c r="K40" s="44"/>
      <c r="L40" s="44"/>
      <c r="M40" s="14"/>
      <c r="N40" s="12"/>
      <c r="O40" s="12"/>
      <c r="P40" s="43">
        <f>P38+P39</f>
        <v>2.3214000000000001</v>
      </c>
      <c r="Q40" s="14"/>
      <c r="R40" s="14"/>
      <c r="S40" s="234"/>
      <c r="T40" s="14"/>
      <c r="U40" s="9"/>
      <c r="X40" s="4"/>
    </row>
    <row r="41" spans="1:24" ht="17.399999999999999" x14ac:dyDescent="0.35">
      <c r="B41" s="231"/>
      <c r="C41" s="232"/>
      <c r="D41" s="233"/>
      <c r="E41" s="231"/>
      <c r="F41" s="226"/>
      <c r="G41" s="226"/>
      <c r="I41" s="269"/>
      <c r="J41" s="260"/>
      <c r="K41" s="44"/>
      <c r="L41" s="44"/>
      <c r="M41" s="14"/>
      <c r="N41" s="14"/>
      <c r="O41" s="14"/>
      <c r="P41" s="14"/>
      <c r="Q41" s="14"/>
      <c r="R41" s="14"/>
      <c r="S41" s="236"/>
      <c r="T41" s="14"/>
      <c r="U41" s="288" t="s">
        <v>21</v>
      </c>
      <c r="V41" s="285" t="s">
        <v>149</v>
      </c>
      <c r="W41" s="289">
        <v>44971</v>
      </c>
      <c r="X41" s="290"/>
    </row>
    <row r="42" spans="1:24" ht="17.399999999999999" x14ac:dyDescent="0.35">
      <c r="B42" s="226"/>
      <c r="C42" s="226"/>
      <c r="D42" s="226"/>
      <c r="E42" s="226"/>
      <c r="F42" s="226"/>
      <c r="G42" s="226"/>
      <c r="J42" s="260"/>
      <c r="K42" s="44"/>
      <c r="L42" s="44"/>
      <c r="M42" s="36">
        <f>P40</f>
        <v>2.3214000000000001</v>
      </c>
      <c r="N42" s="12">
        <v>3500</v>
      </c>
      <c r="O42" s="12">
        <f t="shared" ref="O42:O47" si="28">M42*N42</f>
        <v>8124.9000000000005</v>
      </c>
      <c r="P42" s="14" t="s">
        <v>21</v>
      </c>
      <c r="Q42" s="14"/>
      <c r="R42" s="14"/>
      <c r="S42" s="237"/>
      <c r="T42" s="14"/>
      <c r="U42" s="288" t="s">
        <v>150</v>
      </c>
      <c r="V42" s="285">
        <v>3625</v>
      </c>
      <c r="W42" s="56" t="s">
        <v>151</v>
      </c>
      <c r="X42" s="290"/>
    </row>
    <row r="43" spans="1:24" ht="17.399999999999999" x14ac:dyDescent="0.35">
      <c r="A43" s="226"/>
      <c r="B43" s="226"/>
      <c r="C43" s="226"/>
      <c r="D43" s="226"/>
      <c r="E43" s="226"/>
      <c r="F43" s="226"/>
      <c r="G43" s="226"/>
      <c r="H43" s="226"/>
      <c r="J43" s="260"/>
      <c r="K43" s="44"/>
      <c r="L43" s="44"/>
      <c r="M43" s="244">
        <v>1</v>
      </c>
      <c r="N43" s="12">
        <v>4000</v>
      </c>
      <c r="O43" s="12">
        <f t="shared" si="28"/>
        <v>4000</v>
      </c>
      <c r="P43" s="36" t="s">
        <v>168</v>
      </c>
      <c r="Q43" s="39"/>
      <c r="R43" s="14"/>
      <c r="S43" s="236"/>
      <c r="T43" s="14"/>
      <c r="U43" s="288"/>
      <c r="V43" s="56">
        <v>906.25</v>
      </c>
      <c r="W43" s="56" t="s">
        <v>152</v>
      </c>
      <c r="X43" s="290"/>
    </row>
    <row r="44" spans="1:24" s="226" customFormat="1" ht="17.399999999999999" x14ac:dyDescent="0.35">
      <c r="B44" s="21" t="s">
        <v>148</v>
      </c>
      <c r="J44" s="257"/>
      <c r="K44" s="228"/>
      <c r="L44" s="245"/>
      <c r="M44" s="14"/>
      <c r="N44" s="245">
        <v>80000</v>
      </c>
      <c r="O44" s="12">
        <f t="shared" si="28"/>
        <v>0</v>
      </c>
      <c r="P44" s="36" t="s">
        <v>30</v>
      </c>
      <c r="Q44" s="39"/>
      <c r="S44" s="236"/>
      <c r="T44" s="251"/>
      <c r="U44" s="56"/>
      <c r="V44" s="56">
        <f>V43*20%</f>
        <v>181.25</v>
      </c>
      <c r="W44" s="290" t="s">
        <v>153</v>
      </c>
      <c r="X44" s="56"/>
    </row>
    <row r="45" spans="1:24" s="226" customFormat="1" ht="17.399999999999999" x14ac:dyDescent="0.35">
      <c r="B45" s="21" t="s">
        <v>163</v>
      </c>
      <c r="C45"/>
      <c r="D45"/>
      <c r="E45"/>
      <c r="F45"/>
      <c r="J45" s="257">
        <v>46000</v>
      </c>
      <c r="K45" s="228"/>
      <c r="L45" s="245"/>
      <c r="M45" s="14">
        <v>2</v>
      </c>
      <c r="N45" s="245">
        <v>34100</v>
      </c>
      <c r="O45" s="12">
        <f t="shared" si="28"/>
        <v>68200</v>
      </c>
      <c r="P45" s="14" t="s">
        <v>139</v>
      </c>
      <c r="Q45" s="17"/>
      <c r="S45" s="234"/>
      <c r="T45" s="251"/>
      <c r="U45" s="56"/>
      <c r="V45" s="56">
        <f>V43+V44</f>
        <v>1087.5</v>
      </c>
      <c r="W45" s="290" t="s">
        <v>154</v>
      </c>
      <c r="X45" s="56"/>
    </row>
    <row r="46" spans="1:24" s="226" customFormat="1" ht="17.399999999999999" x14ac:dyDescent="0.35">
      <c r="B46" s="26" t="s">
        <v>124</v>
      </c>
      <c r="C46"/>
      <c r="D46"/>
      <c r="E46"/>
      <c r="F46" s="225" t="s">
        <v>15</v>
      </c>
      <c r="J46" s="257">
        <f>J45/1.19</f>
        <v>38655.462184873948</v>
      </c>
      <c r="K46" s="255"/>
      <c r="L46" s="245"/>
      <c r="M46" s="244"/>
      <c r="N46" s="245">
        <v>900</v>
      </c>
      <c r="O46" s="12">
        <f t="shared" si="28"/>
        <v>0</v>
      </c>
      <c r="P46" s="14" t="s">
        <v>32</v>
      </c>
      <c r="Q46" s="14"/>
      <c r="R46" s="226">
        <v>1.52</v>
      </c>
      <c r="S46" s="234"/>
      <c r="T46" s="234"/>
    </row>
    <row r="47" spans="1:24" s="226" customFormat="1" ht="17.399999999999999" x14ac:dyDescent="0.35">
      <c r="J47" s="282"/>
      <c r="K47" s="255"/>
      <c r="L47" s="245"/>
      <c r="M47" s="261"/>
      <c r="N47" s="12">
        <v>1500</v>
      </c>
      <c r="O47" s="12">
        <f t="shared" si="28"/>
        <v>0</v>
      </c>
      <c r="P47" s="14" t="s">
        <v>22</v>
      </c>
      <c r="Q47" s="14"/>
      <c r="R47">
        <v>2.44</v>
      </c>
      <c r="S47"/>
      <c r="T47" s="234"/>
      <c r="X47" s="227"/>
    </row>
    <row r="48" spans="1:24" s="226" customFormat="1" ht="17.399999999999999" x14ac:dyDescent="0.35">
      <c r="K48" s="255"/>
      <c r="L48" s="245"/>
      <c r="M48" s="14"/>
      <c r="N48" s="12"/>
      <c r="O48" s="12">
        <f>SUM(O42:O47)</f>
        <v>80324.899999999994</v>
      </c>
      <c r="P48" s="36" t="s">
        <v>23</v>
      </c>
      <c r="Q48" s="14"/>
      <c r="R48">
        <f>R46*R47</f>
        <v>3.7088000000000001</v>
      </c>
      <c r="S48"/>
      <c r="T48" s="234"/>
      <c r="X48" s="227"/>
    </row>
    <row r="49" spans="2:23" s="226" customFormat="1" ht="17.399999999999999" x14ac:dyDescent="0.35">
      <c r="L49" s="245"/>
      <c r="M49" s="249" t="s">
        <v>33</v>
      </c>
      <c r="N49" s="12"/>
      <c r="O49" s="250">
        <f>O48*2.2</f>
        <v>176714.78</v>
      </c>
      <c r="P49" s="14" t="s">
        <v>138</v>
      </c>
      <c r="Q49" s="14"/>
      <c r="R49" s="37">
        <f>P40/R48</f>
        <v>0.62591673856773078</v>
      </c>
      <c r="S49"/>
      <c r="T49" s="252"/>
    </row>
    <row r="50" spans="2:23" s="226" customFormat="1" ht="17.399999999999999" x14ac:dyDescent="0.35">
      <c r="G50"/>
      <c r="H50" s="255"/>
      <c r="I50" s="255"/>
      <c r="J50" s="255"/>
      <c r="L50" s="245"/>
      <c r="M50" s="14"/>
      <c r="N50" s="12"/>
      <c r="O50" s="12">
        <f>O49/P38</f>
        <v>91349.072111656758</v>
      </c>
      <c r="P50" s="42" t="s">
        <v>24</v>
      </c>
      <c r="Q50" s="14"/>
      <c r="R50" s="14"/>
      <c r="S50"/>
      <c r="T50" s="234"/>
      <c r="U50" s="56" t="s">
        <v>155</v>
      </c>
      <c r="V50" s="285">
        <v>43650</v>
      </c>
    </row>
    <row r="51" spans="2:23" s="226" customFormat="1" ht="17.399999999999999" x14ac:dyDescent="0.35">
      <c r="G51"/>
      <c r="L51" s="245"/>
      <c r="M51" s="13"/>
      <c r="N51" s="14"/>
      <c r="O51" s="17">
        <f>O49/O48</f>
        <v>2.2000000000000002</v>
      </c>
      <c r="P51" s="15"/>
      <c r="Q51"/>
      <c r="R51"/>
      <c r="S51"/>
      <c r="T51" s="234"/>
      <c r="U51" s="56" t="s">
        <v>157</v>
      </c>
      <c r="V51" s="286" t="s">
        <v>156</v>
      </c>
      <c r="W51" s="56">
        <v>2.4</v>
      </c>
    </row>
    <row r="52" spans="2:23" s="226" customFormat="1" ht="17.399999999999999" x14ac:dyDescent="0.35">
      <c r="D52" s="279"/>
      <c r="E52" s="279"/>
      <c r="F52" s="278"/>
      <c r="G52" s="316"/>
      <c r="H52" s="320"/>
      <c r="L52" s="12"/>
      <c r="T52" s="234"/>
      <c r="U52" s="56" t="s">
        <v>158</v>
      </c>
      <c r="V52" s="287">
        <v>395.37</v>
      </c>
    </row>
    <row r="53" spans="2:23" s="226" customFormat="1" ht="17.399999999999999" x14ac:dyDescent="0.35">
      <c r="B53"/>
      <c r="C53" s="321"/>
      <c r="D53" s="279"/>
      <c r="E53" s="279"/>
      <c r="F53" s="278"/>
      <c r="G53" s="316"/>
      <c r="H53" s="320"/>
      <c r="L53" s="12"/>
      <c r="T53" s="234"/>
      <c r="U53" s="56" t="s">
        <v>153</v>
      </c>
      <c r="V53" s="56">
        <v>474.45</v>
      </c>
    </row>
    <row r="54" spans="2:23" ht="14.4" customHeight="1" x14ac:dyDescent="0.35">
      <c r="D54" s="279"/>
      <c r="E54" s="279"/>
      <c r="F54" s="278"/>
      <c r="G54" s="316"/>
      <c r="H54" s="320"/>
      <c r="L54" s="12"/>
      <c r="U54" s="56"/>
      <c r="V54" s="56"/>
    </row>
    <row r="55" spans="2:23" ht="17.399999999999999" x14ac:dyDescent="0.35">
      <c r="D55" s="279"/>
      <c r="E55" s="279"/>
      <c r="F55" s="278"/>
      <c r="G55" s="316"/>
      <c r="H55" s="320"/>
      <c r="L55" s="245"/>
    </row>
    <row r="56" spans="2:23" ht="17.399999999999999" x14ac:dyDescent="0.35">
      <c r="D56" s="279"/>
      <c r="E56" s="279"/>
      <c r="F56" s="278"/>
      <c r="G56" s="316"/>
      <c r="H56" s="320"/>
      <c r="L56" s="245"/>
      <c r="T56" s="265"/>
    </row>
    <row r="57" spans="2:23" ht="17.399999999999999" x14ac:dyDescent="0.35">
      <c r="D57" s="279"/>
      <c r="E57" s="279"/>
      <c r="F57" s="278"/>
      <c r="G57" s="316"/>
      <c r="H57" s="320"/>
      <c r="L57" s="245"/>
    </row>
    <row r="58" spans="2:23" ht="15" customHeight="1" x14ac:dyDescent="0.35">
      <c r="D58" s="279"/>
      <c r="E58" s="279"/>
      <c r="F58" s="278"/>
      <c r="G58" s="316"/>
      <c r="H58" s="320"/>
    </row>
    <row r="59" spans="2:23" ht="17.399999999999999" x14ac:dyDescent="0.35">
      <c r="D59" s="279"/>
      <c r="E59" s="279"/>
      <c r="F59" s="278"/>
      <c r="G59" s="316"/>
      <c r="H59" s="320"/>
    </row>
    <row r="60" spans="2:23" ht="17.399999999999999" x14ac:dyDescent="0.35">
      <c r="D60" s="279"/>
      <c r="E60" s="279"/>
      <c r="F60" s="278"/>
      <c r="G60" s="316"/>
      <c r="H60" s="320"/>
      <c r="O60">
        <v>40935</v>
      </c>
      <c r="P60" t="s">
        <v>16</v>
      </c>
      <c r="Q60" t="s">
        <v>26</v>
      </c>
    </row>
    <row r="61" spans="2:23" ht="17.399999999999999" x14ac:dyDescent="0.35">
      <c r="D61" s="279"/>
      <c r="E61" s="279"/>
      <c r="F61" s="278"/>
      <c r="G61" s="316"/>
      <c r="H61" s="320"/>
    </row>
    <row r="62" spans="2:23" ht="17.399999999999999" x14ac:dyDescent="0.35">
      <c r="D62" s="279"/>
      <c r="E62" s="279"/>
      <c r="F62" s="278"/>
      <c r="G62" s="316"/>
      <c r="H62" s="320"/>
      <c r="O62" s="51"/>
      <c r="P62" s="51"/>
    </row>
    <row r="63" spans="2:23" ht="17.399999999999999" x14ac:dyDescent="0.35">
      <c r="D63" s="279"/>
      <c r="E63" s="279"/>
      <c r="F63" s="278"/>
      <c r="G63" s="316"/>
      <c r="H63" s="320"/>
      <c r="S63" s="18"/>
      <c r="T63" s="18"/>
    </row>
    <row r="64" spans="2:23" ht="17.399999999999999" x14ac:dyDescent="0.35">
      <c r="D64" s="279"/>
      <c r="E64" s="279"/>
      <c r="F64" s="278"/>
      <c r="G64" s="316"/>
      <c r="H64" s="320"/>
      <c r="S64" s="18"/>
      <c r="T64" s="18"/>
    </row>
    <row r="65" spans="4:20" ht="17.399999999999999" x14ac:dyDescent="0.35">
      <c r="D65" s="279"/>
      <c r="E65" s="279"/>
      <c r="F65" s="278"/>
      <c r="G65" s="316"/>
      <c r="H65" s="320"/>
      <c r="S65" s="18"/>
      <c r="T65" s="18"/>
    </row>
    <row r="66" spans="4:20" x14ac:dyDescent="0.3">
      <c r="S66" s="18"/>
      <c r="T66" s="18"/>
    </row>
    <row r="67" spans="4:20" x14ac:dyDescent="0.3">
      <c r="S67" s="18"/>
      <c r="T67" s="18"/>
    </row>
    <row r="68" spans="4:20" x14ac:dyDescent="0.3"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4" spans="4:20" x14ac:dyDescent="0.3">
      <c r="O74" s="40"/>
    </row>
    <row r="75" spans="4:20" x14ac:dyDescent="0.3">
      <c r="O75" s="40"/>
    </row>
    <row r="76" spans="4:20" x14ac:dyDescent="0.3">
      <c r="O76" s="6"/>
    </row>
    <row r="77" spans="4:20" x14ac:dyDescent="0.3">
      <c r="O77" s="6"/>
    </row>
    <row r="85" spans="3:3" x14ac:dyDescent="0.3">
      <c r="C85" t="s">
        <v>145</v>
      </c>
    </row>
    <row r="86" spans="3:3" x14ac:dyDescent="0.3">
      <c r="C86" t="s">
        <v>144</v>
      </c>
    </row>
    <row r="89" spans="3:3" x14ac:dyDescent="0.3">
      <c r="C89" t="s">
        <v>144</v>
      </c>
    </row>
    <row r="166" spans="3:3" x14ac:dyDescent="0.3">
      <c r="C166" t="s">
        <v>144</v>
      </c>
    </row>
    <row r="167" spans="3:3" x14ac:dyDescent="0.3">
      <c r="C167" t="s">
        <v>146</v>
      </c>
    </row>
    <row r="168" spans="3:3" x14ac:dyDescent="0.3">
      <c r="C168" t="s">
        <v>147</v>
      </c>
    </row>
    <row r="593" spans="3:3" x14ac:dyDescent="0.3">
      <c r="C593" t="s">
        <v>144</v>
      </c>
    </row>
  </sheetData>
  <mergeCells count="2">
    <mergeCell ref="F17:H17"/>
    <mergeCell ref="B19:H19"/>
  </mergeCells>
  <phoneticPr fontId="33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45979</v>
      </c>
    </row>
    <row r="6" spans="1:31" ht="16.2" thickBot="1" x14ac:dyDescent="0.35">
      <c r="B6" s="137" t="s">
        <v>2</v>
      </c>
      <c r="C6" s="136" t="str">
        <f>'2229'!C10</f>
        <v>JORGE MORALES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2" t="s">
        <v>98</v>
      </c>
      <c r="I7" s="343"/>
      <c r="J7" s="343"/>
      <c r="K7" s="344"/>
      <c r="N7" s="72"/>
      <c r="O7" s="341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1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-83673.213465641296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'2229'!H36</f>
        <v>553405.37723442749</v>
      </c>
      <c r="E11" s="129">
        <f>D11*0.19</f>
        <v>105147.02167454122</v>
      </c>
      <c r="F11" s="128">
        <f>E11+D11</f>
        <v>658552.39890896867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22316.786534358704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32103.810275362321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4316.7865343587036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521301.56695906515</v>
      </c>
      <c r="E13" s="218">
        <f>(D11/D12)-1</f>
        <v>16.237996751405291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-4683.2134656412964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-43683.213465641296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61125.654764289859</v>
      </c>
      <c r="C15" s="210" t="s">
        <v>121</v>
      </c>
      <c r="D15" s="211">
        <v>0.6</v>
      </c>
      <c r="E15" s="212">
        <f>(100%+D15)*D12</f>
        <v>51366.096440579713</v>
      </c>
      <c r="F15" s="213">
        <f>E15-D12</f>
        <v>19262.286165217392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-43683.213465641296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-3683.2134656412964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'2229'!O43</f>
        <v>4000</v>
      </c>
      <c r="E19" s="120">
        <f>D19*0.19</f>
        <v>760</v>
      </c>
      <c r="F19" s="117">
        <f>SUM(D19:E19)</f>
        <v>4760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'2229'!O42</f>
        <v>8124.9000000000005</v>
      </c>
      <c r="E20" s="118">
        <f>D20*0.19</f>
        <v>1543.7310000000002</v>
      </c>
      <c r="F20" s="117">
        <f>SUM(D20:E20)</f>
        <v>9668.6310000000012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12124.900000000001</v>
      </c>
      <c r="E21" s="113">
        <f>SUM(E18:E20)</f>
        <v>2303.7310000000002</v>
      </c>
      <c r="F21" s="112">
        <f>SUM(F18:F20)</f>
        <v>14428.631000000001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102843.29067454122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553405.37723442749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12124.900000000001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521301.56695906515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521301.56695906515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2025-11-19T02:00:34Z</dcterms:modified>
</cp:coreProperties>
</file>