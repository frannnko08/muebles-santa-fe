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B32D10D5-4024-499A-9AC9-3AFD770CF3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N21" i="1"/>
  <c r="M21" i="1"/>
  <c r="L21" i="1"/>
  <c r="O21" i="1" l="1"/>
  <c r="P21" i="1" s="1"/>
  <c r="M25" i="1"/>
  <c r="J34" i="1"/>
  <c r="S25" i="1" l="1"/>
  <c r="T21" i="1"/>
  <c r="T24" i="1" s="1"/>
  <c r="P25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H24" i="1"/>
  <c r="O39" i="1"/>
  <c r="F15" i="3" l="1"/>
  <c r="H25" i="1" l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<sst xmlns="http://schemas.openxmlformats.org/spreadsheetml/2006/main" count="229" uniqueCount="174">
  <si>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</si>
  <si>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</si>
  <si>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</si>
  <si>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</si>
  <si>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</si>
  <si>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</si>
  <si>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</si>
  <si>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</si>
  <si>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</si>
  <si>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</si>
  <si>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</si>
  <si>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</si>
  <si>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</si>
  <si>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</si>
  <si>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</si>
  <si>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</si>
  <si>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</si>
  <si>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</si>
  <si>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</si>
  <si>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</si>
  <si>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</si>
  <si>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</si>
  <si>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</si>
  <si>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</si>
  <si>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</si>
  <si>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</si>
  <si>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</si>
  <si>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</si>
  <si>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</si>
  <si>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</si>
  <si>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</si>
  <si>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</si>
  <si>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</si>
  <si>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</si>
  <si>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</si>
  <si>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</si>
  <si>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</si>
  <si>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</si>
  <si>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</si>
  <si>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</si>
  <si>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</si>
  <si>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</si>
  <si>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</si>
  <si>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</si>
  <si>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</si>
  <si>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</si>
  <si>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</si>
  <si>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</si>
  <si>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</si>
  <si>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</si>
  <si>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</si>
  <si>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</si>
  <si>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</si>
  <si>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</si>
  <si>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</si>
  <si>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</si>
  <si>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</si>
  <si>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</si>
  <si>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</si>
  <si>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</si>
  <si>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</si>
  <si>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</si>
  <si>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</si>
  <si>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</si>
  <si>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</si>
  <si>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</si>
  <si>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</si>
  <si>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</si>
  <si>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</si>
  <si>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</si>
  <si>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</si>
  <si>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</si>
  <si>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</si>
  <si>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</si>
  <si>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</si>
  <si>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</si>
  <si>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</si>
  <si>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</si>
  <si>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</si>
  <si>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</si>
  <si>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</si>
  <si>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</si>
  <si>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</si>
  <si>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</si>
  <si>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</si>
  <si>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</si>
  <si>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</si>
  <si>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</si>
  <si>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</si>
  <si>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</si>
  <si>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</si>
  <si>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</si>
  <si>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</si>
  <si>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</si>
  <si>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</si>
  <si>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</si>
  <si>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</si>
  <si>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</si>
  <si>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</si>
  <si>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</si>
  <si>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</si>
  <si>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</si>
  <si>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</si>
  <si>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</si>
  <si>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</si>
  <si>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</si>
  <si>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</si>
  <si>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</si>
  <si>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</si>
  <si>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</si>
  <si>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</si>
  <si>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</si>
  <si>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</si>
  <si>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</si>
  <si>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</si>
  <si>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</si>
  <si>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</si>
  <si>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</si>
  <si>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</si>
  <si>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</si>
  <si>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</si>
  <si>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</si>
  <si>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</si>
  <si>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</si>
  <si>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</si>
  <si>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</si>
  <si>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</si>
  <si>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</si>
  <si>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</si>
  <si>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</si>
  <si>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</si>
  <si>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</si>
  <si>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</si>
  <si>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</si>
  <si>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</si>
  <si>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</si>
  <si>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</si>
  <si>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</si>
  <si>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</si>
  <si>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</si>
  <si>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</si>
  <si>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</si>
  <si>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</si>
  <si>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</si>
  <si>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</si>
  <si>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</si>
  <si>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</si>
  <si>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</si>
  <si>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</si>
  <si>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</si>
  <si>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</si>
  <si>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</si>
  <si>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</si>
  <si>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</si>
  <si>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</si>
  <si>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</si>
  <si>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</si>
  <si>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</si>
  <si>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</si>
  <si>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</si>
  <si>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</si>
  <si>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</si>
  <si>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</si>
  <si>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</si>
  <si>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</si>
  <si>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</si>
  <si>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</si>
  <si>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</si>
  <si>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</si>
  <si>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N° 11752</t>
  </si>
  <si>
    <t>MIGUEL KURTE</t>
  </si>
  <si>
    <t>7 DIAS HABILES</t>
  </si>
  <si>
    <t>CUB CON RESPALDO FRENTE 90°</t>
  </si>
  <si>
    <t>WHITE MARBLE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</si>
</sst>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444444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5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6" fillId="0" borderId="27" xfId="8" applyFont="1" applyFill="1" applyBorder="1"/>
    <xf numFmtId="42" fontId="36" fillId="18" borderId="20" xfId="8" applyFont="1" applyFill="1" applyBorder="1"/>
    <xf numFmtId="42" fontId="36" fillId="0" borderId="29" xfId="8" applyFont="1" applyFill="1" applyBorder="1"/>
    <xf numFmtId="0" fontId="23" fillId="20" borderId="9" xfId="0" applyFont="1" applyFill="1" applyBorder="1"/>
    <xf numFmtId="0" fontId="37" fillId="20" borderId="2" xfId="0" applyFont="1" applyFill="1" applyBorder="1" applyAlignment="1">
      <alignment horizontal="left" indent="1"/>
    </xf>
    <xf numFmtId="0" fontId="37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8" fillId="0" borderId="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9" fillId="0" borderId="0" xfId="0" applyFont="1" applyAlignment="1">
      <alignment horizontal="left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 </a:t>
          </a:r>
          <a:endParaRPr lang="es-CL" sz="1200" b="1" baseline="0"/>
        </a:p>
        <a:p>
          <a:pPr algn="l"/>
          <a:r>
            <a:rPr lang="es-CL" sz="1200" b="1" baseline="0"/>
            <a:t>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J27" sqref="J27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8" t="s">
        <v>124</v>
      </c>
      <c r="C8" s="327"/>
      <c r="D8" s="329" t="s">
        <v>169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158</v>
      </c>
      <c r="C10" s="331" t="s">
        <v>170</v>
      </c>
      <c r="D10" s="239"/>
      <c r="E10" s="239"/>
      <c r="F10" s="240" t="s">
        <v>165</v>
      </c>
      <c r="G10" s="271">
        <v>45974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164</v>
      </c>
      <c r="G11" s="303" t="s">
        <v>171</v>
      </c>
      <c r="H11" s="281"/>
      <c r="Q11" s="19"/>
      <c r="R11" s="22" t="s">
        <v>18</v>
      </c>
      <c r="S11" s="19"/>
    </row>
    <row r="12" spans="2:24" x14ac:dyDescent="0.3">
      <c r="B12" s="242" t="s">
        <v>141</v>
      </c>
      <c r="C12" s="304"/>
      <c r="D12" s="305"/>
      <c r="E12" s="305"/>
      <c r="F12" s="305" t="s">
        <v>125</v>
      </c>
      <c r="G12" s="306" t="s">
        <v>132</v>
      </c>
      <c r="H12" s="243"/>
      <c r="Q12" s="19"/>
      <c r="R12" s="22"/>
      <c r="S12" s="19"/>
    </row>
    <row r="13" spans="2:24" x14ac:dyDescent="0.3">
      <c r="B13" s="280" t="s">
        <v>142</v>
      </c>
      <c r="F13" t="s">
        <v>163</v>
      </c>
      <c r="G13" s="307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30"/>
      <c r="D14" s="305"/>
      <c r="E14" s="305"/>
      <c r="F14" s="305" t="s">
        <v>133</v>
      </c>
      <c r="G14" s="308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46">
        <v>56985277236</v>
      </c>
      <c r="D15" s="309"/>
      <c r="F15" t="s">
        <v>166</v>
      </c>
      <c r="G15" s="310" t="s">
        <v>132</v>
      </c>
      <c r="H15" s="281"/>
    </row>
    <row r="16" spans="2:24" ht="16.8" x14ac:dyDescent="0.4">
      <c r="B16" s="295" t="s">
        <v>3</v>
      </c>
      <c r="C16" s="311"/>
      <c r="D16" s="305"/>
      <c r="E16" s="305"/>
      <c r="F16" s="312" t="s">
        <v>127</v>
      </c>
      <c r="G16" s="313" t="s">
        <v>159</v>
      </c>
      <c r="H16" s="243"/>
    </row>
    <row r="17" spans="1:25" ht="15" thickBot="1" x14ac:dyDescent="0.35">
      <c r="B17" s="292" t="s">
        <v>13</v>
      </c>
      <c r="C17" s="293" t="s">
        <v>168</v>
      </c>
      <c r="D17" s="294"/>
      <c r="E17" s="116"/>
      <c r="F17" s="334" t="s">
        <v>161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94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316" t="s">
        <v>7</v>
      </c>
      <c r="C20" s="317" t="s">
        <v>1</v>
      </c>
      <c r="D20" s="317" t="s">
        <v>129</v>
      </c>
      <c r="E20" s="317" t="s">
        <v>11</v>
      </c>
      <c r="F20" s="317" t="s">
        <v>8</v>
      </c>
      <c r="G20" s="317" t="s">
        <v>5</v>
      </c>
      <c r="H20" s="318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O38</f>
        <v>59253.070866141737</v>
      </c>
      <c r="R20" s="253">
        <v>2000</v>
      </c>
      <c r="S20" s="35"/>
      <c r="T20" s="14" t="s">
        <v>126</v>
      </c>
      <c r="U20" s="9"/>
      <c r="X20" s="4"/>
    </row>
    <row r="21" spans="1:25" ht="17.399999999999999" x14ac:dyDescent="0.3">
      <c r="B21" s="321">
        <v>1</v>
      </c>
      <c r="C21" s="332" t="s">
        <v>172</v>
      </c>
      <c r="D21" s="322">
        <v>2.4</v>
      </c>
      <c r="E21" s="322">
        <v>0.63500000000000001</v>
      </c>
      <c r="F21" s="321" t="s">
        <v>173</v>
      </c>
      <c r="G21" s="323">
        <v>93312</v>
      </c>
      <c r="H21" s="323">
        <f>G21*B21</f>
        <v>93312</v>
      </c>
      <c r="I21" s="297"/>
      <c r="J21" s="260"/>
      <c r="K21" s="44"/>
      <c r="L21" s="44">
        <f>B21</f>
        <v>1</v>
      </c>
      <c r="M21" s="36">
        <f>D21+M$19</f>
        <v>2.48</v>
      </c>
      <c r="N21" s="36">
        <f>E21</f>
        <v>0.63500000000000001</v>
      </c>
      <c r="O21" s="256">
        <f t="shared" ref="O21" si="1">M21*N21</f>
        <v>1.5748</v>
      </c>
      <c r="P21" s="254">
        <f t="shared" ref="P21" si="2">O21*L21</f>
        <v>1.5748</v>
      </c>
      <c r="Q21" s="247">
        <f t="shared" ref="Q21" si="3">Q$20*O21</f>
        <v>93311.736000000004</v>
      </c>
      <c r="R21" s="296"/>
      <c r="S21" s="284"/>
      <c r="T21" s="43">
        <f>N21*2*L21*2</f>
        <v>2.54</v>
      </c>
      <c r="U21" s="9"/>
      <c r="X21" s="4"/>
    </row>
    <row r="22" spans="1:25" ht="17.399999999999999" x14ac:dyDescent="0.3">
      <c r="B22" s="278"/>
      <c r="C22" s="333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4">
        <f>SUM(H21:H23)</f>
        <v>93312</v>
      </c>
      <c r="I24" s="299"/>
      <c r="J24" s="260"/>
      <c r="K24" s="314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2.54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50</v>
      </c>
      <c r="H25" s="325">
        <f>H24*19%</f>
        <v>17729.28</v>
      </c>
      <c r="I25" s="299"/>
      <c r="J25" s="260"/>
      <c r="K25" s="314"/>
      <c r="L25" s="44"/>
      <c r="M25" s="36">
        <f>SUM(M21:M21)</f>
        <v>2.48</v>
      </c>
      <c r="N25" s="12"/>
      <c r="O25" s="12"/>
      <c r="P25" s="248">
        <f>SUM(P21:P23)</f>
        <v>1.5748</v>
      </c>
      <c r="Q25" s="14"/>
      <c r="R25" s="12"/>
      <c r="S25" s="235">
        <f>SUM(S21:S24)</f>
        <v>0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6">
        <f>H24+H25</f>
        <v>111041.28</v>
      </c>
      <c r="I26" s="299"/>
      <c r="J26" s="260"/>
      <c r="K26" s="314"/>
      <c r="L26" s="44"/>
      <c r="M26" s="36"/>
      <c r="N26" s="12"/>
      <c r="O26" s="12"/>
      <c r="P26" s="248">
        <f>P25</f>
        <v>1.5748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4"/>
      <c r="L27" s="44"/>
      <c r="M27" s="14"/>
      <c r="N27" s="12"/>
      <c r="O27" s="12"/>
      <c r="P27" s="36">
        <f>P26*20%</f>
        <v>0.31496000000000002</v>
      </c>
      <c r="Q27" s="36" t="s">
        <v>128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1.8897599999999999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148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1.8897599999999999</v>
      </c>
      <c r="N30" s="12">
        <v>3500</v>
      </c>
      <c r="O30" s="12">
        <f t="shared" ref="O30:O35" si="4">M30*N30</f>
        <v>6614.16</v>
      </c>
      <c r="P30" s="14" t="s">
        <v>21</v>
      </c>
      <c r="Q30" s="14"/>
      <c r="R30" s="14"/>
      <c r="S30" s="237"/>
      <c r="T30" s="14"/>
      <c r="U30" s="288" t="s">
        <v>149</v>
      </c>
      <c r="V30" s="285">
        <v>3625</v>
      </c>
      <c r="W30" s="56" t="s">
        <v>150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0.6</v>
      </c>
      <c r="N31" s="12">
        <v>23500</v>
      </c>
      <c r="O31" s="12">
        <f t="shared" si="4"/>
        <v>14100</v>
      </c>
      <c r="P31" s="36" t="s">
        <v>167</v>
      </c>
      <c r="Q31" s="39"/>
      <c r="R31" s="14"/>
      <c r="S31" s="236"/>
      <c r="T31" s="14"/>
      <c r="U31" s="288"/>
      <c r="V31" s="56">
        <v>906.25</v>
      </c>
      <c r="W31" s="56" t="s">
        <v>151</v>
      </c>
      <c r="X31" s="290"/>
    </row>
    <row r="32" spans="1:25" s="226" customFormat="1" ht="17.399999999999999" x14ac:dyDescent="0.35">
      <c r="B32" s="21" t="s">
        <v>147</v>
      </c>
      <c r="J32" s="257"/>
      <c r="K32" s="228"/>
      <c r="L32" s="245"/>
      <c r="M32" s="14"/>
      <c r="N32" s="245">
        <v>80000</v>
      </c>
      <c r="O32" s="12">
        <f t="shared" si="4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152</v>
      </c>
      <c r="X32" s="56"/>
    </row>
    <row r="33" spans="2:24" s="226" customFormat="1" ht="17.399999999999999" x14ac:dyDescent="0.35">
      <c r="B33" s="21" t="s">
        <v>162</v>
      </c>
      <c r="C33"/>
      <c r="D33"/>
      <c r="E33"/>
      <c r="F33"/>
      <c r="J33" s="257">
        <v>46000</v>
      </c>
      <c r="K33" s="228"/>
      <c r="L33" s="245"/>
      <c r="M33" s="14">
        <v>1</v>
      </c>
      <c r="N33" s="245">
        <v>20000</v>
      </c>
      <c r="O33" s="12">
        <f t="shared" si="4"/>
        <v>20000</v>
      </c>
      <c r="P33" s="14" t="s">
        <v>138</v>
      </c>
      <c r="Q33" s="17"/>
      <c r="S33" s="234"/>
      <c r="T33" s="251"/>
      <c r="U33" s="56"/>
      <c r="V33" s="56">
        <f>V31+V32</f>
        <v>1087.5</v>
      </c>
      <c r="W33" s="290" t="s">
        <v>153</v>
      </c>
      <c r="X33" s="56"/>
    </row>
    <row r="34" spans="2:24" s="226" customFormat="1" ht="17.399999999999999" x14ac:dyDescent="0.35">
      <c r="B34" s="26" t="s">
        <v>123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4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>
        <v>2.48</v>
      </c>
      <c r="N35" s="12">
        <v>1500</v>
      </c>
      <c r="O35" s="12">
        <f t="shared" si="4"/>
        <v>3720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44434.16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/>
      <c r="N37" s="12"/>
      <c r="O37" s="250">
        <f>O36*2.1</f>
        <v>93311.736000000004</v>
      </c>
      <c r="P37" s="14" t="s">
        <v>137</v>
      </c>
      <c r="Q37" s="14"/>
      <c r="R37" s="37">
        <f>P28/R36</f>
        <v>0.50953408110440035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59253.070866141737</v>
      </c>
      <c r="P38" s="42" t="s">
        <v>24</v>
      </c>
      <c r="Q38" s="14"/>
      <c r="R38" s="14"/>
      <c r="S38"/>
      <c r="T38" s="234"/>
      <c r="U38" s="56" t="s">
        <v>154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156</v>
      </c>
      <c r="V39" s="286" t="s">
        <v>155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5"/>
      <c r="H40" s="319"/>
      <c r="L40" s="12"/>
      <c r="T40" s="234"/>
      <c r="U40" s="56" t="s">
        <v>157</v>
      </c>
      <c r="V40" s="287">
        <v>395.37</v>
      </c>
    </row>
    <row r="41" spans="2:24" s="226" customFormat="1" ht="17.399999999999999" x14ac:dyDescent="0.35">
      <c r="B41"/>
      <c r="C41" s="320"/>
      <c r="D41" s="279"/>
      <c r="E41" s="279"/>
      <c r="F41" s="278"/>
      <c r="G41" s="315"/>
      <c r="H41" s="319"/>
      <c r="L41" s="12"/>
      <c r="T41" s="234"/>
      <c r="U41" s="56" t="s">
        <v>152</v>
      </c>
      <c r="V41" s="56">
        <v>474.45</v>
      </c>
    </row>
    <row r="42" spans="2:24" ht="14.4" customHeight="1" x14ac:dyDescent="0.35">
      <c r="D42" s="279"/>
      <c r="E42" s="279"/>
      <c r="F42" s="278"/>
      <c r="G42" s="315"/>
      <c r="H42" s="319"/>
      <c r="L42" s="12"/>
      <c r="U42" s="56"/>
      <c r="V42" s="56"/>
    </row>
    <row r="43" spans="2:24" ht="17.399999999999999" x14ac:dyDescent="0.35">
      <c r="D43" s="279"/>
      <c r="E43" s="279"/>
      <c r="F43" s="278"/>
      <c r="G43" s="315"/>
      <c r="H43" s="319"/>
      <c r="L43" s="245"/>
    </row>
    <row r="44" spans="2:24" ht="17.399999999999999" x14ac:dyDescent="0.35">
      <c r="D44" s="279"/>
      <c r="E44" s="279"/>
      <c r="F44" s="278"/>
      <c r="G44" s="315"/>
      <c r="H44" s="319"/>
      <c r="L44" s="245"/>
      <c r="T44" s="265"/>
    </row>
    <row r="45" spans="2:24" ht="17.399999999999999" x14ac:dyDescent="0.35">
      <c r="D45" s="279"/>
      <c r="E45" s="279"/>
      <c r="F45" s="278"/>
      <c r="G45" s="315"/>
      <c r="H45" s="319"/>
      <c r="L45" s="245"/>
    </row>
    <row r="46" spans="2:24" ht="15" customHeight="1" x14ac:dyDescent="0.35">
      <c r="D46" s="279"/>
      <c r="E46" s="279"/>
      <c r="F46" s="278"/>
      <c r="G46" s="315"/>
      <c r="H46" s="319"/>
    </row>
    <row r="47" spans="2:24" ht="17.399999999999999" x14ac:dyDescent="0.35">
      <c r="D47" s="279"/>
      <c r="E47" s="279"/>
      <c r="F47" s="278"/>
      <c r="G47" s="315"/>
      <c r="H47" s="319"/>
    </row>
    <row r="48" spans="2:24" ht="17.399999999999999" x14ac:dyDescent="0.35">
      <c r="D48" s="279"/>
      <c r="E48" s="279"/>
      <c r="F48" s="278"/>
      <c r="G48" s="315"/>
      <c r="H48" s="319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5"/>
      <c r="H49" s="319"/>
    </row>
    <row r="50" spans="4:20" ht="17.399999999999999" x14ac:dyDescent="0.35">
      <c r="D50" s="279"/>
      <c r="E50" s="279"/>
      <c r="F50" s="278"/>
      <c r="G50" s="315"/>
      <c r="H50" s="319"/>
      <c r="O50" s="51"/>
      <c r="P50" s="51"/>
    </row>
    <row r="51" spans="4:20" ht="17.399999999999999" x14ac:dyDescent="0.35">
      <c r="D51" s="279"/>
      <c r="E51" s="279"/>
      <c r="F51" s="278"/>
      <c r="G51" s="315"/>
      <c r="H51" s="319"/>
      <c r="S51" s="18"/>
      <c r="T51" s="18"/>
    </row>
    <row r="52" spans="4:20" ht="17.399999999999999" x14ac:dyDescent="0.35">
      <c r="D52" s="279"/>
      <c r="E52" s="279"/>
      <c r="F52" s="278"/>
      <c r="G52" s="315"/>
      <c r="H52" s="319"/>
      <c r="S52" s="18"/>
      <c r="T52" s="18"/>
    </row>
    <row r="53" spans="4:20" ht="17.399999999999999" x14ac:dyDescent="0.35">
      <c r="D53" s="279"/>
      <c r="E53" s="279"/>
      <c r="F53" s="278"/>
      <c r="G53" s="315"/>
      <c r="H53" s="319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144</v>
      </c>
    </row>
    <row r="74" spans="3:15" x14ac:dyDescent="0.3">
      <c r="C74" t="s">
        <v>143</v>
      </c>
    </row>
    <row r="77" spans="3:15" x14ac:dyDescent="0.3">
      <c r="C77" t="s">
        <v>143</v>
      </c>
    </row>
    <row r="154" spans="3:3" x14ac:dyDescent="0.3">
      <c r="C154" t="s">
        <v>143</v>
      </c>
    </row>
    <row r="155" spans="3:3" x14ac:dyDescent="0.3">
      <c r="C155" t="s">
        <v>145</v>
      </c>
    </row>
    <row r="156" spans="3:3" x14ac:dyDescent="0.3">
      <c r="C156" t="s">
        <v>146</v>
      </c>
    </row>
    <row r="581" spans="3:3" x14ac:dyDescent="0.3">
      <c r="C581" t="s">
        <v>143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45974</v>
      </c>
    </row>
    <row r="6" spans="1:31" ht="16.2" thickBot="1" x14ac:dyDescent="0.35">
      <c r="B6" s="137" t="s">
        <v>2</v>
      </c>
      <c r="C6" s="136" t="str">
        <f>'2229'!C10</f>
        <v>MIGUEL KURTE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97</v>
      </c>
      <c r="I7" s="341"/>
      <c r="J7" s="341"/>
      <c r="K7" s="342"/>
      <c r="N7" s="72"/>
      <c r="O7" s="339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11752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9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-4700.514593236715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'2229'!H24</f>
        <v>93312</v>
      </c>
      <c r="E11" s="129">
        <f>D11*0.19</f>
        <v>17729.28</v>
      </c>
      <c r="F11" s="128">
        <f>E11+D11</f>
        <v>111041.28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101289.48540676328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40693.070275362319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83289.485406763284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52618.929724637681</v>
      </c>
      <c r="E13" s="218">
        <f>(D11/D12)-1</f>
        <v>1.2930685585672284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74289.485406763284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35289.485406763284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77479.605804289851</v>
      </c>
      <c r="C15" s="210" t="s">
        <v>120</v>
      </c>
      <c r="D15" s="211">
        <v>0.6</v>
      </c>
      <c r="E15" s="212">
        <f>(100%+D15)*D12</f>
        <v>65108.912440579712</v>
      </c>
      <c r="F15" s="213">
        <f>E15-D12</f>
        <v>24415.842165217393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35289.485406763284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75289.485406763284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14100</v>
      </c>
      <c r="E19" s="120">
        <f>D19*0.19</f>
        <v>2679</v>
      </c>
      <c r="F19" s="117">
        <f>SUM(D19:E19)</f>
        <v>16779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6614.16</v>
      </c>
      <c r="E20" s="118">
        <f>D20*0.19</f>
        <v>1256.6904</v>
      </c>
      <c r="F20" s="117">
        <f>SUM(D20:E20)</f>
        <v>7870.8503999999994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20714.16</v>
      </c>
      <c r="E21" s="113">
        <f>SUM(E18:E20)</f>
        <v>3935.6904</v>
      </c>
      <c r="F21" s="112">
        <f>SUM(F18:F20)</f>
        <v>24649.850399999999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9944.1276666666672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2.1</v>
      </c>
      <c r="I37" s="201">
        <f>32609.69/9</f>
        <v>3623.2988888888885</v>
      </c>
      <c r="J37" s="184" t="s">
        <v>44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42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43</v>
      </c>
      <c r="K39" s="81">
        <f>I39*H39</f>
        <v>304.5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13793.589599999999</v>
      </c>
    </row>
    <row r="41" spans="2:16" ht="15" thickBot="1" x14ac:dyDescent="0.35">
      <c r="H41" s="343" t="s">
        <v>59</v>
      </c>
      <c r="I41" s="344"/>
      <c r="J41" s="344"/>
      <c r="K41" s="344"/>
      <c r="L41" s="344"/>
      <c r="M41" s="345"/>
    </row>
    <row r="42" spans="2:16" ht="15" thickBot="1" x14ac:dyDescent="0.35">
      <c r="B42" s="72" t="s">
        <v>45</v>
      </c>
      <c r="C42" s="72"/>
      <c r="D42" s="204">
        <f>E33</f>
        <v>2.1</v>
      </c>
      <c r="H42" s="74" t="s">
        <v>57</v>
      </c>
      <c r="I42" s="156" t="s">
        <v>56</v>
      </c>
      <c r="J42" s="157"/>
      <c r="K42" s="157"/>
      <c r="L42" s="158"/>
      <c r="M42" s="73">
        <f>D11</f>
        <v>93312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20714.16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52618.929724637681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52618.929724637681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2025-11-12T14:39:26Z</cp:lastPrinted>
  <dcterms:created xsi:type="dcterms:W3CDTF">2013-03-18T13:35:42Z</dcterms:created>
  <dcterms:modified xsi:type="dcterms:W3CDTF">2025-11-13T15:07:13Z</dcterms:modified>
</cp:coreProperties>
</file>