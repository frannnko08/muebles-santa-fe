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5C31DD53-172B-4628-A8FD-C2DEFF0B5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N22" i="1"/>
  <c r="N21" i="1"/>
  <c r="M22" i="1"/>
  <c r="M21" i="1"/>
  <c r="L21" i="1"/>
  <c r="O22" i="1" l="1"/>
  <c r="P22" i="1" s="1"/>
  <c r="O21" i="1"/>
  <c r="P21" i="1" s="1"/>
  <c r="M26" i="1"/>
  <c r="J35" i="1"/>
  <c r="S26" i="1" l="1"/>
  <c r="T21" i="1"/>
  <c r="T25" i="1" s="1"/>
  <c r="P26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Q21" i="1"/>
  <c r="H25" i="1"/>
  <c r="O40" i="1"/>
  <c r="F15" i="3" l="1"/>
  <c r="H27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<sst xmlns="http://schemas.openxmlformats.org/spreadsheetml/2006/main" count="232" uniqueCount="175">
  <si>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</si>
  <si>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</si>
  <si>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</si>
  <si>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</si>
  <si>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</si>
  <si>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</si>
  <si>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</si>
  <si>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</si>
  <si>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</si>
  <si>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</si>
  <si>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</si>
  <si>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</si>
  <si>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</si>
  <si>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</si>
  <si>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</si>
  <si>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</si>
  <si>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</si>
  <si>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</si>
  <si>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</si>
  <si>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</si>
  <si>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</si>
  <si>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</si>
  <si>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</si>
  <si>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</si>
  <si>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</si>
  <si>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</si>
  <si>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</si>
  <si>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</si>
  <si>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</si>
  <si>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</si>
  <si>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</si>
  <si>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</si>
  <si>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</si>
  <si>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</si>
  <si>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</si>
  <si>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</si>
  <si>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</si>
  <si>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</si>
  <si>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</si>
  <si>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</si>
  <si>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</si>
  <si>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</si>
  <si>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</si>
  <si>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</si>
  <si>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</si>
  <si>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</si>
  <si>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</si>
  <si>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</si>
  <si>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</si>
  <si>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</si>
  <si>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</si>
  <si>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</si>
  <si>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</si>
  <si>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</si>
  <si>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</si>
  <si>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</si>
  <si>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</si>
  <si>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</si>
  <si>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</si>
  <si>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</si>
  <si>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</si>
  <si>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</si>
  <si>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</si>
  <si>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</si>
  <si>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</si>
  <si>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</si>
  <si>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</si>
  <si>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</si>
  <si>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</si>
  <si>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</si>
  <si>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</si>
  <si>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</si>
  <si>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</si>
  <si>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</si>
  <si>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</si>
  <si>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</si>
  <si>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</si>
  <si>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</si>
  <si>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</si>
  <si>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</si>
  <si>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</si>
  <si>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</si>
  <si>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</si>
  <si>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</si>
  <si>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</si>
  <si>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</si>
  <si>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</si>
  <si>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</si>
  <si>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</si>
  <si>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</si>
  <si>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</si>
  <si>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</si>
  <si>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</si>
  <si>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</si>
  <si>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</si>
  <si>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</si>
  <si>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</si>
  <si>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</si>
  <si>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</si>
  <si>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</si>
  <si>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</si>
  <si>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</si>
  <si>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</si>
  <si>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</si>
  <si>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</si>
  <si>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</si>
  <si>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</si>
  <si>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</si>
  <si>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</si>
  <si>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</si>
  <si>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</si>
  <si>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</si>
  <si>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</si>
  <si>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</si>
  <si>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</si>
  <si>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</si>
  <si>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</si>
  <si>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</si>
  <si>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</si>
  <si>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</si>
  <si>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</si>
  <si>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</si>
  <si>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</si>
  <si>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</si>
  <si>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</si>
  <si>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</si>
  <si>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</si>
  <si>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</si>
  <si>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</si>
  <si>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</si>
  <si>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</si>
  <si>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</si>
  <si>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</si>
  <si>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</si>
  <si>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</si>
  <si>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</si>
  <si>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</si>
  <si>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</si>
  <si>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</si>
  <si>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</si>
  <si>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</si>
  <si>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</si>
  <si>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</si>
  <si>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</si>
  <si>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</si>
  <si>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</si>
  <si>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</si>
  <si>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</si>
  <si>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</si>
  <si>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</si>
  <si>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</si>
  <si>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</si>
  <si>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</si>
  <si>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</si>
  <si>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</si>
  <si>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</si>
  <si>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</si>
  <si>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</si>
  <si>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</si>
  <si>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</si>
  <si>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</si>
  <si>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</si>
  <si>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</si>
  <si>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</si>
  <si>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</si>
  <si>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</si>
  <si>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</si>
  <si>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</si>
  <si>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</si>
  <si>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7 DIAS HABILES</t>
  </si>
  <si>
    <t>N° 11750</t>
  </si>
  <si>
    <t>FRANCISCO MORENO</t>
  </si>
  <si>
    <t>+56 9 9004 4098</t>
  </si>
  <si>
    <t>PR2</t>
  </si>
  <si>
    <t>PLATINUM 21059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</si>
</sst>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LARGO.</a:t>
          </a:r>
        </a:p>
        <a:p>
          <a:pPr algn="l"/>
          <a:r>
            <a:rPr lang="es-CL" sz="1200" b="1" baseline="0"/>
            <a:t>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124</v>
      </c>
      <c r="C8" s="328"/>
      <c r="D8" s="330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158</v>
      </c>
      <c r="C10" s="332" t="s">
        <v>171</v>
      </c>
      <c r="D10" s="239"/>
      <c r="E10" s="239"/>
      <c r="F10" s="240" t="s">
        <v>165</v>
      </c>
      <c r="G10" s="271">
        <v>45993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164</v>
      </c>
      <c r="G11" s="303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141</v>
      </c>
      <c r="C12" s="304"/>
      <c r="D12" s="305"/>
      <c r="E12" s="305"/>
      <c r="F12" s="305" t="s">
        <v>125</v>
      </c>
      <c r="G12" s="306" t="s">
        <v>132</v>
      </c>
      <c r="H12" s="243"/>
      <c r="Q12" s="19"/>
      <c r="R12" s="22"/>
      <c r="S12" s="19"/>
    </row>
    <row r="13" spans="2:24" x14ac:dyDescent="0.3">
      <c r="B13" s="280" t="s">
        <v>142</v>
      </c>
      <c r="F13" t="s">
        <v>163</v>
      </c>
      <c r="G13" s="307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31"/>
      <c r="D14" s="305"/>
      <c r="E14" s="305"/>
      <c r="F14" s="305" t="s">
        <v>133</v>
      </c>
      <c r="G14" s="308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172</v>
      </c>
      <c r="D15" s="310"/>
      <c r="F15" t="s">
        <v>166</v>
      </c>
      <c r="G15" s="311" t="s">
        <v>132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127</v>
      </c>
      <c r="G16" s="314" t="s">
        <v>159</v>
      </c>
      <c r="H16" s="243"/>
    </row>
    <row r="17" spans="1:25" ht="15" thickBot="1" x14ac:dyDescent="0.35">
      <c r="B17" s="292" t="s">
        <v>13</v>
      </c>
      <c r="C17" s="293" t="s">
        <v>168</v>
      </c>
      <c r="D17" s="294"/>
      <c r="E17" s="116"/>
      <c r="F17" s="335" t="s">
        <v>161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94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129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O39</f>
        <v>89799.948561001191</v>
      </c>
      <c r="R20" s="253">
        <v>3000</v>
      </c>
      <c r="S20" s="35"/>
      <c r="T20" s="14" t="s">
        <v>126</v>
      </c>
      <c r="U20" s="9"/>
      <c r="X20" s="4"/>
    </row>
    <row r="21" spans="1:25" ht="17.399999999999999" x14ac:dyDescent="0.3">
      <c r="B21" s="322">
        <v>3</v>
      </c>
      <c r="C21" s="333" t="s">
        <v>173</v>
      </c>
      <c r="D21" s="323">
        <v>2.2000000000000002</v>
      </c>
      <c r="E21" s="323">
        <v>0.40699999999999997</v>
      </c>
      <c r="F21" s="322" t="s">
        <v>174</v>
      </c>
      <c r="G21" s="324">
        <v>84253</v>
      </c>
      <c r="H21" s="324">
        <f>G21*B21</f>
        <v>252759</v>
      </c>
      <c r="I21" s="297"/>
      <c r="J21" s="260"/>
      <c r="K21" s="44"/>
      <c r="L21" s="44">
        <f>B21</f>
        <v>3</v>
      </c>
      <c r="M21" s="36">
        <f>D21+M$19</f>
        <v>2.2800000000000002</v>
      </c>
      <c r="N21" s="36">
        <f>E21</f>
        <v>0.40699999999999997</v>
      </c>
      <c r="O21" s="256">
        <f t="shared" ref="O21:O22" si="1">M21*N21</f>
        <v>0.92796000000000001</v>
      </c>
      <c r="P21" s="254">
        <f t="shared" ref="P21:P22" si="2">O21*L21</f>
        <v>2.7838799999999999</v>
      </c>
      <c r="Q21" s="247">
        <f t="shared" ref="Q21:Q22" si="3">Q$20*O21</f>
        <v>83330.760266666664</v>
      </c>
      <c r="R21" s="296"/>
      <c r="S21" s="284"/>
      <c r="T21" s="43">
        <f>N21*2*L21*2</f>
        <v>4.8839999999999995</v>
      </c>
      <c r="U21" s="9"/>
      <c r="X21" s="4"/>
    </row>
    <row r="22" spans="1:25" ht="17.399999999999999" x14ac:dyDescent="0.3">
      <c r="B22" s="322">
        <v>1</v>
      </c>
      <c r="C22" s="333" t="s">
        <v>84</v>
      </c>
      <c r="D22" s="323">
        <v>3.05</v>
      </c>
      <c r="E22" s="323">
        <v>1.23</v>
      </c>
      <c r="F22" s="322" t="s">
        <v>174</v>
      </c>
      <c r="G22" s="324">
        <v>34200</v>
      </c>
      <c r="H22" s="324">
        <f>G22*B22</f>
        <v>34200</v>
      </c>
      <c r="I22" s="297"/>
      <c r="J22" s="260"/>
      <c r="K22" s="44"/>
      <c r="L22" s="44"/>
      <c r="M22" s="36">
        <f t="shared" ref="M22" si="4">D22+M$19</f>
        <v>3.13</v>
      </c>
      <c r="N22" s="36">
        <f>E22</f>
        <v>1.23</v>
      </c>
      <c r="O22" s="256">
        <f t="shared" si="1"/>
        <v>3.8498999999999999</v>
      </c>
      <c r="P22" s="254">
        <f t="shared" si="2"/>
        <v>0</v>
      </c>
      <c r="Q22" s="247">
        <f t="shared" si="3"/>
        <v>345720.8219649985</v>
      </c>
      <c r="R22" s="296"/>
      <c r="S22" s="284"/>
      <c r="T22" s="43"/>
      <c r="U22" s="9"/>
      <c r="X22" s="4"/>
    </row>
    <row r="23" spans="1:25" ht="17.399999999999999" x14ac:dyDescent="0.3">
      <c r="B23" s="278"/>
      <c r="C23" s="334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286959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4.8839999999999995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50</v>
      </c>
      <c r="H26" s="326"/>
      <c r="I26" s="299"/>
      <c r="J26" s="260"/>
      <c r="K26" s="315"/>
      <c r="L26" s="44"/>
      <c r="M26" s="36">
        <f>SUM(M21:M22)</f>
        <v>5.41</v>
      </c>
      <c r="N26" s="12"/>
      <c r="O26" s="12"/>
      <c r="P26" s="248">
        <f>SUM(P21:P24)</f>
        <v>2.7838799999999999</v>
      </c>
      <c r="Q26" s="14"/>
      <c r="R26" s="12"/>
      <c r="S26" s="235">
        <f>SUM(S21:S25)</f>
        <v>0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286959</v>
      </c>
      <c r="I27" s="299"/>
      <c r="J27" s="260"/>
      <c r="K27" s="315"/>
      <c r="L27" s="44"/>
      <c r="M27" s="36"/>
      <c r="N27" s="12"/>
      <c r="O27" s="12"/>
      <c r="P27" s="248">
        <f>P26</f>
        <v>2.7838799999999999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0.55677600000000005</v>
      </c>
      <c r="Q28" s="36" t="s">
        <v>128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3.3406560000000001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148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3.3406560000000001</v>
      </c>
      <c r="N31" s="12">
        <v>3500</v>
      </c>
      <c r="O31" s="12">
        <f t="shared" ref="O31:O36" si="5">M31*N31</f>
        <v>11692.296</v>
      </c>
      <c r="P31" s="14" t="s">
        <v>21</v>
      </c>
      <c r="Q31" s="14"/>
      <c r="R31" s="14"/>
      <c r="S31" s="237"/>
      <c r="T31" s="14"/>
      <c r="U31" s="288" t="s">
        <v>149</v>
      </c>
      <c r="V31" s="285">
        <v>3625</v>
      </c>
      <c r="W31" s="56" t="s">
        <v>150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1</v>
      </c>
      <c r="N32" s="12">
        <v>40000</v>
      </c>
      <c r="O32" s="12">
        <f t="shared" si="5"/>
        <v>40000</v>
      </c>
      <c r="P32" s="36" t="s">
        <v>167</v>
      </c>
      <c r="Q32" s="39"/>
      <c r="R32" s="14"/>
      <c r="S32" s="236"/>
      <c r="T32" s="14"/>
      <c r="U32" s="288"/>
      <c r="V32" s="56">
        <v>906.25</v>
      </c>
      <c r="W32" s="56" t="s">
        <v>151</v>
      </c>
      <c r="X32" s="290"/>
    </row>
    <row r="33" spans="2:24" s="226" customFormat="1" ht="17.399999999999999" x14ac:dyDescent="0.35">
      <c r="B33" s="21" t="s">
        <v>147</v>
      </c>
      <c r="J33" s="257"/>
      <c r="K33" s="228"/>
      <c r="L33" s="245"/>
      <c r="M33" s="14"/>
      <c r="N33" s="245">
        <v>80000</v>
      </c>
      <c r="O33" s="12">
        <f t="shared" si="5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152</v>
      </c>
      <c r="X33" s="56"/>
    </row>
    <row r="34" spans="2:24" s="226" customFormat="1" ht="17.399999999999999" x14ac:dyDescent="0.35">
      <c r="B34" s="21" t="s">
        <v>162</v>
      </c>
      <c r="C34"/>
      <c r="D34"/>
      <c r="E34"/>
      <c r="F34"/>
      <c r="J34" s="257">
        <v>46000</v>
      </c>
      <c r="K34" s="228"/>
      <c r="L34" s="245"/>
      <c r="M34" s="14">
        <v>2</v>
      </c>
      <c r="N34" s="245">
        <v>28500</v>
      </c>
      <c r="O34" s="12">
        <f t="shared" si="5"/>
        <v>57000</v>
      </c>
      <c r="P34" s="14" t="s">
        <v>138</v>
      </c>
      <c r="Q34" s="17"/>
      <c r="S34" s="234"/>
      <c r="T34" s="251"/>
      <c r="U34" s="56"/>
      <c r="V34" s="56">
        <f>V32+V33</f>
        <v>1087.5</v>
      </c>
      <c r="W34" s="290" t="s">
        <v>153</v>
      </c>
      <c r="X34" s="56"/>
    </row>
    <row r="35" spans="2:24" s="226" customFormat="1" ht="17.399999999999999" x14ac:dyDescent="0.35">
      <c r="B35" s="26" t="s">
        <v>123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5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/>
      <c r="N36" s="12">
        <v>1500</v>
      </c>
      <c r="O36" s="12">
        <f t="shared" si="5"/>
        <v>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108692.296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/>
      <c r="N38" s="12"/>
      <c r="O38" s="250">
        <f>O37*2.3</f>
        <v>249992.28079999998</v>
      </c>
      <c r="P38" s="14" t="s">
        <v>137</v>
      </c>
      <c r="Q38" s="14"/>
      <c r="R38" s="37">
        <f>P29/R37</f>
        <v>0.90073770491803273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89799.948561001191</v>
      </c>
      <c r="P39" s="42" t="s">
        <v>24</v>
      </c>
      <c r="Q39" s="14"/>
      <c r="R39" s="14"/>
      <c r="S39"/>
      <c r="T39" s="234"/>
      <c r="U39" s="56" t="s">
        <v>154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2.2999999999999998</v>
      </c>
      <c r="P40" s="15"/>
      <c r="Q40"/>
      <c r="R40"/>
      <c r="S40"/>
      <c r="T40" s="234"/>
      <c r="U40" s="56" t="s">
        <v>156</v>
      </c>
      <c r="V40" s="286" t="s">
        <v>155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157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152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144</v>
      </c>
    </row>
    <row r="75" spans="3:15" x14ac:dyDescent="0.3">
      <c r="C75" t="s">
        <v>143</v>
      </c>
    </row>
    <row r="78" spans="3:15" x14ac:dyDescent="0.3">
      <c r="C78" t="s">
        <v>143</v>
      </c>
    </row>
    <row r="155" spans="3:3" x14ac:dyDescent="0.3">
      <c r="C155" t="s">
        <v>143</v>
      </c>
    </row>
    <row r="156" spans="3:3" x14ac:dyDescent="0.3">
      <c r="C156" t="s">
        <v>145</v>
      </c>
    </row>
    <row r="157" spans="3:3" x14ac:dyDescent="0.3">
      <c r="C157" t="s">
        <v>146</v>
      </c>
    </row>
    <row r="582" spans="3:3" x14ac:dyDescent="0.3">
      <c r="C582" t="s">
        <v>143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45993</v>
      </c>
    </row>
    <row r="6" spans="1:31" ht="16.2" thickBot="1" x14ac:dyDescent="0.35">
      <c r="B6" s="137" t="s">
        <v>2</v>
      </c>
      <c r="C6" s="136" t="str">
        <f>'2229'!C10</f>
        <v>FRANCISCO MORENO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97</v>
      </c>
      <c r="I7" s="342"/>
      <c r="J7" s="342"/>
      <c r="K7" s="343"/>
      <c r="N7" s="72"/>
      <c r="O7" s="340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11750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40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-28714.178326570051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'2229'!H25</f>
        <v>286959</v>
      </c>
      <c r="E11" s="129">
        <f>D11*0.19</f>
        <v>54522.21</v>
      </c>
      <c r="F11" s="128">
        <f>E11+D11</f>
        <v>341481.21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77275.821673429949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71671.206275362318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59275.821673429949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215287.79372463768</v>
      </c>
      <c r="E13" s="218">
        <f>(D11/D12)-1</f>
        <v>3.0038254539416753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50275.821673429949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11275.821673429949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136461.97674828986</v>
      </c>
      <c r="C15" s="210" t="s">
        <v>120</v>
      </c>
      <c r="D15" s="211">
        <v>0.6</v>
      </c>
      <c r="E15" s="212">
        <f>(100%+D15)*D12</f>
        <v>114673.93004057971</v>
      </c>
      <c r="F15" s="213">
        <f>E15-D12</f>
        <v>43002.723765217394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11275.821673429949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51275.821673429949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40000</v>
      </c>
      <c r="E19" s="120">
        <f>D19*0.19</f>
        <v>7600</v>
      </c>
      <c r="F19" s="117">
        <f>SUM(D19:E19)</f>
        <v>47600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11692.296</v>
      </c>
      <c r="E20" s="118">
        <f>D20*0.19</f>
        <v>2221.5362399999999</v>
      </c>
      <c r="F20" s="117">
        <f>SUM(D20:E20)</f>
        <v>13913.83224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51692.296000000002</v>
      </c>
      <c r="E21" s="113">
        <f>SUM(E18:E20)</f>
        <v>9821.5362399999995</v>
      </c>
      <c r="F21" s="112">
        <f>SUM(F18:F20)</f>
        <v>61513.832240000003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9944.1276666666672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2.1</v>
      </c>
      <c r="I37" s="201">
        <f>32609.69/9</f>
        <v>3623.2988888888885</v>
      </c>
      <c r="J37" s="184" t="s">
        <v>44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42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43</v>
      </c>
      <c r="K39" s="81">
        <f>I39*H39</f>
        <v>304.5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44700.673759999998</v>
      </c>
    </row>
    <row r="41" spans="2:16" ht="15" thickBot="1" x14ac:dyDescent="0.35">
      <c r="H41" s="344" t="s">
        <v>59</v>
      </c>
      <c r="I41" s="345"/>
      <c r="J41" s="345"/>
      <c r="K41" s="345"/>
      <c r="L41" s="345"/>
      <c r="M41" s="346"/>
    </row>
    <row r="42" spans="2:16" ht="15" thickBot="1" x14ac:dyDescent="0.35">
      <c r="B42" s="72" t="s">
        <v>45</v>
      </c>
      <c r="C42" s="72"/>
      <c r="D42" s="204">
        <f>E33</f>
        <v>2.1</v>
      </c>
      <c r="H42" s="74" t="s">
        <v>57</v>
      </c>
      <c r="I42" s="156" t="s">
        <v>56</v>
      </c>
      <c r="J42" s="157"/>
      <c r="K42" s="157"/>
      <c r="L42" s="158"/>
      <c r="M42" s="73">
        <f>D11</f>
        <v>286959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51692.296000000002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215287.79372463768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215287.79372463768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2025-11-12T14:39:26Z</cp:lastPrinted>
  <dcterms:created xsi:type="dcterms:W3CDTF">2013-03-18T13:35:42Z</dcterms:created>
  <dcterms:modified xsi:type="dcterms:W3CDTF">2025-12-02T20:34:20Z</dcterms:modified>
</cp:coreProperties>
</file>