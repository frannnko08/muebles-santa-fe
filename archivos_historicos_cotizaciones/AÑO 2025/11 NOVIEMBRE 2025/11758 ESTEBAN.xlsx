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8_{864CC6F5-8EF4-4BE3-B491-EC1A6310C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J34" i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<sst xmlns="http://schemas.openxmlformats.org/spreadsheetml/2006/main" count="233" uniqueCount="178">
  <si>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</si>
  <si>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</si>
  <si>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</si>
  <si>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</si>
  <si>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</si>
  <si>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</si>
  <si>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</si>
  <si>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</si>
  <si>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</si>
  <si>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</si>
  <si>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</si>
  <si>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</si>
  <si>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</si>
  <si>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</si>
  <si>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</si>
  <si>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</si>
  <si>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</si>
  <si>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</si>
  <si>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</si>
  <si>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</si>
  <si>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</si>
  <si>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</si>
  <si>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</si>
  <si>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</si>
  <si>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</si>
  <si>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</si>
  <si>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</si>
  <si>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</si>
  <si>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</si>
  <si>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</si>
  <si>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</si>
  <si>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</si>
  <si>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</si>
  <si>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</si>
  <si>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</si>
  <si>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</si>
  <si>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</si>
  <si>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</si>
  <si>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</si>
  <si>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</si>
  <si>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</si>
  <si>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</si>
  <si>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</si>
  <si>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</si>
  <si>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</si>
  <si>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</si>
  <si>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</si>
  <si>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</si>
  <si>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</si>
  <si>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</si>
  <si>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</si>
  <si>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</si>
  <si>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</si>
  <si>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</si>
  <si>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</si>
  <si>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</si>
  <si>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</si>
  <si>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</si>
  <si>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</si>
  <si>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</si>
  <si>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</si>
  <si>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</si>
  <si>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</si>
  <si>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</si>
  <si>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</si>
  <si>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</si>
  <si>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</si>
  <si>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</si>
  <si>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</si>
  <si>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</si>
  <si>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</si>
  <si>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</si>
  <si>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</si>
  <si>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</si>
  <si>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</si>
  <si>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</si>
  <si>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</si>
  <si>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</si>
  <si>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</si>
  <si>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</si>
  <si>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</si>
  <si>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</si>
  <si>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</si>
  <si>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</si>
  <si>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</si>
  <si>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</si>
  <si>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</si>
  <si>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</si>
  <si>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</si>
  <si>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</si>
  <si>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</si>
  <si>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</si>
  <si>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</si>
  <si>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</si>
  <si>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</si>
  <si>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</si>
  <si>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</si>
  <si>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</si>
  <si>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</si>
  <si>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</si>
  <si>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</si>
  <si>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</si>
  <si>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</si>
  <si>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</si>
  <si>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</si>
  <si>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</si>
  <si>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</si>
  <si>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</si>
  <si>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</si>
  <si>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</si>
  <si>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</si>
  <si>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</si>
  <si>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</si>
  <si>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</si>
  <si>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</si>
  <si>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</si>
  <si>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</si>
  <si>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</si>
  <si>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</si>
  <si>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</si>
  <si>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</si>
  <si>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</si>
  <si>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</si>
  <si>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</si>
  <si>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</si>
  <si>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</si>
  <si>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</si>
  <si>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</si>
  <si>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</si>
  <si>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</si>
  <si>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</si>
  <si>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</si>
  <si>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</si>
  <si>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</si>
  <si>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</si>
  <si>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</si>
  <si>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</si>
  <si>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</si>
  <si>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</si>
  <si>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</si>
  <si>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</si>
  <si>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</si>
  <si>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</si>
  <si>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</si>
  <si>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</si>
  <si>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</si>
  <si>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</si>
  <si>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</si>
  <si>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</si>
  <si>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</si>
  <si>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</si>
  <si>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</si>
  <si>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</si>
  <si>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</si>
  <si>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</si>
  <si>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</si>
  <si>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</si>
  <si>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</si>
  <si>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</si>
  <si>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</si>
  <si>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</si>
  <si>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</si>
  <si>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</si>
  <si>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</si>
  <si>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</si>
  <si>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</si>
  <si>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</si>
  <si>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</si>
  <si>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</si>
  <si>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</si>
  <si>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</si>
  <si>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10 DIAS HABILES</t>
  </si>
  <si>
    <t>N° 11758</t>
  </si>
  <si>
    <t>ESTEBAN TRILLAS</t>
  </si>
  <si>
    <t>+569 8668 2413</t>
  </si>
  <si>
    <t>77,318,848-3</t>
  </si>
  <si>
    <t>FABRICACION DE MUEBLES</t>
  </si>
  <si>
    <t>MARMORE CARRARA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</si>
</sst>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28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LLEVA</a:t>
          </a:r>
          <a:r>
            <a:rPr lang="es-CL" sz="1200" b="1" baseline="0"/>
            <a:t> CORTE 45° EN LA PUNTA DEL LADO IZQUIERDO MIRANDOLA DESDE EL FRENTE</a:t>
          </a:r>
          <a:endParaRPr lang="es-CL" sz="1200" b="1"/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6" t="s">
        <v>125</v>
      </c>
      <c r="C8" s="325"/>
      <c r="D8" s="327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29" t="s">
        <v>173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175</v>
      </c>
      <c r="F11" t="s">
        <v>165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176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28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1" t="s">
        <v>162</v>
      </c>
      <c r="G17" s="331"/>
      <c r="H17" s="332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3" t="s">
        <v>95</v>
      </c>
      <c r="C19" s="334"/>
      <c r="D19" s="334"/>
      <c r="E19" s="334"/>
      <c r="F19" s="334"/>
      <c r="G19" s="334"/>
      <c r="H19" s="335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102278.89787163834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43">
        <v>1</v>
      </c>
      <c r="C21" s="344" t="s">
        <v>170</v>
      </c>
      <c r="D21" s="345">
        <v>2.04</v>
      </c>
      <c r="E21" s="345">
        <v>0.57999999999999996</v>
      </c>
      <c r="F21" s="346" t="s">
        <v>177</v>
      </c>
      <c r="G21" s="347">
        <f>Q21</f>
        <v>123982.48</v>
      </c>
      <c r="H21" s="348">
        <f>G21*B21</f>
        <v>123982.48</v>
      </c>
      <c r="I21" s="297"/>
      <c r="J21" s="260"/>
      <c r="K21" s="44"/>
      <c r="L21" s="44">
        <f>B21</f>
        <v>1</v>
      </c>
      <c r="M21" s="36">
        <f>D21+M$19</f>
        <v>2.09</v>
      </c>
      <c r="N21" s="36">
        <f>E21+$N$19</f>
        <v>0.57999999999999996</v>
      </c>
      <c r="O21" s="256">
        <f t="shared" ref="O21" si="1">M21*N21</f>
        <v>1.2121999999999999</v>
      </c>
      <c r="P21" s="254">
        <f t="shared" ref="P21" si="2">O21*L21</f>
        <v>1.2121999999999999</v>
      </c>
      <c r="Q21" s="247">
        <f t="shared" ref="Q21" si="3">Q$20*O21</f>
        <v>123982.48</v>
      </c>
      <c r="R21" s="296">
        <f t="shared" ref="R21" si="4">Q21+R$20</f>
        <v>126982.48</v>
      </c>
      <c r="S21" s="284">
        <f>M21*L21</f>
        <v>2.09</v>
      </c>
      <c r="T21" s="43">
        <f>N21*2*L21*2</f>
        <v>2.3199999999999998</v>
      </c>
      <c r="U21" s="9"/>
      <c r="X21" s="4"/>
    </row>
    <row r="22" spans="1:25" ht="17.399999999999999" x14ac:dyDescent="0.3">
      <c r="B22" s="278"/>
      <c r="C22" s="330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2">
        <f>SUM(H21:H23)</f>
        <v>123982.48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2.3199999999999998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3">
        <f>H24*19%</f>
        <v>23556.671200000001</v>
      </c>
      <c r="I25" s="299"/>
      <c r="J25" s="260"/>
      <c r="K25" s="315"/>
      <c r="L25" s="44"/>
      <c r="M25" s="36">
        <f>SUM(M21:M21)</f>
        <v>2.09</v>
      </c>
      <c r="N25" s="12"/>
      <c r="O25" s="12"/>
      <c r="P25" s="248">
        <f>SUM(P21:P23)</f>
        <v>1.2121999999999999</v>
      </c>
      <c r="Q25" s="14"/>
      <c r="R25" s="12"/>
      <c r="S25" s="235">
        <f>SUM(S21:S24)</f>
        <v>2.09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4">
        <f>H24+H25</f>
        <v>147539.15119999999</v>
      </c>
      <c r="I26" s="299"/>
      <c r="J26" s="260"/>
      <c r="K26" s="315"/>
      <c r="L26" s="44"/>
      <c r="M26" s="36"/>
      <c r="N26" s="12"/>
      <c r="O26" s="12"/>
      <c r="P26" s="248">
        <f>P25</f>
        <v>1.2121999999999999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0.24243999999999999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1.4546399999999999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1.4546399999999999</v>
      </c>
      <c r="N30" s="12">
        <v>3500</v>
      </c>
      <c r="O30" s="12">
        <f t="shared" ref="O30:O35" si="5">M30*N30</f>
        <v>5091.24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0.4</v>
      </c>
      <c r="N31" s="12">
        <v>23500</v>
      </c>
      <c r="O31" s="12">
        <f t="shared" si="5"/>
        <v>9400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44500</v>
      </c>
      <c r="O33" s="12">
        <f t="shared" si="5"/>
        <v>44500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2</v>
      </c>
      <c r="N35" s="12">
        <v>1500</v>
      </c>
      <c r="O35" s="12">
        <f t="shared" si="5"/>
        <v>3000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61991.24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</f>
        <v>123982.48</v>
      </c>
      <c r="P37" s="14" t="s">
        <v>138</v>
      </c>
      <c r="Q37" s="14"/>
      <c r="R37" s="37">
        <f>P28/R36</f>
        <v>0.39221311475409831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102278.89787163834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ESTEBAN TRILLAS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7" t="s">
        <v>98</v>
      </c>
      <c r="I7" s="338"/>
      <c r="J7" s="338"/>
      <c r="K7" s="339"/>
      <c r="N7" s="72"/>
      <c r="O7" s="336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6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-11471.706593236713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123982.48</v>
      </c>
      <c r="E11" s="129">
        <f>D11*0.19</f>
        <v>23556.671200000001</v>
      </c>
      <c r="F11" s="128">
        <f>E11+D11</f>
        <v>147539.15119999999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94518.293406763289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34470.150275362321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76518.293406763289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89512.329724637675</v>
      </c>
      <c r="E13" s="218">
        <f>(D11/D12)-1</f>
        <v>2.5968070637805423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67518.293406763289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28518.293406763289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65631.166124289855</v>
      </c>
      <c r="C15" s="210" t="s">
        <v>121</v>
      </c>
      <c r="D15" s="211">
        <v>0.6</v>
      </c>
      <c r="E15" s="212">
        <f>(100%+D15)*D12</f>
        <v>55152.240440579713</v>
      </c>
      <c r="F15" s="213">
        <f>E15-D12</f>
        <v>20682.090165217392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28518.293406763289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68518.293406763289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9400</v>
      </c>
      <c r="E19" s="120">
        <f>D19*0.19</f>
        <v>1786</v>
      </c>
      <c r="F19" s="117">
        <f>SUM(D19:E19)</f>
        <v>11186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5091.24</v>
      </c>
      <c r="E20" s="118">
        <f>D20*0.19</f>
        <v>967.3356</v>
      </c>
      <c r="F20" s="117">
        <f>SUM(D20:E20)</f>
        <v>6058.5756000000001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14491.24</v>
      </c>
      <c r="E21" s="113">
        <f>SUM(E18:E20)</f>
        <v>2753.3355999999999</v>
      </c>
      <c r="F21" s="112">
        <f>SUM(F18:F20)</f>
        <v>17244.5756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20803.335600000002</v>
      </c>
    </row>
    <row r="41" spans="2:16" ht="15" thickBot="1" x14ac:dyDescent="0.35">
      <c r="H41" s="340" t="s">
        <v>60</v>
      </c>
      <c r="I41" s="341"/>
      <c r="J41" s="341"/>
      <c r="K41" s="341"/>
      <c r="L41" s="341"/>
      <c r="M41" s="342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123982.48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14491.24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89512.329724637675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89512.329724637675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2025-11-25T14:04:51Z</cp:lastPrinted>
  <dcterms:created xsi:type="dcterms:W3CDTF">2013-03-18T13:35:42Z</dcterms:created>
  <dcterms:modified xsi:type="dcterms:W3CDTF">2025-11-26T16:13:35Z</dcterms:modified>
</cp:coreProperties>
</file>