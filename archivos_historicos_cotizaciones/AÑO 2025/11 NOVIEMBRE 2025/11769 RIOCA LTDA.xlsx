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E0D135BE-3671-4FF1-AAA1-F7EB3E3680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L22" i="1"/>
  <c r="M22" i="1"/>
  <c r="N22" i="1"/>
  <c r="T22" i="1" l="1"/>
  <c r="O22" i="1"/>
  <c r="P22" i="1" s="1"/>
  <c r="S22" i="1"/>
  <c r="J35" i="1"/>
  <c r="M21" i="1"/>
  <c r="L21" i="1" l="1"/>
  <c r="N21" i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R22" i="1" s="1"/>
  <c r="H22" i="1" s="1"/>
  <c r="O40" i="1"/>
  <c r="Q21" i="1" l="1"/>
  <c r="F15" i="3"/>
  <c r="R21" i="1" l="1"/>
  <c r="H21" i="1" l="1"/>
  <c r="H25" i="1" l="1"/>
  <c r="H26" i="1" s="1"/>
  <c r="H27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<sst xmlns="http://schemas.openxmlformats.org/spreadsheetml/2006/main" count="237" uniqueCount="180">
  <si>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</si>
  <si>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</si>
  <si>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</si>
  <si>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</si>
  <si>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</si>
  <si>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</si>
  <si>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</si>
  <si>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</si>
  <si>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</si>
  <si>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</si>
  <si>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</si>
  <si>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</si>
  <si>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</si>
  <si>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</si>
  <si>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</si>
  <si>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</si>
  <si>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</si>
  <si>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</si>
  <si>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</si>
  <si>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</si>
  <si>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</si>
  <si>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</si>
  <si>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</si>
  <si>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</si>
  <si>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</si>
  <si>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</si>
  <si>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</si>
  <si>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</si>
  <si>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</si>
  <si>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</si>
  <si>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</si>
  <si>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</si>
  <si>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</si>
  <si>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</si>
  <si>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</si>
  <si>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</si>
  <si>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</si>
  <si>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</si>
  <si>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</si>
  <si>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</si>
  <si>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</si>
  <si>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</si>
  <si>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</si>
  <si>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</si>
  <si>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</si>
  <si>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</si>
  <si>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</si>
  <si>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</si>
  <si>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</si>
  <si>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</si>
  <si>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</si>
  <si>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</si>
  <si>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</si>
  <si>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</si>
  <si>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</si>
  <si>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</si>
  <si>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</si>
  <si>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</si>
  <si>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</si>
  <si>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</si>
  <si>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</si>
  <si>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</si>
  <si>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</si>
  <si>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</si>
  <si>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</si>
  <si>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</si>
  <si>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</si>
  <si>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</si>
  <si>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</si>
  <si>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</si>
  <si>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</si>
  <si>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</si>
  <si>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</si>
  <si>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</si>
  <si>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</si>
  <si>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</si>
  <si>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</si>
  <si>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</si>
  <si>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</si>
  <si>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</si>
  <si>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</si>
  <si>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</si>
  <si>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</si>
  <si>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</si>
  <si>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</si>
  <si>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</si>
  <si>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</si>
  <si>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</si>
  <si>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</si>
  <si>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</si>
  <si>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</si>
  <si>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</si>
  <si>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</si>
  <si>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</si>
  <si>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</si>
  <si>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</si>
  <si>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</si>
  <si>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</si>
  <si>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</si>
  <si>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</si>
  <si>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</si>
  <si>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</si>
  <si>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</si>
  <si>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</si>
  <si>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</si>
  <si>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</si>
  <si>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</si>
  <si>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</si>
  <si>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</si>
  <si>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</si>
  <si>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</si>
  <si>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</si>
  <si>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</si>
  <si>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</si>
  <si>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</si>
  <si>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</si>
  <si>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</si>
  <si>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</si>
  <si>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</si>
  <si>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</si>
  <si>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</si>
  <si>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</si>
  <si>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</si>
  <si>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</si>
  <si>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</si>
  <si>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</si>
  <si>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</si>
  <si>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</si>
  <si>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</si>
  <si>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</si>
  <si>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</si>
  <si>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</si>
  <si>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</si>
  <si>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</si>
  <si>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</si>
  <si>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</si>
  <si>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</si>
  <si>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</si>
  <si>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</si>
  <si>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</si>
  <si>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</si>
  <si>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</si>
  <si>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</si>
  <si>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</si>
  <si>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</si>
  <si>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</si>
  <si>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</si>
  <si>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</si>
  <si>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</si>
  <si>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</si>
  <si>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</si>
  <si>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</si>
  <si>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</si>
  <si>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</si>
  <si>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</si>
  <si>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</si>
  <si>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</si>
  <si>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</si>
  <si>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</si>
  <si>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</si>
  <si>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</si>
  <si>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</si>
  <si>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</si>
  <si>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</si>
  <si>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</si>
  <si>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</si>
  <si>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</si>
  <si>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</si>
  <si>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</si>
  <si>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</si>
  <si>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RIOCA LTDA</t>
  </si>
  <si>
    <t>76.744.503-2</t>
  </si>
  <si>
    <t>FABRIACION DE MUEBLES</t>
  </si>
  <si>
    <t>JHON GANDICA</t>
  </si>
  <si>
    <t>+569 3251 5202</t>
  </si>
  <si>
    <t>BRASIL 937 LA CISTERNA</t>
  </si>
  <si>
    <t>3 DIAS HABILES</t>
  </si>
  <si>
    <t>CUB C/R 180°</t>
  </si>
  <si>
    <t>GRIS NUBE 2189 MT F6</t>
  </si>
  <si>
    <t>N° 11769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</si>
</sst>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</a:t>
          </a:r>
          <a:r>
            <a:rPr lang="es-CL" sz="1200" b="1" baseline="0"/>
            <a:t> LARGO</a:t>
          </a:r>
        </a:p>
        <a:p>
          <a:pPr algn="l"/>
          <a:r>
            <a:rPr lang="es-CL" sz="1200" b="1" baseline="0"/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7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179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170</v>
      </c>
      <c r="D10" s="239"/>
      <c r="E10" s="239"/>
      <c r="F10" s="240" t="s">
        <v>166</v>
      </c>
      <c r="G10" s="271">
        <v>45986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 t="s">
        <v>171</v>
      </c>
      <c r="F11" t="s">
        <v>165</v>
      </c>
      <c r="G11" s="303" t="s">
        <v>176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 t="s">
        <v>172</v>
      </c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174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 t="s">
        <v>175</v>
      </c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37" t="s">
        <v>162</v>
      </c>
      <c r="G17" s="337"/>
      <c r="H17" s="338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9" t="s">
        <v>95</v>
      </c>
      <c r="C19" s="340"/>
      <c r="D19" s="340"/>
      <c r="E19" s="340"/>
      <c r="F19" s="340"/>
      <c r="G19" s="340"/>
      <c r="H19" s="341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88045.582010582002</v>
      </c>
      <c r="R20" s="253">
        <v>15000</v>
      </c>
      <c r="S20" s="35"/>
      <c r="T20" s="14" t="s">
        <v>127</v>
      </c>
      <c r="U20" s="9"/>
      <c r="X20" s="4"/>
    </row>
    <row r="21" spans="1:25" ht="17.399999999999999" x14ac:dyDescent="0.3">
      <c r="B21" s="322">
        <v>1</v>
      </c>
      <c r="C21" s="333" t="s">
        <v>177</v>
      </c>
      <c r="D21" s="323">
        <v>2.88</v>
      </c>
      <c r="E21" s="323">
        <v>0.6</v>
      </c>
      <c r="F21" s="322" t="s">
        <v>178</v>
      </c>
      <c r="G21" s="324">
        <v>171369</v>
      </c>
      <c r="H21" s="324">
        <f>G21*B21</f>
        <v>171369</v>
      </c>
      <c r="I21" s="297"/>
      <c r="J21" s="260"/>
      <c r="K21" s="44"/>
      <c r="L21" s="335">
        <f>B21</f>
        <v>1</v>
      </c>
      <c r="M21" s="336">
        <f>D21+M$19</f>
        <v>2.96</v>
      </c>
      <c r="N21" s="336">
        <f>E21+$N$19</f>
        <v>0.6</v>
      </c>
      <c r="O21" s="256">
        <f t="shared" ref="O21" si="1">M21*N21</f>
        <v>1.776</v>
      </c>
      <c r="P21" s="254">
        <f t="shared" ref="P21" si="2">O21*L21</f>
        <v>1.776</v>
      </c>
      <c r="Q21" s="247">
        <f t="shared" ref="Q21" si="3">Q$20*O21</f>
        <v>156368.95365079364</v>
      </c>
      <c r="R21" s="296">
        <f t="shared" ref="R21" si="4">Q21+R$20</f>
        <v>171368.95365079364</v>
      </c>
      <c r="S21" s="284">
        <f>M21*L21</f>
        <v>2.96</v>
      </c>
      <c r="T21" s="43">
        <f>N21*2*L21*2</f>
        <v>2.4</v>
      </c>
      <c r="U21" s="9"/>
      <c r="X21" s="4"/>
    </row>
    <row r="22" spans="1:25" ht="17.399999999999999" x14ac:dyDescent="0.3">
      <c r="B22" s="322">
        <v>1</v>
      </c>
      <c r="C22" s="333" t="s">
        <v>177</v>
      </c>
      <c r="D22" s="323">
        <v>2</v>
      </c>
      <c r="E22" s="323">
        <v>0.6</v>
      </c>
      <c r="F22" s="322" t="s">
        <v>178</v>
      </c>
      <c r="G22" s="324">
        <v>124881</v>
      </c>
      <c r="H22" s="324">
        <f t="shared" ref="H22" si="5">G22*B22</f>
        <v>124881</v>
      </c>
      <c r="I22" s="297"/>
      <c r="J22" s="260"/>
      <c r="K22" s="44"/>
      <c r="L22" s="44">
        <f t="shared" ref="L22" si="6">B22</f>
        <v>1</v>
      </c>
      <c r="M22" s="36">
        <f t="shared" ref="M22" si="7">D22+M$19</f>
        <v>2.08</v>
      </c>
      <c r="N22" s="36">
        <f t="shared" ref="N22" si="8">E22+$N$19</f>
        <v>0.6</v>
      </c>
      <c r="O22" s="256">
        <f t="shared" ref="O22" si="9">M22*N22</f>
        <v>1.248</v>
      </c>
      <c r="P22" s="254">
        <f t="shared" ref="P22" si="10">O22*L22</f>
        <v>1.248</v>
      </c>
      <c r="Q22" s="247">
        <f t="shared" ref="Q22" si="11">Q$20*O22</f>
        <v>109880.88634920634</v>
      </c>
      <c r="R22" s="296">
        <f t="shared" ref="R22" si="12">Q22+R$20</f>
        <v>124880.88634920634</v>
      </c>
      <c r="S22" s="284">
        <f t="shared" ref="S22" si="13">M22*L22</f>
        <v>2.08</v>
      </c>
      <c r="T22" s="43">
        <f t="shared" ref="T22" si="14">N22*2*L22*2</f>
        <v>2.4</v>
      </c>
      <c r="U22" s="9"/>
      <c r="X22" s="4"/>
    </row>
    <row r="23" spans="1:25" ht="17.399999999999999" x14ac:dyDescent="0.3">
      <c r="B23" s="278"/>
      <c r="C23" s="334"/>
      <c r="D23" s="279"/>
      <c r="E23" s="279"/>
      <c r="F23" s="278"/>
      <c r="G23" s="297"/>
      <c r="H23" s="297"/>
      <c r="I23" s="297"/>
      <c r="J23" s="260"/>
      <c r="K23" s="44"/>
      <c r="L23" s="44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298"/>
      <c r="I24" s="300"/>
      <c r="J24" s="229"/>
      <c r="K24" s="44"/>
      <c r="L24" s="44"/>
      <c r="M24" s="36"/>
      <c r="N24" s="36"/>
      <c r="O24" s="256"/>
      <c r="P24" s="254"/>
      <c r="Q24" s="247"/>
      <c r="R24" s="253"/>
      <c r="S24" s="284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1" t="s">
        <v>28</v>
      </c>
      <c r="H25" s="325">
        <f>SUM(H21:H24)</f>
        <v>296250</v>
      </c>
      <c r="I25" s="299"/>
      <c r="J25" s="260"/>
      <c r="K25" s="315"/>
      <c r="L25" s="44"/>
      <c r="M25" s="36"/>
      <c r="N25" s="36"/>
      <c r="O25" s="256"/>
      <c r="P25" s="254"/>
      <c r="Q25" s="247"/>
      <c r="R25" s="253"/>
      <c r="S25" s="284"/>
      <c r="T25" s="43">
        <f>SUM(T21:T24)</f>
        <v>4.8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3" t="s">
        <v>51</v>
      </c>
      <c r="H26" s="326">
        <f>H25*19%</f>
        <v>56287.5</v>
      </c>
      <c r="I26" s="299"/>
      <c r="J26" s="260"/>
      <c r="K26" s="315"/>
      <c r="L26" s="44"/>
      <c r="M26" s="36">
        <f>SUM(M21:M22)</f>
        <v>5.04</v>
      </c>
      <c r="N26" s="12"/>
      <c r="O26" s="12"/>
      <c r="P26" s="248">
        <f>SUM(P21:P24)</f>
        <v>3.024</v>
      </c>
      <c r="Q26" s="14"/>
      <c r="R26" s="12"/>
      <c r="S26" s="235">
        <f>SUM(S21:S25)</f>
        <v>5.04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327">
        <f>H25+H26</f>
        <v>352537.5</v>
      </c>
      <c r="I27" s="299"/>
      <c r="J27" s="260"/>
      <c r="K27" s="315"/>
      <c r="L27" s="44"/>
      <c r="M27" s="36"/>
      <c r="N27" s="12"/>
      <c r="O27" s="12"/>
      <c r="P27" s="248">
        <f>P26</f>
        <v>3.024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5"/>
      <c r="L28" s="44"/>
      <c r="M28" s="14"/>
      <c r="N28" s="12"/>
      <c r="O28" s="12"/>
      <c r="P28" s="36">
        <f>P27*20%</f>
        <v>0.6048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3.6288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88" t="s">
        <v>21</v>
      </c>
      <c r="V30" s="285" t="s">
        <v>149</v>
      </c>
      <c r="W30" s="289">
        <v>44971</v>
      </c>
      <c r="X30" s="290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3.6288</v>
      </c>
      <c r="N31" s="12">
        <v>3500</v>
      </c>
      <c r="O31" s="12">
        <f t="shared" ref="O31:O36" si="15">M31*N31</f>
        <v>12700.8</v>
      </c>
      <c r="P31" s="14" t="s">
        <v>21</v>
      </c>
      <c r="Q31" s="14"/>
      <c r="R31" s="14"/>
      <c r="S31" s="237"/>
      <c r="T31" s="14"/>
      <c r="U31" s="288" t="s">
        <v>150</v>
      </c>
      <c r="V31" s="285">
        <v>3625</v>
      </c>
      <c r="W31" s="56" t="s">
        <v>151</v>
      </c>
      <c r="X31" s="290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1</v>
      </c>
      <c r="N32" s="12">
        <v>23500</v>
      </c>
      <c r="O32" s="12">
        <f t="shared" si="15"/>
        <v>23500</v>
      </c>
      <c r="P32" s="36" t="s">
        <v>168</v>
      </c>
      <c r="Q32" s="39"/>
      <c r="R32" s="14"/>
      <c r="S32" s="236"/>
      <c r="T32" s="14"/>
      <c r="U32" s="288"/>
      <c r="V32" s="56">
        <v>906.25</v>
      </c>
      <c r="W32" s="56" t="s">
        <v>152</v>
      </c>
      <c r="X32" s="290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15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0" t="s">
        <v>153</v>
      </c>
      <c r="X33" s="56"/>
    </row>
    <row r="34" spans="2:24" s="226" customFormat="1" ht="17.399999999999999" x14ac:dyDescent="0.35">
      <c r="B34" s="21" t="s">
        <v>163</v>
      </c>
      <c r="C34"/>
      <c r="D34"/>
      <c r="E34"/>
      <c r="F34"/>
      <c r="J34" s="257">
        <v>46000</v>
      </c>
      <c r="K34" s="228"/>
      <c r="L34" s="245"/>
      <c r="M34" s="14">
        <v>2</v>
      </c>
      <c r="N34" s="245">
        <v>36000</v>
      </c>
      <c r="O34" s="12">
        <f t="shared" si="15"/>
        <v>72000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0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>
        <f>J34/1.19</f>
        <v>38655.462184873948</v>
      </c>
      <c r="K35" s="255"/>
      <c r="L35" s="245"/>
      <c r="M35" s="244"/>
      <c r="N35" s="245">
        <v>900</v>
      </c>
      <c r="O35" s="12">
        <f t="shared" si="15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>
        <v>5.04</v>
      </c>
      <c r="N36" s="12">
        <v>1500</v>
      </c>
      <c r="O36" s="12">
        <f t="shared" si="15"/>
        <v>7560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115760.8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O37*2.3</f>
        <v>266249.83999999997</v>
      </c>
      <c r="P38" s="14" t="s">
        <v>138</v>
      </c>
      <c r="Q38" s="14"/>
      <c r="R38" s="37">
        <f>P29/R37</f>
        <v>0.97842968075927517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88045.582010582002</v>
      </c>
      <c r="P39" s="42" t="s">
        <v>24</v>
      </c>
      <c r="Q39" s="14"/>
      <c r="R39" s="14"/>
      <c r="S39"/>
      <c r="T39" s="234"/>
      <c r="U39" s="56" t="s">
        <v>155</v>
      </c>
      <c r="V39" s="285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2.2999999999999998</v>
      </c>
      <c r="P40" s="15"/>
      <c r="Q40"/>
      <c r="R40"/>
      <c r="S40"/>
      <c r="T40" s="234"/>
      <c r="U40" s="56" t="s">
        <v>157</v>
      </c>
      <c r="V40" s="286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16"/>
      <c r="H41" s="320"/>
      <c r="L41" s="12"/>
      <c r="T41" s="234"/>
      <c r="U41" s="56" t="s">
        <v>158</v>
      </c>
      <c r="V41" s="287">
        <v>395.37</v>
      </c>
    </row>
    <row r="42" spans="2:24" s="226" customFormat="1" ht="17.399999999999999" x14ac:dyDescent="0.35">
      <c r="B42"/>
      <c r="C42" s="321"/>
      <c r="D42" s="279"/>
      <c r="E42" s="279"/>
      <c r="F42" s="278"/>
      <c r="G42" s="316"/>
      <c r="H42" s="320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16"/>
      <c r="H43" s="320"/>
      <c r="L43" s="12"/>
      <c r="U43" s="56"/>
      <c r="V43" s="56"/>
    </row>
    <row r="44" spans="2:24" ht="17.399999999999999" x14ac:dyDescent="0.35">
      <c r="D44" s="279"/>
      <c r="E44" s="279"/>
      <c r="F44" s="278"/>
      <c r="G44" s="316"/>
      <c r="H44" s="320"/>
      <c r="L44" s="245"/>
    </row>
    <row r="45" spans="2:24" ht="17.399999999999999" x14ac:dyDescent="0.35">
      <c r="D45" s="279"/>
      <c r="E45" s="279"/>
      <c r="F45" s="278"/>
      <c r="G45" s="316"/>
      <c r="H45" s="320"/>
      <c r="L45" s="245"/>
      <c r="T45" s="265"/>
    </row>
    <row r="46" spans="2:24" ht="17.399999999999999" x14ac:dyDescent="0.35">
      <c r="D46" s="279"/>
      <c r="E46" s="279"/>
      <c r="F46" s="278"/>
      <c r="G46" s="316"/>
      <c r="H46" s="320"/>
      <c r="L46" s="245"/>
    </row>
    <row r="47" spans="2:24" ht="15" customHeight="1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</row>
    <row r="49" spans="4:20" ht="17.399999999999999" x14ac:dyDescent="0.35">
      <c r="D49" s="279"/>
      <c r="E49" s="279"/>
      <c r="F49" s="278"/>
      <c r="G49" s="316"/>
      <c r="H49" s="320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16"/>
      <c r="H50" s="320"/>
    </row>
    <row r="51" spans="4:20" ht="17.399999999999999" x14ac:dyDescent="0.35">
      <c r="D51" s="279"/>
      <c r="E51" s="279"/>
      <c r="F51" s="278"/>
      <c r="G51" s="316"/>
      <c r="H51" s="320"/>
      <c r="O51" s="51"/>
      <c r="P51" s="51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ht="17.399999999999999" x14ac:dyDescent="0.35">
      <c r="D54" s="279"/>
      <c r="E54" s="279"/>
      <c r="F54" s="278"/>
      <c r="G54" s="316"/>
      <c r="H54" s="320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3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45986</v>
      </c>
    </row>
    <row r="6" spans="1:31" ht="16.2" thickBot="1" x14ac:dyDescent="0.35">
      <c r="B6" s="137" t="s">
        <v>2</v>
      </c>
      <c r="C6" s="136" t="str">
        <f>'2229'!C10</f>
        <v>RIOCA LTDA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3" t="s">
        <v>98</v>
      </c>
      <c r="I7" s="344"/>
      <c r="J7" s="344"/>
      <c r="K7" s="345"/>
      <c r="N7" s="72"/>
      <c r="O7" s="342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11769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2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-34393.743926570045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296250</v>
      </c>
      <c r="E11" s="129">
        <f>D11*0.19</f>
        <v>56287.5</v>
      </c>
      <c r="F11" s="128">
        <f>E11+D11</f>
        <v>352537.5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71596.256073429948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56179.710275362318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53596.256073429955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240070.2897246377</v>
      </c>
      <c r="E13" s="218">
        <f>(D11/D12)-1</f>
        <v>4.273256101676993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44596.256073429955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5596.256073429955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106966.16836428986</v>
      </c>
      <c r="C15" s="210" t="s">
        <v>121</v>
      </c>
      <c r="D15" s="211">
        <v>0.6</v>
      </c>
      <c r="E15" s="212">
        <f>(100%+D15)*D12</f>
        <v>89887.536440579715</v>
      </c>
      <c r="F15" s="213">
        <f>E15-D12</f>
        <v>33707.826165217397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5596.256073429955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45596.256073429955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23500</v>
      </c>
      <c r="E19" s="120">
        <f>D19*0.19</f>
        <v>4465</v>
      </c>
      <c r="F19" s="117">
        <f>SUM(D19:E19)</f>
        <v>27965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12700.8</v>
      </c>
      <c r="E20" s="118">
        <f>D20*0.19</f>
        <v>2413.152</v>
      </c>
      <c r="F20" s="117">
        <f>SUM(D20:E20)</f>
        <v>15113.951999999999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36200.800000000003</v>
      </c>
      <c r="E21" s="113">
        <f>SUM(E18:E20)</f>
        <v>6878.152</v>
      </c>
      <c r="F21" s="112">
        <f>SUM(F18:F20)</f>
        <v>43078.951999999997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49409.347999999998</v>
      </c>
    </row>
    <row r="41" spans="2:16" ht="15" thickBot="1" x14ac:dyDescent="0.35">
      <c r="H41" s="346" t="s">
        <v>60</v>
      </c>
      <c r="I41" s="347"/>
      <c r="J41" s="347"/>
      <c r="K41" s="347"/>
      <c r="L41" s="347"/>
      <c r="M41" s="348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296250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36200.800000000003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240070.2897246377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240070.2897246377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2025-11-06T00:47:09Z</cp:lastPrinted>
  <dcterms:created xsi:type="dcterms:W3CDTF">2013-03-18T13:35:42Z</dcterms:created>
  <dcterms:modified xsi:type="dcterms:W3CDTF">2025-11-25T11:44:41Z</dcterms:modified>
</cp:coreProperties>
</file>