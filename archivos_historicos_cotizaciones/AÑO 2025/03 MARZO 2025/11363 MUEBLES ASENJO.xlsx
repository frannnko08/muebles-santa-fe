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0A1F716C-668B-4C4A-937B-1A2E181A24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1" l="1"/>
  <c r="J15" i="1"/>
  <c r="L22" i="1"/>
  <c r="M22" i="1"/>
  <c r="S22" i="1" s="1"/>
  <c r="N22" i="1"/>
  <c r="J10" i="1"/>
  <c r="H22" i="1"/>
  <c r="K29" i="1"/>
  <c r="L21" i="1"/>
  <c r="O22" i="1" l="1"/>
  <c r="P22" i="1"/>
  <c r="K32" i="1"/>
  <c r="K34" i="1"/>
  <c r="N21" i="1"/>
  <c r="K35" i="1" l="1"/>
  <c r="K36" i="1" s="1"/>
  <c r="K37" i="1" s="1"/>
  <c r="M21" i="1"/>
  <c r="S21" i="1" s="1"/>
  <c r="M26" i="1" l="1"/>
  <c r="T21" i="1"/>
  <c r="T25" i="1" s="1"/>
  <c r="S27" i="1"/>
  <c r="O21" i="1"/>
  <c r="P21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O40" i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<sst xmlns="http://schemas.openxmlformats.org/spreadsheetml/2006/main" count="231" uniqueCount="176">
  <si>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</si>
  <si>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</si>
  <si>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</si>
  <si>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</si>
  <si>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</si>
  <si>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</si>
  <si>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</si>
  <si>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</si>
  <si>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</si>
  <si>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</si>
  <si>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</si>
  <si>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</si>
  <si>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</si>
  <si>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</si>
  <si>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</si>
  <si>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</si>
  <si>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</si>
  <si>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</si>
  <si>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</si>
  <si>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</si>
  <si>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</si>
  <si>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</si>
  <si>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</si>
  <si>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</si>
  <si>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</si>
  <si>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</si>
  <si>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</si>
  <si>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</si>
  <si>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</si>
  <si>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</si>
  <si>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</si>
  <si>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</si>
  <si>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</si>
  <si>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</si>
  <si>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</si>
  <si>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</si>
  <si>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</si>
  <si>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</si>
  <si>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</si>
  <si>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</si>
  <si>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</si>
  <si>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</si>
  <si>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</si>
  <si>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</si>
  <si>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</si>
  <si>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</si>
  <si>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</si>
  <si>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</si>
  <si>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</si>
  <si>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</si>
  <si>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</si>
  <si>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</si>
  <si>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</si>
  <si>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</si>
  <si>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</si>
  <si>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</si>
  <si>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</si>
  <si>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</si>
  <si>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</si>
  <si>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</si>
  <si>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</si>
  <si>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</si>
  <si>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</si>
  <si>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</si>
  <si>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</si>
  <si>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</si>
  <si>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</si>
  <si>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</si>
  <si>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</si>
  <si>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</si>
  <si>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</si>
  <si>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</si>
  <si>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</si>
  <si>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</si>
  <si>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</si>
  <si>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</si>
  <si>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</si>
  <si>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</si>
  <si>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</si>
  <si>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</si>
  <si>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</si>
  <si>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</si>
  <si>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</si>
  <si>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</si>
  <si>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</si>
  <si>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</si>
  <si>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</si>
  <si>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</si>
  <si>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</si>
  <si>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</si>
  <si>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</si>
  <si>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</si>
  <si>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</si>
  <si>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</si>
  <si>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</si>
  <si>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</si>
  <si>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</si>
  <si>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</si>
  <si>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</si>
  <si>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</si>
  <si>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</si>
  <si>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</si>
  <si>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</si>
  <si>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</si>
  <si>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</si>
  <si>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</si>
  <si>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</si>
  <si>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</si>
  <si>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</si>
  <si>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</si>
  <si>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</si>
  <si>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</si>
  <si>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</si>
  <si>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</si>
  <si>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</si>
  <si>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</si>
  <si>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</si>
  <si>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</si>
  <si>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</si>
  <si>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</si>
  <si>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</si>
  <si>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</si>
  <si>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</si>
  <si>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</si>
  <si>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</si>
  <si>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</si>
  <si>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</si>
  <si>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</si>
  <si>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</si>
  <si>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</si>
  <si>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</si>
  <si>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</si>
  <si>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</si>
  <si>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</si>
  <si>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</si>
  <si>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</si>
  <si>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</si>
  <si>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</si>
  <si>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</si>
  <si>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</si>
  <si>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</si>
  <si>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</si>
  <si>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</si>
  <si>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</si>
  <si>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</si>
  <si>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</si>
  <si>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</si>
  <si>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</si>
  <si>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</si>
  <si>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</si>
  <si>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</si>
  <si>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</si>
  <si>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</si>
  <si>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</si>
  <si>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</si>
  <si>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</si>
  <si>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</si>
  <si>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</si>
  <si>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</si>
  <si>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</si>
  <si>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</si>
  <si>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</si>
  <si>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</si>
  <si>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</si>
  <si>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</si>
  <si>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</si>
  <si>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</si>
  <si>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</si>
  <si>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</si>
  <si>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</si>
  <si>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</si>
  <si>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>BLANCO MERINO MATE</t>
  </si>
  <si>
    <t>N° 11363</t>
  </si>
  <si>
    <t>CUB C/R FRENTE 90° R8</t>
  </si>
  <si>
    <t>CUB MESA 180° 2 LADOS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</si>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</sst>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D14" sqref="D14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45737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175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170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169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49775.326991676586</v>
      </c>
      <c r="R20" s="258">
        <v>1500</v>
      </c>
      <c r="S20" s="38"/>
      <c r="T20" s="14" t="s">
        <v>128</v>
      </c>
      <c r="U20" s="9"/>
      <c r="X20" s="4"/>
    </row>
    <row r="21" spans="1:25" ht="17.399999999999999" x14ac:dyDescent="0.3">
      <c r="B21" s="330">
        <v>8</v>
      </c>
      <c r="C21" s="330" t="s">
        <v>173</v>
      </c>
      <c r="D21" s="333">
        <v>2.0099999999999998</v>
      </c>
      <c r="E21" s="333">
        <v>0.6</v>
      </c>
      <c r="F21" s="330" t="s">
        <v>171</v>
      </c>
      <c r="G21" s="331">
        <v>63918</v>
      </c>
      <c r="H21" s="331">
        <f>G21*B21</f>
        <v>511344</v>
      </c>
      <c r="I21" s="320"/>
      <c r="J21" s="265">
        <v>1</v>
      </c>
      <c r="K21" s="47"/>
      <c r="L21" s="332">
        <f>B21</f>
        <v>8</v>
      </c>
      <c r="M21" s="39">
        <f>D21+M$19</f>
        <v>2.09</v>
      </c>
      <c r="N21" s="39">
        <f>E21+$N$19</f>
        <v>0.6</v>
      </c>
      <c r="O21" s="261">
        <f t="shared" ref="O21" si="1">M21*N21</f>
        <v>1.2539999999999998</v>
      </c>
      <c r="P21" s="259">
        <f t="shared" ref="P21" si="2">O21*L21</f>
        <v>10.031999999999998</v>
      </c>
      <c r="Q21" s="252">
        <f t="shared" ref="Q21" si="3">Q$20*O21</f>
        <v>62418.260047562428</v>
      </c>
      <c r="R21" s="319">
        <f t="shared" ref="R21" si="4">Q21+R$20</f>
        <v>63918.260047562428</v>
      </c>
      <c r="S21" s="297">
        <f>M21*L21</f>
        <v>16.72</v>
      </c>
      <c r="T21" s="46">
        <f>M21*L21</f>
        <v>16.72</v>
      </c>
      <c r="U21" s="9"/>
      <c r="X21" s="4"/>
    </row>
    <row r="22" spans="1:25" ht="17.399999999999999" x14ac:dyDescent="0.3">
      <c r="B22" s="330">
        <v>6</v>
      </c>
      <c r="C22" s="330" t="s">
        <v>174</v>
      </c>
      <c r="D22" s="333">
        <v>1.8</v>
      </c>
      <c r="E22" s="333">
        <v>0.9</v>
      </c>
      <c r="F22" s="330" t="s">
        <v>171</v>
      </c>
      <c r="G22" s="331">
        <v>85720</v>
      </c>
      <c r="H22" s="331">
        <f t="shared" ref="H22" si="5">G22*B22</f>
        <v>514320</v>
      </c>
      <c r="I22" s="320">
        <v>1</v>
      </c>
      <c r="J22" s="265"/>
      <c r="K22" s="47"/>
      <c r="L22" s="332">
        <f t="shared" ref="L22" si="6">B22</f>
        <v>6</v>
      </c>
      <c r="M22" s="39">
        <f t="shared" ref="M22" si="7">D22+M$19</f>
        <v>1.8800000000000001</v>
      </c>
      <c r="N22" s="39">
        <f t="shared" ref="N22" si="8">E22+$N$19</f>
        <v>0.9</v>
      </c>
      <c r="O22" s="261">
        <f t="shared" ref="O22" si="9">M22*N22</f>
        <v>1.6920000000000002</v>
      </c>
      <c r="P22" s="259">
        <f t="shared" ref="P22" si="10">O22*L22</f>
        <v>10.152000000000001</v>
      </c>
      <c r="Q22" s="252">
        <f t="shared" ref="Q22" si="11">Q$20*O22</f>
        <v>84219.853269916784</v>
      </c>
      <c r="R22" s="319">
        <f t="shared" ref="R22" si="12">Q22+R$20</f>
        <v>85719.853269916784</v>
      </c>
      <c r="S22" s="297">
        <f t="shared" ref="S22" si="13">M22*L22</f>
        <v>11.280000000000001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1025664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16.72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194876.16</v>
      </c>
      <c r="I26" s="322"/>
      <c r="J26" s="265"/>
      <c r="K26" s="47"/>
      <c r="L26" s="47"/>
      <c r="M26" s="39">
        <f>SUM(M21:M25)</f>
        <v>3.9699999999999998</v>
      </c>
      <c r="N26" s="12"/>
      <c r="O26" s="12"/>
      <c r="P26" s="253">
        <f>SUM(P21:P24)</f>
        <v>20.183999999999997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1220540.1599999999</v>
      </c>
      <c r="I27" s="322"/>
      <c r="J27" s="265"/>
      <c r="K27" s="47">
        <v>70</v>
      </c>
      <c r="L27" s="47"/>
      <c r="M27" s="39"/>
      <c r="N27" s="12"/>
      <c r="O27" s="12"/>
      <c r="P27" s="253">
        <f>P26</f>
        <v>20.183999999999997</v>
      </c>
      <c r="Q27" s="14"/>
      <c r="R27" s="12"/>
      <c r="S27" s="239">
        <f>SUM(S21:S26)</f>
        <v>28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>
        <v>12</v>
      </c>
      <c r="L28" s="47"/>
      <c r="M28" s="14"/>
      <c r="N28" s="12"/>
      <c r="O28" s="12"/>
      <c r="P28" s="39">
        <f>P27*20%</f>
        <v>4.0367999999999995</v>
      </c>
      <c r="Q28" s="39" t="s">
        <v>130</v>
      </c>
      <c r="R28" s="42"/>
      <c r="S28" s="240">
        <f>S27+T25</f>
        <v>44.72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>
        <f>K27-K28</f>
        <v>58</v>
      </c>
      <c r="L29" s="47"/>
      <c r="M29" s="14"/>
      <c r="N29" s="12"/>
      <c r="O29" s="12"/>
      <c r="P29" s="46">
        <f>P27+P28</f>
        <v>24.220799999999997</v>
      </c>
      <c r="Q29" s="14"/>
      <c r="R29" s="14"/>
      <c r="S29" s="238">
        <f>S28*20%</f>
        <v>8.9440000000000008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53.664000000000001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24.220799999999997</v>
      </c>
      <c r="N31" s="12">
        <v>2500</v>
      </c>
      <c r="O31" s="12">
        <f t="shared" ref="O31:O36" si="14">M31*N31</f>
        <v>60551.999999999993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>
        <f>23500*1.19</f>
        <v>27965</v>
      </c>
      <c r="L32" s="47"/>
      <c r="M32" s="249">
        <v>7</v>
      </c>
      <c r="N32" s="12">
        <v>23500</v>
      </c>
      <c r="O32" s="12">
        <f t="shared" si="14"/>
        <v>164500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>
        <v>7</v>
      </c>
      <c r="N33" s="250">
        <v>35000</v>
      </c>
      <c r="O33" s="12">
        <f t="shared" si="14"/>
        <v>245000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>
        <f>N34*1.19</f>
        <v>26299</v>
      </c>
      <c r="L34" s="250"/>
      <c r="M34" s="14"/>
      <c r="N34" s="250">
        <v>22100</v>
      </c>
      <c r="O34" s="12">
        <f t="shared" si="14"/>
        <v>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>
        <f>SUM(K32:K34)</f>
        <v>54264</v>
      </c>
      <c r="L35" s="250"/>
      <c r="M35" s="249"/>
      <c r="N35" s="250">
        <v>900</v>
      </c>
      <c r="O35" s="12">
        <f t="shared" si="14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>
        <f>K35/1.19</f>
        <v>45600</v>
      </c>
      <c r="L36" s="250"/>
      <c r="M36" s="266">
        <v>16.72</v>
      </c>
      <c r="N36" s="12">
        <v>500</v>
      </c>
      <c r="O36" s="12">
        <f t="shared" si="14"/>
        <v>8360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>
        <f>K35-K36</f>
        <v>8664</v>
      </c>
      <c r="L37" s="250"/>
      <c r="M37" s="14"/>
      <c r="N37" s="12"/>
      <c r="O37" s="12">
        <f>SUM(O31:O36)</f>
        <v>478412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1004665.2000000001</v>
      </c>
      <c r="P38" s="14" t="s">
        <v>140</v>
      </c>
      <c r="Q38" s="14"/>
      <c r="R38" s="40">
        <f>P29/R37</f>
        <v>6.5306298533218285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40000</v>
      </c>
      <c r="L39" s="250"/>
      <c r="M39" s="14"/>
      <c r="N39" s="12"/>
      <c r="O39" s="12">
        <f>O38/P27</f>
        <v>49775.326991676586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33613.445378151264</v>
      </c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45737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11363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-33475.325033454108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1025664</v>
      </c>
      <c r="E11" s="132">
        <f>D11*0.19</f>
        <v>194876.16</v>
      </c>
      <c r="F11" s="131">
        <f>E11+D11</f>
        <v>1220540.1599999999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72514.674966545892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499886.09078743961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54514.674966545892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525777.90921256039</v>
      </c>
      <c r="E13" s="221">
        <f>(D11/D12)-1</f>
        <v>1.051795436805083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45514.674966545892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6514.6749665458919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824812.04979927535</v>
      </c>
      <c r="F15" s="216">
        <f>E15-D12</f>
        <v>324925.95901183574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6514.6749665458919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46514.674966545892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245000</v>
      </c>
      <c r="E18" s="123">
        <f>D18*0.19</f>
        <v>46550</v>
      </c>
      <c r="F18" s="120">
        <f>SUM(D18:E18)</f>
        <v>291550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164500</v>
      </c>
      <c r="E19" s="123">
        <f>D19*0.19</f>
        <v>31255</v>
      </c>
      <c r="F19" s="120">
        <f>SUM(D19:E19)</f>
        <v>195755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60551.999999999993</v>
      </c>
      <c r="E20" s="121">
        <f>D20*0.19</f>
        <v>11504.88</v>
      </c>
      <c r="F20" s="120">
        <f>SUM(D20:E20)</f>
        <v>72056.87999999999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470052</v>
      </c>
      <c r="E21" s="116">
        <f>SUM(E18:E20)</f>
        <v>89309.88</v>
      </c>
      <c r="F21" s="115">
        <f>SUM(F18:F20)</f>
        <v>559361.88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105566.28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1025664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470052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525777.90921256039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525777.90921256039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2025-01-10T15:40:03Z</cp:lastPrinted>
  <dcterms:created xsi:type="dcterms:W3CDTF">2013-03-18T13:35:42Z</dcterms:created>
  <dcterms:modified xsi:type="dcterms:W3CDTF">2025-03-22T14:28:48Z</dcterms:modified>
</cp:coreProperties>
</file>