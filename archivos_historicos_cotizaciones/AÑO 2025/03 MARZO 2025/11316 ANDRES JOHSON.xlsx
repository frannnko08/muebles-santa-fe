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F4E24AC-EBB1-4E3D-8968-FB287E3A7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3" i="1"/>
  <c r="M23" i="1"/>
  <c r="N23" i="1" l="1"/>
  <c r="O23" i="1" s="1"/>
  <c r="H21" i="1"/>
  <c r="K22" i="1"/>
  <c r="L22" i="1"/>
  <c r="M22" i="1"/>
  <c r="H22" i="1"/>
  <c r="K21" i="1"/>
  <c r="H26" i="1" l="1"/>
  <c r="H27" i="1"/>
  <c r="N22" i="1"/>
  <c r="O22" i="1" s="1"/>
  <c r="J41" i="1"/>
  <c r="L21" i="1"/>
  <c r="M21" i="1"/>
  <c r="R21" i="1" l="1"/>
  <c r="L26" i="1"/>
  <c r="S21" i="1"/>
  <c r="N21" i="1"/>
  <c r="O21" i="1" s="1"/>
  <c r="O27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3" i="1" s="1"/>
  <c r="Q23" i="1" s="1"/>
  <c r="E15" i="3"/>
  <c r="P22" i="1" l="1"/>
  <c r="Q22" i="1" s="1"/>
  <c r="P21" i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<sst xmlns="http://schemas.openxmlformats.org/spreadsheetml/2006/main" count="236" uniqueCount="175">
  <si>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</si>
  <si>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</si>
  <si>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</si>
  <si>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</si>
  <si>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</si>
  <si>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</si>
  <si>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</si>
  <si>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</si>
  <si>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</si>
  <si>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</si>
  <si>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</si>
  <si>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</si>
  <si>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</si>
  <si>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</si>
  <si>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</si>
  <si>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</si>
  <si>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</si>
  <si>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</si>
  <si>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</si>
  <si>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</si>
  <si>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</si>
  <si>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</si>
  <si>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</si>
  <si>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</si>
  <si>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</si>
  <si>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</si>
  <si>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</si>
  <si>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</si>
  <si>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</si>
  <si>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</si>
  <si>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</si>
  <si>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</si>
  <si>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</si>
  <si>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</si>
  <si>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</si>
  <si>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</si>
  <si>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</si>
  <si>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</si>
  <si>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</si>
  <si>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</si>
  <si>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</si>
  <si>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</si>
  <si>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</si>
  <si>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</si>
  <si>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</si>
  <si>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</si>
  <si>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</si>
  <si>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</si>
  <si>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</si>
  <si>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</si>
  <si>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</si>
  <si>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</si>
  <si>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</si>
  <si>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</si>
  <si>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</si>
  <si>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</si>
  <si>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</si>
  <si>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</si>
  <si>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</si>
  <si>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</si>
  <si>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</si>
  <si>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</si>
  <si>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</si>
  <si>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</si>
  <si>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</si>
  <si>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</si>
  <si>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</si>
  <si>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</si>
  <si>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</si>
  <si>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</si>
  <si>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</si>
  <si>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</si>
  <si>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</si>
  <si>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</si>
  <si>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</si>
  <si>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</si>
  <si>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</si>
  <si>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</si>
  <si>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</si>
  <si>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</si>
  <si>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</si>
  <si>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</si>
  <si>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</si>
  <si>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</si>
  <si>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</si>
  <si>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</si>
  <si>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</si>
  <si>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</si>
  <si>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</si>
  <si>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</si>
  <si>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</si>
  <si>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</si>
  <si>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</si>
  <si>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</si>
  <si>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</si>
  <si>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</si>
  <si>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</si>
  <si>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</si>
  <si>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</si>
  <si>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</si>
  <si>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</si>
  <si>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</si>
  <si>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</si>
  <si>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</si>
  <si>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</si>
  <si>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</si>
  <si>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</si>
  <si>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</si>
  <si>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</si>
  <si>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</si>
  <si>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</si>
  <si>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</si>
  <si>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</si>
  <si>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</si>
  <si>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</si>
  <si>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</si>
  <si>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</si>
  <si>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</si>
  <si>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</si>
  <si>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</si>
  <si>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</si>
  <si>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</si>
  <si>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</si>
  <si>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</si>
  <si>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</si>
  <si>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</si>
  <si>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</si>
  <si>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</si>
  <si>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</si>
  <si>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</si>
  <si>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</si>
  <si>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</si>
  <si>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</si>
  <si>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</si>
  <si>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</si>
  <si>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</si>
  <si>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</si>
  <si>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</si>
  <si>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</si>
  <si>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</si>
  <si>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</si>
  <si>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</si>
  <si>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</si>
  <si>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</si>
  <si>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</si>
  <si>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</si>
  <si>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</si>
  <si>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</si>
  <si>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</si>
  <si>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</si>
  <si>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</si>
  <si>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</si>
  <si>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</si>
  <si>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</si>
  <si>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</si>
  <si>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</si>
  <si>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</si>
  <si>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</si>
  <si>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</si>
  <si>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</si>
  <si>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</si>
  <si>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</si>
  <si>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</si>
  <si>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</si>
  <si>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</si>
  <si>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</si>
  <si>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</si>
  <si>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</si>
  <si>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SI</t>
  </si>
  <si>
    <t>RUT : 77.054.606-0 FRANCODONOSO@TOPMOBILI.CL</t>
  </si>
  <si>
    <t>N° 11316</t>
  </si>
  <si>
    <t>569 6569 6933</t>
  </si>
  <si>
    <t>WHITE MARBLE 42004 GL</t>
  </si>
  <si>
    <t>SAPELLE 10019 SF</t>
  </si>
  <si>
    <t>ANDRES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</si>
</sst>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15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0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162</v>
      </c>
      <c r="C10" s="279" t="s">
        <v>174</v>
      </c>
      <c r="D10" s="243"/>
      <c r="E10" s="243"/>
      <c r="F10" s="244" t="s">
        <v>0</v>
      </c>
      <c r="G10" s="277">
        <v>45720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164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147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79734.648641036474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7">
        <v>1</v>
      </c>
      <c r="C21" s="327" t="s">
        <v>36</v>
      </c>
      <c r="D21" s="328">
        <v>2.8</v>
      </c>
      <c r="E21" s="328">
        <v>0.54</v>
      </c>
      <c r="F21" s="327" t="s">
        <v>172</v>
      </c>
      <c r="G21" s="329">
        <v>108344</v>
      </c>
      <c r="H21" s="329">
        <f t="shared" ref="H21:H24" si="1">G21*B21</f>
        <v>108344</v>
      </c>
      <c r="I21" s="265"/>
      <c r="J21" s="47"/>
      <c r="K21" s="324">
        <f t="shared" ref="K21" si="2">B21</f>
        <v>1</v>
      </c>
      <c r="L21" s="325">
        <f t="shared" ref="L21" si="3">D21+L$19</f>
        <v>2.88</v>
      </c>
      <c r="M21" s="325">
        <f t="shared" ref="M21" si="4">E21+M$19</f>
        <v>0.54</v>
      </c>
      <c r="N21" s="261">
        <f t="shared" ref="N21" si="5">L21*M21</f>
        <v>1.5552000000000001</v>
      </c>
      <c r="O21" s="259">
        <f t="shared" ref="O21" si="6">N21*K21</f>
        <v>1.5552000000000001</v>
      </c>
      <c r="P21" s="252">
        <f>P$20*N21</f>
        <v>124003.32556653993</v>
      </c>
      <c r="Q21" s="258">
        <f t="shared" ref="Q21" si="7">P21+Q$20</f>
        <v>127003.32556653993</v>
      </c>
      <c r="R21" s="308">
        <f>L21*K21</f>
        <v>2.88</v>
      </c>
      <c r="S21" s="46">
        <f>M21*K21*2</f>
        <v>1.08</v>
      </c>
      <c r="T21" s="9"/>
      <c r="W21" s="4"/>
    </row>
    <row r="22" spans="2:24" ht="17.399999999999999" x14ac:dyDescent="0.3">
      <c r="B22" s="327">
        <v>1</v>
      </c>
      <c r="C22" s="327" t="s">
        <v>36</v>
      </c>
      <c r="D22" s="328">
        <v>2.2999999999999998</v>
      </c>
      <c r="E22" s="328">
        <v>0.54</v>
      </c>
      <c r="F22" s="327" t="s">
        <v>172</v>
      </c>
      <c r="G22" s="329">
        <v>89534</v>
      </c>
      <c r="H22" s="329">
        <f t="shared" si="1"/>
        <v>89534</v>
      </c>
      <c r="I22" s="265">
        <v>197878</v>
      </c>
      <c r="J22" s="47"/>
      <c r="K22" s="324">
        <f t="shared" ref="K22" si="8">B22</f>
        <v>1</v>
      </c>
      <c r="L22" s="325">
        <f t="shared" ref="L22" si="9">D22+L$19</f>
        <v>2.38</v>
      </c>
      <c r="M22" s="325">
        <f t="shared" ref="M22" si="10">E22+M$19</f>
        <v>0.54</v>
      </c>
      <c r="N22" s="261">
        <f t="shared" ref="N22" si="11">L22*M22</f>
        <v>1.2852000000000001</v>
      </c>
      <c r="O22" s="259">
        <f t="shared" ref="O22" si="12">N22*K22</f>
        <v>1.2852000000000001</v>
      </c>
      <c r="P22" s="252">
        <f>P$20*N22</f>
        <v>102474.97043346008</v>
      </c>
      <c r="Q22" s="258">
        <f t="shared" ref="Q22" si="13">P22+Q$20</f>
        <v>105474.97043346008</v>
      </c>
      <c r="R22" s="308"/>
      <c r="S22" s="46"/>
      <c r="T22" s="9"/>
      <c r="W22" s="4"/>
    </row>
    <row r="23" spans="2:24" ht="17.399999999999999" x14ac:dyDescent="0.3">
      <c r="B23" s="327">
        <v>1</v>
      </c>
      <c r="C23" s="327" t="s">
        <v>36</v>
      </c>
      <c r="D23" s="328">
        <v>2.8</v>
      </c>
      <c r="E23" s="328">
        <v>0.54</v>
      </c>
      <c r="F23" s="327" t="s">
        <v>173</v>
      </c>
      <c r="G23" s="329">
        <v>124003</v>
      </c>
      <c r="H23" s="329">
        <f t="shared" si="1"/>
        <v>124003</v>
      </c>
      <c r="I23" s="265"/>
      <c r="J23" s="47"/>
      <c r="K23" s="324"/>
      <c r="L23" s="325">
        <f t="shared" ref="L23" si="14">D23+L$19</f>
        <v>2.88</v>
      </c>
      <c r="M23" s="325">
        <f t="shared" ref="M23" si="15">E23+M$19</f>
        <v>0.54</v>
      </c>
      <c r="N23" s="261">
        <f t="shared" ref="N23" si="16">L23*M23</f>
        <v>1.5552000000000001</v>
      </c>
      <c r="O23" s="259">
        <f t="shared" ref="O23" si="17">N23*K23</f>
        <v>0</v>
      </c>
      <c r="P23" s="252">
        <f>P$20*N23</f>
        <v>124003.32556653993</v>
      </c>
      <c r="Q23" s="258">
        <f t="shared" ref="Q23" si="18">P23+Q$20</f>
        <v>127003.32556653993</v>
      </c>
      <c r="R23" s="308"/>
      <c r="S23" s="46"/>
      <c r="T23" s="9"/>
      <c r="W23" s="4"/>
    </row>
    <row r="24" spans="2:24" ht="17.399999999999999" x14ac:dyDescent="0.3">
      <c r="B24" s="327">
        <v>1</v>
      </c>
      <c r="C24" s="327" t="s">
        <v>36</v>
      </c>
      <c r="D24" s="328">
        <v>2.2999999999999998</v>
      </c>
      <c r="E24" s="328">
        <v>0.54</v>
      </c>
      <c r="F24" s="327" t="s">
        <v>173</v>
      </c>
      <c r="G24" s="329">
        <v>102475</v>
      </c>
      <c r="H24" s="329">
        <f t="shared" si="1"/>
        <v>102475</v>
      </c>
      <c r="I24" s="265">
        <v>226478</v>
      </c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342"/>
      <c r="C25" s="342"/>
      <c r="D25" s="343"/>
      <c r="E25" s="343"/>
      <c r="F25" s="342"/>
      <c r="G25" s="344"/>
      <c r="H25" s="345"/>
      <c r="I25" s="265"/>
      <c r="J25" s="47"/>
      <c r="K25" s="324"/>
      <c r="L25" s="325"/>
      <c r="M25" s="325"/>
      <c r="N25" s="261"/>
      <c r="O25" s="259"/>
      <c r="P25" s="252"/>
      <c r="Q25" s="258"/>
      <c r="R25" s="308"/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SUM(H21:H24)</f>
        <v>424356</v>
      </c>
      <c r="I26" s="265"/>
      <c r="J26" s="47"/>
      <c r="K26" s="47"/>
      <c r="L26" s="39">
        <f>SUM(L21:L24)</f>
        <v>8.14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80627.64</v>
      </c>
      <c r="I27" s="265"/>
      <c r="J27" s="47"/>
      <c r="K27" s="47"/>
      <c r="L27" s="39"/>
      <c r="M27" s="12"/>
      <c r="N27" s="12"/>
      <c r="O27" s="253">
        <f>SUM(O21:O22)</f>
        <v>2.8404000000000003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504983.64</v>
      </c>
      <c r="I28" s="265"/>
      <c r="J28" s="47"/>
      <c r="K28" s="47"/>
      <c r="L28" s="39"/>
      <c r="M28" s="12"/>
      <c r="N28" s="12"/>
      <c r="O28" s="253">
        <f>O27</f>
        <v>2.8404000000000003</v>
      </c>
      <c r="P28" s="14"/>
      <c r="Q28" s="12"/>
      <c r="R28" s="239">
        <f>SUM(R21:R27)</f>
        <v>2.88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0.56808000000000003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3.4084800000000004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152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3.4084800000000004</v>
      </c>
      <c r="M32" s="12">
        <v>3500</v>
      </c>
      <c r="N32" s="12">
        <f t="shared" ref="N32:N37" si="19">L32*M32</f>
        <v>11929.680000000002</v>
      </c>
      <c r="O32" s="14" t="s">
        <v>22</v>
      </c>
      <c r="P32" s="14"/>
      <c r="Q32" s="14"/>
      <c r="R32" s="241"/>
      <c r="S32" s="14"/>
      <c r="T32" s="315" t="s">
        <v>153</v>
      </c>
      <c r="U32" s="312">
        <v>3625</v>
      </c>
      <c r="V32" s="59" t="s">
        <v>154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9"/>
        <v>25000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155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77058</v>
      </c>
      <c r="N34" s="12">
        <f t="shared" si="19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28500</v>
      </c>
      <c r="N35" s="12">
        <f t="shared" si="19"/>
        <v>57000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157</v>
      </c>
      <c r="W35" s="59"/>
    </row>
    <row r="36" spans="2:23" s="230" customFormat="1" ht="17.399999999999999" x14ac:dyDescent="0.35">
      <c r="B36" s="24" t="s">
        <v>169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9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6.01</v>
      </c>
      <c r="M37" s="12">
        <v>1500</v>
      </c>
      <c r="N37" s="12">
        <f t="shared" si="19"/>
        <v>9015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102944.68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226478.296</v>
      </c>
      <c r="O39" s="14" t="s">
        <v>141</v>
      </c>
      <c r="P39" s="14"/>
      <c r="Q39" s="40">
        <f>O30/Q38</f>
        <v>0.91902502157031929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42960</v>
      </c>
      <c r="K40" s="250"/>
      <c r="L40" s="14"/>
      <c r="M40" s="12"/>
      <c r="N40" s="12">
        <f>N39/O28</f>
        <v>79734.648641036474</v>
      </c>
      <c r="O40" s="45" t="s">
        <v>25</v>
      </c>
      <c r="P40" s="14"/>
      <c r="Q40" s="14"/>
      <c r="R40"/>
      <c r="S40" s="238"/>
      <c r="T40" s="59" t="s">
        <v>158</v>
      </c>
      <c r="U40" s="312">
        <v>43650</v>
      </c>
    </row>
    <row r="41" spans="2:23" s="230" customFormat="1" ht="17.399999999999999" x14ac:dyDescent="0.35">
      <c r="G41"/>
      <c r="J41" s="230">
        <f>J40/1.19</f>
        <v>36100.840336134454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1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ANDRES JOHNSON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-52365.963033454107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424356</v>
      </c>
      <c r="E11" s="132">
        <f>D11*0.19</f>
        <v>80627.64</v>
      </c>
      <c r="F11" s="131">
        <f>E11+D11</f>
        <v>504983.64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53624.036966545893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66763.770787439615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35624.036966545893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357592.2292125604</v>
      </c>
      <c r="E13" s="221">
        <f>(D11/D12)-1</f>
        <v>5.3560819737257086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26624.036966545893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-12375.963033454107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110160.22179927536</v>
      </c>
      <c r="F15" s="216">
        <f>E15-D12</f>
        <v>43396.451011835743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-12375.963033454107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27624.036966545893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11929.680000000002</v>
      </c>
      <c r="E20" s="121">
        <f>D20*0.19</f>
        <v>2266.6392000000005</v>
      </c>
      <c r="F20" s="120">
        <f>SUM(D20:E20)</f>
        <v>14196.319200000002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36929.68</v>
      </c>
      <c r="E21" s="116">
        <f>SUM(E18:E20)</f>
        <v>7016.6392000000005</v>
      </c>
      <c r="F21" s="115">
        <f>SUM(F18:F20)</f>
        <v>43946.319199999998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73611.000799999994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424356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36929.68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357592.2292125604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357592.2292125604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2025-03-04T19:34:49Z</cp:lastPrinted>
  <dcterms:created xsi:type="dcterms:W3CDTF">2013-03-18T13:35:42Z</dcterms:created>
  <dcterms:modified xsi:type="dcterms:W3CDTF">2025-03-04T19:48:07Z</dcterms:modified>
</cp:coreProperties>
</file>