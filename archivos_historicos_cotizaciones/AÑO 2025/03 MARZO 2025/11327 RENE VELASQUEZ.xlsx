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0D30AE65-B29D-4D58-8983-4BE0E1751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M23" i="1"/>
  <c r="N23" i="1"/>
  <c r="H23" i="1"/>
  <c r="O23" i="1" l="1"/>
  <c r="P23" i="1" s="1"/>
  <c r="L22" i="1"/>
  <c r="M22" i="1"/>
  <c r="N22" i="1"/>
  <c r="H22" i="1"/>
  <c r="L21" i="1"/>
  <c r="N21" i="1"/>
  <c r="S22" i="1" l="1"/>
  <c r="O22" i="1"/>
  <c r="P22" i="1" s="1"/>
  <c r="M21" i="1"/>
  <c r="M27" i="1" s="1"/>
  <c r="S21" i="1" l="1"/>
  <c r="S27" i="1" s="1"/>
  <c r="T21" i="1"/>
  <c r="T26" i="1" s="1"/>
  <c r="O21" i="1"/>
  <c r="P21" i="1" s="1"/>
  <c r="P27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s="1"/>
  <c r="D20" i="3" l="1"/>
  <c r="E20" i="3" s="1"/>
  <c r="E21" i="3" s="1"/>
  <c r="Q20" i="1" l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Q21" i="1" l="1"/>
  <c r="F15" i="3"/>
  <c r="R21" i="1" l="1"/>
  <c r="H21" i="1" l="1"/>
  <c r="H26" i="1" l="1"/>
  <c r="H27" i="1" s="1"/>
  <c r="D11" i="3" l="1"/>
  <c r="X9" i="3" s="1"/>
  <c r="X15" i="3" s="1"/>
  <c r="H28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<sst xmlns="http://schemas.openxmlformats.org/spreadsheetml/2006/main" count="233" uniqueCount="174">
  <si>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</si>
  <si>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</si>
  <si>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</si>
  <si>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</si>
  <si>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</si>
  <si>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</si>
  <si>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</si>
  <si>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</si>
  <si>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</si>
  <si>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</si>
  <si>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</si>
  <si>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</si>
  <si>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</si>
  <si>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</si>
  <si>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</si>
  <si>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</si>
  <si>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</si>
  <si>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</si>
  <si>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</si>
  <si>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</si>
  <si>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</si>
  <si>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</si>
  <si>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</si>
  <si>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</si>
  <si>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</si>
  <si>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</si>
  <si>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</si>
  <si>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</si>
  <si>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</si>
  <si>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</si>
  <si>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</si>
  <si>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</si>
  <si>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</si>
  <si>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</si>
  <si>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</si>
  <si>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</si>
  <si>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</si>
  <si>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</si>
  <si>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</si>
  <si>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</si>
  <si>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</si>
  <si>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</si>
  <si>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</si>
  <si>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</si>
  <si>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</si>
  <si>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</si>
  <si>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</si>
  <si>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</si>
  <si>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</si>
  <si>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</si>
  <si>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</si>
  <si>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</si>
  <si>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</si>
  <si>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</si>
  <si>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</si>
  <si>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</si>
  <si>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</si>
  <si>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</si>
  <si>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</si>
  <si>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</si>
  <si>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</si>
  <si>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</si>
  <si>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</si>
  <si>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</si>
  <si>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</si>
  <si>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</si>
  <si>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</si>
  <si>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</si>
  <si>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</si>
  <si>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</si>
  <si>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</si>
  <si>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</si>
  <si>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</si>
  <si>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</si>
  <si>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</si>
  <si>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</si>
  <si>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</si>
  <si>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</si>
  <si>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</si>
  <si>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</si>
  <si>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</si>
  <si>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</si>
  <si>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</si>
  <si>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</si>
  <si>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</si>
  <si>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</si>
  <si>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</si>
  <si>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</si>
  <si>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</si>
  <si>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</si>
  <si>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</si>
  <si>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</si>
  <si>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</si>
  <si>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</si>
  <si>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</si>
  <si>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</si>
  <si>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</si>
  <si>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</si>
  <si>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</si>
  <si>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</si>
  <si>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</si>
  <si>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</si>
  <si>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</si>
  <si>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</si>
  <si>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</si>
  <si>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</si>
  <si>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</si>
  <si>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</si>
  <si>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</si>
  <si>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</si>
  <si>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</si>
  <si>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</si>
  <si>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</si>
  <si>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</si>
  <si>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</si>
  <si>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</si>
  <si>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</si>
  <si>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</si>
  <si>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</si>
  <si>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</si>
  <si>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</si>
  <si>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</si>
  <si>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</si>
  <si>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</si>
  <si>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</si>
  <si>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</si>
  <si>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</si>
  <si>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</si>
  <si>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</si>
  <si>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</si>
  <si>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</si>
  <si>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</si>
  <si>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</si>
  <si>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</si>
  <si>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</si>
  <si>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</si>
  <si>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</si>
  <si>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</si>
  <si>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</si>
  <si>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</si>
  <si>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</si>
  <si>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</si>
  <si>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</si>
  <si>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</si>
  <si>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</si>
  <si>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</si>
  <si>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</si>
  <si>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</si>
  <si>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</si>
  <si>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</si>
  <si>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</si>
  <si>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</si>
  <si>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</si>
  <si>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</si>
  <si>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</si>
  <si>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</si>
  <si>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</si>
  <si>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</si>
  <si>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</si>
  <si>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</si>
  <si>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</si>
  <si>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</si>
  <si>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</si>
  <si>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</si>
  <si>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</si>
  <si>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</si>
  <si>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</si>
  <si>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RENE VELASQUEZ</t>
  </si>
  <si>
    <t>7 DIAS HABILES</t>
  </si>
  <si>
    <t>+569 6644 8046</t>
  </si>
  <si>
    <t>N° 11327</t>
  </si>
  <si>
    <t>CUB C/R FRENTE 180°</t>
  </si>
  <si>
    <t>CUB MESA 180° 3 LADOS</t>
  </si>
  <si>
    <t>BLANCO MERINO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</si>
</sst>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48.664062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45719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53159.350615344338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171</v>
      </c>
      <c r="D21" s="331">
        <v>3</v>
      </c>
      <c r="E21" s="331">
        <v>0.6</v>
      </c>
      <c r="F21" s="330" t="s">
        <v>173</v>
      </c>
      <c r="G21" s="332">
        <v>99238</v>
      </c>
      <c r="H21" s="332">
        <f>G21*B21</f>
        <v>99238</v>
      </c>
      <c r="I21" s="320"/>
      <c r="J21" s="265"/>
      <c r="K21" s="47"/>
      <c r="L21" s="47">
        <f>B21</f>
        <v>1</v>
      </c>
      <c r="M21" s="39">
        <f>D21+M$19</f>
        <v>3.08</v>
      </c>
      <c r="N21" s="39">
        <f>E21+$N$19</f>
        <v>0.6</v>
      </c>
      <c r="O21" s="261">
        <f t="shared" ref="O21" si="1">M21*N21</f>
        <v>1.8479999999999999</v>
      </c>
      <c r="P21" s="259">
        <f t="shared" ref="P21" si="2">O21*L21</f>
        <v>1.8479999999999999</v>
      </c>
      <c r="Q21" s="252">
        <f t="shared" ref="Q21" si="3">Q$20*O21</f>
        <v>98238.479937156328</v>
      </c>
      <c r="R21" s="319">
        <f t="shared" ref="R21" si="4">Q21+R$20</f>
        <v>101238.47993715633</v>
      </c>
      <c r="S21" s="297">
        <f>M21*L21</f>
        <v>3.08</v>
      </c>
      <c r="T21" s="46">
        <f>N21*2*L21*2</f>
        <v>2.4</v>
      </c>
      <c r="U21" s="9"/>
      <c r="X21" s="4"/>
    </row>
    <row r="22" spans="2:25" ht="17.399999999999999" x14ac:dyDescent="0.3">
      <c r="B22" s="330">
        <v>1</v>
      </c>
      <c r="C22" s="330" t="s">
        <v>171</v>
      </c>
      <c r="D22" s="331">
        <v>2</v>
      </c>
      <c r="E22" s="331">
        <v>0.5</v>
      </c>
      <c r="F22" s="330" t="s">
        <v>173</v>
      </c>
      <c r="G22" s="332">
        <v>59286</v>
      </c>
      <c r="H22" s="332">
        <f t="shared" ref="H22:H23" si="5">G22*B22</f>
        <v>59286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2.08</v>
      </c>
      <c r="N22" s="39">
        <f t="shared" ref="N22" si="8">E22+$N$19</f>
        <v>0.5</v>
      </c>
      <c r="O22" s="261">
        <f t="shared" ref="O22" si="9">M22*N22</f>
        <v>1.04</v>
      </c>
      <c r="P22" s="259">
        <f t="shared" ref="P22" si="10">O22*L22</f>
        <v>1.04</v>
      </c>
      <c r="Q22" s="252">
        <f t="shared" ref="Q22" si="11">Q$20*O22</f>
        <v>55285.724639958113</v>
      </c>
      <c r="R22" s="319">
        <f t="shared" ref="R22" si="12">Q22+R$20</f>
        <v>58285.724639958113</v>
      </c>
      <c r="S22" s="297">
        <f>M22*L22</f>
        <v>2.08</v>
      </c>
      <c r="T22" s="46"/>
      <c r="U22" s="9"/>
      <c r="X22" s="4"/>
    </row>
    <row r="23" spans="2:25" ht="17.399999999999999" x14ac:dyDescent="0.3">
      <c r="B23" s="330">
        <v>1</v>
      </c>
      <c r="C23" s="330" t="s">
        <v>172</v>
      </c>
      <c r="D23" s="331">
        <v>1.25</v>
      </c>
      <c r="E23" s="331">
        <v>0.7</v>
      </c>
      <c r="F23" s="330" t="s">
        <v>173</v>
      </c>
      <c r="G23" s="332">
        <v>52491</v>
      </c>
      <c r="H23" s="332">
        <f t="shared" si="5"/>
        <v>52491</v>
      </c>
      <c r="I23" s="320"/>
      <c r="J23" s="265"/>
      <c r="K23" s="47"/>
      <c r="L23" s="47">
        <f t="shared" ref="L23" si="13">B23</f>
        <v>1</v>
      </c>
      <c r="M23" s="39">
        <f t="shared" ref="M23" si="14">D23+M$19</f>
        <v>1.33</v>
      </c>
      <c r="N23" s="39">
        <f t="shared" ref="N23" si="15">E23+$N$19</f>
        <v>0.7</v>
      </c>
      <c r="O23" s="261">
        <f t="shared" ref="O23" si="16">M23*N23</f>
        <v>0.93099999999999994</v>
      </c>
      <c r="P23" s="259">
        <f t="shared" ref="P23" si="17">O23*L23</f>
        <v>0.93099999999999994</v>
      </c>
      <c r="Q23" s="252">
        <f t="shared" ref="Q23" si="18">Q$20*O23</f>
        <v>49491.355422885572</v>
      </c>
      <c r="R23" s="319">
        <f t="shared" ref="R23" si="19">Q23+R$20</f>
        <v>52491.355422885572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211015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2.4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40092.85</v>
      </c>
      <c r="I27" s="322"/>
      <c r="J27" s="265"/>
      <c r="K27" s="47"/>
      <c r="L27" s="47"/>
      <c r="M27" s="39">
        <f>SUM(M21:M22)</f>
        <v>5.16</v>
      </c>
      <c r="N27" s="12"/>
      <c r="O27" s="12"/>
      <c r="P27" s="253">
        <f>SUM(P21:P25)</f>
        <v>3.819</v>
      </c>
      <c r="Q27" s="14"/>
      <c r="R27" s="12"/>
      <c r="S27" s="239">
        <f>SUM(S21:S26)</f>
        <v>5.16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251107.85</v>
      </c>
      <c r="I28" s="322"/>
      <c r="J28" s="265"/>
      <c r="K28" s="47"/>
      <c r="L28" s="47"/>
      <c r="M28" s="39"/>
      <c r="N28" s="12"/>
      <c r="O28" s="12"/>
      <c r="P28" s="253">
        <f>P27</f>
        <v>3.819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0.76380000000000003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4.5827999999999998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4.5827999999999998</v>
      </c>
      <c r="N32" s="12">
        <v>3500</v>
      </c>
      <c r="O32" s="12">
        <f t="shared" ref="O32:O37" si="20">M32*N32</f>
        <v>16039.8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1.3</v>
      </c>
      <c r="N33" s="12">
        <v>25000</v>
      </c>
      <c r="O33" s="12">
        <f t="shared" si="20"/>
        <v>32500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>
        <v>1</v>
      </c>
      <c r="N34" s="250">
        <v>36000</v>
      </c>
      <c r="O34" s="12">
        <f t="shared" si="20"/>
        <v>36000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/>
      <c r="N35" s="250">
        <v>43815</v>
      </c>
      <c r="O35" s="12">
        <f t="shared" si="20"/>
        <v>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20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5.16</v>
      </c>
      <c r="N37" s="12">
        <v>1500</v>
      </c>
      <c r="O37" s="12">
        <f t="shared" si="20"/>
        <v>7740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92279.8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203015.56000000003</v>
      </c>
      <c r="P39" s="14" t="s">
        <v>140</v>
      </c>
      <c r="Q39" s="14"/>
      <c r="R39" s="40">
        <f>P30/R38</f>
        <v>1.235655737704918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60910</v>
      </c>
      <c r="L40" s="250"/>
      <c r="M40" s="14"/>
      <c r="N40" s="12"/>
      <c r="O40" s="12">
        <f>O39/P28</f>
        <v>53159.350615344338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51184.873949579836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45719</v>
      </c>
    </row>
    <row r="6" spans="2:31" ht="16.2" thickBot="1" x14ac:dyDescent="0.35">
      <c r="B6" s="140" t="s">
        <v>2</v>
      </c>
      <c r="C6" s="139" t="str">
        <f>'2229'!C10</f>
        <v>RENE VELASQUEZ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11327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-3716.3467001207705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211015</v>
      </c>
      <c r="E11" s="132">
        <f>D11*0.19</f>
        <v>40092.85</v>
      </c>
      <c r="F11" s="131">
        <f>E11+D11</f>
        <v>251107.85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102273.65329987922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114373.89078743962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84273.653299879225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96641.109212560375</v>
      </c>
      <c r="E13" s="221">
        <f>(D11/D12)-1</f>
        <v>0.84495778317242798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75273.653299879225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36273.653299879232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188716.91979927538</v>
      </c>
      <c r="F15" s="216">
        <f>E15-D12</f>
        <v>74343.029011835752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36273.653299879232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76273.653299879225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36000</v>
      </c>
      <c r="E18" s="123">
        <f>D18*0.19</f>
        <v>6840</v>
      </c>
      <c r="F18" s="120">
        <f>SUM(D18:E18)</f>
        <v>42840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32500</v>
      </c>
      <c r="E19" s="123">
        <f>D19*0.19</f>
        <v>6175</v>
      </c>
      <c r="F19" s="120">
        <f>SUM(D19:E19)</f>
        <v>38675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16039.8</v>
      </c>
      <c r="E20" s="121">
        <f>D20*0.19</f>
        <v>3047.5619999999999</v>
      </c>
      <c r="F20" s="120">
        <f>SUM(D20:E20)</f>
        <v>19087.362000000001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84539.8</v>
      </c>
      <c r="E21" s="116">
        <f>SUM(E18:E20)</f>
        <v>16062.562</v>
      </c>
      <c r="F21" s="115">
        <f>SUM(F18:F20)</f>
        <v>100602.36199999999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24030.288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211015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84539.8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96641.109212560375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96641.109212560375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2025-03-10T19:15:53Z</dcterms:modified>
</cp:coreProperties>
</file>