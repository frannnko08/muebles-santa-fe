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B932448D-D607-4D17-998A-FB670703A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N26" i="1"/>
  <c r="M26" i="1"/>
  <c r="L26" i="1"/>
  <c r="N28" i="1"/>
  <c r="M28" i="1"/>
  <c r="O28" i="1" s="1"/>
  <c r="P28" i="1" s="1"/>
  <c r="O27" i="1"/>
  <c r="P27" i="1" s="1"/>
  <c r="N27" i="1"/>
  <c r="M27" i="1"/>
  <c r="L27" i="1"/>
  <c r="S27" i="1" s="1"/>
  <c r="H28" i="1"/>
  <c r="H27" i="1"/>
  <c r="H26" i="1"/>
  <c r="H29" i="1" s="1"/>
  <c r="H22" i="1"/>
  <c r="H23" i="1"/>
  <c r="M22" i="1"/>
  <c r="N22" i="1"/>
  <c r="M23" i="1"/>
  <c r="N23" i="1"/>
  <c r="N21" i="1"/>
  <c r="S26" i="1" l="1"/>
  <c r="O26" i="1"/>
  <c r="P26" i="1" s="1"/>
  <c r="O22" i="1"/>
  <c r="P22" i="1" s="1"/>
  <c r="O23" i="1"/>
  <c r="P23" i="1" s="1"/>
  <c r="M21" i="1"/>
  <c r="M32" i="1" s="1"/>
  <c r="S21" i="1" l="1"/>
  <c r="S32" i="1" s="1"/>
  <c r="T21" i="1"/>
  <c r="T31" i="1" s="1"/>
  <c r="O21" i="1"/>
  <c r="P21" i="1" s="1"/>
  <c r="P32" i="1" s="1"/>
  <c r="K46" i="1"/>
  <c r="V39" i="1" l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O45" i="1" l="1"/>
  <c r="D20" i="3"/>
  <c r="E20" i="3" s="1"/>
  <c r="E21" i="3" s="1"/>
  <c r="Q20" i="1" l="1"/>
  <c r="Q26" i="1" s="1"/>
  <c r="R26" i="1" s="1"/>
  <c r="D21" i="3"/>
  <c r="M43" i="3" s="1"/>
  <c r="D12" i="3" s="1"/>
  <c r="F20" i="3"/>
  <c r="F21" i="3" s="1"/>
  <c r="Q28" i="1" l="1"/>
  <c r="R28" i="1" s="1"/>
  <c r="Q27" i="1"/>
  <c r="R27" i="1" s="1"/>
  <c r="Q23" i="1"/>
  <c r="R23" i="1" s="1"/>
  <c r="Q22" i="1"/>
  <c r="R22" i="1" s="1"/>
  <c r="O46" i="1"/>
  <c r="E15" i="3"/>
  <c r="Q21" i="1" l="1"/>
  <c r="F15" i="3"/>
  <c r="R21" i="1" l="1"/>
  <c r="H21" i="1" l="1"/>
  <c r="D11" i="3" l="1"/>
  <c r="X9" i="3" s="1"/>
  <c r="X15" i="3" s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<sst xmlns="http://schemas.openxmlformats.org/spreadsheetml/2006/main" count="238" uniqueCount="173">
  <si>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</si>
  <si>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</si>
  <si>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</si>
  <si>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</si>
  <si>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</si>
  <si>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</si>
  <si>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</si>
  <si>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</si>
  <si>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</si>
  <si>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</si>
  <si>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</si>
  <si>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</si>
  <si>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</si>
  <si>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</si>
  <si>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</si>
  <si>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</si>
  <si>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</si>
  <si>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</si>
  <si>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</si>
  <si>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</si>
  <si>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</si>
  <si>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</si>
  <si>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</si>
  <si>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</si>
  <si>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</si>
  <si>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</si>
  <si>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</si>
  <si>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</si>
  <si>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</si>
  <si>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</si>
  <si>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</si>
  <si>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</si>
  <si>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</si>
  <si>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</si>
  <si>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</si>
  <si>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</si>
  <si>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</si>
  <si>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</si>
  <si>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</si>
  <si>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</si>
  <si>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</si>
  <si>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</si>
  <si>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</si>
  <si>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</si>
  <si>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</si>
  <si>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</si>
  <si>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</si>
  <si>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</si>
  <si>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</si>
  <si>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</si>
  <si>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</si>
  <si>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</si>
  <si>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</si>
  <si>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</si>
  <si>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</si>
  <si>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</si>
  <si>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</si>
  <si>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</si>
  <si>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</si>
  <si>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</si>
  <si>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</si>
  <si>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</si>
  <si>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</si>
  <si>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</si>
  <si>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</si>
  <si>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</si>
  <si>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</si>
  <si>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</si>
  <si>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</si>
  <si>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</si>
  <si>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</si>
  <si>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</si>
  <si>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</si>
  <si>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</si>
  <si>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</si>
  <si>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</si>
  <si>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</si>
  <si>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</si>
  <si>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</si>
  <si>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</si>
  <si>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</si>
  <si>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</si>
  <si>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</si>
  <si>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</si>
  <si>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</si>
  <si>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</si>
  <si>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</si>
  <si>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</si>
  <si>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</si>
  <si>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</si>
  <si>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</si>
  <si>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</si>
  <si>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</si>
  <si>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</si>
  <si>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</si>
  <si>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</si>
  <si>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</si>
  <si>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</si>
  <si>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</si>
  <si>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</si>
  <si>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</si>
  <si>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</si>
  <si>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</si>
  <si>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</si>
  <si>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</si>
  <si>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</si>
  <si>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</si>
  <si>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</si>
  <si>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</si>
  <si>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</si>
  <si>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</si>
  <si>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</si>
  <si>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</si>
  <si>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</si>
  <si>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</si>
  <si>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</si>
  <si>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</si>
  <si>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</si>
  <si>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</si>
  <si>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</si>
  <si>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</si>
  <si>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</si>
  <si>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</si>
  <si>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</si>
  <si>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</si>
  <si>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</si>
  <si>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</si>
  <si>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</si>
  <si>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</si>
  <si>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</si>
  <si>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</si>
  <si>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</si>
  <si>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</si>
  <si>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</si>
  <si>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</si>
  <si>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</si>
  <si>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</si>
  <si>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</si>
  <si>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</si>
  <si>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</si>
  <si>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</si>
  <si>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</si>
  <si>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</si>
  <si>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</si>
  <si>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</si>
  <si>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</si>
  <si>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</si>
  <si>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</si>
  <si>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</si>
  <si>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</si>
  <si>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</si>
  <si>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</si>
  <si>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</si>
  <si>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</si>
  <si>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</si>
  <si>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</si>
  <si>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</si>
  <si>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</si>
  <si>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</si>
  <si>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</si>
  <si>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</si>
  <si>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</si>
  <si>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</si>
  <si>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</si>
  <si>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</si>
  <si>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</si>
  <si>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</si>
  <si>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</si>
  <si>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MIGUEL ARAVENA</t>
  </si>
  <si>
    <t>56978966681</t>
  </si>
  <si>
    <t>CUB CON RESPALDO FRENTE 90° R8</t>
  </si>
  <si>
    <t>PERILLO 1320 MT</t>
  </si>
  <si>
    <t>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</si>
</sst>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11" fillId="21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A3" zoomScale="93" zoomScaleNormal="93" workbookViewId="0">
      <selection activeCell="D15" sqref="D15"/>
    </sheetView>
  </sheetViews>
  <sheetFormatPr baseColWidth="10" defaultRowHeight="14.4" x14ac:dyDescent="0.3"/>
  <cols>
    <col min="1" max="1" width="6" customWidth="1"/>
    <col min="2" max="2" width="10.5546875" customWidth="1"/>
    <col min="3" max="3" width="37.2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>
        <v>11345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45733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O45</f>
        <v>118576.17021276595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1.05</v>
      </c>
      <c r="E21" s="331">
        <v>0.55000000000000004</v>
      </c>
      <c r="F21" s="330" t="s">
        <v>171</v>
      </c>
      <c r="G21" s="332">
        <v>54054</v>
      </c>
      <c r="H21" s="332">
        <f>G21*B21</f>
        <v>54054</v>
      </c>
      <c r="I21" s="320"/>
      <c r="J21" s="265"/>
      <c r="K21" s="47"/>
      <c r="L21" s="47"/>
      <c r="M21" s="39">
        <f>D21+M$19</f>
        <v>1.1300000000000001</v>
      </c>
      <c r="N21" s="39">
        <f>E21+$N$19</f>
        <v>0.55000000000000004</v>
      </c>
      <c r="O21" s="261">
        <f t="shared" ref="O21" si="1">M21*N21</f>
        <v>0.62150000000000016</v>
      </c>
      <c r="P21" s="259">
        <f t="shared" ref="P21" si="2">O21*L21</f>
        <v>0</v>
      </c>
      <c r="Q21" s="252">
        <f t="shared" ref="Q21" si="3">Q$20*O21</f>
        <v>73695.089787234057</v>
      </c>
      <c r="R21" s="319">
        <f t="shared" ref="R21" si="4">Q21+R$20</f>
        <v>76695.089787234057</v>
      </c>
      <c r="S21" s="297">
        <f>M21*L21</f>
        <v>0</v>
      </c>
      <c r="T21" s="46">
        <f>N21*2*L21*2</f>
        <v>0</v>
      </c>
      <c r="U21" s="9"/>
      <c r="X21" s="4"/>
    </row>
    <row r="22" spans="1:25" ht="17.399999999999999" x14ac:dyDescent="0.3">
      <c r="B22" s="330">
        <v>1</v>
      </c>
      <c r="C22" s="330" t="s">
        <v>170</v>
      </c>
      <c r="D22" s="331">
        <v>1.52</v>
      </c>
      <c r="E22" s="331">
        <v>0.55000000000000004</v>
      </c>
      <c r="F22" s="330" t="s">
        <v>171</v>
      </c>
      <c r="G22" s="332">
        <v>90085</v>
      </c>
      <c r="H22" s="332">
        <f t="shared" ref="H22:H23" si="5">G22*B22</f>
        <v>90085</v>
      </c>
      <c r="I22" s="320"/>
      <c r="J22" s="265"/>
      <c r="K22" s="47"/>
      <c r="L22" s="47"/>
      <c r="M22" s="39">
        <f t="shared" ref="M22:M23" si="6">D22+M$19</f>
        <v>1.6</v>
      </c>
      <c r="N22" s="39">
        <f t="shared" ref="N22:N23" si="7">E22+$N$19</f>
        <v>0.55000000000000004</v>
      </c>
      <c r="O22" s="261">
        <f t="shared" ref="O22:O23" si="8">M22*N22</f>
        <v>0.88000000000000012</v>
      </c>
      <c r="P22" s="259">
        <f t="shared" ref="P22:P23" si="9">O22*L22</f>
        <v>0</v>
      </c>
      <c r="Q22" s="252">
        <f t="shared" ref="Q22:Q23" si="10">Q$20*O22</f>
        <v>104347.02978723405</v>
      </c>
      <c r="R22" s="319">
        <f t="shared" ref="R22:R23" si="11">Q22+R$20</f>
        <v>107347.02978723405</v>
      </c>
      <c r="S22" s="297"/>
      <c r="T22" s="46"/>
      <c r="U22" s="9"/>
      <c r="X22" s="4"/>
    </row>
    <row r="23" spans="1:25" ht="17.399999999999999" x14ac:dyDescent="0.3">
      <c r="B23" s="330">
        <v>2</v>
      </c>
      <c r="C23" s="330" t="s">
        <v>172</v>
      </c>
      <c r="D23" s="331"/>
      <c r="E23" s="331"/>
      <c r="F23" s="330"/>
      <c r="G23" s="332">
        <v>10000</v>
      </c>
      <c r="H23" s="332">
        <f t="shared" si="5"/>
        <v>20000</v>
      </c>
      <c r="I23" s="320"/>
      <c r="J23" s="265"/>
      <c r="K23" s="47"/>
      <c r="L23" s="47"/>
      <c r="M23" s="39">
        <f t="shared" si="6"/>
        <v>0.08</v>
      </c>
      <c r="N23" s="39">
        <f t="shared" si="7"/>
        <v>0</v>
      </c>
      <c r="O23" s="261">
        <f t="shared" si="8"/>
        <v>0</v>
      </c>
      <c r="P23" s="259">
        <f t="shared" si="9"/>
        <v>0</v>
      </c>
      <c r="Q23" s="252">
        <f t="shared" si="10"/>
        <v>0</v>
      </c>
      <c r="R23" s="319">
        <f t="shared" si="11"/>
        <v>3000</v>
      </c>
      <c r="S23" s="297"/>
      <c r="T23" s="46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33" t="s">
        <v>28</v>
      </c>
      <c r="H24" s="333">
        <f>SUM(H21:H23)</f>
        <v>164139</v>
      </c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1:25" ht="17.399999999999999" x14ac:dyDescent="0.3">
      <c r="A26">
        <v>0</v>
      </c>
      <c r="B26" s="330">
        <v>1</v>
      </c>
      <c r="C26" s="330" t="s">
        <v>170</v>
      </c>
      <c r="D26" s="331">
        <v>2.5499999999999998</v>
      </c>
      <c r="E26" s="331">
        <v>0.55000000000000004</v>
      </c>
      <c r="F26" s="330" t="s">
        <v>171</v>
      </c>
      <c r="G26" s="332">
        <v>171520</v>
      </c>
      <c r="H26" s="332">
        <f>G26*B26</f>
        <v>171520</v>
      </c>
      <c r="I26" s="320"/>
      <c r="J26" s="265"/>
      <c r="K26" s="47"/>
      <c r="L26" s="47">
        <f>B26</f>
        <v>1</v>
      </c>
      <c r="M26" s="39">
        <f>D26+M$19</f>
        <v>2.63</v>
      </c>
      <c r="N26" s="39">
        <f>E26+$N$19</f>
        <v>0.55000000000000004</v>
      </c>
      <c r="O26" s="261">
        <f t="shared" ref="O26" si="12">M26*N26</f>
        <v>1.4465000000000001</v>
      </c>
      <c r="P26" s="259">
        <f t="shared" ref="P26" si="13">O26*L26</f>
        <v>1.4465000000000001</v>
      </c>
      <c r="Q26" s="252">
        <f t="shared" ref="Q26" si="14">Q$20*O26</f>
        <v>171520.43021276596</v>
      </c>
      <c r="R26" s="319">
        <f t="shared" ref="R26" si="15">Q26+R$20</f>
        <v>174520.43021276596</v>
      </c>
      <c r="S26" s="297">
        <f>M26*L26</f>
        <v>2.63</v>
      </c>
      <c r="T26" s="46"/>
      <c r="U26" s="9"/>
      <c r="X26" s="4"/>
    </row>
    <row r="27" spans="1:25" ht="17.399999999999999" x14ac:dyDescent="0.3">
      <c r="B27" s="330">
        <v>1</v>
      </c>
      <c r="C27" s="330" t="s">
        <v>170</v>
      </c>
      <c r="D27" s="331">
        <v>1.52</v>
      </c>
      <c r="E27" s="331">
        <v>0.55000000000000004</v>
      </c>
      <c r="F27" s="330" t="s">
        <v>171</v>
      </c>
      <c r="G27" s="332">
        <v>104347</v>
      </c>
      <c r="H27" s="332">
        <f t="shared" ref="H27:H28" si="16">G27*B27</f>
        <v>104347</v>
      </c>
      <c r="I27" s="320"/>
      <c r="J27" s="265"/>
      <c r="K27" s="47"/>
      <c r="L27" s="47">
        <f>B27</f>
        <v>1</v>
      </c>
      <c r="M27" s="39">
        <f>D27+M$19</f>
        <v>1.6</v>
      </c>
      <c r="N27" s="39">
        <f>E27+$N$19</f>
        <v>0.55000000000000004</v>
      </c>
      <c r="O27" s="261">
        <f t="shared" ref="O27:O28" si="17">M27*N27</f>
        <v>0.88000000000000012</v>
      </c>
      <c r="P27" s="259">
        <f t="shared" ref="P27:P28" si="18">O27*L27</f>
        <v>0.88000000000000012</v>
      </c>
      <c r="Q27" s="252">
        <f t="shared" ref="Q27:Q28" si="19">Q$20*O27</f>
        <v>104347.02978723405</v>
      </c>
      <c r="R27" s="319">
        <f t="shared" ref="R27:R28" si="20">Q27+R$20</f>
        <v>107347.02978723405</v>
      </c>
      <c r="S27" s="297">
        <f>M27*L27</f>
        <v>1.6</v>
      </c>
      <c r="T27" s="46"/>
      <c r="U27" s="9"/>
      <c r="X27" s="4"/>
    </row>
    <row r="28" spans="1:25" ht="17.399999999999999" x14ac:dyDescent="0.3">
      <c r="B28" s="330">
        <v>2</v>
      </c>
      <c r="C28" s="330" t="s">
        <v>172</v>
      </c>
      <c r="D28" s="331"/>
      <c r="E28" s="331"/>
      <c r="F28" s="330"/>
      <c r="G28" s="332">
        <v>10000</v>
      </c>
      <c r="H28" s="332">
        <f t="shared" si="16"/>
        <v>20000</v>
      </c>
      <c r="I28" s="320"/>
      <c r="J28" s="265"/>
      <c r="K28" s="47"/>
      <c r="L28" s="47"/>
      <c r="M28" s="39">
        <f t="shared" ref="M28" si="21">D28+M$19</f>
        <v>0.08</v>
      </c>
      <c r="N28" s="39">
        <f t="shared" ref="N28" si="22">E28+$N$19</f>
        <v>0</v>
      </c>
      <c r="O28" s="261">
        <f t="shared" si="17"/>
        <v>0</v>
      </c>
      <c r="P28" s="259">
        <f t="shared" si="18"/>
        <v>0</v>
      </c>
      <c r="Q28" s="252">
        <f t="shared" si="19"/>
        <v>0</v>
      </c>
      <c r="R28" s="319">
        <f t="shared" si="20"/>
        <v>3000</v>
      </c>
      <c r="S28" s="297"/>
      <c r="T28" s="46"/>
      <c r="U28" s="9"/>
      <c r="X28" s="4"/>
    </row>
    <row r="29" spans="1:25" ht="17.399999999999999" x14ac:dyDescent="0.3">
      <c r="B29" s="285"/>
      <c r="C29" s="285"/>
      <c r="D29" s="286"/>
      <c r="E29" s="286"/>
      <c r="F29" s="285"/>
      <c r="G29" s="333" t="s">
        <v>28</v>
      </c>
      <c r="H29" s="333">
        <f>SUM(H26:H28)</f>
        <v>295867</v>
      </c>
      <c r="I29" s="320"/>
      <c r="J29" s="265"/>
      <c r="K29" s="47"/>
      <c r="L29" s="47"/>
      <c r="M29" s="39"/>
      <c r="N29" s="39"/>
      <c r="O29" s="261"/>
      <c r="P29" s="259"/>
      <c r="Q29" s="252"/>
      <c r="R29" s="319"/>
      <c r="S29" s="297"/>
      <c r="T29" s="46"/>
      <c r="U29" s="9"/>
      <c r="X29" s="4"/>
    </row>
    <row r="30" spans="1:25" ht="18" thickBot="1" x14ac:dyDescent="0.35">
      <c r="B30" s="285"/>
      <c r="C30" s="285"/>
      <c r="D30" s="286"/>
      <c r="E30" s="286"/>
      <c r="F30" s="285"/>
      <c r="G30" s="265"/>
      <c r="H30" s="321"/>
      <c r="I30" s="323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1:25" ht="17.399999999999999" x14ac:dyDescent="0.3">
      <c r="B31" s="285"/>
      <c r="C31" s="285"/>
      <c r="D31" s="286"/>
      <c r="E31" s="286"/>
      <c r="F31" s="285"/>
      <c r="G31" s="324" t="s">
        <v>28</v>
      </c>
      <c r="H31" s="325"/>
      <c r="I31" s="322"/>
      <c r="J31" s="265"/>
      <c r="K31" s="47">
        <v>2600000</v>
      </c>
      <c r="L31" s="47"/>
      <c r="M31" s="39"/>
      <c r="N31" s="39"/>
      <c r="O31" s="261"/>
      <c r="P31" s="259"/>
      <c r="Q31" s="252"/>
      <c r="R31" s="258"/>
      <c r="S31" s="297"/>
      <c r="T31" s="46">
        <f>SUM(T21:T30)</f>
        <v>0</v>
      </c>
      <c r="U31" s="9"/>
      <c r="X31" s="4"/>
    </row>
    <row r="32" spans="1:25" ht="17.399999999999999" x14ac:dyDescent="0.3">
      <c r="B32" s="279"/>
      <c r="C32" s="282"/>
      <c r="D32" s="283"/>
      <c r="E32" s="283"/>
      <c r="F32" s="284"/>
      <c r="G32" s="296" t="s">
        <v>51</v>
      </c>
      <c r="H32" s="294"/>
      <c r="I32" s="322"/>
      <c r="J32" s="265"/>
      <c r="K32" s="47"/>
      <c r="L32" s="47"/>
      <c r="M32" s="39">
        <f>SUM(M21:M22)</f>
        <v>2.7300000000000004</v>
      </c>
      <c r="N32" s="12"/>
      <c r="O32" s="12"/>
      <c r="P32" s="253">
        <f>SUM(P21:P30)</f>
        <v>2.3265000000000002</v>
      </c>
      <c r="Q32" s="14"/>
      <c r="R32" s="12"/>
      <c r="S32" s="239">
        <f>SUM(S21:S31)</f>
        <v>4.2300000000000004</v>
      </c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/>
      <c r="I33" s="322"/>
      <c r="J33" s="265"/>
      <c r="K33" s="47"/>
      <c r="L33" s="47"/>
      <c r="M33" s="39"/>
      <c r="N33" s="12"/>
      <c r="O33" s="12"/>
      <c r="P33" s="253">
        <f>P32</f>
        <v>2.3265000000000002</v>
      </c>
      <c r="Q33" s="14"/>
      <c r="R33" s="12"/>
      <c r="S33" s="239"/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0.46530000000000005</v>
      </c>
      <c r="Q34" s="39" t="s">
        <v>130</v>
      </c>
      <c r="R34" s="42"/>
      <c r="S34" s="240"/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2.7918000000000003</v>
      </c>
      <c r="Q35" s="14"/>
      <c r="R35" s="14"/>
      <c r="S35" s="238"/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/>
      <c r="T36" s="14"/>
      <c r="U36" s="302" t="s">
        <v>21</v>
      </c>
      <c r="V36" s="299" t="s">
        <v>151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2.7918000000000003</v>
      </c>
      <c r="N37" s="12">
        <v>3500</v>
      </c>
      <c r="O37" s="12">
        <f t="shared" ref="O37:O42" si="23">M37*N37</f>
        <v>9771.3000000000011</v>
      </c>
      <c r="P37" s="14" t="s">
        <v>21</v>
      </c>
      <c r="Q37" s="14"/>
      <c r="R37" s="14"/>
      <c r="S37" s="241"/>
      <c r="T37" s="14"/>
      <c r="U37" s="302" t="s">
        <v>152</v>
      </c>
      <c r="V37" s="299">
        <v>3625</v>
      </c>
      <c r="W37" s="59" t="s">
        <v>153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0.8</v>
      </c>
      <c r="N38" s="12">
        <v>25000</v>
      </c>
      <c r="O38" s="12">
        <f t="shared" si="23"/>
        <v>20000</v>
      </c>
      <c r="P38" s="39" t="s">
        <v>31</v>
      </c>
      <c r="Q38" s="42"/>
      <c r="R38" s="14"/>
      <c r="S38" s="240"/>
      <c r="T38" s="14"/>
      <c r="U38" s="302"/>
      <c r="V38" s="59">
        <v>906.25</v>
      </c>
      <c r="W38" s="59" t="s">
        <v>154</v>
      </c>
      <c r="X38" s="304"/>
    </row>
    <row r="39" spans="1:24" s="230" customFormat="1" ht="17.399999999999999" x14ac:dyDescent="0.35">
      <c r="B39" s="24" t="s">
        <v>150</v>
      </c>
      <c r="J39" s="262"/>
      <c r="K39" s="232"/>
      <c r="L39" s="250"/>
      <c r="M39" s="14"/>
      <c r="N39" s="250">
        <v>61840</v>
      </c>
      <c r="O39" s="12">
        <f t="shared" si="23"/>
        <v>0</v>
      </c>
      <c r="P39" s="39" t="s">
        <v>30</v>
      </c>
      <c r="Q39" s="42"/>
      <c r="S39" s="240"/>
      <c r="T39" s="256"/>
      <c r="U39" s="59"/>
      <c r="V39" s="59">
        <f>V38*20%</f>
        <v>181.25</v>
      </c>
      <c r="W39" s="304" t="s">
        <v>155</v>
      </c>
      <c r="X39" s="59"/>
    </row>
    <row r="40" spans="1:24" s="230" customFormat="1" ht="17.399999999999999" x14ac:dyDescent="0.35">
      <c r="B40" s="24" t="s">
        <v>166</v>
      </c>
      <c r="C40"/>
      <c r="D40"/>
      <c r="E40"/>
      <c r="F40"/>
      <c r="J40" s="262"/>
      <c r="K40" s="232"/>
      <c r="L40" s="250"/>
      <c r="M40" s="14">
        <v>2</v>
      </c>
      <c r="N40" s="250">
        <v>44639</v>
      </c>
      <c r="O40" s="12">
        <f t="shared" si="23"/>
        <v>89278</v>
      </c>
      <c r="P40" s="14" t="s">
        <v>141</v>
      </c>
      <c r="Q40" s="17"/>
      <c r="S40" s="238"/>
      <c r="T40" s="256"/>
      <c r="U40" s="59"/>
      <c r="V40" s="59">
        <f>V38+V39</f>
        <v>1087.5</v>
      </c>
      <c r="W40" s="304" t="s">
        <v>156</v>
      </c>
      <c r="X40" s="59"/>
    </row>
    <row r="41" spans="1:24" s="230" customFormat="1" ht="17.399999999999999" x14ac:dyDescent="0.35">
      <c r="B41" s="29" t="s">
        <v>125</v>
      </c>
      <c r="C41"/>
      <c r="D41"/>
      <c r="E41"/>
      <c r="F41" s="229" t="s">
        <v>15</v>
      </c>
      <c r="J41" s="262"/>
      <c r="K41" s="260"/>
      <c r="L41" s="250"/>
      <c r="M41" s="249"/>
      <c r="N41" s="250">
        <v>900</v>
      </c>
      <c r="O41" s="12">
        <f t="shared" si="23"/>
        <v>0</v>
      </c>
      <c r="P41" s="14" t="s">
        <v>32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3"/>
      <c r="K42" s="260"/>
      <c r="L42" s="250"/>
      <c r="M42" s="266">
        <v>4.2300000000000004</v>
      </c>
      <c r="N42" s="12">
        <v>1500</v>
      </c>
      <c r="O42" s="12">
        <f t="shared" si="23"/>
        <v>6345.0000000000009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K43" s="260"/>
      <c r="L43" s="250"/>
      <c r="M43" s="14"/>
      <c r="N43" s="12"/>
      <c r="O43" s="12">
        <f>SUM(O37:O42)</f>
        <v>125394.3</v>
      </c>
      <c r="P43" s="39" t="s">
        <v>23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L44" s="250"/>
      <c r="M44" s="254" t="s">
        <v>33</v>
      </c>
      <c r="N44" s="12"/>
      <c r="O44" s="255">
        <f>O43*2.2</f>
        <v>275867.46000000002</v>
      </c>
      <c r="P44" s="14" t="s">
        <v>140</v>
      </c>
      <c r="Q44" s="14"/>
      <c r="R44" s="40">
        <f>P35/R43</f>
        <v>0.75275021570319245</v>
      </c>
      <c r="S44"/>
      <c r="T44" s="257"/>
    </row>
    <row r="45" spans="1:24" s="230" customFormat="1" ht="17.399999999999999" x14ac:dyDescent="0.35">
      <c r="G45"/>
      <c r="H45" s="260"/>
      <c r="I45" s="260"/>
      <c r="J45" s="260"/>
      <c r="K45" s="230">
        <v>53120</v>
      </c>
      <c r="L45" s="250"/>
      <c r="M45" s="14"/>
      <c r="N45" s="12"/>
      <c r="O45" s="12">
        <f>O44/P33</f>
        <v>118576.17021276595</v>
      </c>
      <c r="P45" s="45" t="s">
        <v>24</v>
      </c>
      <c r="Q45" s="14"/>
      <c r="R45" s="14"/>
      <c r="S45"/>
      <c r="T45" s="238"/>
      <c r="U45" s="59" t="s">
        <v>157</v>
      </c>
      <c r="V45" s="299">
        <v>43650</v>
      </c>
    </row>
    <row r="46" spans="1:24" s="230" customFormat="1" ht="17.399999999999999" x14ac:dyDescent="0.35">
      <c r="G46"/>
      <c r="K46" s="230">
        <f>K45/1.19</f>
        <v>44638.655462184877</v>
      </c>
      <c r="L46" s="250"/>
      <c r="M46" s="13"/>
      <c r="N46" s="14"/>
      <c r="O46" s="17">
        <f>O44/O43</f>
        <v>2.2000000000000002</v>
      </c>
      <c r="P46" s="15"/>
      <c r="Q46"/>
      <c r="R46"/>
      <c r="S46"/>
      <c r="T46" s="238"/>
      <c r="U46" s="59" t="s">
        <v>159</v>
      </c>
      <c r="V46" s="300" t="s">
        <v>158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160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155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147</v>
      </c>
    </row>
    <row r="81" spans="3:3" x14ac:dyDescent="0.3">
      <c r="C81" t="s">
        <v>146</v>
      </c>
    </row>
    <row r="84" spans="3:3" x14ac:dyDescent="0.3">
      <c r="C84" t="s">
        <v>146</v>
      </c>
    </row>
    <row r="161" spans="3:3" x14ac:dyDescent="0.3">
      <c r="C161" t="s">
        <v>146</v>
      </c>
    </row>
    <row r="162" spans="3:3" x14ac:dyDescent="0.3">
      <c r="C162" t="s">
        <v>148</v>
      </c>
    </row>
    <row r="163" spans="3:3" x14ac:dyDescent="0.3">
      <c r="C163" t="s">
        <v>149</v>
      </c>
    </row>
    <row r="588" spans="3:3" x14ac:dyDescent="0.3">
      <c r="C588" t="s">
        <v>146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45733</v>
      </c>
    </row>
    <row r="6" spans="2:31" ht="16.2" thickBot="1" x14ac:dyDescent="0.35">
      <c r="B6" s="140" t="s">
        <v>2</v>
      </c>
      <c r="C6" s="139" t="str">
        <f>'2229'!C10</f>
        <v>MIGUEL ARAVENA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>
        <f>'2229'!D8</f>
        <v>11345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16391.482466545895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122381.48246654589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59605.390787439617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104381.48246654589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-59605.390787439617</v>
      </c>
      <c r="E13" s="221">
        <f>(D11/D12)-1</f>
        <v>-1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95381.482466545887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56381.482466545895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98348.894799275367</v>
      </c>
      <c r="F15" s="216">
        <f>E15-D12</f>
        <v>38743.50401183575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56381.482466545895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96381.482466545887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'2229'!O38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9771.3000000000011</v>
      </c>
      <c r="E20" s="121">
        <f>D20*0.19</f>
        <v>1856.5470000000003</v>
      </c>
      <c r="F20" s="120">
        <f>SUM(D20:E20)</f>
        <v>11627.847000000002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29771.300000000003</v>
      </c>
      <c r="E21" s="116">
        <f>SUM(E18:E20)</f>
        <v>5656.5470000000005</v>
      </c>
      <c r="F21" s="115">
        <f>SUM(F18:F20)</f>
        <v>35427.847000000002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-5656.5470000000005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29771.300000000003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-59605.390787439617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-59605.390787439617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2025-03-17T15:33:07Z</cp:lastPrinted>
  <dcterms:created xsi:type="dcterms:W3CDTF">2013-03-18T13:35:42Z</dcterms:created>
  <dcterms:modified xsi:type="dcterms:W3CDTF">2025-03-17T15:33:52Z</dcterms:modified>
</cp:coreProperties>
</file>