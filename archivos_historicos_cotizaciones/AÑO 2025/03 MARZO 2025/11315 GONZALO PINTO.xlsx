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DF9B74D4-E2D7-4C56-B052-D900ACF2DB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K23" i="1"/>
  <c r="L23" i="1"/>
  <c r="M23" i="1"/>
  <c r="N23" i="1"/>
  <c r="O23" i="1" s="1"/>
  <c r="P23" i="1" l="1"/>
  <c r="Q23" i="1" s="1"/>
  <c r="H21" i="1" l="1"/>
  <c r="K22" i="1"/>
  <c r="L22" i="1"/>
  <c r="M22" i="1"/>
  <c r="H22" i="1"/>
  <c r="K21" i="1"/>
  <c r="N22" i="1" l="1"/>
  <c r="O22" i="1" s="1"/>
  <c r="J41" i="1"/>
  <c r="L21" i="1"/>
  <c r="M21" i="1"/>
  <c r="R21" i="1" l="1"/>
  <c r="L26" i="1"/>
  <c r="S21" i="1"/>
  <c r="N21" i="1"/>
  <c r="O21" i="1" s="1"/>
  <c r="O27" i="1" s="1"/>
  <c r="U34" i="1"/>
  <c r="U35" i="1" s="1"/>
  <c r="R28" i="1" l="1"/>
  <c r="N33" i="1"/>
  <c r="O28" i="1" l="1"/>
  <c r="O29" i="1" s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Q39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2" i="1" l="1"/>
  <c r="Q22" i="1" s="1"/>
  <c r="P21" i="1"/>
  <c r="F15" i="3"/>
  <c r="Q21" i="1" l="1"/>
  <c r="D11" i="3" l="1"/>
  <c r="X9" i="3" s="1"/>
  <c r="X15" i="3" s="1"/>
  <c r="H28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<sst xmlns="http://schemas.openxmlformats.org/spreadsheetml/2006/main" count="234" uniqueCount="175">
  <si>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</si>
  <si>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</si>
  <si>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</si>
  <si>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</si>
  <si>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</si>
  <si>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</si>
  <si>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</si>
  <si>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</si>
  <si>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</si>
  <si>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</si>
  <si>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</si>
  <si>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</si>
  <si>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</si>
  <si>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</si>
  <si>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</si>
  <si>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</si>
  <si>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</si>
  <si>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</si>
  <si>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</si>
  <si>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</si>
  <si>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</si>
  <si>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</si>
  <si>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</si>
  <si>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</si>
  <si>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</si>
  <si>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</si>
  <si>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</si>
  <si>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</si>
  <si>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</si>
  <si>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</si>
  <si>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</si>
  <si>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</si>
  <si>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</si>
  <si>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</si>
  <si>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</si>
  <si>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</si>
  <si>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</si>
  <si>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</si>
  <si>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</si>
  <si>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</si>
  <si>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</si>
  <si>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</si>
  <si>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</si>
  <si>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</si>
  <si>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</si>
  <si>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</si>
  <si>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</si>
  <si>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</si>
  <si>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</si>
  <si>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</si>
  <si>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</si>
  <si>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</si>
  <si>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</si>
  <si>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</si>
  <si>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</si>
  <si>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</si>
  <si>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</si>
  <si>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</si>
  <si>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</si>
  <si>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</si>
  <si>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</si>
  <si>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</si>
  <si>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</si>
  <si>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</si>
  <si>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</si>
  <si>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</si>
  <si>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</si>
  <si>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</si>
  <si>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</si>
  <si>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</si>
  <si>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</si>
  <si>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</si>
  <si>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</si>
  <si>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</si>
  <si>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</si>
  <si>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</si>
  <si>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</si>
  <si>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</si>
  <si>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</si>
  <si>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</si>
  <si>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</si>
  <si>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</si>
  <si>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</si>
  <si>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</si>
  <si>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</si>
  <si>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</si>
  <si>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</si>
  <si>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</si>
  <si>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</si>
  <si>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</si>
  <si>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</si>
  <si>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</si>
  <si>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</si>
  <si>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</si>
  <si>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</si>
  <si>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</si>
  <si>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</si>
  <si>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</si>
  <si>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</si>
  <si>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</si>
  <si>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</si>
  <si>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</si>
  <si>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</si>
  <si>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</si>
  <si>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</si>
  <si>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</si>
  <si>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</si>
  <si>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</si>
  <si>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</si>
  <si>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</si>
  <si>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</si>
  <si>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</si>
  <si>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</si>
  <si>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</si>
  <si>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</si>
  <si>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</si>
  <si>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</si>
  <si>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</si>
  <si>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</si>
  <si>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</si>
  <si>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</si>
  <si>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</si>
  <si>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</si>
  <si>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</si>
  <si>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</si>
  <si>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</si>
  <si>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</si>
  <si>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</si>
  <si>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</si>
  <si>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</si>
  <si>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</si>
  <si>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</si>
  <si>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</si>
  <si>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</si>
  <si>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</si>
  <si>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</si>
  <si>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</si>
  <si>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</si>
  <si>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</si>
  <si>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</si>
  <si>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</si>
  <si>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</si>
  <si>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</si>
  <si>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</si>
  <si>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</si>
  <si>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</si>
  <si>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</si>
  <si>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</si>
  <si>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</si>
  <si>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</si>
  <si>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</si>
  <si>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</si>
  <si>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</si>
  <si>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</si>
  <si>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</si>
  <si>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</si>
  <si>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</si>
  <si>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</si>
  <si>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</si>
  <si>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</si>
  <si>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</si>
  <si>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</si>
  <si>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</si>
  <si>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</si>
  <si>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</si>
  <si>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</si>
  <si>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</si>
  <si>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</si>
  <si>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N° 11315</t>
  </si>
  <si>
    <t>GONZALO PINTO</t>
  </si>
  <si>
    <t>569 4909 5809</t>
  </si>
  <si>
    <t>SI</t>
  </si>
  <si>
    <t>CUBIERTA S/R FRENTE RECTO</t>
  </si>
  <si>
    <t>BLANCO 2114 MT</t>
  </si>
  <si>
    <t>RUT : 77.054.606-0 FRANCODONOSO@TOPMOBILI.CL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</si>
</sst>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24</xdr:row>
      <xdr:rowOff>222558</xdr:rowOff>
    </xdr:from>
    <xdr:to>
      <xdr:col>5</xdr:col>
      <xdr:colOff>1659644</xdr:colOff>
      <xdr:row>28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 CON REGRUESO DE 9MM PERIMETRAL, ENCHAPADA MISMA LAMINA ABONO $ 100.000.-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17" zoomScale="93" zoomScaleNormal="93" workbookViewId="0">
      <selection activeCell="C40" sqref="C40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162</v>
      </c>
      <c r="C10" s="279" t="s">
        <v>169</v>
      </c>
      <c r="D10" s="243"/>
      <c r="E10" s="243"/>
      <c r="F10" s="244" t="s">
        <v>0</v>
      </c>
      <c r="G10" s="277">
        <v>45720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146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171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170</v>
      </c>
      <c r="D15" s="295"/>
      <c r="E15" s="247"/>
      <c r="F15" s="247" t="s">
        <v>135</v>
      </c>
      <c r="G15" s="296" t="s">
        <v>136</v>
      </c>
      <c r="H15" s="248"/>
      <c r="K15" s="18" t="s">
        <v>164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163</v>
      </c>
      <c r="H16" s="290"/>
    </row>
    <row r="17" spans="2:24" ht="15" thickBot="1" x14ac:dyDescent="0.35">
      <c r="B17" s="297" t="s">
        <v>13</v>
      </c>
      <c r="C17" s="298" t="s">
        <v>165</v>
      </c>
      <c r="D17" s="299"/>
      <c r="E17" s="300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147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54630.211394593622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9">
        <v>1</v>
      </c>
      <c r="C21" s="329" t="s">
        <v>172</v>
      </c>
      <c r="D21" s="330">
        <v>2.9790000000000001</v>
      </c>
      <c r="E21" s="330">
        <v>0.55000000000000004</v>
      </c>
      <c r="F21" s="329" t="s">
        <v>173</v>
      </c>
      <c r="G21" s="331">
        <v>96387</v>
      </c>
      <c r="H21" s="331">
        <f t="shared" ref="H21:H23" si="1">G21*B21</f>
        <v>96387</v>
      </c>
      <c r="I21" s="265"/>
      <c r="J21" s="47"/>
      <c r="K21" s="324">
        <f t="shared" ref="K21" si="2">B21</f>
        <v>1</v>
      </c>
      <c r="L21" s="325">
        <f t="shared" ref="L21" si="3">D21+L$19</f>
        <v>2.9990000000000001</v>
      </c>
      <c r="M21" s="325">
        <f t="shared" ref="M21" si="4">E21+M$19</f>
        <v>0.57000000000000006</v>
      </c>
      <c r="N21" s="261">
        <f t="shared" ref="N21" si="5">L21*M21</f>
        <v>1.7094300000000002</v>
      </c>
      <c r="O21" s="259">
        <f t="shared" ref="O21" si="6">N21*K21</f>
        <v>1.7094300000000002</v>
      </c>
      <c r="P21" s="252">
        <f>P$20*N21</f>
        <v>93386.522264260188</v>
      </c>
      <c r="Q21" s="258">
        <f t="shared" ref="Q21" si="7">P21+Q$20</f>
        <v>96386.522264260188</v>
      </c>
      <c r="R21" s="308">
        <f>L21*K21</f>
        <v>2.9990000000000001</v>
      </c>
      <c r="S21" s="46">
        <f>M21*K21*2</f>
        <v>1.1400000000000001</v>
      </c>
      <c r="T21" s="9"/>
      <c r="W21" s="4"/>
    </row>
    <row r="22" spans="2:24" ht="17.399999999999999" x14ac:dyDescent="0.3">
      <c r="B22" s="329">
        <v>1</v>
      </c>
      <c r="C22" s="329" t="s">
        <v>172</v>
      </c>
      <c r="D22" s="330">
        <v>1</v>
      </c>
      <c r="E22" s="330">
        <v>0.68</v>
      </c>
      <c r="F22" s="329" t="s">
        <v>173</v>
      </c>
      <c r="G22" s="331">
        <v>42006</v>
      </c>
      <c r="H22" s="331">
        <f t="shared" si="1"/>
        <v>42006</v>
      </c>
      <c r="I22" s="265"/>
      <c r="J22" s="47"/>
      <c r="K22" s="324">
        <f t="shared" ref="K22" si="8">B22</f>
        <v>1</v>
      </c>
      <c r="L22" s="325">
        <f t="shared" ref="L22" si="9">D22+L$19</f>
        <v>1.02</v>
      </c>
      <c r="M22" s="325">
        <f t="shared" ref="M22" si="10">E22+M$19</f>
        <v>0.70000000000000007</v>
      </c>
      <c r="N22" s="261">
        <f t="shared" ref="N22" si="11">L22*M22</f>
        <v>0.71400000000000008</v>
      </c>
      <c r="O22" s="259">
        <f t="shared" ref="O22" si="12">N22*K22</f>
        <v>0.71400000000000008</v>
      </c>
      <c r="P22" s="252">
        <f>P$20*N22</f>
        <v>39005.970935739853</v>
      </c>
      <c r="Q22" s="258">
        <f t="shared" ref="Q22" si="13">P22+Q$20</f>
        <v>42005.970935739853</v>
      </c>
      <c r="R22" s="308"/>
      <c r="S22" s="46"/>
      <c r="T22" s="9"/>
      <c r="W22" s="4"/>
    </row>
    <row r="23" spans="2:24" ht="17.399999999999999" x14ac:dyDescent="0.3">
      <c r="B23" s="329">
        <v>1</v>
      </c>
      <c r="C23" s="329" t="s">
        <v>172</v>
      </c>
      <c r="D23" s="330">
        <v>0.85</v>
      </c>
      <c r="E23" s="330">
        <v>0.55000000000000004</v>
      </c>
      <c r="F23" s="329" t="s">
        <v>173</v>
      </c>
      <c r="G23" s="331">
        <v>30000</v>
      </c>
      <c r="H23" s="331">
        <f t="shared" si="1"/>
        <v>30000</v>
      </c>
      <c r="I23" s="265"/>
      <c r="J23" s="47"/>
      <c r="K23" s="324">
        <f t="shared" ref="K23" si="14">B23</f>
        <v>1</v>
      </c>
      <c r="L23" s="325">
        <f t="shared" ref="L23" si="15">D23+L$19</f>
        <v>0.87</v>
      </c>
      <c r="M23" s="325">
        <f t="shared" ref="M23" si="16">E23+M$19</f>
        <v>0.57000000000000006</v>
      </c>
      <c r="N23" s="261">
        <f t="shared" ref="N23" si="17">L23*M23</f>
        <v>0.49590000000000006</v>
      </c>
      <c r="O23" s="259">
        <f t="shared" ref="O23" si="18">N23*K23</f>
        <v>0.49590000000000006</v>
      </c>
      <c r="P23" s="252">
        <f>P$20*N23</f>
        <v>27091.121830578981</v>
      </c>
      <c r="Q23" s="258">
        <f t="shared" ref="Q23" si="19">P23+Q$20</f>
        <v>30091.121830578981</v>
      </c>
      <c r="R23" s="308"/>
      <c r="S23" s="46"/>
      <c r="T23" s="9"/>
      <c r="W23" s="4"/>
    </row>
    <row r="24" spans="2:24" ht="17.399999999999999" x14ac:dyDescent="0.3">
      <c r="B24" s="327"/>
      <c r="C24" s="328"/>
      <c r="D24" s="327"/>
      <c r="E24" s="327"/>
      <c r="F24" s="327"/>
      <c r="G24" s="327"/>
      <c r="H24" s="327"/>
      <c r="I24" s="265"/>
      <c r="J24" s="47"/>
      <c r="K24" s="324"/>
      <c r="L24" s="325"/>
      <c r="M24" s="325"/>
      <c r="N24" s="261"/>
      <c r="O24" s="259"/>
      <c r="P24" s="252"/>
      <c r="Q24" s="258"/>
      <c r="R24" s="308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29</v>
      </c>
      <c r="H26" s="310">
        <v>165000</v>
      </c>
      <c r="I26" s="265"/>
      <c r="J26" s="47"/>
      <c r="K26" s="47"/>
      <c r="L26" s="39">
        <f>SUM(L21:L25)</f>
        <v>4.8890000000000002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52</v>
      </c>
      <c r="H27" s="304"/>
      <c r="I27" s="265"/>
      <c r="J27" s="47"/>
      <c r="K27" s="47"/>
      <c r="L27" s="39"/>
      <c r="M27" s="12"/>
      <c r="N27" s="12"/>
      <c r="O27" s="253">
        <f>SUM(O21:O22)</f>
        <v>2.4234300000000002</v>
      </c>
      <c r="P27" s="14"/>
      <c r="Q27" s="12"/>
      <c r="R27" s="239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165000</v>
      </c>
      <c r="I28" s="265"/>
      <c r="J28" s="47"/>
      <c r="K28" s="47"/>
      <c r="L28" s="39"/>
      <c r="M28" s="12"/>
      <c r="N28" s="12"/>
      <c r="O28" s="253">
        <f>O27</f>
        <v>2.4234300000000002</v>
      </c>
      <c r="P28" s="14"/>
      <c r="Q28" s="12"/>
      <c r="R28" s="239">
        <f>SUM(R21:R27)</f>
        <v>2.9990000000000001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0.48468600000000006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2.9081160000000001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15" t="s">
        <v>22</v>
      </c>
      <c r="U31" s="312" t="s">
        <v>152</v>
      </c>
      <c r="V31" s="316">
        <v>44971</v>
      </c>
      <c r="W31" s="317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2.9081160000000001</v>
      </c>
      <c r="M32" s="12">
        <v>3500</v>
      </c>
      <c r="N32" s="12">
        <f t="shared" ref="N32:N37" si="20">L32*M32</f>
        <v>10178.406000000001</v>
      </c>
      <c r="O32" s="14" t="s">
        <v>22</v>
      </c>
      <c r="P32" s="14"/>
      <c r="Q32" s="14"/>
      <c r="R32" s="241"/>
      <c r="S32" s="14"/>
      <c r="T32" s="315" t="s">
        <v>153</v>
      </c>
      <c r="U32" s="312">
        <v>3625</v>
      </c>
      <c r="V32" s="59" t="s">
        <v>154</v>
      </c>
      <c r="W32" s="317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0.8</v>
      </c>
      <c r="M33" s="12">
        <v>25000</v>
      </c>
      <c r="N33" s="12">
        <f t="shared" si="20"/>
        <v>20000</v>
      </c>
      <c r="O33" s="39" t="s">
        <v>32</v>
      </c>
      <c r="P33" s="42"/>
      <c r="Q33" s="14"/>
      <c r="R33" s="240"/>
      <c r="S33" s="14"/>
      <c r="T33" s="315"/>
      <c r="U33" s="59">
        <v>906.25</v>
      </c>
      <c r="V33" s="59" t="s">
        <v>155</v>
      </c>
      <c r="W33" s="317"/>
    </row>
    <row r="34" spans="2:23" s="230" customFormat="1" ht="17.399999999999999" x14ac:dyDescent="0.35">
      <c r="I34" s="262"/>
      <c r="J34" s="232"/>
      <c r="K34" s="250"/>
      <c r="L34" s="14"/>
      <c r="M34" s="250">
        <v>77058</v>
      </c>
      <c r="N34" s="12">
        <f t="shared" si="20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17" t="s">
        <v>156</v>
      </c>
      <c r="W34" s="59"/>
    </row>
    <row r="35" spans="2:23" s="230" customFormat="1" ht="17.399999999999999" x14ac:dyDescent="0.35">
      <c r="B35" s="24" t="s">
        <v>151</v>
      </c>
      <c r="I35" s="262"/>
      <c r="J35" s="232"/>
      <c r="K35" s="250"/>
      <c r="L35" s="14">
        <v>1.5</v>
      </c>
      <c r="M35" s="250">
        <v>20000</v>
      </c>
      <c r="N35" s="12">
        <f t="shared" si="20"/>
        <v>30000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17" t="s">
        <v>157</v>
      </c>
      <c r="W35" s="59"/>
    </row>
    <row r="36" spans="2:23" s="230" customFormat="1" ht="17.399999999999999" x14ac:dyDescent="0.35">
      <c r="B36" s="24" t="s">
        <v>174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20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303"/>
      <c r="K37" s="250"/>
      <c r="L37" s="266"/>
      <c r="M37" s="12">
        <v>1500</v>
      </c>
      <c r="N37" s="12">
        <f t="shared" si="20"/>
        <v>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60178.406000000003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N38*2.2</f>
        <v>132392.49320000003</v>
      </c>
      <c r="O39" s="14" t="s">
        <v>141</v>
      </c>
      <c r="P39" s="14"/>
      <c r="Q39" s="40">
        <f>O30/Q38</f>
        <v>0.78411238136324424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42960</v>
      </c>
      <c r="K40" s="250"/>
      <c r="L40" s="14"/>
      <c r="M40" s="12"/>
      <c r="N40" s="12">
        <f>N39/O28</f>
        <v>54630.211394593622</v>
      </c>
      <c r="O40" s="45" t="s">
        <v>25</v>
      </c>
      <c r="P40" s="14"/>
      <c r="Q40" s="14"/>
      <c r="R40"/>
      <c r="S40" s="238"/>
      <c r="T40" s="59" t="s">
        <v>158</v>
      </c>
      <c r="U40" s="312">
        <v>43650</v>
      </c>
    </row>
    <row r="41" spans="2:23" s="230" customFormat="1" ht="17.399999999999999" x14ac:dyDescent="0.35">
      <c r="G41"/>
      <c r="J41" s="230">
        <f>J40/1.19</f>
        <v>36100.840336134454</v>
      </c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160</v>
      </c>
      <c r="U41" s="313" t="s">
        <v>159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161</v>
      </c>
      <c r="U42" s="314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156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148</v>
      </c>
    </row>
    <row r="76" spans="3:14" x14ac:dyDescent="0.3">
      <c r="C76" t="s">
        <v>147</v>
      </c>
    </row>
    <row r="79" spans="3:14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45720</v>
      </c>
    </row>
    <row r="6" spans="2:31" ht="16.2" thickBot="1" x14ac:dyDescent="0.35">
      <c r="B6" s="140" t="s">
        <v>2</v>
      </c>
      <c r="C6" s="139" t="str">
        <f>'2229'!C10</f>
        <v>GONZALO PINTO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11315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-10996.563383454106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165000</v>
      </c>
      <c r="E11" s="132">
        <f>D11*0.19</f>
        <v>31350</v>
      </c>
      <c r="F11" s="131">
        <f>E11+D11</f>
        <v>196350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94993.436616545892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60012.496787439617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76993.436616545892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104987.50321256038</v>
      </c>
      <c r="E13" s="221">
        <f>(D11/D12)-1</f>
        <v>1.7494273498471382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67993.436616545892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28993.436616545892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99020.619699275368</v>
      </c>
      <c r="F15" s="216">
        <f>E15-D12</f>
        <v>39008.122911835751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28993.436616545892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68993.436616545892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20000</v>
      </c>
      <c r="E19" s="123">
        <f>D19*0.19</f>
        <v>3800</v>
      </c>
      <c r="F19" s="120">
        <f>SUM(D19:E19)</f>
        <v>23800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10178.406000000001</v>
      </c>
      <c r="E20" s="121">
        <f>D20*0.19</f>
        <v>1933.8971400000003</v>
      </c>
      <c r="F20" s="120">
        <f>SUM(D20:E20)</f>
        <v>12112.303140000002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30178.406000000003</v>
      </c>
      <c r="E21" s="116">
        <f>SUM(E18:E20)</f>
        <v>5733.89714</v>
      </c>
      <c r="F21" s="115">
        <f>SUM(F18:F20)</f>
        <v>35912.303140000004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25616.102859999999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165000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30178.406000000003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104987.50321256038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104987.50321256038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2025-03-04T16:26:56Z</cp:lastPrinted>
  <dcterms:created xsi:type="dcterms:W3CDTF">2013-03-18T13:35:42Z</dcterms:created>
  <dcterms:modified xsi:type="dcterms:W3CDTF">2025-03-04T16:29:16Z</dcterms:modified>
</cp:coreProperties>
</file>