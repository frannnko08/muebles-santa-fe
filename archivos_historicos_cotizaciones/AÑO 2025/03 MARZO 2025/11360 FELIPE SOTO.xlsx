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5FB3F7A7-1D12-4F51-AB57-1D348514C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K21" i="1"/>
  <c r="N34" i="1"/>
  <c r="N33" i="1" l="1"/>
  <c r="N35" i="1"/>
  <c r="N36" i="1"/>
  <c r="L21" i="1" l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1" i="1" l="1"/>
  <c r="F15" i="3"/>
  <c r="Q21" i="1" l="1"/>
  <c r="H21" i="1" l="1"/>
  <c r="H25" i="1" s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<sst xmlns="http://schemas.openxmlformats.org/spreadsheetml/2006/main" count="228" uniqueCount="172">
  <si>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</si>
  <si>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</si>
  <si>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</si>
  <si>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</si>
  <si>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</si>
  <si>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</si>
  <si>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</si>
  <si>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</si>
  <si>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</si>
  <si>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</si>
  <si>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</si>
  <si>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</si>
  <si>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</si>
  <si>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</si>
  <si>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</si>
  <si>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</si>
  <si>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</si>
  <si>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</si>
  <si>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</si>
  <si>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</si>
  <si>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</si>
  <si>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</si>
  <si>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</si>
  <si>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</si>
  <si>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</si>
  <si>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</si>
  <si>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</si>
  <si>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</si>
  <si>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</si>
  <si>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</si>
  <si>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</si>
  <si>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</si>
  <si>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</si>
  <si>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</si>
  <si>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</si>
  <si>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</si>
  <si>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</si>
  <si>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</si>
  <si>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</si>
  <si>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</si>
  <si>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</si>
  <si>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</si>
  <si>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</si>
  <si>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</si>
  <si>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</si>
  <si>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</si>
  <si>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</si>
  <si>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</si>
  <si>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</si>
  <si>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</si>
  <si>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</si>
  <si>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</si>
  <si>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</si>
  <si>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</si>
  <si>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</si>
  <si>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</si>
  <si>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</si>
  <si>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</si>
  <si>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</si>
  <si>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</si>
  <si>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</si>
  <si>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</si>
  <si>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</si>
  <si>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</si>
  <si>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</si>
  <si>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</si>
  <si>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</si>
  <si>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</si>
  <si>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</si>
  <si>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</si>
  <si>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</si>
  <si>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</si>
  <si>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</si>
  <si>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</si>
  <si>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</si>
  <si>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</si>
  <si>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</si>
  <si>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</si>
  <si>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</si>
  <si>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</si>
  <si>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</si>
  <si>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</si>
  <si>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</si>
  <si>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</si>
  <si>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</si>
  <si>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</si>
  <si>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</si>
  <si>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</si>
  <si>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</si>
  <si>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</si>
  <si>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</si>
  <si>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</si>
  <si>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</si>
  <si>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</si>
  <si>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</si>
  <si>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</si>
  <si>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</si>
  <si>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</si>
  <si>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</si>
  <si>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</si>
  <si>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</si>
  <si>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</si>
  <si>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</si>
  <si>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</si>
  <si>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</si>
  <si>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</si>
  <si>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</si>
  <si>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</si>
  <si>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</si>
  <si>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</si>
  <si>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</si>
  <si>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</si>
  <si>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</si>
  <si>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</si>
  <si>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</si>
  <si>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</si>
  <si>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</si>
  <si>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</si>
  <si>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</si>
  <si>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</si>
  <si>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</si>
  <si>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</si>
  <si>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</si>
  <si>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</si>
  <si>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</si>
  <si>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</si>
  <si>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</si>
  <si>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</si>
  <si>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</si>
  <si>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</si>
  <si>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</si>
  <si>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</si>
  <si>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</si>
  <si>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</si>
  <si>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</si>
  <si>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</si>
  <si>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</si>
  <si>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</si>
  <si>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</si>
  <si>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</si>
  <si>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</si>
  <si>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</si>
  <si>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</si>
  <si>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</si>
  <si>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</si>
  <si>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</si>
  <si>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</si>
  <si>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</si>
  <si>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</si>
  <si>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</si>
  <si>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</si>
  <si>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</si>
  <si>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</si>
  <si>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</si>
  <si>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</si>
  <si>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</si>
  <si>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</si>
  <si>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</si>
  <si>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</si>
  <si>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</si>
  <si>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</si>
  <si>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</si>
  <si>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</si>
  <si>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</si>
  <si>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CUB CON RESPALDO 90°</t>
  </si>
  <si>
    <t>DURACION COTIZACION: 5 DIAS                            FRANCO DONOSO</t>
  </si>
  <si>
    <t>N° 11360</t>
  </si>
  <si>
    <t>FELIPE SOTO</t>
  </si>
  <si>
    <t>569 9655 9874</t>
  </si>
  <si>
    <t>5 DIAS HABILES</t>
  </si>
  <si>
    <t>QUINTA REGION</t>
  </si>
  <si>
    <t>HAYA 1750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</si>
</sst>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23</xdr:row>
      <xdr:rowOff>206170</xdr:rowOff>
    </xdr:from>
    <xdr:to>
      <xdr:col>5</xdr:col>
      <xdr:colOff>1643259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baseline="0"/>
            <a:t>SUSTRATO: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3" zoomScaleNormal="93" workbookViewId="0">
      <selection activeCell="A22" sqref="A22:XFD22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167</v>
      </c>
      <c r="D10" s="243"/>
      <c r="E10" s="243"/>
      <c r="F10" s="244" t="s">
        <v>0</v>
      </c>
      <c r="G10" s="277">
        <v>45736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170</v>
      </c>
      <c r="D17" s="319"/>
      <c r="E17" s="119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N39</f>
        <v>86964.806201550397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164</v>
      </c>
      <c r="D21" s="327">
        <v>2.5</v>
      </c>
      <c r="E21" s="327">
        <v>0.6</v>
      </c>
      <c r="F21" s="326" t="s">
        <v>171</v>
      </c>
      <c r="G21" s="328">
        <v>139622</v>
      </c>
      <c r="H21" s="328">
        <f>G21*B21</f>
        <v>139622</v>
      </c>
      <c r="I21" s="265"/>
      <c r="J21" s="47"/>
      <c r="K21" s="330">
        <f>B21</f>
        <v>1</v>
      </c>
      <c r="L21" s="39">
        <f>D21+L$19</f>
        <v>2.58</v>
      </c>
      <c r="M21" s="39">
        <f>E21+M$19</f>
        <v>0.6</v>
      </c>
      <c r="N21" s="261">
        <f t="shared" ref="N21" si="0">L21*M21</f>
        <v>1.548</v>
      </c>
      <c r="O21" s="259">
        <f t="shared" ref="O21" si="1">N21*K21</f>
        <v>1.548</v>
      </c>
      <c r="P21" s="252">
        <f t="shared" ref="P21" si="2">P$20*N21</f>
        <v>134621.52000000002</v>
      </c>
      <c r="Q21" s="329">
        <f t="shared" ref="Q21" si="3">P21+Q$20</f>
        <v>139621.52000000002</v>
      </c>
      <c r="R21" s="298">
        <f>L21*K21*2</f>
        <v>5.16</v>
      </c>
      <c r="S21" s="46">
        <f>M21*2*K21</f>
        <v>1.2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7.399999999999999" x14ac:dyDescent="0.3">
      <c r="B23" s="286"/>
      <c r="C23" s="332"/>
      <c r="D23" s="287"/>
      <c r="E23" s="287"/>
      <c r="F23" s="286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139622</v>
      </c>
      <c r="I25" s="265"/>
      <c r="J25" s="47"/>
      <c r="K25" s="47"/>
      <c r="L25" s="39">
        <f>SUM(L21:L21)</f>
        <v>2.58</v>
      </c>
      <c r="M25" s="39"/>
      <c r="N25" s="261"/>
      <c r="O25" s="259"/>
      <c r="P25" s="252"/>
      <c r="Q25" s="258"/>
      <c r="R25" s="298"/>
      <c r="S25" s="46">
        <f>SUM(S21:S24)</f>
        <v>1.2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f>H25*19%</f>
        <v>26528.18</v>
      </c>
      <c r="I26" s="265"/>
      <c r="J26" s="47"/>
      <c r="K26" s="47"/>
      <c r="L26" s="39"/>
      <c r="M26" s="12"/>
      <c r="N26" s="12"/>
      <c r="O26" s="253">
        <f>SUM(O21:O21)</f>
        <v>1.548</v>
      </c>
      <c r="P26" s="14"/>
      <c r="Q26" s="12"/>
      <c r="R26" s="239"/>
      <c r="S26" s="46">
        <f>S25*20%</f>
        <v>0.24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166150.18</v>
      </c>
      <c r="I27" s="265"/>
      <c r="J27" s="47"/>
      <c r="K27" s="47"/>
      <c r="L27" s="39"/>
      <c r="M27" s="12"/>
      <c r="N27" s="12"/>
      <c r="O27" s="253">
        <f>O26</f>
        <v>1.548</v>
      </c>
      <c r="P27" s="14"/>
      <c r="Q27" s="12"/>
      <c r="R27" s="239">
        <f>SUM(R21:R26)</f>
        <v>5.16</v>
      </c>
      <c r="S27" s="46">
        <f>S25+S26</f>
        <v>1.44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0.30960000000000004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1.8576000000000001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152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1.8576000000000001</v>
      </c>
      <c r="M31" s="12">
        <v>3500</v>
      </c>
      <c r="N31" s="12">
        <f t="shared" ref="N31:N36" si="4">L31*M31</f>
        <v>6501.6</v>
      </c>
      <c r="O31" s="14" t="s">
        <v>22</v>
      </c>
      <c r="P31" s="14"/>
      <c r="Q31" s="14"/>
      <c r="R31" s="241"/>
      <c r="S31" s="14"/>
      <c r="T31" s="305" t="s">
        <v>153</v>
      </c>
      <c r="U31" s="302">
        <v>3625</v>
      </c>
      <c r="V31" s="59" t="s">
        <v>154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4"/>
        <v>12500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155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90076</v>
      </c>
      <c r="N33" s="12">
        <f t="shared" si="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/>
      <c r="K34" s="250"/>
      <c r="L34" s="14">
        <v>1</v>
      </c>
      <c r="M34" s="250">
        <v>38320</v>
      </c>
      <c r="N34" s="12">
        <f t="shared" si="4"/>
        <v>38320</v>
      </c>
      <c r="O34" s="14"/>
      <c r="P34" s="17"/>
      <c r="R34" s="238"/>
      <c r="S34" s="256"/>
      <c r="T34" s="59"/>
      <c r="U34" s="59">
        <f>U32+U33</f>
        <v>1087.5</v>
      </c>
      <c r="V34" s="307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4"/>
        <v>0</v>
      </c>
      <c r="O35" s="14" t="s">
        <v>33</v>
      </c>
      <c r="P35" s="14"/>
      <c r="Q35" s="230">
        <v>1.83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>
        <v>2.58</v>
      </c>
      <c r="M36" s="12">
        <v>1500</v>
      </c>
      <c r="N36" s="12">
        <f t="shared" si="4"/>
        <v>3870</v>
      </c>
      <c r="O36" s="14" t="s">
        <v>23</v>
      </c>
      <c r="P36" s="14"/>
      <c r="Q36">
        <v>2.5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61191.6</v>
      </c>
      <c r="O37" s="39" t="s">
        <v>24</v>
      </c>
      <c r="P37" s="14"/>
      <c r="Q37">
        <f>Q35*Q36</f>
        <v>4.5750000000000002</v>
      </c>
      <c r="R37"/>
      <c r="S37" s="238"/>
      <c r="W37" s="231"/>
    </row>
    <row r="38" spans="2:23" s="230" customFormat="1" ht="17.399999999999999" x14ac:dyDescent="0.35">
      <c r="J38" s="230">
        <v>45600</v>
      </c>
      <c r="K38" s="250"/>
      <c r="L38" s="254" t="s">
        <v>34</v>
      </c>
      <c r="M38" s="12"/>
      <c r="N38" s="255">
        <f>N37*2.2</f>
        <v>134621.52000000002</v>
      </c>
      <c r="O38" s="14" t="s">
        <v>141</v>
      </c>
      <c r="P38" s="14"/>
      <c r="Q38" s="40">
        <f>O29/Q37</f>
        <v>0.40603278688524591</v>
      </c>
      <c r="R38"/>
      <c r="S38" s="257"/>
    </row>
    <row r="39" spans="2:23" s="230" customFormat="1" ht="17.399999999999999" x14ac:dyDescent="0.35">
      <c r="G39"/>
      <c r="H39" s="260"/>
      <c r="J39" s="230">
        <f>J38/1.19</f>
        <v>38319.327731092439</v>
      </c>
      <c r="K39" s="250">
        <v>0</v>
      </c>
      <c r="L39" s="14"/>
      <c r="M39" s="12"/>
      <c r="N39" s="12">
        <f>N38/O27</f>
        <v>86964.806201550397</v>
      </c>
      <c r="O39" s="45" t="s">
        <v>25</v>
      </c>
      <c r="P39" s="14"/>
      <c r="Q39" s="14"/>
      <c r="R39"/>
      <c r="S39" s="238"/>
      <c r="T39" s="59" t="s">
        <v>158</v>
      </c>
      <c r="U39" s="302">
        <v>43650</v>
      </c>
    </row>
    <row r="40" spans="2:23" s="230" customFormat="1" ht="17.399999999999999" x14ac:dyDescent="0.35">
      <c r="G40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3" t="s">
        <v>159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161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156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45736</v>
      </c>
    </row>
    <row r="6" spans="2:31" ht="16.2" thickBot="1" x14ac:dyDescent="0.35">
      <c r="B6" s="140" t="s">
        <v>2</v>
      </c>
      <c r="C6" s="139" t="str">
        <f>'2229'!C10</f>
        <v>FELIPE SOTO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-9840.5183667874389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139622</v>
      </c>
      <c r="E11" s="132">
        <f>D11*0.19</f>
        <v>26528.18</v>
      </c>
      <c r="F11" s="131">
        <f>E11+D11</f>
        <v>166150.18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96149.481633212563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48835.690787439613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78149.481633212563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90786.309212560387</v>
      </c>
      <c r="E13" s="221">
        <f>(D11/D12)-1</f>
        <v>1.8590155631813103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69149.481633212563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30149.481633212563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80578.889799275363</v>
      </c>
      <c r="F15" s="216">
        <f>E15-D12</f>
        <v>31743.19901183575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30149.481633212563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70149.481633212563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6501.6</v>
      </c>
      <c r="E20" s="121">
        <f>D20*0.19</f>
        <v>1235.3040000000001</v>
      </c>
      <c r="F20" s="120">
        <f>SUM(D20:E20)</f>
        <v>7736.9040000000005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19001.599999999999</v>
      </c>
      <c r="E21" s="116">
        <f>SUM(E18:E20)</f>
        <v>3610.3040000000001</v>
      </c>
      <c r="F21" s="115">
        <f>SUM(F18:F20)</f>
        <v>22611.904000000002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22917.876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139622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19001.599999999999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90786.309212560387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90786.309212560387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2025-03-20T14:38:35Z</cp:lastPrinted>
  <dcterms:created xsi:type="dcterms:W3CDTF">2013-03-18T13:35:42Z</dcterms:created>
  <dcterms:modified xsi:type="dcterms:W3CDTF">2025-03-20T18:09:13Z</dcterms:modified>
</cp:coreProperties>
</file>