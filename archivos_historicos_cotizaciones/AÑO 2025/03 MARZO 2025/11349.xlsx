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3 MARZO 2025\"/>
    </mc:Choice>
  </mc:AlternateContent>
  <xr:revisionPtr revIDLastSave="0" documentId="13_ncr:1_{CE1CE074-3F0A-4F2A-8903-B2AA401907FB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</sheets>
  <definedNames>
    <definedName name="_xlnm.Print_Area" localSheetId="0">'2229'!$A$1:$H$34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L21" i="1" l="1"/>
  <c r="N21" i="1"/>
  <c r="M21" i="1" l="1"/>
  <c r="M25" i="1" s="1"/>
  <c r="S21" i="1" l="1"/>
  <c r="S25" i="1" s="1"/>
  <c r="T21" i="1"/>
  <c r="T24" i="1" s="1"/>
  <c r="O21" i="1"/>
  <c r="P21" i="1" s="1"/>
  <c r="P25" i="1" s="1"/>
  <c r="K39" i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O38" i="1" l="1"/>
  <c r="D20" i="3"/>
  <c r="E20" i="3" s="1"/>
  <c r="E21" i="3" s="1"/>
  <c r="Q20" i="1" l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s="1"/>
  <c r="D11" i="3" l="1"/>
  <c r="X9" i="3" s="1"/>
  <c r="X15" i="3" s="1"/>
  <c r="H26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<sst xmlns="http://schemas.openxmlformats.org/spreadsheetml/2006/main" count="228" uniqueCount="172">
  <si>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</si>
  <si>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</si>
  <si>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</si>
  <si>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</si>
  <si>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</si>
  <si>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</si>
  <si>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</si>
  <si>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</si>
  <si>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</si>
  <si>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</si>
  <si>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</si>
  <si>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</si>
  <si>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</si>
  <si>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</si>
  <si>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</si>
  <si>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</si>
  <si>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</si>
  <si>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</si>
  <si>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</si>
  <si>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</si>
  <si>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</si>
  <si>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</si>
  <si>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</si>
  <si>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</si>
  <si>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</si>
  <si>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</si>
  <si>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</si>
  <si>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</si>
  <si>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</si>
  <si>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</si>
  <si>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</si>
  <si>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</si>
  <si>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</si>
  <si>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</si>
  <si>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</si>
  <si>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</si>
  <si>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</si>
  <si>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</si>
  <si>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</si>
  <si>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</si>
  <si>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</si>
  <si>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</si>
  <si>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</si>
  <si>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</si>
  <si>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</si>
  <si>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</si>
  <si>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</si>
  <si>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</si>
  <si>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</si>
  <si>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</si>
  <si>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</si>
  <si>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</si>
  <si>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</si>
  <si>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</si>
  <si>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</si>
  <si>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</si>
  <si>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</si>
  <si>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</si>
  <si>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</si>
  <si>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</si>
  <si>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</si>
  <si>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</si>
  <si>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</si>
  <si>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</si>
  <si>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</si>
  <si>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</si>
  <si>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</si>
  <si>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</si>
  <si>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</si>
  <si>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</si>
  <si>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</si>
  <si>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</si>
  <si>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</si>
  <si>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</si>
  <si>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</si>
  <si>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</si>
  <si>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</si>
  <si>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</si>
  <si>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</si>
  <si>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</si>
  <si>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</si>
  <si>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</si>
  <si>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</si>
  <si>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</si>
  <si>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</si>
  <si>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</si>
  <si>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</si>
  <si>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</si>
  <si>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</si>
  <si>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</si>
  <si>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</si>
  <si>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</si>
  <si>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</si>
  <si>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</si>
  <si>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</si>
  <si>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</si>
  <si>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</si>
  <si>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</si>
  <si>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</si>
  <si>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</si>
  <si>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</si>
  <si>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</si>
  <si>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</si>
  <si>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</si>
  <si>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</si>
  <si>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</si>
  <si>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</si>
  <si>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</si>
  <si>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</si>
  <si>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</si>
  <si>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</si>
  <si>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</si>
  <si>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</si>
  <si>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</si>
  <si>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</si>
  <si>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</si>
  <si>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</si>
  <si>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</si>
  <si>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</si>
  <si>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</si>
  <si>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</si>
  <si>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</si>
  <si>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</si>
  <si>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</si>
  <si>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</si>
  <si>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</si>
  <si>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</si>
  <si>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</si>
  <si>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</si>
  <si>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</si>
  <si>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</si>
  <si>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</si>
  <si>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</si>
  <si>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</si>
  <si>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</si>
  <si>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</si>
  <si>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</si>
  <si>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</si>
  <si>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</si>
  <si>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</si>
  <si>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</si>
  <si>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</si>
  <si>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</si>
  <si>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</si>
  <si>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</si>
  <si>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</si>
  <si>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</si>
  <si>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</si>
  <si>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</si>
  <si>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</si>
  <si>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</si>
  <si>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</si>
  <si>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</si>
  <si>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</si>
  <si>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</si>
  <si>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</si>
  <si>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</si>
  <si>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</si>
  <si>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</si>
  <si>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</si>
  <si>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</si>
  <si>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</si>
  <si>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</si>
  <si>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</si>
  <si>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</si>
  <si>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</si>
  <si>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</si>
  <si>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5 DIAS HABILES</t>
  </si>
  <si>
    <t>CUB CON RESPALDO Y FRENTE 90° R8</t>
  </si>
  <si>
    <t>GRANITINO NEGRO BR</t>
  </si>
  <si>
    <t>N° 11349</t>
  </si>
  <si>
    <t>pabfab2@gmail.com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</si>
</sst>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9" fillId="0" borderId="0" xfId="3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</a:t>
          </a:r>
          <a:r>
            <a:rPr lang="es-CL" sz="1200" b="1" baseline="0"/>
            <a:t>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abfab2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6" zoomScale="93" zoomScaleNormal="93" workbookViewId="0">
      <selection activeCell="J19" sqref="J19"/>
    </sheetView>
  </sheetViews>
  <sheetFormatPr baseColWidth="10" defaultRowHeight="14.4" x14ac:dyDescent="0.3"/>
  <cols>
    <col min="1" max="1" width="6" customWidth="1"/>
    <col min="2" max="2" width="10.5546875" customWidth="1"/>
    <col min="3" max="3" width="37.21875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170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/>
      <c r="D10" s="243"/>
      <c r="E10" s="243"/>
      <c r="F10" s="244" t="s">
        <v>0</v>
      </c>
      <c r="G10" s="276">
        <v>45733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44" t="s">
        <v>171</v>
      </c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135</v>
      </c>
      <c r="H15" s="289"/>
    </row>
    <row r="16" spans="2:24" ht="16.8" x14ac:dyDescent="0.4">
      <c r="B16" s="315" t="s">
        <v>3</v>
      </c>
      <c r="C16" s="306"/>
      <c r="D16" s="247"/>
      <c r="E16" s="247"/>
      <c r="F16" s="316" t="s">
        <v>129</v>
      </c>
      <c r="G16" s="317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2" t="s">
        <v>164</v>
      </c>
      <c r="G17" s="332"/>
      <c r="H17" s="333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4" t="s">
        <v>95</v>
      </c>
      <c r="C19" s="335"/>
      <c r="D19" s="335"/>
      <c r="E19" s="335"/>
      <c r="F19" s="335"/>
      <c r="G19" s="335"/>
      <c r="H19" s="336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70003.788968824942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29">
        <v>1</v>
      </c>
      <c r="C21" s="329" t="s">
        <v>168</v>
      </c>
      <c r="D21" s="330">
        <v>2.7</v>
      </c>
      <c r="E21" s="330">
        <v>0.6</v>
      </c>
      <c r="F21" s="329" t="s">
        <v>169</v>
      </c>
      <c r="G21" s="331">
        <f>Q21</f>
        <v>116766.32</v>
      </c>
      <c r="H21" s="331">
        <f>G21*B21</f>
        <v>116766.32</v>
      </c>
      <c r="I21" s="319"/>
      <c r="J21" s="265"/>
      <c r="K21" s="47"/>
      <c r="L21" s="47">
        <f>B21</f>
        <v>1</v>
      </c>
      <c r="M21" s="39">
        <f>D21+M$19</f>
        <v>2.7800000000000002</v>
      </c>
      <c r="N21" s="39">
        <f>E21+$N$19</f>
        <v>0.6</v>
      </c>
      <c r="O21" s="261">
        <f t="shared" ref="O21" si="1">M21*N21</f>
        <v>1.6680000000000001</v>
      </c>
      <c r="P21" s="259">
        <f t="shared" ref="P21" si="2">O21*L21</f>
        <v>1.6680000000000001</v>
      </c>
      <c r="Q21" s="252">
        <f t="shared" ref="Q21" si="3">Q$20*O21</f>
        <v>116766.32</v>
      </c>
      <c r="R21" s="318">
        <f t="shared" ref="R21" si="4">Q21+R$20</f>
        <v>119766.32</v>
      </c>
      <c r="S21" s="297">
        <f>M21*L21</f>
        <v>2.7800000000000002</v>
      </c>
      <c r="T21" s="46">
        <f>N21*2*L21*2</f>
        <v>2.4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19"/>
      <c r="H22" s="319"/>
      <c r="I22" s="319"/>
      <c r="J22" s="265"/>
      <c r="K22" s="47"/>
      <c r="L22" s="47"/>
      <c r="M22" s="39"/>
      <c r="N22" s="39"/>
      <c r="O22" s="261"/>
      <c r="P22" s="259"/>
      <c r="Q22" s="252"/>
      <c r="R22" s="318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0"/>
      <c r="I23" s="322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3" t="s">
        <v>28</v>
      </c>
      <c r="H24" s="324">
        <f>SUM(H21:H23)</f>
        <v>116766.32</v>
      </c>
      <c r="I24" s="321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2.4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22185.6008</v>
      </c>
      <c r="I25" s="321"/>
      <c r="J25" s="265"/>
      <c r="K25" s="47"/>
      <c r="L25" s="47"/>
      <c r="M25" s="39">
        <f>SUM(M21:M21)</f>
        <v>2.7800000000000002</v>
      </c>
      <c r="N25" s="12"/>
      <c r="O25" s="12"/>
      <c r="P25" s="253">
        <f>SUM(P21:P23)</f>
        <v>1.6680000000000001</v>
      </c>
      <c r="Q25" s="14"/>
      <c r="R25" s="12"/>
      <c r="S25" s="239">
        <f>SUM(S21:S24)</f>
        <v>2.7800000000000002</v>
      </c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138951.92080000002</v>
      </c>
      <c r="I26" s="321"/>
      <c r="J26" s="265"/>
      <c r="K26" s="47"/>
      <c r="L26" s="47"/>
      <c r="M26" s="39"/>
      <c r="N26" s="12"/>
      <c r="O26" s="12"/>
      <c r="P26" s="253">
        <f>P25</f>
        <v>1.6680000000000001</v>
      </c>
      <c r="Q26" s="14"/>
      <c r="R26" s="12"/>
      <c r="S26" s="239"/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0.33360000000000006</v>
      </c>
      <c r="Q27" s="39" t="s">
        <v>130</v>
      </c>
      <c r="R27" s="42"/>
      <c r="S27" s="240"/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2.0016000000000003</v>
      </c>
      <c r="Q28" s="14"/>
      <c r="R28" s="14"/>
      <c r="S28" s="238"/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/>
      <c r="T29" s="14"/>
      <c r="U29" s="302" t="s">
        <v>21</v>
      </c>
      <c r="V29" s="299" t="s">
        <v>151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2.0016000000000003</v>
      </c>
      <c r="N30" s="12">
        <v>3500</v>
      </c>
      <c r="O30" s="12">
        <f t="shared" ref="O30:O35" si="5">M30*N30</f>
        <v>7005.6000000000013</v>
      </c>
      <c r="P30" s="14" t="s">
        <v>21</v>
      </c>
      <c r="Q30" s="14"/>
      <c r="R30" s="14"/>
      <c r="S30" s="241"/>
      <c r="T30" s="14"/>
      <c r="U30" s="302" t="s">
        <v>152</v>
      </c>
      <c r="V30" s="299">
        <v>3625</v>
      </c>
      <c r="W30" s="59" t="s">
        <v>153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0.6</v>
      </c>
      <c r="N31" s="12">
        <v>25000</v>
      </c>
      <c r="O31" s="12">
        <f t="shared" si="5"/>
        <v>15000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154</v>
      </c>
      <c r="X31" s="304"/>
    </row>
    <row r="32" spans="1:25" s="230" customFormat="1" ht="17.399999999999999" x14ac:dyDescent="0.35">
      <c r="B32" s="24" t="s">
        <v>150</v>
      </c>
      <c r="J32" s="262"/>
      <c r="K32" s="232"/>
      <c r="L32" s="250"/>
      <c r="M32" s="14"/>
      <c r="N32" s="250">
        <v>61840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155</v>
      </c>
      <c r="X32" s="59"/>
    </row>
    <row r="33" spans="2:24" s="230" customFormat="1" ht="17.399999999999999" x14ac:dyDescent="0.35">
      <c r="B33" s="24" t="s">
        <v>166</v>
      </c>
      <c r="C33"/>
      <c r="D33"/>
      <c r="E33"/>
      <c r="F33"/>
      <c r="J33" s="262"/>
      <c r="K33" s="232"/>
      <c r="L33" s="250"/>
      <c r="M33" s="14">
        <v>1</v>
      </c>
      <c r="N33" s="250">
        <v>26900</v>
      </c>
      <c r="O33" s="12">
        <f t="shared" si="5"/>
        <v>26900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156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>
        <v>2.78</v>
      </c>
      <c r="N35" s="12">
        <v>1500</v>
      </c>
      <c r="O35" s="12">
        <f t="shared" si="5"/>
        <v>4170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53075.600000000006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O36*2.2</f>
        <v>116766.32000000002</v>
      </c>
      <c r="P37" s="14" t="s">
        <v>140</v>
      </c>
      <c r="Q37" s="14"/>
      <c r="R37" s="40">
        <f>P28/R36</f>
        <v>0.5396893874029336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29830</v>
      </c>
      <c r="L38" s="250"/>
      <c r="M38" s="14"/>
      <c r="N38" s="12"/>
      <c r="O38" s="12">
        <f>O37/P26</f>
        <v>70003.788968824942</v>
      </c>
      <c r="P38" s="45" t="s">
        <v>24</v>
      </c>
      <c r="Q38" s="14"/>
      <c r="R38" s="14"/>
      <c r="S38"/>
      <c r="T38" s="238"/>
      <c r="U38" s="59" t="s">
        <v>157</v>
      </c>
      <c r="V38" s="299">
        <v>43650</v>
      </c>
    </row>
    <row r="39" spans="2:24" s="230" customFormat="1" ht="17.399999999999999" x14ac:dyDescent="0.35">
      <c r="G39"/>
      <c r="K39" s="230">
        <f>K38/1.19</f>
        <v>25067.226890756305</v>
      </c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159</v>
      </c>
      <c r="V39" s="300" t="s">
        <v>158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160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155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147</v>
      </c>
    </row>
    <row r="74" spans="3:15" x14ac:dyDescent="0.3">
      <c r="C74" t="s">
        <v>146</v>
      </c>
    </row>
    <row r="77" spans="3:15" x14ac:dyDescent="0.3">
      <c r="C77" t="s">
        <v>146</v>
      </c>
    </row>
    <row r="154" spans="3:3" x14ac:dyDescent="0.3">
      <c r="C154" t="s">
        <v>146</v>
      </c>
    </row>
    <row r="155" spans="3:3" x14ac:dyDescent="0.3">
      <c r="C155" t="s">
        <v>148</v>
      </c>
    </row>
    <row r="156" spans="3:3" x14ac:dyDescent="0.3">
      <c r="C156" t="s">
        <v>149</v>
      </c>
    </row>
    <row r="581" spans="3:3" x14ac:dyDescent="0.3">
      <c r="C581" t="s">
        <v>146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  <hyperlink ref="C14" r:id="rId2" display="mailto:pabfab2@gmail.com" xr:uid="{79E64476-7ACF-4AD8-9C18-AE3E474819AD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45733</v>
      </c>
    </row>
    <row r="6" spans="2:31" ht="16.2" thickBot="1" x14ac:dyDescent="0.35">
      <c r="B6" s="140" t="s">
        <v>2</v>
      </c>
      <c r="C6" s="139">
        <f>'2229'!C10</f>
        <v>0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98</v>
      </c>
      <c r="I7" s="339"/>
      <c r="J7" s="339"/>
      <c r="K7" s="340"/>
      <c r="N7" s="75"/>
      <c r="O7" s="3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11349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-5205.1383667874425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116766.32</v>
      </c>
      <c r="E11" s="132">
        <f>D11*0.19</f>
        <v>22185.6008</v>
      </c>
      <c r="F11" s="131">
        <f>E11+D11</f>
        <v>138951.92080000002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100784.86163321255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51839.690787439613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82784.861633212553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64926.629212560394</v>
      </c>
      <c r="E13" s="221">
        <f>(D11/D12)-1</f>
        <v>1.2524501636937164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73784.861633212553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34784.86163321256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85535.489799275354</v>
      </c>
      <c r="F15" s="216">
        <f>E15-D12</f>
        <v>33695.799011835741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34784.86163321256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74784.861633212553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15000</v>
      </c>
      <c r="E19" s="123">
        <f>D19*0.19</f>
        <v>2850</v>
      </c>
      <c r="F19" s="120">
        <f>SUM(D19:E19)</f>
        <v>17850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7005.6000000000013</v>
      </c>
      <c r="E20" s="121">
        <f>D20*0.19</f>
        <v>1331.0640000000003</v>
      </c>
      <c r="F20" s="120">
        <f>SUM(D20:E20)</f>
        <v>8336.6640000000007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22005.600000000002</v>
      </c>
      <c r="E21" s="116">
        <f>SUM(E18:E20)</f>
        <v>4181.0640000000003</v>
      </c>
      <c r="F21" s="115">
        <f>SUM(F18:F20)</f>
        <v>26186.664000000001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18004.536800000002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116766.32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22005.600000000002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64926.629212560394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64926.629212560394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2025-03-17T13:30:01Z</cp:lastPrinted>
  <dcterms:created xsi:type="dcterms:W3CDTF">2013-03-18T13:35:42Z</dcterms:created>
  <dcterms:modified xsi:type="dcterms:W3CDTF">2025-03-17T18:59:50Z</dcterms:modified>
</cp:coreProperties>
</file>