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199DED72-116F-4B6C-8E09-1C8D6563D7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'2229'!$B$1:$J$47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1" i="1"/>
  <c r="M24" i="1"/>
  <c r="M23" i="1"/>
  <c r="M22" i="1"/>
  <c r="J30" i="1"/>
  <c r="K57" i="1"/>
  <c r="M27" i="1"/>
  <c r="N27" i="1"/>
  <c r="O27" i="1"/>
  <c r="M28" i="1"/>
  <c r="N28" i="1"/>
  <c r="O28" i="1"/>
  <c r="N29" i="1"/>
  <c r="O29" i="1"/>
  <c r="N30" i="1"/>
  <c r="O30" i="1"/>
  <c r="M26" i="1"/>
  <c r="J26" i="1"/>
  <c r="J27" i="1"/>
  <c r="J28" i="1"/>
  <c r="J29" i="1"/>
  <c r="N22" i="1"/>
  <c r="O22" i="1"/>
  <c r="N23" i="1"/>
  <c r="O23" i="1"/>
  <c r="N24" i="1"/>
  <c r="O24" i="1"/>
  <c r="M25" i="1"/>
  <c r="N25" i="1"/>
  <c r="O25" i="1"/>
  <c r="N26" i="1"/>
  <c r="O26" i="1"/>
  <c r="J22" i="1"/>
  <c r="J23" i="1"/>
  <c r="J24" i="1"/>
  <c r="J25" i="1"/>
  <c r="L46" i="1"/>
  <c r="L47" i="1" s="1"/>
  <c r="P44" i="1"/>
  <c r="P27" i="1" l="1"/>
  <c r="Q27" i="1" s="1"/>
  <c r="P28" i="1"/>
  <c r="Q28" i="1" s="1"/>
  <c r="P30" i="1"/>
  <c r="Q30" i="1" s="1"/>
  <c r="P29" i="1"/>
  <c r="Q29" i="1" s="1"/>
  <c r="P26" i="1"/>
  <c r="Q26" i="1" s="1"/>
  <c r="P24" i="1"/>
  <c r="Q24" i="1" s="1"/>
  <c r="P22" i="1"/>
  <c r="Q22" i="1" s="1"/>
  <c r="P23" i="1"/>
  <c r="Q23" i="1" s="1"/>
  <c r="P25" i="1"/>
  <c r="Q25" i="1" s="1"/>
  <c r="P43" i="1"/>
  <c r="P45" i="1"/>
  <c r="P46" i="1"/>
  <c r="L50" i="1" l="1"/>
  <c r="N21" i="1"/>
  <c r="N35" i="1" s="1"/>
  <c r="O21" i="1"/>
  <c r="U21" i="1" l="1"/>
  <c r="U35" i="1" s="1"/>
  <c r="U36" i="1" s="1"/>
  <c r="U37" i="1" s="1"/>
  <c r="T21" i="1"/>
  <c r="T37" i="1" s="1"/>
  <c r="P21" i="1"/>
  <c r="Q21" i="1" s="1"/>
  <c r="Q36" i="1" s="1"/>
  <c r="W43" i="1"/>
  <c r="W44" i="1" s="1"/>
  <c r="P42" i="1" l="1"/>
  <c r="Q37" i="1" l="1"/>
  <c r="Q38" i="1" s="1"/>
  <c r="Q39" i="1" s="1"/>
  <c r="N41" i="1" s="1"/>
  <c r="O20" i="1"/>
  <c r="M20" i="1"/>
  <c r="S4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P41" i="1" l="1"/>
  <c r="P47" i="1" s="1"/>
  <c r="P48" i="1" s="1"/>
  <c r="S48" i="1"/>
  <c r="D20" i="3" l="1"/>
  <c r="E20" i="3" s="1"/>
  <c r="E21" i="3" s="1"/>
  <c r="P49" i="1" l="1"/>
  <c r="D21" i="3"/>
  <c r="M43" i="3" s="1"/>
  <c r="D12" i="3" s="1"/>
  <c r="F20" i="3"/>
  <c r="F21" i="3" s="1"/>
  <c r="P50" i="1" l="1"/>
  <c r="R20" i="1"/>
  <c r="E15" i="3"/>
  <c r="R28" i="1" l="1"/>
  <c r="S28" i="1" s="1"/>
  <c r="R29" i="1"/>
  <c r="S29" i="1" s="1"/>
  <c r="R30" i="1"/>
  <c r="S30" i="1" s="1"/>
  <c r="R27" i="1"/>
  <c r="S27" i="1" s="1"/>
  <c r="R24" i="1"/>
  <c r="S24" i="1" s="1"/>
  <c r="R22" i="1"/>
  <c r="S22" i="1" s="1"/>
  <c r="R25" i="1"/>
  <c r="S25" i="1" s="1"/>
  <c r="R23" i="1"/>
  <c r="S23" i="1" s="1"/>
  <c r="R26" i="1"/>
  <c r="S26" i="1" s="1"/>
  <c r="R21" i="1"/>
  <c r="F15" i="3"/>
  <c r="S21" i="1" l="1"/>
  <c r="J21" i="1" l="1"/>
  <c r="J3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<sst xmlns="http://schemas.openxmlformats.org/spreadsheetml/2006/main" count="259" uniqueCount="189">
  <si>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</si>
  <si>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</si>
  <si>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</si>
  <si>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</si>
  <si>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</si>
  <si>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</si>
  <si>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</si>
  <si>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</si>
  <si>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</si>
  <si>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</si>
  <si>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</si>
  <si>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</si>
  <si>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</si>
  <si>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</si>
  <si>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</si>
  <si>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</si>
  <si>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</si>
  <si>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</si>
  <si>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</si>
  <si>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</si>
  <si>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</si>
  <si>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</si>
  <si>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</si>
  <si>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</si>
  <si>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</si>
  <si>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</si>
  <si>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</si>
  <si>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</si>
  <si>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</si>
  <si>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</si>
  <si>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</si>
  <si>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</si>
  <si>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</si>
  <si>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</si>
  <si>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</si>
  <si>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</si>
  <si>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</si>
  <si>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</si>
  <si>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</si>
  <si>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</si>
  <si>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</si>
  <si>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</si>
  <si>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</si>
  <si>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</si>
  <si>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</si>
  <si>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</si>
  <si>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</si>
  <si>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</si>
  <si>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</si>
  <si>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</si>
  <si>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</si>
  <si>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</si>
  <si>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</si>
  <si>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</si>
  <si>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</si>
  <si>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</si>
  <si>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</si>
  <si>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</si>
  <si>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</si>
  <si>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</si>
  <si>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</si>
  <si>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</si>
  <si>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</si>
  <si>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</si>
  <si>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</si>
  <si>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</si>
  <si>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</si>
  <si>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</si>
  <si>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</si>
  <si>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</si>
  <si>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</si>
  <si>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</si>
  <si>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</si>
  <si>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</si>
  <si>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</si>
  <si>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</si>
  <si>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</si>
  <si>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</si>
  <si>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</si>
  <si>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</si>
  <si>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</si>
  <si>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</si>
  <si>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</si>
  <si>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</si>
  <si>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</si>
  <si>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</si>
  <si>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</si>
  <si>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</si>
  <si>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</si>
  <si>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</si>
  <si>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</si>
  <si>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</si>
  <si>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</si>
  <si>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</si>
  <si>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</si>
  <si>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</si>
  <si>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</si>
  <si>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</si>
  <si>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</si>
  <si>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</si>
  <si>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</si>
  <si>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</si>
  <si>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</si>
  <si>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</si>
  <si>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</si>
  <si>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</si>
  <si>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</si>
  <si>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</si>
  <si>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</si>
  <si>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</si>
  <si>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</si>
  <si>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</si>
  <si>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</si>
  <si>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</si>
  <si>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</si>
  <si>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</si>
  <si>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</si>
  <si>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</si>
  <si>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</si>
  <si>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</si>
  <si>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</si>
  <si>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</si>
  <si>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</si>
  <si>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</si>
  <si>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</si>
  <si>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</si>
  <si>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</si>
  <si>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</si>
  <si>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</si>
  <si>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</si>
  <si>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</si>
  <si>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</si>
  <si>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</si>
  <si>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</si>
  <si>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</si>
  <si>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</si>
  <si>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</si>
  <si>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</si>
  <si>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</si>
  <si>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</si>
  <si>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</si>
  <si>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</si>
  <si>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</si>
  <si>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</si>
  <si>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</si>
  <si>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</si>
  <si>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</si>
  <si>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</si>
  <si>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</si>
  <si>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</si>
  <si>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</si>
  <si>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</si>
  <si>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</si>
  <si>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</si>
  <si>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</si>
  <si>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</si>
  <si>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</si>
  <si>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</si>
  <si>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</si>
  <si>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</si>
  <si>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</si>
  <si>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</si>
  <si>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</si>
  <si>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</si>
  <si>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</si>
  <si>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</si>
  <si>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</si>
  <si>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GRIS NUBE</t>
  </si>
  <si>
    <t>KING</t>
  </si>
  <si>
    <t>MDF 3MM</t>
  </si>
  <si>
    <t>152X244</t>
  </si>
  <si>
    <t>10 DIAS HABILES</t>
  </si>
  <si>
    <t>CUB C/R FRENTE 90° R8</t>
  </si>
  <si>
    <t>N° 11357</t>
  </si>
  <si>
    <t>SEPTIMA AVENIDA 1163 DEPTO. 205</t>
  </si>
  <si>
    <t>+569 8159 4702</t>
  </si>
  <si>
    <t>CLASSIC 3111 BR</t>
  </si>
  <si>
    <t>PUERTA RECTA MELAMINA</t>
  </si>
  <si>
    <t>AZUL ACERO 18MM</t>
  </si>
  <si>
    <t>MURALES</t>
  </si>
  <si>
    <t>BASE</t>
  </si>
  <si>
    <t>LAVAPLATOS</t>
  </si>
  <si>
    <t>CAJONERA</t>
  </si>
  <si>
    <t>MUEBLE DESPENSA</t>
  </si>
  <si>
    <t>FONDO</t>
  </si>
  <si>
    <t>RIELES 45MM</t>
  </si>
  <si>
    <t>SERVICIO INSTALACION</t>
  </si>
  <si>
    <t>JUVENAL HIDALGO</t>
  </si>
  <si>
    <t>MELAMINA BLANCA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</si>
</sst>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</xdr:colOff>
      <xdr:row>39</xdr:row>
      <xdr:rowOff>26670</xdr:rowOff>
    </xdr:from>
    <xdr:to>
      <xdr:col>9</xdr:col>
      <xdr:colOff>1034435</xdr:colOff>
      <xdr:row>42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8</xdr:col>
      <xdr:colOff>222885</xdr:colOff>
      <xdr:row>41</xdr:row>
      <xdr:rowOff>154305</xdr:rowOff>
    </xdr:from>
    <xdr:to>
      <xdr:col>9</xdr:col>
      <xdr:colOff>853440</xdr:colOff>
      <xdr:row>41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39</xdr:row>
      <xdr:rowOff>9525</xdr:rowOff>
    </xdr:from>
    <xdr:to>
      <xdr:col>7</xdr:col>
      <xdr:colOff>1714500</xdr:colOff>
      <xdr:row>42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33</xdr:row>
      <xdr:rowOff>206170</xdr:rowOff>
    </xdr:from>
    <xdr:to>
      <xdr:col>7</xdr:col>
      <xdr:colOff>1643259</xdr:colOff>
      <xdr:row>37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 ENCHAPADAS CON TAPACANTO PVC 0,45MM</a:t>
          </a:r>
          <a:r>
            <a:rPr lang="es-CL" sz="1200" b="1" baseline="0"/>
            <a:t> 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592"/>
  <sheetViews>
    <sheetView tabSelected="1" topLeftCell="A5" zoomScale="93" zoomScaleNormal="93" workbookViewId="0">
      <selection activeCell="I11" sqref="I11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6" width="10.5546875" customWidth="1"/>
    <col min="7" max="7" width="14.109375" customWidth="1"/>
    <col min="8" max="8" width="29" customWidth="1"/>
    <col min="9" max="9" width="14" customWidth="1"/>
    <col min="10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H2" s="242" t="s">
        <v>142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H3" s="59" t="s">
        <v>139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H4" s="59" t="s">
        <v>143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H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H6" s="59" t="s">
        <v>15</v>
      </c>
      <c r="P6" s="33" t="s">
        <v>20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H7" s="59" t="s">
        <v>125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292" t="s">
        <v>127</v>
      </c>
      <c r="C8" s="293"/>
      <c r="D8" s="325" t="s">
        <v>173</v>
      </c>
      <c r="H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308" t="s">
        <v>162</v>
      </c>
      <c r="C10" s="279" t="s">
        <v>187</v>
      </c>
      <c r="D10" s="243"/>
      <c r="E10" s="243"/>
      <c r="F10" s="243"/>
      <c r="G10" s="243"/>
      <c r="H10" s="244" t="s">
        <v>0</v>
      </c>
      <c r="I10" s="277">
        <v>45736</v>
      </c>
      <c r="J10" s="245"/>
      <c r="L10" s="1"/>
      <c r="S10" s="2"/>
      <c r="T10" s="3"/>
      <c r="U10" s="3"/>
      <c r="V10" s="4"/>
      <c r="W10" s="2"/>
      <c r="X10" s="3"/>
    </row>
    <row r="11" spans="2:25" ht="16.8" x14ac:dyDescent="0.4">
      <c r="B11" s="288" t="s">
        <v>12</v>
      </c>
      <c r="C11" s="301"/>
      <c r="H11" t="s">
        <v>124</v>
      </c>
      <c r="I11" s="289" t="s">
        <v>171</v>
      </c>
      <c r="J11" s="290"/>
      <c r="R11" s="19"/>
      <c r="S11" s="25" t="s">
        <v>19</v>
      </c>
      <c r="T11" s="19"/>
    </row>
    <row r="12" spans="2:25" ht="16.8" x14ac:dyDescent="0.4">
      <c r="B12" s="246" t="s">
        <v>145</v>
      </c>
      <c r="C12" s="312"/>
      <c r="D12" s="247"/>
      <c r="E12" s="247"/>
      <c r="F12" s="247"/>
      <c r="G12" s="247"/>
      <c r="H12" s="247" t="s">
        <v>128</v>
      </c>
      <c r="I12" s="278" t="s">
        <v>136</v>
      </c>
      <c r="J12" s="248"/>
      <c r="R12" s="19"/>
      <c r="S12" s="25"/>
      <c r="T12" s="19"/>
    </row>
    <row r="13" spans="2:25" x14ac:dyDescent="0.3">
      <c r="B13" s="288" t="s">
        <v>146</v>
      </c>
      <c r="I13" s="313"/>
      <c r="J13" s="290"/>
      <c r="R13" s="19"/>
      <c r="S13" s="25"/>
      <c r="T13" s="19"/>
    </row>
    <row r="14" spans="2:25" x14ac:dyDescent="0.3">
      <c r="B14" s="246" t="s">
        <v>140</v>
      </c>
      <c r="C14" s="320"/>
      <c r="D14" s="247"/>
      <c r="E14" s="247"/>
      <c r="F14" s="247"/>
      <c r="G14" s="247"/>
      <c r="H14" s="321" t="s">
        <v>137</v>
      </c>
      <c r="I14" s="291" t="s">
        <v>166</v>
      </c>
      <c r="J14" s="248"/>
      <c r="L14" s="29"/>
      <c r="R14" s="20"/>
      <c r="S14" s="26" t="s">
        <v>18</v>
      </c>
      <c r="T14" s="20"/>
    </row>
    <row r="15" spans="2:25" ht="15.6" x14ac:dyDescent="0.3">
      <c r="B15" s="288" t="s">
        <v>4</v>
      </c>
      <c r="C15" s="315" t="s">
        <v>175</v>
      </c>
      <c r="D15" s="316"/>
      <c r="H15" t="s">
        <v>135</v>
      </c>
      <c r="I15" s="314" t="s">
        <v>166</v>
      </c>
      <c r="J15" s="290"/>
    </row>
    <row r="16" spans="2:25" ht="16.8" x14ac:dyDescent="0.4">
      <c r="B16" s="322" t="s">
        <v>3</v>
      </c>
      <c r="C16" s="312" t="s">
        <v>174</v>
      </c>
      <c r="D16" s="247"/>
      <c r="E16" s="247"/>
      <c r="F16" s="247"/>
      <c r="G16" s="247"/>
      <c r="H16" s="323" t="s">
        <v>130</v>
      </c>
      <c r="I16" s="324" t="s">
        <v>163</v>
      </c>
      <c r="J16" s="248"/>
    </row>
    <row r="17" spans="2:26" ht="15" thickBot="1" x14ac:dyDescent="0.35">
      <c r="B17" s="317" t="s">
        <v>13</v>
      </c>
      <c r="C17" s="318" t="s">
        <v>165</v>
      </c>
      <c r="D17" s="319"/>
      <c r="E17" s="119"/>
      <c r="F17" s="119"/>
      <c r="G17" s="119"/>
      <c r="H17" s="333" t="s">
        <v>164</v>
      </c>
      <c r="I17" s="333"/>
      <c r="J17" s="334"/>
      <c r="K17" s="263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x14ac:dyDescent="0.3">
      <c r="B19" s="335" t="s">
        <v>147</v>
      </c>
      <c r="C19" s="336"/>
      <c r="D19" s="336"/>
      <c r="E19" s="336"/>
      <c r="F19" s="336"/>
      <c r="G19" s="336"/>
      <c r="H19" s="336"/>
      <c r="I19" s="336"/>
      <c r="J19" s="337"/>
      <c r="K19" s="264"/>
      <c r="L19" s="5"/>
      <c r="M19" s="250"/>
      <c r="N19" s="14">
        <v>0.05</v>
      </c>
      <c r="O19" s="14"/>
      <c r="P19" s="14"/>
      <c r="Q19" s="251" t="s">
        <v>6</v>
      </c>
      <c r="R19" s="36" t="s">
        <v>21</v>
      </c>
      <c r="S19" s="37" t="s">
        <v>134</v>
      </c>
      <c r="T19" s="10" t="s">
        <v>138</v>
      </c>
      <c r="V19" s="9"/>
      <c r="W19" s="9"/>
      <c r="Y19" s="6"/>
      <c r="Z19" s="6"/>
    </row>
    <row r="20" spans="2:26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184</v>
      </c>
      <c r="G20" s="310"/>
      <c r="H20" s="310" t="s">
        <v>8</v>
      </c>
      <c r="I20" s="310" t="s">
        <v>5</v>
      </c>
      <c r="J20" s="311" t="s">
        <v>6</v>
      </c>
      <c r="K20" s="265"/>
      <c r="L20" s="47"/>
      <c r="M20" s="268" t="str">
        <f>B20</f>
        <v>UNIDAD</v>
      </c>
      <c r="N20" s="267" t="s">
        <v>132</v>
      </c>
      <c r="O20" s="39" t="str">
        <f t="shared" ref="O20" si="0">E20</f>
        <v>ANCHO</v>
      </c>
      <c r="P20" s="261" t="s">
        <v>133</v>
      </c>
      <c r="Q20" s="259" t="s">
        <v>17</v>
      </c>
      <c r="R20" s="252">
        <f>P49</f>
        <v>42684.517285416616</v>
      </c>
      <c r="S20" s="258">
        <v>5000</v>
      </c>
      <c r="T20" s="38"/>
      <c r="U20" s="14" t="s">
        <v>129</v>
      </c>
      <c r="V20" s="9"/>
      <c r="Y20" s="4"/>
    </row>
    <row r="21" spans="2:26" ht="17.399999999999999" x14ac:dyDescent="0.3">
      <c r="B21" s="326">
        <v>1</v>
      </c>
      <c r="C21" s="326" t="s">
        <v>172</v>
      </c>
      <c r="D21" s="327">
        <v>2.4300000000000002</v>
      </c>
      <c r="E21" s="327">
        <v>0.5</v>
      </c>
      <c r="F21" s="327"/>
      <c r="G21" s="327"/>
      <c r="H21" s="326" t="s">
        <v>176</v>
      </c>
      <c r="I21" s="328">
        <v>99606</v>
      </c>
      <c r="J21" s="328">
        <f>I21*B21</f>
        <v>99606</v>
      </c>
      <c r="K21" s="265"/>
      <c r="L21" s="47"/>
      <c r="M21" s="330"/>
      <c r="N21" s="39">
        <f t="shared" ref="N21" si="1">D21+N$19</f>
        <v>2.48</v>
      </c>
      <c r="O21" s="39">
        <f t="shared" ref="O21" si="2">E21+O$19</f>
        <v>0.5</v>
      </c>
      <c r="P21" s="261">
        <f t="shared" ref="P21" si="3">N21*O21</f>
        <v>1.24</v>
      </c>
      <c r="Q21" s="259">
        <f t="shared" ref="Q21" si="4">P21*M21</f>
        <v>0</v>
      </c>
      <c r="R21" s="252">
        <f t="shared" ref="R21" si="5">R$20*P21</f>
        <v>52928.801433916604</v>
      </c>
      <c r="S21" s="329">
        <f t="shared" ref="S21" si="6">R21+S$20</f>
        <v>57928.801433916604</v>
      </c>
      <c r="T21" s="298">
        <f>N21*M21*2</f>
        <v>0</v>
      </c>
      <c r="U21" s="46">
        <f>O21*2*M21</f>
        <v>0</v>
      </c>
      <c r="V21" s="9"/>
      <c r="Y21" s="4"/>
    </row>
    <row r="22" spans="2:26" ht="17.399999999999999" x14ac:dyDescent="0.3">
      <c r="B22" s="326">
        <v>4</v>
      </c>
      <c r="C22" s="326" t="s">
        <v>177</v>
      </c>
      <c r="D22" s="327">
        <v>0.6</v>
      </c>
      <c r="E22" s="327">
        <v>0.39800000000000002</v>
      </c>
      <c r="F22" s="327"/>
      <c r="G22" s="327" t="s">
        <v>179</v>
      </c>
      <c r="H22" s="326" t="s">
        <v>178</v>
      </c>
      <c r="I22" s="328">
        <v>16042</v>
      </c>
      <c r="J22" s="328">
        <f t="shared" ref="J22:J25" si="7">I22*B22</f>
        <v>64168</v>
      </c>
      <c r="K22" s="265"/>
      <c r="L22" s="47"/>
      <c r="M22" s="330">
        <f t="shared" ref="M22:M24" si="8">B22</f>
        <v>4</v>
      </c>
      <c r="N22" s="39">
        <f t="shared" ref="N22:N26" si="9">D22+N$19</f>
        <v>0.65</v>
      </c>
      <c r="O22" s="39">
        <f t="shared" ref="O22:O26" si="10">E22+O$19</f>
        <v>0.39800000000000002</v>
      </c>
      <c r="P22" s="261">
        <f t="shared" ref="P22:P26" si="11">N22*O22</f>
        <v>0.25870000000000004</v>
      </c>
      <c r="Q22" s="259">
        <f t="shared" ref="Q22:Q26" si="12">P22*M22</f>
        <v>1.0348000000000002</v>
      </c>
      <c r="R22" s="252">
        <f t="shared" ref="R22:R26" si="13">R$20*P22</f>
        <v>11042.48462173728</v>
      </c>
      <c r="S22" s="329">
        <f t="shared" ref="S22:S26" si="14">R22+S$20</f>
        <v>16042.48462173728</v>
      </c>
      <c r="T22" s="298"/>
      <c r="U22" s="46"/>
      <c r="V22" s="9"/>
      <c r="Y22" s="4"/>
    </row>
    <row r="23" spans="2:26" ht="17.399999999999999" x14ac:dyDescent="0.3">
      <c r="B23" s="326">
        <v>2</v>
      </c>
      <c r="C23" s="326" t="s">
        <v>177</v>
      </c>
      <c r="D23" s="327">
        <v>0.6</v>
      </c>
      <c r="E23" s="327">
        <v>0.29799999999999999</v>
      </c>
      <c r="F23" s="327"/>
      <c r="G23" s="327" t="s">
        <v>179</v>
      </c>
      <c r="H23" s="326" t="s">
        <v>178</v>
      </c>
      <c r="I23" s="328">
        <v>13268</v>
      </c>
      <c r="J23" s="328">
        <f t="shared" si="7"/>
        <v>26536</v>
      </c>
      <c r="K23" s="265"/>
      <c r="L23" s="47"/>
      <c r="M23" s="330">
        <f t="shared" si="8"/>
        <v>2</v>
      </c>
      <c r="N23" s="39">
        <f t="shared" si="9"/>
        <v>0.65</v>
      </c>
      <c r="O23" s="39">
        <f t="shared" si="10"/>
        <v>0.29799999999999999</v>
      </c>
      <c r="P23" s="261">
        <f t="shared" si="11"/>
        <v>0.19370000000000001</v>
      </c>
      <c r="Q23" s="259">
        <f t="shared" si="12"/>
        <v>0.38740000000000002</v>
      </c>
      <c r="R23" s="252">
        <f t="shared" si="13"/>
        <v>8267.9909981851997</v>
      </c>
      <c r="S23" s="329">
        <f t="shared" si="14"/>
        <v>13267.9909981852</v>
      </c>
      <c r="T23" s="298"/>
      <c r="U23" s="46"/>
      <c r="V23" s="9"/>
      <c r="Y23" s="4"/>
    </row>
    <row r="24" spans="2:26" ht="17.399999999999999" x14ac:dyDescent="0.3">
      <c r="B24" s="326">
        <v>4</v>
      </c>
      <c r="C24" s="326" t="s">
        <v>177</v>
      </c>
      <c r="D24" s="327">
        <v>0.66</v>
      </c>
      <c r="E24" s="327">
        <v>0.39800000000000002</v>
      </c>
      <c r="F24" s="327"/>
      <c r="G24" s="327" t="s">
        <v>180</v>
      </c>
      <c r="H24" s="326" t="s">
        <v>178</v>
      </c>
      <c r="I24" s="328">
        <v>17062</v>
      </c>
      <c r="J24" s="328">
        <f t="shared" si="7"/>
        <v>68248</v>
      </c>
      <c r="K24" s="265"/>
      <c r="L24" s="47"/>
      <c r="M24" s="330">
        <f t="shared" si="8"/>
        <v>4</v>
      </c>
      <c r="N24" s="39">
        <f t="shared" si="9"/>
        <v>0.71000000000000008</v>
      </c>
      <c r="O24" s="39">
        <f t="shared" si="10"/>
        <v>0.39800000000000002</v>
      </c>
      <c r="P24" s="261">
        <f t="shared" si="11"/>
        <v>0.28258000000000005</v>
      </c>
      <c r="Q24" s="259">
        <f t="shared" si="12"/>
        <v>1.1303200000000002</v>
      </c>
      <c r="R24" s="252">
        <f t="shared" si="13"/>
        <v>12061.790894513029</v>
      </c>
      <c r="S24" s="329">
        <f t="shared" si="14"/>
        <v>17061.790894513029</v>
      </c>
      <c r="T24" s="298"/>
      <c r="U24" s="46"/>
      <c r="V24" s="9"/>
      <c r="Y24" s="4"/>
    </row>
    <row r="25" spans="2:26" ht="17.399999999999999" x14ac:dyDescent="0.3">
      <c r="B25" s="326">
        <v>2</v>
      </c>
      <c r="C25" s="326" t="s">
        <v>177</v>
      </c>
      <c r="D25" s="327">
        <v>0.66</v>
      </c>
      <c r="E25" s="327">
        <v>0.48599999999999999</v>
      </c>
      <c r="F25" s="327"/>
      <c r="G25" s="327" t="s">
        <v>181</v>
      </c>
      <c r="H25" s="326" t="s">
        <v>178</v>
      </c>
      <c r="I25" s="328">
        <v>19729</v>
      </c>
      <c r="J25" s="328">
        <f t="shared" si="7"/>
        <v>39458</v>
      </c>
      <c r="K25" s="265"/>
      <c r="L25" s="47"/>
      <c r="M25" s="330">
        <f t="shared" ref="M25:M26" si="15">B25</f>
        <v>2</v>
      </c>
      <c r="N25" s="39">
        <f t="shared" si="9"/>
        <v>0.71000000000000008</v>
      </c>
      <c r="O25" s="39">
        <f t="shared" si="10"/>
        <v>0.48599999999999999</v>
      </c>
      <c r="P25" s="261">
        <f t="shared" si="11"/>
        <v>0.34506000000000003</v>
      </c>
      <c r="Q25" s="259">
        <f t="shared" si="12"/>
        <v>0.69012000000000007</v>
      </c>
      <c r="R25" s="252">
        <f t="shared" si="13"/>
        <v>14728.719534505859</v>
      </c>
      <c r="S25" s="329">
        <f t="shared" si="14"/>
        <v>19728.719534505857</v>
      </c>
      <c r="T25" s="298"/>
      <c r="U25" s="46"/>
      <c r="V25" s="9"/>
      <c r="Y25" s="4"/>
    </row>
    <row r="26" spans="2:26" ht="17.399999999999999" x14ac:dyDescent="0.3">
      <c r="B26" s="326">
        <v>1</v>
      </c>
      <c r="C26" s="326" t="s">
        <v>177</v>
      </c>
      <c r="D26" s="327">
        <v>0.17</v>
      </c>
      <c r="E26" s="327">
        <v>0.41</v>
      </c>
      <c r="F26" s="327"/>
      <c r="G26" s="327" t="s">
        <v>182</v>
      </c>
      <c r="H26" s="326" t="s">
        <v>178</v>
      </c>
      <c r="I26" s="328">
        <v>8850</v>
      </c>
      <c r="J26" s="328">
        <f t="shared" ref="J26:J30" si="16">I26*B26</f>
        <v>8850</v>
      </c>
      <c r="K26" s="265"/>
      <c r="L26" s="47"/>
      <c r="M26" s="330">
        <f t="shared" si="15"/>
        <v>1</v>
      </c>
      <c r="N26" s="39">
        <f t="shared" si="9"/>
        <v>0.22000000000000003</v>
      </c>
      <c r="O26" s="39">
        <f t="shared" si="10"/>
        <v>0.41</v>
      </c>
      <c r="P26" s="261">
        <f t="shared" si="11"/>
        <v>9.0200000000000002E-2</v>
      </c>
      <c r="Q26" s="259">
        <f t="shared" si="12"/>
        <v>9.0200000000000002E-2</v>
      </c>
      <c r="R26" s="252">
        <f t="shared" si="13"/>
        <v>3850.1434591445786</v>
      </c>
      <c r="S26" s="329">
        <f t="shared" si="14"/>
        <v>8850.1434591445795</v>
      </c>
      <c r="T26" s="298"/>
      <c r="U26" s="46"/>
      <c r="V26" s="9"/>
      <c r="Y26" s="4"/>
    </row>
    <row r="27" spans="2:26" ht="17.399999999999999" x14ac:dyDescent="0.3">
      <c r="B27" s="326">
        <v>1</v>
      </c>
      <c r="C27" s="326" t="s">
        <v>177</v>
      </c>
      <c r="D27" s="327">
        <v>0.18</v>
      </c>
      <c r="E27" s="327">
        <v>0.41</v>
      </c>
      <c r="F27" s="327"/>
      <c r="G27" s="327" t="s">
        <v>182</v>
      </c>
      <c r="H27" s="326" t="s">
        <v>178</v>
      </c>
      <c r="I27" s="328">
        <v>9025</v>
      </c>
      <c r="J27" s="328">
        <f t="shared" si="16"/>
        <v>9025</v>
      </c>
      <c r="K27" s="265"/>
      <c r="L27" s="47"/>
      <c r="M27" s="330">
        <f t="shared" ref="M27:M29" si="17">B27</f>
        <v>1</v>
      </c>
      <c r="N27" s="39">
        <f t="shared" ref="N27:N30" si="18">D27+N$19</f>
        <v>0.22999999999999998</v>
      </c>
      <c r="O27" s="39">
        <f t="shared" ref="O27:O30" si="19">E27+O$19</f>
        <v>0.41</v>
      </c>
      <c r="P27" s="261">
        <f t="shared" ref="P27:P30" si="20">N27*O27</f>
        <v>9.4299999999999981E-2</v>
      </c>
      <c r="Q27" s="259">
        <f t="shared" ref="Q27:Q30" si="21">P27*M27</f>
        <v>9.4299999999999981E-2</v>
      </c>
      <c r="R27" s="252">
        <f t="shared" ref="R27:R30" si="22">R$20*P27</f>
        <v>4025.1499800147863</v>
      </c>
      <c r="S27" s="329">
        <f t="shared" ref="S27:S30" si="23">R27+S$20</f>
        <v>9025.1499800147867</v>
      </c>
      <c r="T27" s="298"/>
      <c r="U27" s="46"/>
      <c r="V27" s="9"/>
      <c r="Y27" s="4"/>
    </row>
    <row r="28" spans="2:26" ht="17.399999999999999" x14ac:dyDescent="0.3">
      <c r="B28" s="326">
        <v>1</v>
      </c>
      <c r="C28" s="326" t="s">
        <v>177</v>
      </c>
      <c r="D28" s="327">
        <v>0.3</v>
      </c>
      <c r="E28" s="327">
        <v>0.41</v>
      </c>
      <c r="F28" s="327"/>
      <c r="G28" s="327" t="s">
        <v>182</v>
      </c>
      <c r="H28" s="326" t="s">
        <v>178</v>
      </c>
      <c r="I28" s="328">
        <v>11125</v>
      </c>
      <c r="J28" s="328">
        <f t="shared" si="16"/>
        <v>11125</v>
      </c>
      <c r="K28" s="265"/>
      <c r="L28" s="47"/>
      <c r="M28" s="330">
        <f t="shared" si="17"/>
        <v>1</v>
      </c>
      <c r="N28" s="39">
        <f t="shared" si="18"/>
        <v>0.35</v>
      </c>
      <c r="O28" s="39">
        <f t="shared" si="19"/>
        <v>0.41</v>
      </c>
      <c r="P28" s="261">
        <f t="shared" si="20"/>
        <v>0.14349999999999999</v>
      </c>
      <c r="Q28" s="259">
        <f t="shared" si="21"/>
        <v>0.14349999999999999</v>
      </c>
      <c r="R28" s="252">
        <f t="shared" si="22"/>
        <v>6125.2282304572836</v>
      </c>
      <c r="S28" s="329">
        <f t="shared" si="23"/>
        <v>11125.228230457284</v>
      </c>
      <c r="T28" s="298"/>
      <c r="U28" s="46"/>
      <c r="V28" s="9"/>
      <c r="Y28" s="4"/>
    </row>
    <row r="29" spans="2:26" ht="17.399999999999999" x14ac:dyDescent="0.3">
      <c r="B29" s="326">
        <v>1</v>
      </c>
      <c r="C29" s="326" t="s">
        <v>183</v>
      </c>
      <c r="D29" s="327">
        <v>0.7</v>
      </c>
      <c r="E29" s="327">
        <v>0.5</v>
      </c>
      <c r="F29" s="327">
        <v>0.3</v>
      </c>
      <c r="G29" s="327"/>
      <c r="H29" s="326" t="s">
        <v>188</v>
      </c>
      <c r="I29" s="328">
        <v>35000</v>
      </c>
      <c r="J29" s="328">
        <f t="shared" si="16"/>
        <v>35000</v>
      </c>
      <c r="K29" s="265"/>
      <c r="L29" s="47"/>
      <c r="M29" s="330"/>
      <c r="N29" s="39">
        <f t="shared" si="18"/>
        <v>0.75</v>
      </c>
      <c r="O29" s="39">
        <f t="shared" si="19"/>
        <v>0.5</v>
      </c>
      <c r="P29" s="261">
        <f t="shared" si="20"/>
        <v>0.375</v>
      </c>
      <c r="Q29" s="259">
        <f t="shared" si="21"/>
        <v>0</v>
      </c>
      <c r="R29" s="252">
        <f t="shared" si="22"/>
        <v>16006.693982031231</v>
      </c>
      <c r="S29" s="329">
        <f t="shared" si="23"/>
        <v>21006.693982031233</v>
      </c>
      <c r="T29" s="298"/>
      <c r="U29" s="46"/>
      <c r="V29" s="9"/>
      <c r="Y29" s="4"/>
    </row>
    <row r="30" spans="2:26" ht="17.399999999999999" x14ac:dyDescent="0.3">
      <c r="B30" s="326">
        <v>3</v>
      </c>
      <c r="C30" s="326" t="s">
        <v>185</v>
      </c>
      <c r="D30" s="327"/>
      <c r="E30" s="327"/>
      <c r="F30" s="327"/>
      <c r="G30" s="327"/>
      <c r="H30" s="326"/>
      <c r="I30" s="328">
        <v>7500</v>
      </c>
      <c r="J30" s="328">
        <f t="shared" si="16"/>
        <v>22500</v>
      </c>
      <c r="K30" s="265"/>
      <c r="L30" s="47"/>
      <c r="M30" s="330"/>
      <c r="N30" s="39">
        <f t="shared" si="18"/>
        <v>0.05</v>
      </c>
      <c r="O30" s="39">
        <f t="shared" si="19"/>
        <v>0</v>
      </c>
      <c r="P30" s="261">
        <f t="shared" si="20"/>
        <v>0</v>
      </c>
      <c r="Q30" s="259">
        <f t="shared" si="21"/>
        <v>0</v>
      </c>
      <c r="R30" s="252">
        <f t="shared" si="22"/>
        <v>0</v>
      </c>
      <c r="S30" s="329">
        <f t="shared" si="23"/>
        <v>5000</v>
      </c>
      <c r="T30" s="298"/>
      <c r="U30" s="46"/>
      <c r="V30" s="9"/>
      <c r="Y30" s="4"/>
    </row>
    <row r="31" spans="2:26" ht="17.399999999999999" x14ac:dyDescent="0.3">
      <c r="B31" s="326">
        <v>1</v>
      </c>
      <c r="C31" s="326" t="s">
        <v>186</v>
      </c>
      <c r="D31" s="327"/>
      <c r="E31" s="327"/>
      <c r="F31" s="327"/>
      <c r="G31" s="327"/>
      <c r="H31" s="326"/>
      <c r="I31" s="328">
        <v>115000</v>
      </c>
      <c r="J31" s="328">
        <f t="shared" ref="J31" si="24">I31*B31</f>
        <v>115000</v>
      </c>
      <c r="K31" s="265"/>
      <c r="L31" s="47"/>
      <c r="M31" s="330"/>
      <c r="N31" s="39"/>
      <c r="O31" s="39"/>
      <c r="P31" s="261"/>
      <c r="Q31" s="259"/>
      <c r="R31" s="252"/>
      <c r="S31" s="329"/>
      <c r="T31" s="298"/>
      <c r="U31" s="46"/>
      <c r="V31" s="9"/>
      <c r="Y31" s="4"/>
    </row>
    <row r="32" spans="2:26" ht="17.399999999999999" x14ac:dyDescent="0.3">
      <c r="B32" s="286"/>
      <c r="C32" s="286"/>
      <c r="D32" s="287"/>
      <c r="E32" s="287"/>
      <c r="F32" s="287"/>
      <c r="G32" s="287"/>
      <c r="H32" s="286"/>
      <c r="I32" s="331"/>
      <c r="J32" s="331"/>
      <c r="K32" s="265"/>
      <c r="L32" s="47"/>
      <c r="M32" s="330"/>
      <c r="N32" s="39"/>
      <c r="O32" s="39"/>
      <c r="P32" s="261"/>
      <c r="Q32" s="259"/>
      <c r="R32" s="252"/>
      <c r="S32" s="329"/>
      <c r="T32" s="298"/>
      <c r="U32" s="46"/>
      <c r="V32" s="9"/>
      <c r="Y32" s="4"/>
    </row>
    <row r="33" spans="2:25" ht="17.399999999999999" x14ac:dyDescent="0.3">
      <c r="B33" s="286"/>
      <c r="C33" s="332"/>
      <c r="D33" s="287"/>
      <c r="E33" s="287"/>
      <c r="F33" s="287"/>
      <c r="G33" s="287"/>
      <c r="H33" s="286"/>
      <c r="I33" s="331"/>
      <c r="J33" s="331"/>
      <c r="K33" s="265"/>
      <c r="L33" s="47"/>
      <c r="M33" s="330"/>
      <c r="N33" s="39"/>
      <c r="O33" s="39"/>
      <c r="P33" s="261"/>
      <c r="Q33" s="259"/>
      <c r="R33" s="252"/>
      <c r="S33" s="329"/>
      <c r="T33" s="298"/>
      <c r="U33" s="46"/>
      <c r="V33" s="9"/>
      <c r="Y33" s="4"/>
    </row>
    <row r="34" spans="2:25" ht="18" thickBot="1" x14ac:dyDescent="0.35">
      <c r="B34" s="286"/>
      <c r="C34" s="286"/>
      <c r="D34" s="287"/>
      <c r="E34" s="287"/>
      <c r="F34" s="287"/>
      <c r="G34" s="287"/>
      <c r="H34" s="286"/>
      <c r="I34" s="265"/>
      <c r="J34" s="233"/>
      <c r="K34" s="233"/>
      <c r="L34" s="47"/>
      <c r="M34" s="47"/>
      <c r="N34" s="39"/>
      <c r="O34" s="39"/>
      <c r="P34" s="261">
        <v>0</v>
      </c>
      <c r="Q34" s="259"/>
      <c r="R34" s="252"/>
      <c r="S34" s="258"/>
      <c r="T34" s="298"/>
      <c r="U34" s="14"/>
      <c r="V34" s="9"/>
      <c r="Y34" s="4"/>
    </row>
    <row r="35" spans="2:25" ht="17.399999999999999" x14ac:dyDescent="0.3">
      <c r="B35" s="286"/>
      <c r="C35" s="286"/>
      <c r="D35" s="287"/>
      <c r="E35" s="287"/>
      <c r="F35" s="287"/>
      <c r="G35" s="287"/>
      <c r="H35" s="286"/>
      <c r="I35" s="299" t="s">
        <v>29</v>
      </c>
      <c r="J35" s="300">
        <f>SUM(J21:J34)</f>
        <v>499516</v>
      </c>
      <c r="K35" s="265"/>
      <c r="L35" s="47"/>
      <c r="M35" s="47"/>
      <c r="N35" s="39">
        <f>SUM(N21:N23)</f>
        <v>3.78</v>
      </c>
      <c r="O35" s="39"/>
      <c r="P35" s="261"/>
      <c r="Q35" s="259"/>
      <c r="R35" s="252"/>
      <c r="S35" s="258"/>
      <c r="T35" s="298"/>
      <c r="U35" s="46">
        <f>SUM(U21:U34)</f>
        <v>0</v>
      </c>
      <c r="V35" s="9"/>
      <c r="Y35" s="4"/>
    </row>
    <row r="36" spans="2:25" ht="17.399999999999999" x14ac:dyDescent="0.3">
      <c r="B36" s="280"/>
      <c r="C36" s="283"/>
      <c r="D36" s="284"/>
      <c r="E36" s="284"/>
      <c r="F36" s="284"/>
      <c r="G36" s="284"/>
      <c r="H36" s="285"/>
      <c r="I36" s="297" t="s">
        <v>52</v>
      </c>
      <c r="J36" s="295"/>
      <c r="K36" s="265"/>
      <c r="L36" s="47"/>
      <c r="M36" s="47"/>
      <c r="N36" s="39"/>
      <c r="O36" s="12"/>
      <c r="P36" s="12"/>
      <c r="Q36" s="253">
        <f>SUM(Q21:Q30)</f>
        <v>3.5706400000000005</v>
      </c>
      <c r="R36" s="14"/>
      <c r="S36" s="12"/>
      <c r="T36" s="239"/>
      <c r="U36" s="46">
        <f>U35*20%</f>
        <v>0</v>
      </c>
      <c r="V36" s="9"/>
      <c r="Y36" s="4"/>
    </row>
    <row r="37" spans="2:25" ht="18" thickBot="1" x14ac:dyDescent="0.35">
      <c r="B37" s="276"/>
      <c r="C37" s="282"/>
      <c r="D37" s="272"/>
      <c r="E37" s="272"/>
      <c r="F37" s="272"/>
      <c r="G37" s="272"/>
      <c r="H37" s="273"/>
      <c r="I37" s="281" t="s">
        <v>6</v>
      </c>
      <c r="J37" s="296">
        <f>J35+J36</f>
        <v>499516</v>
      </c>
      <c r="K37" s="265"/>
      <c r="L37" s="47"/>
      <c r="M37" s="47"/>
      <c r="N37" s="39"/>
      <c r="O37" s="12"/>
      <c r="P37" s="12"/>
      <c r="Q37" s="253">
        <f>Q36</f>
        <v>3.5706400000000005</v>
      </c>
      <c r="R37" s="14"/>
      <c r="S37" s="12"/>
      <c r="T37" s="239">
        <f>SUM(T21:T36)</f>
        <v>0</v>
      </c>
      <c r="U37" s="46">
        <f>U35+U36</f>
        <v>0</v>
      </c>
      <c r="V37" s="9"/>
      <c r="Y37" s="4"/>
    </row>
    <row r="38" spans="2:25" ht="17.399999999999999" x14ac:dyDescent="0.3">
      <c r="B38" s="276"/>
      <c r="C38" s="271"/>
      <c r="D38" s="272"/>
      <c r="E38" s="272"/>
      <c r="F38" s="272"/>
      <c r="G38" s="272"/>
      <c r="H38" s="273"/>
      <c r="K38" s="265"/>
      <c r="L38" s="47"/>
      <c r="M38" s="47"/>
      <c r="N38" s="14"/>
      <c r="O38" s="12"/>
      <c r="P38" s="12"/>
      <c r="Q38" s="39">
        <f>Q37*20%</f>
        <v>0.7141280000000001</v>
      </c>
      <c r="R38" s="39" t="s">
        <v>131</v>
      </c>
      <c r="S38" s="42"/>
      <c r="T38" s="240"/>
      <c r="U38" s="14"/>
      <c r="V38" s="9"/>
      <c r="Y38" s="4"/>
    </row>
    <row r="39" spans="2:25" ht="17.399999999999999" x14ac:dyDescent="0.3">
      <c r="B39" s="271"/>
      <c r="C39" s="271"/>
      <c r="D39" s="272"/>
      <c r="E39" s="272"/>
      <c r="F39" s="272"/>
      <c r="G39" s="272"/>
      <c r="H39" s="273"/>
      <c r="I39" s="274"/>
      <c r="J39" s="275"/>
      <c r="K39" s="265"/>
      <c r="L39" s="47"/>
      <c r="M39" s="47"/>
      <c r="N39" s="14"/>
      <c r="O39" s="12"/>
      <c r="P39" s="12"/>
      <c r="Q39" s="46">
        <f>Q37+Q38</f>
        <v>4.2847680000000006</v>
      </c>
      <c r="R39" s="14"/>
      <c r="S39" s="14"/>
      <c r="T39" s="238">
        <v>40</v>
      </c>
      <c r="U39" s="14"/>
      <c r="V39" s="9"/>
      <c r="Y39" s="4"/>
    </row>
    <row r="40" spans="2:25" ht="17.399999999999999" x14ac:dyDescent="0.35">
      <c r="B40" s="269"/>
      <c r="C40" s="230"/>
      <c r="D40" s="230"/>
      <c r="E40" s="233"/>
      <c r="F40" s="233"/>
      <c r="G40" s="233"/>
      <c r="H40" s="234"/>
      <c r="I40" s="230"/>
      <c r="J40" s="275"/>
      <c r="K40" s="265"/>
      <c r="L40" s="47"/>
      <c r="M40" s="47"/>
      <c r="N40" s="14"/>
      <c r="O40" s="14"/>
      <c r="P40" s="14"/>
      <c r="Q40" s="14"/>
      <c r="R40" s="14"/>
      <c r="S40" s="14"/>
      <c r="T40" s="238"/>
      <c r="U40" s="14"/>
      <c r="V40" s="305" t="s">
        <v>22</v>
      </c>
      <c r="W40" s="302" t="s">
        <v>152</v>
      </c>
      <c r="X40" s="306">
        <v>44971</v>
      </c>
      <c r="Y40" s="307"/>
    </row>
    <row r="41" spans="2:25" ht="17.399999999999999" x14ac:dyDescent="0.35">
      <c r="B41" s="235"/>
      <c r="C41" s="236"/>
      <c r="D41" s="237"/>
      <c r="E41" s="235"/>
      <c r="F41" s="235"/>
      <c r="G41" s="235"/>
      <c r="H41" s="230"/>
      <c r="I41" s="230"/>
      <c r="K41" s="265"/>
      <c r="L41" s="47"/>
      <c r="M41" s="47"/>
      <c r="N41" s="39">
        <f>Q39</f>
        <v>4.2847680000000006</v>
      </c>
      <c r="O41" s="12">
        <v>3500</v>
      </c>
      <c r="P41" s="12">
        <f t="shared" ref="P41:P46" si="25">N41*O41</f>
        <v>14996.688000000002</v>
      </c>
      <c r="Q41" s="14" t="s">
        <v>22</v>
      </c>
      <c r="R41" s="14"/>
      <c r="S41" s="14"/>
      <c r="T41" s="241"/>
      <c r="U41" s="14"/>
      <c r="V41" s="305" t="s">
        <v>153</v>
      </c>
      <c r="W41" s="302">
        <v>3625</v>
      </c>
      <c r="X41" s="59" t="s">
        <v>154</v>
      </c>
      <c r="Y41" s="307"/>
    </row>
    <row r="42" spans="2:25" ht="17.399999999999999" x14ac:dyDescent="0.35">
      <c r="B42" s="230"/>
      <c r="C42" s="230"/>
      <c r="D42" s="230"/>
      <c r="E42" s="230"/>
      <c r="F42" s="230"/>
      <c r="G42" s="230"/>
      <c r="H42" s="230"/>
      <c r="I42" s="230"/>
      <c r="K42" s="265"/>
      <c r="L42" s="47"/>
      <c r="M42" s="47"/>
      <c r="N42" s="249">
        <v>1</v>
      </c>
      <c r="O42" s="12">
        <v>57580</v>
      </c>
      <c r="P42" s="12">
        <f t="shared" si="25"/>
        <v>57580</v>
      </c>
      <c r="Q42" s="39" t="s">
        <v>32</v>
      </c>
      <c r="R42" s="42"/>
      <c r="S42" s="14"/>
      <c r="T42" s="240"/>
      <c r="U42" s="14"/>
      <c r="V42" s="305"/>
      <c r="W42" s="59">
        <v>906.25</v>
      </c>
      <c r="X42" s="59" t="s">
        <v>155</v>
      </c>
      <c r="Y42" s="307"/>
    </row>
    <row r="43" spans="2:25" s="230" customFormat="1" ht="17.399999999999999" x14ac:dyDescent="0.35">
      <c r="K43" s="262"/>
      <c r="L43" s="232"/>
      <c r="M43" s="250"/>
      <c r="N43" s="14"/>
      <c r="O43" s="250">
        <v>90076</v>
      </c>
      <c r="P43" s="12">
        <f t="shared" si="25"/>
        <v>0</v>
      </c>
      <c r="Q43" s="39" t="s">
        <v>31</v>
      </c>
      <c r="R43" s="42"/>
      <c r="T43" s="240"/>
      <c r="U43" s="256"/>
      <c r="V43" s="59"/>
      <c r="W43" s="59">
        <f>W42*20%</f>
        <v>181.25</v>
      </c>
      <c r="X43" s="307" t="s">
        <v>156</v>
      </c>
      <c r="Y43" s="59"/>
    </row>
    <row r="44" spans="2:25" s="230" customFormat="1" ht="17.399999999999999" x14ac:dyDescent="0.35">
      <c r="B44" s="24" t="s">
        <v>151</v>
      </c>
      <c r="K44" s="262"/>
      <c r="L44" s="232"/>
      <c r="M44" s="250"/>
      <c r="N44" s="14"/>
      <c r="O44" s="250">
        <v>30000</v>
      </c>
      <c r="P44" s="12">
        <f t="shared" si="25"/>
        <v>0</v>
      </c>
      <c r="Q44" s="14"/>
      <c r="R44" s="17"/>
      <c r="T44" s="238"/>
      <c r="U44" s="256"/>
      <c r="V44" s="59"/>
      <c r="W44" s="59">
        <f>W42+W43</f>
        <v>1087.5</v>
      </c>
      <c r="X44" s="307" t="s">
        <v>157</v>
      </c>
      <c r="Y44" s="59"/>
    </row>
    <row r="45" spans="2:25" s="230" customFormat="1" ht="17.399999999999999" x14ac:dyDescent="0.35">
      <c r="B45" s="24" t="s">
        <v>144</v>
      </c>
      <c r="C45"/>
      <c r="D45"/>
      <c r="E45"/>
      <c r="F45"/>
      <c r="G45"/>
      <c r="H45"/>
      <c r="K45" s="262"/>
      <c r="L45" s="230">
        <v>27000</v>
      </c>
      <c r="M45" s="250"/>
      <c r="N45" s="249"/>
      <c r="O45" s="250">
        <v>300</v>
      </c>
      <c r="P45" s="12">
        <f t="shared" si="25"/>
        <v>0</v>
      </c>
      <c r="Q45" s="14" t="s">
        <v>33</v>
      </c>
      <c r="R45" s="14"/>
      <c r="S45" s="230">
        <v>1.83</v>
      </c>
      <c r="T45" s="238"/>
      <c r="U45" s="238"/>
    </row>
    <row r="46" spans="2:25" s="230" customFormat="1" ht="17.399999999999999" x14ac:dyDescent="0.35">
      <c r="B46" s="29" t="s">
        <v>126</v>
      </c>
      <c r="C46"/>
      <c r="D46"/>
      <c r="E46"/>
      <c r="F46"/>
      <c r="G46"/>
      <c r="H46" s="229" t="s">
        <v>16</v>
      </c>
      <c r="K46" s="294"/>
      <c r="L46" s="230">
        <f>L45*19%</f>
        <v>5130</v>
      </c>
      <c r="M46" s="250"/>
      <c r="N46" s="266"/>
      <c r="O46" s="12">
        <v>1500</v>
      </c>
      <c r="P46" s="12">
        <f t="shared" si="25"/>
        <v>0</v>
      </c>
      <c r="Q46" s="14" t="s">
        <v>23</v>
      </c>
      <c r="R46" s="14"/>
      <c r="S46">
        <v>2.5</v>
      </c>
      <c r="T46"/>
      <c r="U46" s="238"/>
      <c r="Y46" s="231"/>
    </row>
    <row r="47" spans="2:25" s="230" customFormat="1" ht="17.399999999999999" x14ac:dyDescent="0.35">
      <c r="K47" s="230" t="s">
        <v>168</v>
      </c>
      <c r="L47" s="230">
        <f>L45+L46</f>
        <v>32130</v>
      </c>
      <c r="M47" s="250"/>
      <c r="N47" s="14"/>
      <c r="O47" s="12"/>
      <c r="P47" s="12">
        <f>SUM(P41:P46)</f>
        <v>72576.687999999995</v>
      </c>
      <c r="Q47" s="39" t="s">
        <v>24</v>
      </c>
      <c r="R47" s="14"/>
      <c r="S47">
        <f>S45*S46</f>
        <v>4.5750000000000002</v>
      </c>
      <c r="T47"/>
      <c r="U47" s="238"/>
      <c r="Y47" s="231"/>
    </row>
    <row r="48" spans="2:25" s="230" customFormat="1" ht="17.399999999999999" x14ac:dyDescent="0.35">
      <c r="M48" s="250"/>
      <c r="N48" s="254" t="s">
        <v>34</v>
      </c>
      <c r="O48" s="12"/>
      <c r="P48" s="255">
        <f>P47*2.1</f>
        <v>152411.0448</v>
      </c>
      <c r="Q48" s="14" t="s">
        <v>141</v>
      </c>
      <c r="R48" s="14"/>
      <c r="S48" s="40">
        <f>Q39/S47</f>
        <v>0.93656131147540989</v>
      </c>
      <c r="T48"/>
      <c r="U48" s="257"/>
    </row>
    <row r="49" spans="2:24" s="230" customFormat="1" ht="17.399999999999999" x14ac:dyDescent="0.35">
      <c r="I49"/>
      <c r="J49" s="260"/>
      <c r="K49" s="230" t="s">
        <v>167</v>
      </c>
      <c r="L49" s="230">
        <v>68520</v>
      </c>
      <c r="M49" s="250">
        <v>0</v>
      </c>
      <c r="N49" s="14"/>
      <c r="O49" s="12"/>
      <c r="P49" s="12">
        <f>P48/Q37</f>
        <v>42684.517285416616</v>
      </c>
      <c r="Q49" s="45" t="s">
        <v>25</v>
      </c>
      <c r="R49" s="14"/>
      <c r="S49" s="14"/>
      <c r="T49"/>
      <c r="U49" s="238"/>
      <c r="V49" s="59" t="s">
        <v>158</v>
      </c>
      <c r="W49" s="302">
        <v>43650</v>
      </c>
    </row>
    <row r="50" spans="2:24" s="230" customFormat="1" ht="17.399999999999999" x14ac:dyDescent="0.35">
      <c r="I50"/>
      <c r="L50" s="230">
        <f>L49/1.19</f>
        <v>57579.831932773115</v>
      </c>
      <c r="M50" s="250"/>
      <c r="N50" s="13"/>
      <c r="O50" s="14"/>
      <c r="P50" s="17">
        <f>P48/P47</f>
        <v>2.1</v>
      </c>
      <c r="Q50" s="15"/>
      <c r="R50"/>
      <c r="S50"/>
      <c r="T50"/>
      <c r="U50" s="238"/>
      <c r="V50" s="59" t="s">
        <v>160</v>
      </c>
      <c r="W50" s="303" t="s">
        <v>159</v>
      </c>
      <c r="X50" s="59">
        <v>2.4</v>
      </c>
    </row>
    <row r="51" spans="2:24" s="230" customFormat="1" ht="17.399999999999999" x14ac:dyDescent="0.35">
      <c r="I51" s="23"/>
      <c r="M51" s="12"/>
      <c r="U51" s="238"/>
      <c r="V51" s="59" t="s">
        <v>161</v>
      </c>
      <c r="W51" s="304">
        <v>395.37</v>
      </c>
    </row>
    <row r="52" spans="2:24" s="230" customFormat="1" ht="17.399999999999999" x14ac:dyDescent="0.35">
      <c r="B52"/>
      <c r="C52" s="228"/>
      <c r="D52" s="22"/>
      <c r="E52" s="22"/>
      <c r="F52" s="22"/>
      <c r="G52" s="22"/>
      <c r="H52" s="21"/>
      <c r="I52" s="23"/>
      <c r="K52" s="230" t="s">
        <v>169</v>
      </c>
      <c r="M52" s="12"/>
      <c r="U52" s="238"/>
      <c r="V52" s="59" t="s">
        <v>156</v>
      </c>
      <c r="W52" s="59">
        <v>474.45</v>
      </c>
    </row>
    <row r="53" spans="2:24" ht="14.4" customHeight="1" x14ac:dyDescent="0.3">
      <c r="K53" t="s">
        <v>170</v>
      </c>
      <c r="L53">
        <v>8990</v>
      </c>
      <c r="M53" s="12"/>
      <c r="V53" s="59"/>
      <c r="W53" s="59"/>
    </row>
    <row r="54" spans="2:24" x14ac:dyDescent="0.3">
      <c r="M54" s="250"/>
    </row>
    <row r="55" spans="2:24" x14ac:dyDescent="0.3">
      <c r="K55">
        <v>1230</v>
      </c>
      <c r="M55" s="250"/>
      <c r="U55" s="270"/>
    </row>
    <row r="56" spans="2:24" x14ac:dyDescent="0.3">
      <c r="K56">
        <v>1080</v>
      </c>
      <c r="M56" s="250"/>
    </row>
    <row r="57" spans="2:24" ht="15" customHeight="1" x14ac:dyDescent="0.3">
      <c r="K57">
        <f>K55-K56</f>
        <v>150</v>
      </c>
    </row>
    <row r="59" spans="2:24" x14ac:dyDescent="0.3">
      <c r="P59">
        <v>40935</v>
      </c>
      <c r="Q59" t="s">
        <v>17</v>
      </c>
      <c r="R59" t="s">
        <v>27</v>
      </c>
    </row>
    <row r="61" spans="2:24" x14ac:dyDescent="0.3">
      <c r="P61" s="54"/>
      <c r="Q61" s="54"/>
    </row>
    <row r="62" spans="2:24" x14ac:dyDescent="0.3">
      <c r="T62" s="18"/>
      <c r="U62" s="18"/>
    </row>
    <row r="63" spans="2:24" x14ac:dyDescent="0.3">
      <c r="T63" s="18"/>
      <c r="U63" s="18"/>
    </row>
    <row r="64" spans="2:24" x14ac:dyDescent="0.3">
      <c r="T64" s="18"/>
      <c r="U64" s="18"/>
    </row>
    <row r="65" spans="16:21" x14ac:dyDescent="0.3">
      <c r="T65" s="18"/>
      <c r="U65" s="18"/>
    </row>
    <row r="66" spans="16:21" x14ac:dyDescent="0.3">
      <c r="T66" s="18"/>
      <c r="U66" s="18"/>
    </row>
    <row r="67" spans="16:21" x14ac:dyDescent="0.3">
      <c r="T67" s="18"/>
      <c r="U67" s="18"/>
    </row>
    <row r="68" spans="16:21" x14ac:dyDescent="0.3">
      <c r="T68" s="18"/>
      <c r="U68" s="18"/>
    </row>
    <row r="69" spans="16:21" x14ac:dyDescent="0.3">
      <c r="T69" s="18"/>
      <c r="U69" s="18"/>
    </row>
    <row r="70" spans="16:21" x14ac:dyDescent="0.3">
      <c r="T70" s="18"/>
      <c r="U70" s="18"/>
    </row>
    <row r="73" spans="16:21" x14ac:dyDescent="0.3">
      <c r="P73" s="43"/>
    </row>
    <row r="74" spans="16:21" x14ac:dyDescent="0.3">
      <c r="P74" s="43"/>
    </row>
    <row r="75" spans="16:21" x14ac:dyDescent="0.3">
      <c r="P75" s="6"/>
    </row>
    <row r="76" spans="16:21" x14ac:dyDescent="0.3">
      <c r="P76" s="6"/>
    </row>
    <row r="84" spans="3:3" x14ac:dyDescent="0.3">
      <c r="C84" t="s">
        <v>148</v>
      </c>
    </row>
    <row r="85" spans="3:3" x14ac:dyDescent="0.3">
      <c r="C85" t="s">
        <v>147</v>
      </c>
    </row>
    <row r="88" spans="3:3" x14ac:dyDescent="0.3">
      <c r="C88" t="s">
        <v>147</v>
      </c>
    </row>
    <row r="165" spans="3:3" x14ac:dyDescent="0.3">
      <c r="C165" t="s">
        <v>147</v>
      </c>
    </row>
    <row r="166" spans="3:3" x14ac:dyDescent="0.3">
      <c r="C166" t="s">
        <v>149</v>
      </c>
    </row>
    <row r="167" spans="3:3" x14ac:dyDescent="0.3">
      <c r="C167" t="s">
        <v>150</v>
      </c>
    </row>
    <row r="592" spans="3:3" x14ac:dyDescent="0.3">
      <c r="C592" t="s">
        <v>147</v>
      </c>
    </row>
  </sheetData>
  <mergeCells count="2">
    <mergeCell ref="H17:J17"/>
    <mergeCell ref="B19:J19"/>
  </mergeCells>
  <phoneticPr fontId="34" type="noConversion"/>
  <hyperlinks>
    <hyperlink ref="H4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'2229'!I10</f>
        <v>45736</v>
      </c>
    </row>
    <row r="6" spans="2:31" ht="16.2" thickBot="1" x14ac:dyDescent="0.35">
      <c r="B6" s="140" t="s">
        <v>2</v>
      </c>
      <c r="C6" s="139" t="str">
        <f>'2229'!C10</f>
        <v>JUVENAL HIDALGO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11357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-55089.702500120773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'2229'!J35</f>
        <v>499516</v>
      </c>
      <c r="E11" s="132">
        <f>D11*0.19</f>
        <v>94908.040000000008</v>
      </c>
      <c r="F11" s="131">
        <f>E11+D11</f>
        <v>594424.04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50900.297499879227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102410.7787874396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32900.297499879227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397105.22121256043</v>
      </c>
      <c r="E13" s="221">
        <f>(D11/D12)-1</f>
        <v>3.8775725164318766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23900.297499879227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-15099.702500120773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168977.78499927535</v>
      </c>
      <c r="F15" s="216">
        <f>E15-D12</f>
        <v>66567.006211835745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-15099.702500120773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24900.297499879227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'2229'!P43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'2229'!P42</f>
        <v>57580</v>
      </c>
      <c r="E19" s="123">
        <f>D19*0.19</f>
        <v>10940.2</v>
      </c>
      <c r="F19" s="120">
        <f>SUM(D19:E19)</f>
        <v>68520.2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'2229'!P41</f>
        <v>14996.688000000002</v>
      </c>
      <c r="E20" s="121">
        <f>D20*0.19</f>
        <v>2849.3707200000003</v>
      </c>
      <c r="F20" s="120">
        <f>SUM(D20:E20)</f>
        <v>17846.058720000001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72576.687999999995</v>
      </c>
      <c r="E21" s="116">
        <f>SUM(E18:E20)</f>
        <v>13789.570720000002</v>
      </c>
      <c r="F21" s="115">
        <f>SUM(F18:F20)</f>
        <v>86366.258719999998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81118.469280000005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499516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72576.687999999995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397105.22121256043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397105.22121256043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2025-03-18T15:30:13Z</cp:lastPrinted>
  <dcterms:created xsi:type="dcterms:W3CDTF">2013-03-18T13:35:42Z</dcterms:created>
  <dcterms:modified xsi:type="dcterms:W3CDTF">2025-03-20T16:58:42Z</dcterms:modified>
</cp:coreProperties>
</file>