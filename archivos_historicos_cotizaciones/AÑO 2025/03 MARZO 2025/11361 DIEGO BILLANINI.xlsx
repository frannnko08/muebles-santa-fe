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8E0A218-1D7F-4EFA-B0E4-591BDFC4D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O30" i="1"/>
  <c r="L24" i="1"/>
  <c r="N24" i="1" s="1"/>
  <c r="M24" i="1"/>
  <c r="R24" i="1"/>
  <c r="L25" i="1"/>
  <c r="N25" i="1" s="1"/>
  <c r="M25" i="1"/>
  <c r="L26" i="1"/>
  <c r="M26" i="1"/>
  <c r="N26" i="1" s="1"/>
  <c r="R26" i="1"/>
  <c r="K26" i="1"/>
  <c r="K25" i="1"/>
  <c r="K24" i="1"/>
  <c r="O25" i="1" l="1"/>
  <c r="O26" i="1"/>
  <c r="O24" i="1"/>
  <c r="R25" i="1"/>
  <c r="H22" i="1"/>
  <c r="H23" i="1"/>
  <c r="K22" i="1"/>
  <c r="L22" i="1"/>
  <c r="R22" i="1" s="1"/>
  <c r="M22" i="1"/>
  <c r="K23" i="1"/>
  <c r="L23" i="1"/>
  <c r="M23" i="1"/>
  <c r="J43" i="1"/>
  <c r="K21" i="1"/>
  <c r="N38" i="1"/>
  <c r="N23" i="1" l="1"/>
  <c r="O23" i="1" s="1"/>
  <c r="R23" i="1"/>
  <c r="N22" i="1"/>
  <c r="O22" i="1" s="1"/>
  <c r="N37" i="1"/>
  <c r="N39" i="1"/>
  <c r="N40" i="1"/>
  <c r="L21" i="1" l="1"/>
  <c r="L29" i="1" s="1"/>
  <c r="M21" i="1"/>
  <c r="S21" i="1" l="1"/>
  <c r="S29" i="1" s="1"/>
  <c r="S30" i="1" s="1"/>
  <c r="S31" i="1" s="1"/>
  <c r="R21" i="1"/>
  <c r="R31" i="1" s="1"/>
  <c r="N21" i="1"/>
  <c r="O21" i="1" s="1"/>
  <c r="U37" i="1"/>
  <c r="U38" i="1" s="1"/>
  <c r="N36" i="1" l="1"/>
  <c r="O31" i="1" l="1"/>
  <c r="O32" i="1" s="1"/>
  <c r="O33" i="1" s="1"/>
  <c r="L35" i="1" s="1"/>
  <c r="M20" i="1"/>
  <c r="K20" i="1"/>
  <c r="Q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5" i="1" l="1"/>
  <c r="N41" i="1" s="1"/>
  <c r="N42" i="1" s="1"/>
  <c r="Q42" i="1"/>
  <c r="D20" i="3" l="1"/>
  <c r="E20" i="3" s="1"/>
  <c r="E21" i="3" s="1"/>
  <c r="N43" i="1" l="1"/>
  <c r="D21" i="3"/>
  <c r="M43" i="3" s="1"/>
  <c r="D12" i="3" s="1"/>
  <c r="F20" i="3"/>
  <c r="F21" i="3" s="1"/>
  <c r="N44" i="1" l="1"/>
  <c r="P20" i="1"/>
  <c r="E15" i="3"/>
  <c r="P24" i="1" l="1"/>
  <c r="Q24" i="1" s="1"/>
  <c r="P25" i="1"/>
  <c r="Q25" i="1" s="1"/>
  <c r="P26" i="1"/>
  <c r="Q26" i="1" s="1"/>
  <c r="P22" i="1"/>
  <c r="Q22" i="1" s="1"/>
  <c r="P23" i="1"/>
  <c r="Q23" i="1" s="1"/>
  <c r="P21" i="1"/>
  <c r="F15" i="3"/>
  <c r="Q21" i="1" l="1"/>
  <c r="H21" i="1" l="1"/>
  <c r="H29" i="1" s="1"/>
  <c r="H30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<sst xmlns="http://schemas.openxmlformats.org/spreadsheetml/2006/main" count="233" uniqueCount="173">
  <si>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</si>
  <si>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</si>
  <si>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</si>
  <si>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</si>
  <si>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</si>
  <si>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</si>
  <si>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</si>
  <si>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</si>
  <si>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</si>
  <si>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</si>
  <si>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</si>
  <si>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</si>
  <si>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</si>
  <si>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</si>
  <si>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</si>
  <si>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</si>
  <si>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</si>
  <si>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</si>
  <si>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</si>
  <si>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</si>
  <si>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</si>
  <si>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</si>
  <si>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</si>
  <si>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</si>
  <si>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</si>
  <si>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</si>
  <si>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</si>
  <si>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</si>
  <si>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</si>
  <si>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</si>
  <si>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</si>
  <si>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</si>
  <si>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</si>
  <si>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</si>
  <si>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</si>
  <si>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</si>
  <si>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</si>
  <si>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</si>
  <si>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</si>
  <si>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</si>
  <si>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</si>
  <si>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</si>
  <si>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</si>
  <si>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</si>
  <si>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</si>
  <si>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</si>
  <si>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</si>
  <si>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</si>
  <si>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</si>
  <si>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</si>
  <si>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</si>
  <si>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</si>
  <si>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</si>
  <si>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</si>
  <si>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</si>
  <si>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</si>
  <si>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</si>
  <si>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</si>
  <si>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</si>
  <si>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</si>
  <si>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</si>
  <si>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</si>
  <si>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</si>
  <si>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</si>
  <si>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</si>
  <si>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</si>
  <si>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</si>
  <si>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</si>
  <si>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</si>
  <si>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</si>
  <si>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</si>
  <si>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</si>
  <si>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</si>
  <si>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</si>
  <si>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</si>
  <si>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</si>
  <si>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</si>
  <si>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</si>
  <si>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</si>
  <si>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</si>
  <si>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</si>
  <si>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</si>
  <si>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</si>
  <si>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</si>
  <si>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</si>
  <si>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</si>
  <si>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</si>
  <si>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</si>
  <si>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</si>
  <si>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</si>
  <si>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</si>
  <si>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</si>
  <si>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</si>
  <si>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</si>
  <si>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</si>
  <si>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</si>
  <si>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</si>
  <si>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</si>
  <si>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</si>
  <si>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</si>
  <si>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</si>
  <si>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</si>
  <si>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</si>
  <si>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</si>
  <si>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</si>
  <si>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</si>
  <si>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</si>
  <si>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</si>
  <si>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</si>
  <si>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</si>
  <si>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</si>
  <si>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</si>
  <si>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</si>
  <si>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</si>
  <si>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</si>
  <si>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</si>
  <si>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</si>
  <si>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</si>
  <si>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</si>
  <si>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</si>
  <si>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</si>
  <si>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</si>
  <si>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</si>
  <si>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</si>
  <si>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</si>
  <si>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</si>
  <si>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</si>
  <si>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</si>
  <si>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</si>
  <si>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</si>
  <si>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</si>
  <si>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</si>
  <si>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</si>
  <si>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</si>
  <si>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</si>
  <si>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</si>
  <si>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</si>
  <si>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</si>
  <si>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</si>
  <si>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</si>
  <si>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</si>
  <si>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</si>
  <si>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</si>
  <si>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</si>
  <si>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</si>
  <si>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</si>
  <si>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</si>
  <si>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</si>
  <si>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</si>
  <si>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</si>
  <si>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</si>
  <si>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</si>
  <si>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</si>
  <si>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</si>
  <si>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</si>
  <si>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</si>
  <si>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</si>
  <si>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</si>
  <si>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</si>
  <si>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</si>
  <si>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</si>
  <si>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</si>
  <si>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</si>
  <si>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</si>
  <si>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</si>
  <si>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DIEGO BILLANINI</t>
  </si>
  <si>
    <t>SANTIAGO</t>
  </si>
  <si>
    <t>HOSPITAL SAN JUAN DE DIOS</t>
  </si>
  <si>
    <t>569 3449 0554</t>
  </si>
  <si>
    <t>10 DIAS HABILES</t>
  </si>
  <si>
    <t>CORNISA 180° 2 LADOS</t>
  </si>
  <si>
    <t>N° 11361</t>
  </si>
  <si>
    <t>MAGNOLIA 2299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</si>
</sst>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27</xdr:row>
      <xdr:rowOff>206170</xdr:rowOff>
    </xdr:from>
    <xdr:to>
      <xdr:col>5</xdr:col>
      <xdr:colOff>1643259</xdr:colOff>
      <xdr:row>31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CORNISAS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3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165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 t="s">
        <v>167</v>
      </c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>
        <v>0.06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N43</f>
        <v>89472.442808554231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170</v>
      </c>
      <c r="D21" s="327">
        <v>2.6</v>
      </c>
      <c r="E21" s="327">
        <v>0.2</v>
      </c>
      <c r="F21" s="326" t="s">
        <v>172</v>
      </c>
      <c r="G21" s="328">
        <v>67344</v>
      </c>
      <c r="H21" s="328">
        <f>G21*B21</f>
        <v>67344</v>
      </c>
      <c r="I21" s="265"/>
      <c r="J21" s="47"/>
      <c r="K21" s="330">
        <f>B21</f>
        <v>1</v>
      </c>
      <c r="L21" s="39">
        <f>D21+L$19</f>
        <v>2.68</v>
      </c>
      <c r="M21" s="39">
        <f>E21+M$19</f>
        <v>0.26</v>
      </c>
      <c r="N21" s="261">
        <f t="shared" ref="N21" si="0">L21*M21</f>
        <v>0.69680000000000009</v>
      </c>
      <c r="O21" s="259">
        <f t="shared" ref="O21" si="1">N21*K21</f>
        <v>0.69680000000000009</v>
      </c>
      <c r="P21" s="252">
        <f t="shared" ref="P21" si="2">P$20*N21</f>
        <v>62344.398149000597</v>
      </c>
      <c r="Q21" s="329">
        <f t="shared" ref="Q21" si="3">P21+Q$20</f>
        <v>67344.398149000597</v>
      </c>
      <c r="R21" s="298">
        <f>L21*K21*2</f>
        <v>5.36</v>
      </c>
      <c r="S21" s="46">
        <f>M21*2*K21</f>
        <v>0.52</v>
      </c>
      <c r="T21" s="9"/>
      <c r="W21" s="4"/>
    </row>
    <row r="22" spans="2:24" ht="17.399999999999999" x14ac:dyDescent="0.3">
      <c r="B22" s="326">
        <v>1</v>
      </c>
      <c r="C22" s="326" t="s">
        <v>170</v>
      </c>
      <c r="D22" s="327">
        <v>3</v>
      </c>
      <c r="E22" s="327">
        <v>0.2</v>
      </c>
      <c r="F22" s="326" t="s">
        <v>172</v>
      </c>
      <c r="G22" s="328">
        <v>76650</v>
      </c>
      <c r="H22" s="328">
        <f t="shared" ref="H22:H26" si="4">G22*B22</f>
        <v>76650</v>
      </c>
      <c r="I22" s="265"/>
      <c r="J22" s="47"/>
      <c r="K22" s="330">
        <f t="shared" ref="K22:K26" si="5">B22</f>
        <v>1</v>
      </c>
      <c r="L22" s="39">
        <f t="shared" ref="L22:L23" si="6">D22+L$19</f>
        <v>3.08</v>
      </c>
      <c r="M22" s="39">
        <f t="shared" ref="M22:M23" si="7">E22+M$19</f>
        <v>0.26</v>
      </c>
      <c r="N22" s="261">
        <f t="shared" ref="N22:N23" si="8">L22*M22</f>
        <v>0.80080000000000007</v>
      </c>
      <c r="O22" s="259">
        <f t="shared" ref="O22:O23" si="9">N22*K22</f>
        <v>0.80080000000000007</v>
      </c>
      <c r="P22" s="252">
        <f t="shared" ref="P22:P23" si="10">P$20*N22</f>
        <v>71649.532201090231</v>
      </c>
      <c r="Q22" s="329">
        <f t="shared" ref="Q22:Q23" si="11">P22+Q$20</f>
        <v>76649.532201090231</v>
      </c>
      <c r="R22" s="298">
        <f t="shared" ref="R22:R23" si="12">L22*K22*2</f>
        <v>6.16</v>
      </c>
      <c r="S22" s="46"/>
      <c r="T22" s="9"/>
      <c r="W22" s="4"/>
    </row>
    <row r="23" spans="2:24" ht="17.399999999999999" x14ac:dyDescent="0.3">
      <c r="B23" s="326">
        <v>1</v>
      </c>
      <c r="C23" s="326" t="s">
        <v>170</v>
      </c>
      <c r="D23" s="327">
        <v>0.78</v>
      </c>
      <c r="E23" s="327">
        <v>0.2</v>
      </c>
      <c r="F23" s="326" t="s">
        <v>172</v>
      </c>
      <c r="G23" s="328">
        <v>25006</v>
      </c>
      <c r="H23" s="328">
        <f t="shared" si="4"/>
        <v>25006</v>
      </c>
      <c r="I23" s="265"/>
      <c r="J23" s="47"/>
      <c r="K23" s="330">
        <f t="shared" si="5"/>
        <v>1</v>
      </c>
      <c r="L23" s="39">
        <f t="shared" si="6"/>
        <v>0.86</v>
      </c>
      <c r="M23" s="39">
        <f t="shared" si="7"/>
        <v>0.26</v>
      </c>
      <c r="N23" s="261">
        <f t="shared" si="8"/>
        <v>0.22359999999999999</v>
      </c>
      <c r="O23" s="259">
        <f t="shared" si="9"/>
        <v>0.22359999999999999</v>
      </c>
      <c r="P23" s="252">
        <f t="shared" si="10"/>
        <v>20006.038211992727</v>
      </c>
      <c r="Q23" s="329">
        <f t="shared" si="11"/>
        <v>25006.038211992727</v>
      </c>
      <c r="R23" s="298">
        <f t="shared" si="12"/>
        <v>1.72</v>
      </c>
      <c r="S23" s="46"/>
      <c r="T23" s="9"/>
      <c r="W23" s="4"/>
    </row>
    <row r="24" spans="2:24" ht="17.399999999999999" x14ac:dyDescent="0.3">
      <c r="B24" s="345">
        <v>2</v>
      </c>
      <c r="C24" s="345"/>
      <c r="D24" s="346">
        <v>3.0550000000000002</v>
      </c>
      <c r="E24" s="346">
        <v>0.2</v>
      </c>
      <c r="F24" s="345"/>
      <c r="G24" s="331">
        <v>77929</v>
      </c>
      <c r="H24" s="328">
        <f t="shared" si="4"/>
        <v>155858</v>
      </c>
      <c r="I24" s="265"/>
      <c r="J24" s="47"/>
      <c r="K24" s="330">
        <f t="shared" si="5"/>
        <v>2</v>
      </c>
      <c r="L24" s="39">
        <f t="shared" ref="L24:L26" si="13">D24+L$19</f>
        <v>3.1350000000000002</v>
      </c>
      <c r="M24" s="39">
        <f t="shared" ref="M24:M26" si="14">E24+M$19</f>
        <v>0.26</v>
      </c>
      <c r="N24" s="261">
        <f t="shared" ref="N24:N26" si="15">L24*M24</f>
        <v>0.81510000000000005</v>
      </c>
      <c r="O24" s="259">
        <f t="shared" ref="O24:O26" si="16">N24*K24</f>
        <v>1.6302000000000001</v>
      </c>
      <c r="P24" s="252">
        <f t="shared" ref="P24:P26" si="17">P$20*N24</f>
        <v>72928.988133252555</v>
      </c>
      <c r="Q24" s="329">
        <f t="shared" ref="Q24:Q26" si="18">P24+Q$20</f>
        <v>77928.988133252555</v>
      </c>
      <c r="R24" s="298">
        <f t="shared" ref="R24:R26" si="19">L24*K24*2</f>
        <v>12.540000000000001</v>
      </c>
      <c r="S24" s="46"/>
      <c r="T24" s="9"/>
      <c r="W24" s="4"/>
    </row>
    <row r="25" spans="2:24" ht="17.399999999999999" x14ac:dyDescent="0.3">
      <c r="B25" s="345">
        <v>1</v>
      </c>
      <c r="C25" s="345"/>
      <c r="D25" s="346">
        <v>0.63</v>
      </c>
      <c r="E25" s="346">
        <v>0.2</v>
      </c>
      <c r="F25" s="345"/>
      <c r="G25" s="331">
        <v>21517</v>
      </c>
      <c r="H25" s="328">
        <f t="shared" si="4"/>
        <v>21517</v>
      </c>
      <c r="I25" s="265"/>
      <c r="J25" s="47"/>
      <c r="K25" s="330">
        <f t="shared" si="5"/>
        <v>1</v>
      </c>
      <c r="L25" s="39">
        <f t="shared" si="13"/>
        <v>0.71</v>
      </c>
      <c r="M25" s="39">
        <f t="shared" si="14"/>
        <v>0.26</v>
      </c>
      <c r="N25" s="261">
        <f t="shared" si="15"/>
        <v>0.18459999999999999</v>
      </c>
      <c r="O25" s="259">
        <f t="shared" si="16"/>
        <v>0.18459999999999999</v>
      </c>
      <c r="P25" s="252">
        <f t="shared" si="17"/>
        <v>16516.612942459109</v>
      </c>
      <c r="Q25" s="329">
        <f t="shared" si="18"/>
        <v>21516.612942459109</v>
      </c>
      <c r="R25" s="298">
        <f t="shared" si="19"/>
        <v>1.42</v>
      </c>
      <c r="S25" s="46"/>
      <c r="T25" s="9"/>
      <c r="W25" s="4"/>
    </row>
    <row r="26" spans="2:24" ht="17.399999999999999" x14ac:dyDescent="0.3">
      <c r="B26" s="345">
        <v>1</v>
      </c>
      <c r="C26" s="345"/>
      <c r="D26" s="346">
        <v>2.83</v>
      </c>
      <c r="E26" s="346">
        <v>0.2</v>
      </c>
      <c r="F26" s="345"/>
      <c r="G26" s="331">
        <v>72695</v>
      </c>
      <c r="H26" s="328">
        <f t="shared" si="4"/>
        <v>72695</v>
      </c>
      <c r="I26" s="265"/>
      <c r="J26" s="47"/>
      <c r="K26" s="330">
        <f t="shared" si="5"/>
        <v>1</v>
      </c>
      <c r="L26" s="39">
        <f t="shared" si="13"/>
        <v>2.91</v>
      </c>
      <c r="M26" s="39">
        <f t="shared" si="14"/>
        <v>0.26</v>
      </c>
      <c r="N26" s="261">
        <f t="shared" si="15"/>
        <v>0.75660000000000005</v>
      </c>
      <c r="O26" s="259">
        <f t="shared" si="16"/>
        <v>0.75660000000000005</v>
      </c>
      <c r="P26" s="252">
        <f t="shared" si="17"/>
        <v>67694.850228952142</v>
      </c>
      <c r="Q26" s="329">
        <f t="shared" si="18"/>
        <v>72694.850228952142</v>
      </c>
      <c r="R26" s="298">
        <f t="shared" si="19"/>
        <v>5.82</v>
      </c>
      <c r="S26" s="46"/>
      <c r="T26" s="9"/>
      <c r="W26" s="4"/>
    </row>
    <row r="27" spans="2:24" ht="17.399999999999999" x14ac:dyDescent="0.3">
      <c r="B27" s="286"/>
      <c r="C27" s="332"/>
      <c r="D27" s="287"/>
      <c r="E27" s="287"/>
      <c r="F27" s="286"/>
      <c r="G27" s="331"/>
      <c r="H27" s="331"/>
      <c r="I27" s="265"/>
      <c r="J27" s="47"/>
      <c r="K27" s="330"/>
      <c r="L27" s="39"/>
      <c r="M27" s="39"/>
      <c r="N27" s="261"/>
      <c r="O27" s="259"/>
      <c r="P27" s="252"/>
      <c r="Q27" s="329"/>
      <c r="R27" s="298"/>
      <c r="S27" s="46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3"/>
      <c r="I28" s="233"/>
      <c r="J28" s="47"/>
      <c r="K28" s="47"/>
      <c r="L28" s="39"/>
      <c r="M28" s="39"/>
      <c r="N28" s="261">
        <v>0</v>
      </c>
      <c r="O28" s="259"/>
      <c r="P28" s="252"/>
      <c r="Q28" s="258"/>
      <c r="R28" s="29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299" t="s">
        <v>29</v>
      </c>
      <c r="H29" s="300">
        <f>SUM(H21:H28)</f>
        <v>419070</v>
      </c>
      <c r="I29" s="265"/>
      <c r="J29" s="47"/>
      <c r="K29" s="47"/>
      <c r="L29" s="39">
        <f>SUM(L21:L21)</f>
        <v>2.68</v>
      </c>
      <c r="M29" s="39"/>
      <c r="N29" s="261"/>
      <c r="O29" s="259"/>
      <c r="P29" s="252"/>
      <c r="Q29" s="258"/>
      <c r="R29" s="298"/>
      <c r="S29" s="46">
        <f>SUM(S21:S28)</f>
        <v>0.52</v>
      </c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297" t="s">
        <v>52</v>
      </c>
      <c r="H30" s="295">
        <f>H29*19%</f>
        <v>79623.3</v>
      </c>
      <c r="I30" s="265"/>
      <c r="J30" s="47"/>
      <c r="K30" s="47"/>
      <c r="L30" s="39"/>
      <c r="M30" s="12"/>
      <c r="N30" s="12"/>
      <c r="O30" s="253">
        <f>SUM(O21:O26)</f>
        <v>4.2926000000000002</v>
      </c>
      <c r="P30" s="14"/>
      <c r="Q30" s="12"/>
      <c r="R30" s="239"/>
      <c r="S30" s="46">
        <f>S29*20%</f>
        <v>0.10400000000000001</v>
      </c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296">
        <f>H29+H30</f>
        <v>498693.3</v>
      </c>
      <c r="I31" s="265"/>
      <c r="J31" s="47"/>
      <c r="K31" s="47"/>
      <c r="L31" s="39"/>
      <c r="M31" s="12"/>
      <c r="N31" s="12"/>
      <c r="O31" s="253">
        <f>O30</f>
        <v>4.2926000000000002</v>
      </c>
      <c r="P31" s="14"/>
      <c r="Q31" s="12"/>
      <c r="R31" s="239">
        <f>SUM(R21:R30)</f>
        <v>33.020000000000003</v>
      </c>
      <c r="S31" s="46">
        <f>S29+S30</f>
        <v>0.624</v>
      </c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0.85852000000000006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/>
      <c r="K33" s="47"/>
      <c r="L33" s="14"/>
      <c r="M33" s="12"/>
      <c r="N33" s="12"/>
      <c r="O33" s="46">
        <f>O31+O32</f>
        <v>5.1511200000000006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/>
      <c r="K34" s="47"/>
      <c r="L34" s="14"/>
      <c r="M34" s="14"/>
      <c r="N34" s="14"/>
      <c r="O34" s="14"/>
      <c r="P34" s="14"/>
      <c r="Q34" s="14"/>
      <c r="R34" s="238"/>
      <c r="S34" s="14"/>
      <c r="T34" s="305" t="s">
        <v>22</v>
      </c>
      <c r="U34" s="302" t="s">
        <v>152</v>
      </c>
      <c r="V34" s="306">
        <v>44971</v>
      </c>
      <c r="W34" s="307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/>
      <c r="K35" s="47"/>
      <c r="L35" s="39">
        <f>O33</f>
        <v>5.1511200000000006</v>
      </c>
      <c r="M35" s="12">
        <v>3500</v>
      </c>
      <c r="N35" s="12">
        <f t="shared" ref="N35:N40" si="20">L35*M35</f>
        <v>18028.920000000002</v>
      </c>
      <c r="O35" s="14" t="s">
        <v>22</v>
      </c>
      <c r="P35" s="14"/>
      <c r="Q35" s="14"/>
      <c r="R35" s="241"/>
      <c r="S35" s="14"/>
      <c r="T35" s="305" t="s">
        <v>153</v>
      </c>
      <c r="U35" s="302">
        <v>3625</v>
      </c>
      <c r="V35" s="59" t="s">
        <v>154</v>
      </c>
      <c r="W35" s="307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2</v>
      </c>
      <c r="M36" s="12">
        <v>25000</v>
      </c>
      <c r="N36" s="12">
        <f t="shared" si="20"/>
        <v>50000</v>
      </c>
      <c r="O36" s="39" t="s">
        <v>32</v>
      </c>
      <c r="P36" s="42"/>
      <c r="Q36" s="14"/>
      <c r="R36" s="240"/>
      <c r="S36" s="14"/>
      <c r="T36" s="305"/>
      <c r="U36" s="59">
        <v>906.25</v>
      </c>
      <c r="V36" s="59" t="s">
        <v>155</v>
      </c>
      <c r="W36" s="307"/>
    </row>
    <row r="37" spans="2:23" s="230" customFormat="1" ht="17.399999999999999" x14ac:dyDescent="0.35">
      <c r="I37" s="262"/>
      <c r="J37" s="232"/>
      <c r="K37" s="250"/>
      <c r="L37" s="14"/>
      <c r="M37" s="250">
        <v>90076</v>
      </c>
      <c r="N37" s="12">
        <f t="shared" si="20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07" t="s">
        <v>156</v>
      </c>
      <c r="W37" s="59"/>
    </row>
    <row r="38" spans="2:23" s="230" customFormat="1" ht="17.399999999999999" x14ac:dyDescent="0.35">
      <c r="B38" s="24" t="s">
        <v>151</v>
      </c>
      <c r="I38" s="262"/>
      <c r="J38" s="232"/>
      <c r="K38" s="250"/>
      <c r="L38" s="14">
        <v>2</v>
      </c>
      <c r="M38" s="250">
        <v>46000</v>
      </c>
      <c r="N38" s="12">
        <f t="shared" si="20"/>
        <v>92000</v>
      </c>
      <c r="O38" s="14"/>
      <c r="P38" s="17"/>
      <c r="R38" s="238"/>
      <c r="S38" s="256"/>
      <c r="T38" s="59"/>
      <c r="U38" s="59">
        <f>U36+U37</f>
        <v>1087.5</v>
      </c>
      <c r="V38" s="307" t="s">
        <v>157</v>
      </c>
      <c r="W38" s="59"/>
    </row>
    <row r="39" spans="2:23" s="230" customFormat="1" ht="17.399999999999999" x14ac:dyDescent="0.35">
      <c r="B39" s="24" t="s">
        <v>144</v>
      </c>
      <c r="C39"/>
      <c r="D39"/>
      <c r="E39"/>
      <c r="F39"/>
      <c r="I39" s="262"/>
      <c r="K39" s="250"/>
      <c r="L39" s="249"/>
      <c r="M39" s="250">
        <v>300</v>
      </c>
      <c r="N39" s="12">
        <f t="shared" si="20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294"/>
      <c r="K40" s="250"/>
      <c r="L40" s="266"/>
      <c r="M40" s="12">
        <v>1500</v>
      </c>
      <c r="N40" s="12">
        <f t="shared" si="20"/>
        <v>0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K41" s="250"/>
      <c r="L41" s="14"/>
      <c r="M41" s="12"/>
      <c r="N41" s="12">
        <f>SUM(N35:N40)</f>
        <v>160028.91999999998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J42" s="230">
        <v>69620</v>
      </c>
      <c r="K42" s="250"/>
      <c r="L42" s="254" t="s">
        <v>34</v>
      </c>
      <c r="M42" s="12"/>
      <c r="N42" s="255">
        <f>N41*2.4</f>
        <v>384069.40799999994</v>
      </c>
      <c r="O42" s="14" t="s">
        <v>141</v>
      </c>
      <c r="P42" s="14"/>
      <c r="Q42" s="40">
        <f>O33/Q41</f>
        <v>1.3888912855910269</v>
      </c>
      <c r="R42"/>
      <c r="S42" s="257"/>
    </row>
    <row r="43" spans="2:23" s="230" customFormat="1" ht="17.399999999999999" x14ac:dyDescent="0.35">
      <c r="G43"/>
      <c r="H43" s="260"/>
      <c r="J43" s="230">
        <f>J42/1.19</f>
        <v>58504.201680672275</v>
      </c>
      <c r="K43" s="250">
        <v>0</v>
      </c>
      <c r="L43" s="14"/>
      <c r="M43" s="12"/>
      <c r="N43" s="12">
        <f>N42/O31</f>
        <v>89472.442808554231</v>
      </c>
      <c r="O43" s="45" t="s">
        <v>25</v>
      </c>
      <c r="P43" s="14"/>
      <c r="Q43" s="14"/>
      <c r="R43"/>
      <c r="S43" s="238"/>
      <c r="T43" s="59" t="s">
        <v>158</v>
      </c>
      <c r="U43" s="302">
        <v>43650</v>
      </c>
    </row>
    <row r="44" spans="2:23" s="230" customFormat="1" ht="17.399999999999999" x14ac:dyDescent="0.35">
      <c r="G44"/>
      <c r="K44" s="250"/>
      <c r="L44" s="13"/>
      <c r="M44" s="14"/>
      <c r="N44" s="17">
        <f>N42/N41</f>
        <v>2.4</v>
      </c>
      <c r="O44" s="15"/>
      <c r="P44"/>
      <c r="Q44"/>
      <c r="R44"/>
      <c r="S44" s="238"/>
      <c r="T44" s="59" t="s">
        <v>160</v>
      </c>
      <c r="U44" s="303" t="s">
        <v>159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161</v>
      </c>
      <c r="U45" s="304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K46" s="12"/>
      <c r="S46" s="238"/>
      <c r="T46" s="59" t="s">
        <v>156</v>
      </c>
      <c r="U46" s="59">
        <v>474.45</v>
      </c>
    </row>
    <row r="47" spans="2:23" ht="14.4" customHeight="1" x14ac:dyDescent="0.3">
      <c r="K47" s="12"/>
      <c r="T47" s="59"/>
      <c r="U47" s="59"/>
    </row>
    <row r="48" spans="2:23" x14ac:dyDescent="0.3">
      <c r="K48" s="250"/>
    </row>
    <row r="49" spans="11:19" x14ac:dyDescent="0.3">
      <c r="K49" s="250"/>
      <c r="S49" s="270"/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148</v>
      </c>
    </row>
    <row r="79" spans="3:14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DIEGO BILLANINI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-42932.67203345411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419070</v>
      </c>
      <c r="E11" s="132">
        <f>D11*0.19</f>
        <v>79623.3</v>
      </c>
      <c r="F11" s="131">
        <f>E11+D11</f>
        <v>498693.3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63057.32796654589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97863.01078743962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45057.32796654589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321206.98921256035</v>
      </c>
      <c r="E13" s="221">
        <f>(D11/D12)-1</f>
        <v>3.2822103737460955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36057.32796654589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-2942.6720334541096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161473.96779927536</v>
      </c>
      <c r="F15" s="216">
        <f>E15-D12</f>
        <v>63610.957011835737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-2942.6720334541096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37057.32796654589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18028.920000000002</v>
      </c>
      <c r="E20" s="121">
        <f>D20*0.19</f>
        <v>3425.4948000000004</v>
      </c>
      <c r="F20" s="120">
        <f>SUM(D20:E20)</f>
        <v>21454.414800000002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68028.92</v>
      </c>
      <c r="E21" s="116">
        <f>SUM(E18:E20)</f>
        <v>12925.4948</v>
      </c>
      <c r="F21" s="115">
        <f>SUM(F18:F20)</f>
        <v>80954.414799999999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66697.805200000003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419070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68028.92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321206.98921256035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321206.98921256035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2025-03-20T14:38:35Z</cp:lastPrinted>
  <dcterms:created xsi:type="dcterms:W3CDTF">2013-03-18T13:35:42Z</dcterms:created>
  <dcterms:modified xsi:type="dcterms:W3CDTF">2025-03-24T19:15:03Z</dcterms:modified>
</cp:coreProperties>
</file>