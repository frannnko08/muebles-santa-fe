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699AB36A-378D-4D0C-90B9-07465908E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30" i="1"/>
  <c r="O30" i="1"/>
  <c r="P30" i="1"/>
  <c r="Q30" i="1"/>
  <c r="K25" i="1"/>
  <c r="Q25" i="1"/>
  <c r="P25" i="1"/>
  <c r="O25" i="1"/>
  <c r="K24" i="1"/>
  <c r="K26" i="1"/>
  <c r="K27" i="1"/>
  <c r="K28" i="1"/>
  <c r="K29" i="1"/>
  <c r="P24" i="1"/>
  <c r="Q24" i="1"/>
  <c r="P26" i="1"/>
  <c r="Q26" i="1"/>
  <c r="P27" i="1"/>
  <c r="Q27" i="1"/>
  <c r="P28" i="1"/>
  <c r="Q28" i="1"/>
  <c r="P29" i="1"/>
  <c r="Q29" i="1"/>
  <c r="O29" i="1"/>
  <c r="O28" i="1"/>
  <c r="O27" i="1"/>
  <c r="O26" i="1"/>
  <c r="O24" i="1"/>
  <c r="O23" i="1"/>
  <c r="P23" i="1"/>
  <c r="Q23" i="1"/>
  <c r="K23" i="1"/>
  <c r="V30" i="1" l="1"/>
  <c r="R30" i="1"/>
  <c r="S30" i="1"/>
  <c r="W30" i="1"/>
  <c r="W25" i="1"/>
  <c r="V25" i="1"/>
  <c r="R25" i="1"/>
  <c r="S25" i="1" s="1"/>
  <c r="W29" i="1"/>
  <c r="R29" i="1"/>
  <c r="S29" i="1" s="1"/>
  <c r="R27" i="1"/>
  <c r="S27" i="1" s="1"/>
  <c r="V26" i="1"/>
  <c r="V23" i="1"/>
  <c r="W28" i="1"/>
  <c r="V27" i="1"/>
  <c r="V24" i="1"/>
  <c r="V29" i="1"/>
  <c r="W23" i="1"/>
  <c r="W27" i="1"/>
  <c r="W24" i="1"/>
  <c r="R28" i="1"/>
  <c r="S28" i="1" s="1"/>
  <c r="R24" i="1"/>
  <c r="S24" i="1" s="1"/>
  <c r="W26" i="1"/>
  <c r="V28" i="1"/>
  <c r="R26" i="1"/>
  <c r="S26" i="1" s="1"/>
  <c r="R23" i="1"/>
  <c r="S23" i="1" s="1"/>
  <c r="O22" i="1"/>
  <c r="P22" i="1"/>
  <c r="Q22" i="1"/>
  <c r="W22" i="1" s="1"/>
  <c r="O21" i="1"/>
  <c r="Q21" i="1"/>
  <c r="W21" i="1" s="1"/>
  <c r="V22" i="1" l="1"/>
  <c r="W33" i="1"/>
  <c r="R22" i="1"/>
  <c r="S22" i="1" s="1"/>
  <c r="P21" i="1"/>
  <c r="P34" i="1" l="1"/>
  <c r="V21" i="1"/>
  <c r="V34" i="1" s="1"/>
  <c r="V36" i="1" s="1"/>
  <c r="R21" i="1"/>
  <c r="S21" i="1" s="1"/>
  <c r="S34" i="1" s="1"/>
  <c r="N48" i="1"/>
  <c r="V37" i="1" l="1"/>
  <c r="V38" i="1" s="1"/>
  <c r="Y41" i="1"/>
  <c r="Y42" i="1" s="1"/>
  <c r="R40" i="1" l="1"/>
  <c r="S35" i="1" l="1"/>
  <c r="Q20" i="1"/>
  <c r="O20" i="1"/>
  <c r="S36" i="1" l="1"/>
  <c r="S37" i="1" s="1"/>
  <c r="R41" i="1"/>
  <c r="U45" i="1"/>
  <c r="P39" i="1" l="1"/>
  <c r="U46" i="1"/>
  <c r="R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R44" i="1"/>
  <c r="R43" i="1"/>
  <c r="F18" i="3" l="1"/>
  <c r="R39" i="1" l="1"/>
  <c r="R45" i="1" s="1"/>
  <c r="R46" i="1" s="1"/>
  <c r="R47" i="1" s="1"/>
  <c r="D20" i="3" l="1"/>
  <c r="E20" i="3" s="1"/>
  <c r="E21" i="3" s="1"/>
  <c r="T20" i="1" l="1"/>
  <c r="D21" i="3"/>
  <c r="M43" i="3" s="1"/>
  <c r="D12" i="3" s="1"/>
  <c r="F20" i="3"/>
  <c r="F21" i="3" s="1"/>
  <c r="T25" i="1" l="1"/>
  <c r="U25" i="1" s="1"/>
  <c r="T30" i="1"/>
  <c r="U30" i="1" s="1"/>
  <c r="T24" i="1"/>
  <c r="U24" i="1" s="1"/>
  <c r="T27" i="1"/>
  <c r="U27" i="1" s="1"/>
  <c r="T29" i="1"/>
  <c r="U29" i="1" s="1"/>
  <c r="T26" i="1"/>
  <c r="U26" i="1" s="1"/>
  <c r="T28" i="1"/>
  <c r="U28" i="1" s="1"/>
  <c r="T23" i="1"/>
  <c r="U23" i="1" s="1"/>
  <c r="T22" i="1"/>
  <c r="U22" i="1" s="1"/>
  <c r="R48" i="1"/>
  <c r="E15" i="3"/>
  <c r="T21" i="1" l="1"/>
  <c r="F15" i="3"/>
  <c r="U21" i="1" l="1"/>
  <c r="K21" i="1" l="1"/>
  <c r="K33" i="1" s="1"/>
  <c r="K34" i="1" l="1"/>
  <c r="D11" i="3" l="1"/>
  <c r="X9" i="3" s="1"/>
  <c r="X15" i="3" s="1"/>
  <c r="K3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<sst xmlns="http://schemas.openxmlformats.org/spreadsheetml/2006/main" count="275" uniqueCount="178">
  <si>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</si>
  <si>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</si>
  <si>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</si>
  <si>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</si>
  <si>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</si>
  <si>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</si>
  <si>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</si>
  <si>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</si>
  <si>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</si>
  <si>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</si>
  <si>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</si>
  <si>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</si>
  <si>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</si>
  <si>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</si>
  <si>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</si>
  <si>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</si>
  <si>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</si>
  <si>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</si>
  <si>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</si>
  <si>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</si>
  <si>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</si>
  <si>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</si>
  <si>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</si>
  <si>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</si>
  <si>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</si>
  <si>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</si>
  <si>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</si>
  <si>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</si>
  <si>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</si>
  <si>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</si>
  <si>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</si>
  <si>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</si>
  <si>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</si>
  <si>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</si>
  <si>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</si>
  <si>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</si>
  <si>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</si>
  <si>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</si>
  <si>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</si>
  <si>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</si>
  <si>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</si>
  <si>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</si>
  <si>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</si>
  <si>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</si>
  <si>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</si>
  <si>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</si>
  <si>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</si>
  <si>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</si>
  <si>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</si>
  <si>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</si>
  <si>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</si>
  <si>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</si>
  <si>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</si>
  <si>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</si>
  <si>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</si>
  <si>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</si>
  <si>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</si>
  <si>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</si>
  <si>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</si>
  <si>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</si>
  <si>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</si>
  <si>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</si>
  <si>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</si>
  <si>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</si>
  <si>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</si>
  <si>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</si>
  <si>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</si>
  <si>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</si>
  <si>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</si>
  <si>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</si>
  <si>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</si>
  <si>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</si>
  <si>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</si>
  <si>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</si>
  <si>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</si>
  <si>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</si>
  <si>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</si>
  <si>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</si>
  <si>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</si>
  <si>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</si>
  <si>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</si>
  <si>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</si>
  <si>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</si>
  <si>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</si>
  <si>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</si>
  <si>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</si>
  <si>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</si>
  <si>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</si>
  <si>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</si>
  <si>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</si>
  <si>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</si>
  <si>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</si>
  <si>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</si>
  <si>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</si>
  <si>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</si>
  <si>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</si>
  <si>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</si>
  <si>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</si>
  <si>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</si>
  <si>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</si>
  <si>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</si>
  <si>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</si>
  <si>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</si>
  <si>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</si>
  <si>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</si>
  <si>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</si>
  <si>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</si>
  <si>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</si>
  <si>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</si>
  <si>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</si>
  <si>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</si>
  <si>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</si>
  <si>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</si>
  <si>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</si>
  <si>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</si>
  <si>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</si>
  <si>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</si>
  <si>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</si>
  <si>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</si>
  <si>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</si>
  <si>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</si>
  <si>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</si>
  <si>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</si>
  <si>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</si>
  <si>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</si>
  <si>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</si>
  <si>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</si>
  <si>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</si>
  <si>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</si>
  <si>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</si>
  <si>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</si>
  <si>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</si>
  <si>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</si>
  <si>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</si>
  <si>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</si>
  <si>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</si>
  <si>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</si>
  <si>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</si>
  <si>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</si>
  <si>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</si>
  <si>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</si>
  <si>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</si>
  <si>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</si>
  <si>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</si>
  <si>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</si>
  <si>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</si>
  <si>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</si>
  <si>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</si>
  <si>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</si>
  <si>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</si>
  <si>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</si>
  <si>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</si>
  <si>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</si>
  <si>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</si>
  <si>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</si>
  <si>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</si>
  <si>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</si>
  <si>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</si>
  <si>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</si>
  <si>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</si>
  <si>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</si>
  <si>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</si>
  <si>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</si>
  <si>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</si>
  <si>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</si>
  <si>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</si>
  <si>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</si>
  <si>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11328</t>
  </si>
  <si>
    <t>CON PERFORACION</t>
  </si>
  <si>
    <t>4 LADOS</t>
  </si>
  <si>
    <t>SI</t>
  </si>
  <si>
    <t>AZUL PACIFICO 2170 MT</t>
  </si>
  <si>
    <t xml:space="preserve">E/R 1 CARA </t>
  </si>
  <si>
    <t>8 DIAS HABILES</t>
  </si>
  <si>
    <t>CONSTANZA SAINT</t>
  </si>
  <si>
    <t>+569 34390482</t>
  </si>
  <si>
    <t>12 CMS AL EJE</t>
  </si>
  <si>
    <t>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</si>
</sst>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 wrapText="1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 wrapText="1"/>
    </xf>
    <xf numFmtId="167" fontId="0" fillId="7" borderId="0" xfId="0" applyNumberFormat="1" applyFill="1"/>
    <xf numFmtId="166" fontId="3" fillId="7" borderId="0" xfId="0" applyNumberFormat="1" applyFont="1" applyFill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8194</xdr:rowOff>
    </xdr:from>
    <xdr:to>
      <xdr:col>11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9</xdr:col>
      <xdr:colOff>222885</xdr:colOff>
      <xdr:row>38</xdr:row>
      <xdr:rowOff>154305</xdr:rowOff>
    </xdr:from>
    <xdr:to>
      <xdr:col>10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8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8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INCLUYEN PERFORACION Y ENCHAPE EN SUS 4 CANTOS CON TAPACANTO PVC 1,5MM LO MAS PARECIDO</a:t>
          </a:r>
          <a:r>
            <a:rPr lang="es-CL" sz="1200" b="1" baseline="0"/>
            <a:t> A LA LAMINA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18mm,  ABONO $ 198.500.-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B590"/>
  <sheetViews>
    <sheetView tabSelected="1" topLeftCell="A14" zoomScale="93" zoomScaleNormal="93" workbookViewId="0">
      <selection activeCell="A31" sqref="A31"/>
    </sheetView>
  </sheetViews>
  <sheetFormatPr baseColWidth="10" defaultRowHeight="14.4" x14ac:dyDescent="0.3"/>
  <cols>
    <col min="1" max="1" width="6" customWidth="1"/>
    <col min="2" max="2" width="10.5546875" customWidth="1"/>
    <col min="3" max="3" width="23.109375" customWidth="1"/>
    <col min="4" max="4" width="11.109375" customWidth="1"/>
    <col min="5" max="8" width="10.5546875" customWidth="1"/>
    <col min="9" max="9" width="30.44140625" customWidth="1"/>
    <col min="10" max="10" width="14" customWidth="1"/>
    <col min="11" max="12" width="15.44140625" customWidth="1"/>
    <col min="13" max="13" width="13.44140625" customWidth="1"/>
    <col min="15" max="15" width="9.5546875" style="18" customWidth="1"/>
    <col min="16" max="16" width="8.88671875" customWidth="1"/>
    <col min="17" max="17" width="8.33203125" customWidth="1"/>
    <col min="18" max="18" width="9.44140625" customWidth="1"/>
    <col min="19" max="19" width="7.6640625" customWidth="1"/>
    <col min="20" max="20" width="9.44140625" customWidth="1"/>
    <col min="21" max="21" width="10.109375" customWidth="1"/>
    <col min="22" max="22" width="8.88671875" customWidth="1"/>
    <col min="23" max="23" width="8.109375" customWidth="1"/>
    <col min="24" max="24" width="9.33203125" customWidth="1"/>
    <col min="25" max="25" width="9.6640625" customWidth="1"/>
    <col min="26" max="26" width="10.88671875" customWidth="1"/>
    <col min="27" max="27" width="10.44140625" customWidth="1"/>
    <col min="28" max="28" width="9" customWidth="1"/>
  </cols>
  <sheetData>
    <row r="2" spans="2:27" ht="15.6" x14ac:dyDescent="0.3">
      <c r="I2" s="242" t="s">
        <v>142</v>
      </c>
      <c r="T2" s="2"/>
      <c r="U2" s="2"/>
      <c r="V2" s="3"/>
      <c r="W2" s="3"/>
      <c r="X2" s="2"/>
      <c r="Y2" s="2"/>
      <c r="Z2" s="3"/>
      <c r="AA2" s="4"/>
    </row>
    <row r="3" spans="2:27" x14ac:dyDescent="0.3">
      <c r="I3" s="59" t="s">
        <v>138</v>
      </c>
      <c r="T3" s="2"/>
      <c r="U3" s="2"/>
      <c r="V3" s="3"/>
      <c r="W3" s="3"/>
      <c r="X3" s="2"/>
      <c r="Y3" s="2"/>
      <c r="Z3" s="3"/>
      <c r="AA3" s="4"/>
    </row>
    <row r="4" spans="2:27" x14ac:dyDescent="0.3">
      <c r="I4" s="59" t="s">
        <v>143</v>
      </c>
      <c r="T4" s="2"/>
      <c r="U4" s="2"/>
      <c r="V4" s="3"/>
      <c r="W4" s="3"/>
      <c r="X4" s="2"/>
      <c r="Y4" s="2"/>
      <c r="Z4" s="3"/>
      <c r="AA4" s="4"/>
    </row>
    <row r="5" spans="2:27" x14ac:dyDescent="0.3">
      <c r="I5" s="59" t="s">
        <v>14</v>
      </c>
      <c r="T5" s="2"/>
      <c r="U5" s="2"/>
      <c r="V5" s="3"/>
      <c r="W5" s="3"/>
      <c r="X5" s="2"/>
      <c r="Y5" s="2"/>
      <c r="Z5" s="3"/>
      <c r="AA5" s="4"/>
    </row>
    <row r="6" spans="2:27" ht="15.6" x14ac:dyDescent="0.3">
      <c r="I6" s="59" t="s">
        <v>164</v>
      </c>
      <c r="R6" s="33" t="s">
        <v>19</v>
      </c>
      <c r="T6" s="2"/>
      <c r="U6" s="2"/>
      <c r="V6" s="3"/>
      <c r="W6" s="3"/>
      <c r="X6" s="2"/>
      <c r="Y6" s="2"/>
      <c r="Z6" s="3"/>
    </row>
    <row r="7" spans="2:27" ht="15" thickBot="1" x14ac:dyDescent="0.35">
      <c r="I7" s="59" t="s">
        <v>124</v>
      </c>
      <c r="T7" s="2"/>
      <c r="U7" s="2"/>
      <c r="V7" s="3"/>
      <c r="W7" s="3"/>
      <c r="X7" s="2"/>
      <c r="Y7" s="2"/>
      <c r="Z7" s="3"/>
    </row>
    <row r="8" spans="2:27" ht="21.6" thickBot="1" x14ac:dyDescent="0.45">
      <c r="B8" s="331" t="s">
        <v>126</v>
      </c>
      <c r="C8" s="332"/>
      <c r="D8" s="333" t="s">
        <v>167</v>
      </c>
      <c r="I8" s="59"/>
      <c r="N8" s="52"/>
      <c r="U8" s="2"/>
      <c r="V8" s="3"/>
      <c r="W8" s="3"/>
      <c r="X8" s="2"/>
      <c r="Y8" s="2"/>
      <c r="Z8" s="3"/>
    </row>
    <row r="9" spans="2:27" ht="15" thickBot="1" x14ac:dyDescent="0.35">
      <c r="U9" s="2"/>
      <c r="V9" s="3"/>
      <c r="W9" s="3"/>
      <c r="X9" s="4"/>
      <c r="Y9" s="2"/>
      <c r="Z9" s="3"/>
    </row>
    <row r="10" spans="2:27" x14ac:dyDescent="0.3">
      <c r="B10" s="303" t="s">
        <v>162</v>
      </c>
      <c r="C10" s="278" t="s">
        <v>174</v>
      </c>
      <c r="D10" s="243"/>
      <c r="E10" s="243"/>
      <c r="F10" s="243"/>
      <c r="G10" s="243"/>
      <c r="H10" s="243"/>
      <c r="I10" s="244" t="s">
        <v>0</v>
      </c>
      <c r="J10" s="276">
        <v>45740</v>
      </c>
      <c r="K10" s="245"/>
      <c r="N10" s="1"/>
      <c r="U10" s="2"/>
      <c r="V10" s="3"/>
      <c r="W10" s="3"/>
      <c r="X10" s="4"/>
      <c r="Y10" s="2"/>
      <c r="Z10" s="3"/>
    </row>
    <row r="11" spans="2:27" ht="16.8" x14ac:dyDescent="0.4">
      <c r="B11" s="287" t="s">
        <v>12</v>
      </c>
      <c r="C11" s="296"/>
      <c r="I11" t="s">
        <v>123</v>
      </c>
      <c r="J11" s="288" t="s">
        <v>173</v>
      </c>
      <c r="K11" s="289"/>
      <c r="T11" s="19"/>
      <c r="U11" s="25" t="s">
        <v>18</v>
      </c>
      <c r="V11" s="19"/>
    </row>
    <row r="12" spans="2:27" ht="16.8" x14ac:dyDescent="0.4">
      <c r="B12" s="246" t="s">
        <v>145</v>
      </c>
      <c r="C12" s="304"/>
      <c r="D12" s="247"/>
      <c r="E12" s="247"/>
      <c r="F12" s="247"/>
      <c r="G12" s="247"/>
      <c r="H12" s="247"/>
      <c r="I12" s="247" t="s">
        <v>127</v>
      </c>
      <c r="J12" s="277" t="s">
        <v>135</v>
      </c>
      <c r="K12" s="248"/>
      <c r="T12" s="19"/>
      <c r="U12" s="25"/>
      <c r="V12" s="19"/>
    </row>
    <row r="13" spans="2:27" x14ac:dyDescent="0.3">
      <c r="B13" s="287" t="s">
        <v>146</v>
      </c>
      <c r="J13" s="305"/>
      <c r="K13" s="289"/>
      <c r="T13" s="19"/>
      <c r="U13" s="25"/>
      <c r="V13" s="19"/>
    </row>
    <row r="14" spans="2:27" x14ac:dyDescent="0.3">
      <c r="B14" s="246" t="s">
        <v>139</v>
      </c>
      <c r="C14" s="312"/>
      <c r="D14" s="247"/>
      <c r="E14" s="247"/>
      <c r="F14" s="247"/>
      <c r="G14" s="247"/>
      <c r="H14" s="247"/>
      <c r="I14" s="313" t="s">
        <v>136</v>
      </c>
      <c r="J14" s="290" t="s">
        <v>135</v>
      </c>
      <c r="K14" s="248"/>
      <c r="N14" s="29"/>
      <c r="T14" s="20"/>
      <c r="U14" s="26" t="s">
        <v>17</v>
      </c>
      <c r="V14" s="20"/>
    </row>
    <row r="15" spans="2:27" ht="15.6" x14ac:dyDescent="0.3">
      <c r="B15" s="287" t="s">
        <v>4</v>
      </c>
      <c r="C15" s="307" t="s">
        <v>175</v>
      </c>
      <c r="D15" s="308"/>
      <c r="I15" t="s">
        <v>134</v>
      </c>
      <c r="J15" s="306" t="s">
        <v>135</v>
      </c>
      <c r="K15" s="289"/>
    </row>
    <row r="16" spans="2:27" ht="16.8" x14ac:dyDescent="0.4">
      <c r="B16" s="314" t="s">
        <v>3</v>
      </c>
      <c r="C16" s="304"/>
      <c r="D16" s="247"/>
      <c r="E16" s="247"/>
      <c r="F16" s="247"/>
      <c r="G16" s="247"/>
      <c r="H16" s="247"/>
      <c r="I16" s="315" t="s">
        <v>129</v>
      </c>
      <c r="J16" s="316" t="s">
        <v>163</v>
      </c>
      <c r="K16" s="248"/>
    </row>
    <row r="17" spans="2:28" ht="15" thickBot="1" x14ac:dyDescent="0.35">
      <c r="B17" s="309" t="s">
        <v>13</v>
      </c>
      <c r="C17" s="310" t="s">
        <v>166</v>
      </c>
      <c r="D17" s="311"/>
      <c r="E17" s="119"/>
      <c r="F17" s="119"/>
      <c r="G17" s="119"/>
      <c r="H17" s="119"/>
      <c r="I17" s="337" t="s">
        <v>165</v>
      </c>
      <c r="J17" s="337"/>
      <c r="K17" s="338"/>
      <c r="L17" s="263"/>
      <c r="M17" s="263"/>
      <c r="W17" s="6"/>
      <c r="X17" s="6"/>
    </row>
    <row r="18" spans="2:28" ht="15.75" customHeight="1" thickBot="1" x14ac:dyDescent="0.35">
      <c r="M18" s="47"/>
      <c r="N18" s="5"/>
      <c r="Y18" s="9"/>
      <c r="AA18" s="6"/>
      <c r="AB18" s="6"/>
    </row>
    <row r="19" spans="2:28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0"/>
      <c r="I19" s="340"/>
      <c r="J19" s="340"/>
      <c r="K19" s="341"/>
      <c r="L19" s="264"/>
      <c r="M19" s="264"/>
      <c r="N19" s="5"/>
      <c r="O19" s="250"/>
      <c r="P19" s="14">
        <v>0.02</v>
      </c>
      <c r="Q19" s="14">
        <v>0.02</v>
      </c>
      <c r="R19" s="14"/>
      <c r="S19" s="251" t="s">
        <v>6</v>
      </c>
      <c r="T19" s="36" t="s">
        <v>20</v>
      </c>
      <c r="U19" s="37" t="s">
        <v>133</v>
      </c>
      <c r="V19" s="10" t="s">
        <v>137</v>
      </c>
      <c r="X19" s="9"/>
      <c r="Y19" s="9"/>
      <c r="AA19" s="6"/>
      <c r="AB19" s="6"/>
    </row>
    <row r="20" spans="2:28" ht="52.2" x14ac:dyDescent="0.3">
      <c r="B20" s="327" t="s">
        <v>7</v>
      </c>
      <c r="C20" s="328" t="s">
        <v>1</v>
      </c>
      <c r="D20" s="328" t="s">
        <v>131</v>
      </c>
      <c r="E20" s="328" t="s">
        <v>11</v>
      </c>
      <c r="F20" s="329" t="s">
        <v>168</v>
      </c>
      <c r="G20" s="329" t="s">
        <v>177</v>
      </c>
      <c r="H20" s="329" t="s">
        <v>133</v>
      </c>
      <c r="I20" s="328" t="s">
        <v>8</v>
      </c>
      <c r="J20" s="328" t="s">
        <v>5</v>
      </c>
      <c r="K20" s="330" t="s">
        <v>6</v>
      </c>
      <c r="L20" s="265"/>
      <c r="M20" s="265"/>
      <c r="N20" s="47"/>
      <c r="O20" s="268" t="str">
        <f>B20</f>
        <v>UNIDAD</v>
      </c>
      <c r="P20" s="267" t="s">
        <v>131</v>
      </c>
      <c r="Q20" s="39" t="str">
        <f t="shared" ref="Q20" si="0">E20</f>
        <v>ANCHO</v>
      </c>
      <c r="R20" s="261" t="s">
        <v>132</v>
      </c>
      <c r="S20" s="259" t="s">
        <v>16</v>
      </c>
      <c r="T20" s="252">
        <f>R47</f>
        <v>66733.501453435252</v>
      </c>
      <c r="U20" s="258">
        <v>12000</v>
      </c>
      <c r="V20" s="38"/>
      <c r="W20" s="14" t="s">
        <v>128</v>
      </c>
      <c r="X20" s="9"/>
      <c r="AA20" s="4"/>
    </row>
    <row r="21" spans="2:28" ht="31.2" x14ac:dyDescent="0.3">
      <c r="B21" s="324">
        <v>2</v>
      </c>
      <c r="C21" s="324" t="s">
        <v>172</v>
      </c>
      <c r="D21" s="325">
        <v>0.76500000000000001</v>
      </c>
      <c r="E21" s="325">
        <v>0.39600000000000002</v>
      </c>
      <c r="F21" s="325" t="s">
        <v>170</v>
      </c>
      <c r="G21" s="334" t="s">
        <v>176</v>
      </c>
      <c r="H21" s="325" t="s">
        <v>169</v>
      </c>
      <c r="I21" s="324" t="s">
        <v>171</v>
      </c>
      <c r="J21" s="326">
        <v>33792</v>
      </c>
      <c r="K21" s="326">
        <f>J21*B21</f>
        <v>67584</v>
      </c>
      <c r="L21" s="318"/>
      <c r="M21" s="265"/>
      <c r="N21" s="47"/>
      <c r="O21" s="335">
        <f>B21</f>
        <v>2</v>
      </c>
      <c r="P21" s="336">
        <f>D21+P$19</f>
        <v>0.78500000000000003</v>
      </c>
      <c r="Q21" s="336">
        <f>E21+$Q$19</f>
        <v>0.41600000000000004</v>
      </c>
      <c r="R21" s="261">
        <f t="shared" ref="R21" si="1">P21*Q21</f>
        <v>0.32656000000000002</v>
      </c>
      <c r="S21" s="259">
        <f t="shared" ref="S21" si="2">R21*O21</f>
        <v>0.65312000000000003</v>
      </c>
      <c r="T21" s="252">
        <f t="shared" ref="T21" si="3">T$20*R21</f>
        <v>21792.492234633817</v>
      </c>
      <c r="U21" s="317">
        <f t="shared" ref="U21" si="4">T21+U$20</f>
        <v>33792.492234633813</v>
      </c>
      <c r="V21" s="295">
        <f>P21*2*O21</f>
        <v>3.14</v>
      </c>
      <c r="W21" s="46">
        <f>Q21*2*O21</f>
        <v>1.6640000000000001</v>
      </c>
      <c r="X21" s="9"/>
      <c r="AA21" s="4"/>
    </row>
    <row r="22" spans="2:28" ht="31.2" x14ac:dyDescent="0.3">
      <c r="B22" s="324">
        <v>1</v>
      </c>
      <c r="C22" s="324" t="s">
        <v>172</v>
      </c>
      <c r="D22" s="325">
        <v>0.76500000000000001</v>
      </c>
      <c r="E22" s="325">
        <v>0.315</v>
      </c>
      <c r="F22" s="325" t="s">
        <v>170</v>
      </c>
      <c r="G22" s="334" t="s">
        <v>176</v>
      </c>
      <c r="H22" s="325" t="s">
        <v>169</v>
      </c>
      <c r="I22" s="324" t="s">
        <v>171</v>
      </c>
      <c r="J22" s="326">
        <v>29549</v>
      </c>
      <c r="K22" s="326">
        <f>J22*B22</f>
        <v>29549</v>
      </c>
      <c r="L22" s="318"/>
      <c r="M22" s="265"/>
      <c r="N22" s="47"/>
      <c r="O22" s="335">
        <f t="shared" ref="O22" si="5">B22</f>
        <v>1</v>
      </c>
      <c r="P22" s="336">
        <f t="shared" ref="P22" si="6">D22+P$19</f>
        <v>0.78500000000000003</v>
      </c>
      <c r="Q22" s="336">
        <f t="shared" ref="Q22" si="7">E22+$Q$19</f>
        <v>0.33500000000000002</v>
      </c>
      <c r="R22" s="261">
        <f t="shared" ref="R22" si="8">P22*Q22</f>
        <v>0.26297500000000001</v>
      </c>
      <c r="S22" s="259">
        <f t="shared" ref="S22" si="9">R22*O22</f>
        <v>0.26297500000000001</v>
      </c>
      <c r="T22" s="252">
        <f t="shared" ref="T22" si="10">T$20*R22</f>
        <v>17549.242544717137</v>
      </c>
      <c r="U22" s="317">
        <f t="shared" ref="U22" si="11">T22+U$20</f>
        <v>29549.242544717137</v>
      </c>
      <c r="V22" s="295">
        <f t="shared" ref="V22:V29" si="12">P22*2*O22</f>
        <v>1.57</v>
      </c>
      <c r="W22" s="46">
        <f t="shared" ref="W22:W29" si="13">Q22*2*O22</f>
        <v>0.67</v>
      </c>
      <c r="X22" s="9"/>
      <c r="AA22" s="4"/>
    </row>
    <row r="23" spans="2:28" ht="31.2" x14ac:dyDescent="0.3">
      <c r="B23" s="324">
        <v>1</v>
      </c>
      <c r="C23" s="324" t="s">
        <v>172</v>
      </c>
      <c r="D23" s="325">
        <v>0.76500000000000001</v>
      </c>
      <c r="E23" s="325">
        <v>0.27500000000000002</v>
      </c>
      <c r="F23" s="325" t="s">
        <v>170</v>
      </c>
      <c r="G23" s="334" t="s">
        <v>176</v>
      </c>
      <c r="H23" s="325" t="s">
        <v>169</v>
      </c>
      <c r="I23" s="324" t="s">
        <v>171</v>
      </c>
      <c r="J23" s="326">
        <v>27454</v>
      </c>
      <c r="K23" s="326">
        <f t="shared" ref="K23:K29" si="14">J23*B23</f>
        <v>27454</v>
      </c>
      <c r="L23" s="318"/>
      <c r="M23" s="265"/>
      <c r="N23" s="47"/>
      <c r="O23" s="335">
        <f t="shared" ref="O23:O29" si="15">B23</f>
        <v>1</v>
      </c>
      <c r="P23" s="336">
        <f t="shared" ref="P23" si="16">D23+P$19</f>
        <v>0.78500000000000003</v>
      </c>
      <c r="Q23" s="336">
        <f t="shared" ref="Q23" si="17">E23+$Q$19</f>
        <v>0.29500000000000004</v>
      </c>
      <c r="R23" s="261">
        <f t="shared" ref="R23" si="18">P23*Q23</f>
        <v>0.23157500000000003</v>
      </c>
      <c r="S23" s="259">
        <f t="shared" ref="S23" si="19">R23*O23</f>
        <v>0.23157500000000003</v>
      </c>
      <c r="T23" s="252">
        <f t="shared" ref="T23" si="20">T$20*R23</f>
        <v>15453.81059907927</v>
      </c>
      <c r="U23" s="317">
        <f t="shared" ref="U23" si="21">T23+U$20</f>
        <v>27453.810599079268</v>
      </c>
      <c r="V23" s="295">
        <f t="shared" si="12"/>
        <v>1.57</v>
      </c>
      <c r="W23" s="46">
        <f t="shared" si="13"/>
        <v>0.59000000000000008</v>
      </c>
      <c r="X23" s="9"/>
      <c r="AA23" s="4"/>
    </row>
    <row r="24" spans="2:28" ht="31.2" x14ac:dyDescent="0.3">
      <c r="B24" s="324">
        <v>2</v>
      </c>
      <c r="C24" s="324" t="s">
        <v>172</v>
      </c>
      <c r="D24" s="325">
        <v>0.66</v>
      </c>
      <c r="E24" s="325">
        <v>0.30099999999999999</v>
      </c>
      <c r="F24" s="325" t="s">
        <v>170</v>
      </c>
      <c r="G24" s="334" t="s">
        <v>176</v>
      </c>
      <c r="H24" s="325" t="s">
        <v>169</v>
      </c>
      <c r="I24" s="324" t="s">
        <v>171</v>
      </c>
      <c r="J24" s="326">
        <v>26567</v>
      </c>
      <c r="K24" s="326">
        <f t="shared" si="14"/>
        <v>53134</v>
      </c>
      <c r="L24" s="318"/>
      <c r="M24" s="265"/>
      <c r="N24" s="47"/>
      <c r="O24" s="47">
        <f t="shared" si="15"/>
        <v>2</v>
      </c>
      <c r="P24" s="267">
        <f t="shared" ref="P24:P29" si="22">D24+P$19</f>
        <v>0.68</v>
      </c>
      <c r="Q24" s="336">
        <f t="shared" ref="Q24:Q29" si="23">E24+$Q$19</f>
        <v>0.32100000000000001</v>
      </c>
      <c r="R24" s="261">
        <f t="shared" ref="R24:R29" si="24">P24*Q24</f>
        <v>0.21828000000000003</v>
      </c>
      <c r="S24" s="259">
        <f t="shared" ref="S24:S29" si="25">R24*O24</f>
        <v>0.43656000000000006</v>
      </c>
      <c r="T24" s="252">
        <f t="shared" ref="T24:T29" si="26">T$20*R24</f>
        <v>14566.588697255849</v>
      </c>
      <c r="U24" s="317">
        <f t="shared" ref="U24:U29" si="27">T24+U$20</f>
        <v>26566.588697255851</v>
      </c>
      <c r="V24" s="295">
        <f t="shared" si="12"/>
        <v>2.72</v>
      </c>
      <c r="W24" s="46">
        <f t="shared" si="13"/>
        <v>1.284</v>
      </c>
      <c r="X24" s="9"/>
      <c r="AA24" s="4"/>
    </row>
    <row r="25" spans="2:28" ht="31.2" x14ac:dyDescent="0.3">
      <c r="B25" s="324">
        <v>2</v>
      </c>
      <c r="C25" s="324" t="s">
        <v>172</v>
      </c>
      <c r="D25" s="325">
        <v>0.42499999999999999</v>
      </c>
      <c r="E25" s="325">
        <v>0.30099999999999999</v>
      </c>
      <c r="F25" s="325" t="s">
        <v>170</v>
      </c>
      <c r="G25" s="334" t="s">
        <v>176</v>
      </c>
      <c r="H25" s="325" t="s">
        <v>169</v>
      </c>
      <c r="I25" s="324" t="s">
        <v>171</v>
      </c>
      <c r="J25" s="326">
        <v>21533</v>
      </c>
      <c r="K25" s="326">
        <f t="shared" si="14"/>
        <v>43066</v>
      </c>
      <c r="L25" s="318"/>
      <c r="M25" s="265"/>
      <c r="N25" s="47"/>
      <c r="O25" s="47">
        <f t="shared" si="15"/>
        <v>2</v>
      </c>
      <c r="P25" s="267">
        <f t="shared" si="22"/>
        <v>0.44500000000000001</v>
      </c>
      <c r="Q25" s="267">
        <f t="shared" si="23"/>
        <v>0.32100000000000001</v>
      </c>
      <c r="R25" s="261">
        <f t="shared" si="24"/>
        <v>0.142845</v>
      </c>
      <c r="S25" s="259">
        <f t="shared" si="25"/>
        <v>0.28569</v>
      </c>
      <c r="T25" s="252">
        <f t="shared" si="26"/>
        <v>9532.5470151159589</v>
      </c>
      <c r="U25" s="317">
        <f t="shared" si="27"/>
        <v>21532.547015115961</v>
      </c>
      <c r="V25" s="295">
        <f t="shared" si="12"/>
        <v>1.78</v>
      </c>
      <c r="W25" s="46">
        <f t="shared" si="13"/>
        <v>1.284</v>
      </c>
      <c r="X25" s="9"/>
      <c r="AA25" s="4"/>
    </row>
    <row r="26" spans="2:28" ht="17.399999999999999" x14ac:dyDescent="0.3">
      <c r="B26" s="324">
        <v>2</v>
      </c>
      <c r="C26" s="324" t="s">
        <v>172</v>
      </c>
      <c r="D26" s="325">
        <v>0.17699999999999999</v>
      </c>
      <c r="E26" s="325">
        <v>0.50600000000000001</v>
      </c>
      <c r="F26" s="325" t="s">
        <v>135</v>
      </c>
      <c r="G26" s="325"/>
      <c r="H26" s="325" t="s">
        <v>169</v>
      </c>
      <c r="I26" s="324" t="s">
        <v>171</v>
      </c>
      <c r="J26" s="326">
        <v>18915</v>
      </c>
      <c r="K26" s="326">
        <f t="shared" si="14"/>
        <v>37830</v>
      </c>
      <c r="L26" s="318"/>
      <c r="M26" s="265"/>
      <c r="N26" s="47"/>
      <c r="O26" s="47">
        <f t="shared" si="15"/>
        <v>2</v>
      </c>
      <c r="P26" s="267">
        <f t="shared" si="22"/>
        <v>0.19699999999999998</v>
      </c>
      <c r="Q26" s="267">
        <f t="shared" si="23"/>
        <v>0.52600000000000002</v>
      </c>
      <c r="R26" s="261">
        <f t="shared" si="24"/>
        <v>0.10362199999999999</v>
      </c>
      <c r="S26" s="259">
        <f t="shared" si="25"/>
        <v>0.20724399999999998</v>
      </c>
      <c r="T26" s="252">
        <f t="shared" si="26"/>
        <v>6915.0588876078673</v>
      </c>
      <c r="U26" s="317">
        <f t="shared" si="27"/>
        <v>18915.058887607869</v>
      </c>
      <c r="V26" s="295">
        <f t="shared" si="12"/>
        <v>0.78799999999999992</v>
      </c>
      <c r="W26" s="46">
        <f t="shared" si="13"/>
        <v>2.1040000000000001</v>
      </c>
      <c r="X26" s="9"/>
      <c r="AA26" s="4"/>
    </row>
    <row r="27" spans="2:28" ht="17.399999999999999" x14ac:dyDescent="0.3">
      <c r="B27" s="324">
        <v>1</v>
      </c>
      <c r="C27" s="324" t="s">
        <v>172</v>
      </c>
      <c r="D27" s="325">
        <v>0.39700000000000002</v>
      </c>
      <c r="E27" s="325">
        <v>0.50600000000000001</v>
      </c>
      <c r="F27" s="325" t="s">
        <v>135</v>
      </c>
      <c r="G27" s="325"/>
      <c r="H27" s="325" t="s">
        <v>169</v>
      </c>
      <c r="I27" s="324" t="s">
        <v>171</v>
      </c>
      <c r="J27" s="326">
        <v>26637</v>
      </c>
      <c r="K27" s="326">
        <f t="shared" si="14"/>
        <v>26637</v>
      </c>
      <c r="L27" s="318"/>
      <c r="M27" s="265"/>
      <c r="N27" s="47"/>
      <c r="O27" s="47">
        <f t="shared" si="15"/>
        <v>1</v>
      </c>
      <c r="P27" s="267">
        <f t="shared" si="22"/>
        <v>0.41700000000000004</v>
      </c>
      <c r="Q27" s="267">
        <f t="shared" si="23"/>
        <v>0.52600000000000002</v>
      </c>
      <c r="R27" s="261">
        <f t="shared" si="24"/>
        <v>0.21934200000000004</v>
      </c>
      <c r="S27" s="259">
        <f t="shared" si="25"/>
        <v>0.21934200000000004</v>
      </c>
      <c r="T27" s="252">
        <f t="shared" si="26"/>
        <v>14637.459675799397</v>
      </c>
      <c r="U27" s="317">
        <f t="shared" si="27"/>
        <v>26637.459675799397</v>
      </c>
      <c r="V27" s="295">
        <f t="shared" si="12"/>
        <v>0.83400000000000007</v>
      </c>
      <c r="W27" s="46">
        <f t="shared" si="13"/>
        <v>1.052</v>
      </c>
      <c r="X27" s="9"/>
      <c r="AA27" s="4"/>
    </row>
    <row r="28" spans="2:28" ht="17.399999999999999" x14ac:dyDescent="0.3">
      <c r="B28" s="324">
        <v>2</v>
      </c>
      <c r="C28" s="324" t="s">
        <v>172</v>
      </c>
      <c r="D28" s="325">
        <v>0.17699999999999999</v>
      </c>
      <c r="E28" s="325">
        <v>0.89800000000000002</v>
      </c>
      <c r="F28" s="325" t="s">
        <v>135</v>
      </c>
      <c r="G28" s="325"/>
      <c r="H28" s="325" t="s">
        <v>169</v>
      </c>
      <c r="I28" s="324" t="s">
        <v>171</v>
      </c>
      <c r="J28" s="326">
        <v>24068</v>
      </c>
      <c r="K28" s="326">
        <f t="shared" si="14"/>
        <v>48136</v>
      </c>
      <c r="L28" s="318"/>
      <c r="M28" s="265"/>
      <c r="N28" s="47"/>
      <c r="O28" s="47">
        <f t="shared" si="15"/>
        <v>2</v>
      </c>
      <c r="P28" s="267">
        <f t="shared" si="22"/>
        <v>0.19699999999999998</v>
      </c>
      <c r="Q28" s="267">
        <f t="shared" si="23"/>
        <v>0.91800000000000004</v>
      </c>
      <c r="R28" s="261">
        <f t="shared" si="24"/>
        <v>0.18084599999999998</v>
      </c>
      <c r="S28" s="259">
        <f t="shared" si="25"/>
        <v>0.36169199999999996</v>
      </c>
      <c r="T28" s="252">
        <f t="shared" si="26"/>
        <v>12068.486803847951</v>
      </c>
      <c r="U28" s="317">
        <f t="shared" si="27"/>
        <v>24068.486803847951</v>
      </c>
      <c r="V28" s="295">
        <f t="shared" si="12"/>
        <v>0.78799999999999992</v>
      </c>
      <c r="W28" s="46">
        <f t="shared" si="13"/>
        <v>3.6720000000000002</v>
      </c>
      <c r="X28" s="9"/>
      <c r="AA28" s="4"/>
    </row>
    <row r="29" spans="2:28" ht="17.399999999999999" x14ac:dyDescent="0.3">
      <c r="B29" s="324">
        <v>1</v>
      </c>
      <c r="C29" s="324" t="s">
        <v>172</v>
      </c>
      <c r="D29" s="325">
        <v>0.39700000000000002</v>
      </c>
      <c r="E29" s="325">
        <v>0.89800000000000002</v>
      </c>
      <c r="F29" s="325" t="s">
        <v>135</v>
      </c>
      <c r="G29" s="325"/>
      <c r="H29" s="325" t="s">
        <v>169</v>
      </c>
      <c r="I29" s="324" t="s">
        <v>171</v>
      </c>
      <c r="J29" s="326">
        <v>37546</v>
      </c>
      <c r="K29" s="326">
        <f t="shared" si="14"/>
        <v>37546</v>
      </c>
      <c r="L29" s="318"/>
      <c r="M29" s="265"/>
      <c r="N29" s="47"/>
      <c r="O29" s="47">
        <f t="shared" si="15"/>
        <v>1</v>
      </c>
      <c r="P29" s="267">
        <f t="shared" si="22"/>
        <v>0.41700000000000004</v>
      </c>
      <c r="Q29" s="267">
        <f t="shared" si="23"/>
        <v>0.91800000000000004</v>
      </c>
      <c r="R29" s="261">
        <f t="shared" si="24"/>
        <v>0.38280600000000004</v>
      </c>
      <c r="S29" s="259">
        <f t="shared" si="25"/>
        <v>0.38280600000000004</v>
      </c>
      <c r="T29" s="252">
        <f t="shared" si="26"/>
        <v>25545.984757383736</v>
      </c>
      <c r="U29" s="317">
        <f t="shared" si="27"/>
        <v>37545.984757383732</v>
      </c>
      <c r="V29" s="295">
        <f t="shared" si="12"/>
        <v>0.83400000000000007</v>
      </c>
      <c r="W29" s="46">
        <f t="shared" si="13"/>
        <v>1.8360000000000001</v>
      </c>
      <c r="X29" s="9"/>
      <c r="AA29" s="4"/>
    </row>
    <row r="30" spans="2:28" ht="17.399999999999999" x14ac:dyDescent="0.3">
      <c r="B30" s="324">
        <v>1</v>
      </c>
      <c r="C30" s="324" t="s">
        <v>172</v>
      </c>
      <c r="D30" s="325">
        <v>0.65</v>
      </c>
      <c r="E30" s="325">
        <v>0.58699999999999997</v>
      </c>
      <c r="F30" s="325" t="s">
        <v>135</v>
      </c>
      <c r="G30" s="325"/>
      <c r="H30" s="325" t="s">
        <v>169</v>
      </c>
      <c r="I30" s="324" t="s">
        <v>171</v>
      </c>
      <c r="J30" s="326">
        <v>39140</v>
      </c>
      <c r="K30" s="326">
        <f t="shared" ref="K30" si="28">J30*B30</f>
        <v>39140</v>
      </c>
      <c r="L30" s="318"/>
      <c r="M30" s="265"/>
      <c r="N30" s="47"/>
      <c r="O30" s="335">
        <f t="shared" ref="O30" si="29">B30</f>
        <v>1</v>
      </c>
      <c r="P30" s="336">
        <f t="shared" ref="P30" si="30">D30+P$19</f>
        <v>0.67</v>
      </c>
      <c r="Q30" s="336">
        <f t="shared" ref="Q30" si="31">E30+$Q$19</f>
        <v>0.60699999999999998</v>
      </c>
      <c r="R30" s="261">
        <f t="shared" ref="R30" si="32">P30*Q30</f>
        <v>0.40669</v>
      </c>
      <c r="S30" s="259">
        <f t="shared" ref="S30" si="33">R30*O30</f>
        <v>0.40669</v>
      </c>
      <c r="T30" s="252">
        <f t="shared" ref="T30" si="34">T$20*R30</f>
        <v>27139.847706097582</v>
      </c>
      <c r="U30" s="317">
        <f t="shared" ref="U30" si="35">T30+U$20</f>
        <v>39139.847706097586</v>
      </c>
      <c r="V30" s="295">
        <f t="shared" ref="V30" si="36">P30*2*O30</f>
        <v>1.34</v>
      </c>
      <c r="W30" s="46">
        <f t="shared" ref="W30" si="37">Q30*2*O30</f>
        <v>1.214</v>
      </c>
      <c r="X30" s="9"/>
      <c r="AA30" s="4"/>
    </row>
    <row r="31" spans="2:28" ht="17.399999999999999" x14ac:dyDescent="0.3">
      <c r="B31" s="285"/>
      <c r="C31" s="285"/>
      <c r="D31" s="286"/>
      <c r="E31" s="286"/>
      <c r="F31" s="286"/>
      <c r="G31" s="286"/>
      <c r="H31" s="286"/>
      <c r="I31" s="285"/>
      <c r="J31" s="318"/>
      <c r="K31" s="318"/>
      <c r="L31" s="318"/>
      <c r="M31" s="265"/>
      <c r="N31" s="47"/>
      <c r="O31" s="47"/>
      <c r="P31" s="267"/>
      <c r="Q31" s="267"/>
      <c r="R31" s="261"/>
      <c r="S31" s="259"/>
      <c r="T31" s="252"/>
      <c r="U31" s="317"/>
      <c r="V31" s="295"/>
      <c r="W31" s="46"/>
      <c r="X31" s="9"/>
      <c r="AA31" s="4"/>
    </row>
    <row r="32" spans="2:28" ht="18" thickBot="1" x14ac:dyDescent="0.35">
      <c r="B32" s="285"/>
      <c r="C32" s="285"/>
      <c r="D32" s="286"/>
      <c r="E32" s="286"/>
      <c r="F32" s="286"/>
      <c r="G32" s="286"/>
      <c r="H32" s="286"/>
      <c r="I32" s="285"/>
      <c r="J32" s="265"/>
      <c r="K32" s="319"/>
      <c r="L32" s="321"/>
      <c r="M32" s="233"/>
      <c r="N32" s="47"/>
      <c r="O32" s="47"/>
      <c r="P32" s="39"/>
      <c r="Q32" s="39"/>
      <c r="R32" s="261"/>
      <c r="S32" s="259"/>
      <c r="T32" s="252"/>
      <c r="U32" s="258"/>
      <c r="V32" s="295"/>
      <c r="W32" s="14"/>
      <c r="X32" s="9"/>
      <c r="AA32" s="4"/>
    </row>
    <row r="33" spans="1:27" ht="17.399999999999999" x14ac:dyDescent="0.3">
      <c r="B33" s="285"/>
      <c r="C33" s="285"/>
      <c r="D33" s="286"/>
      <c r="E33" s="286"/>
      <c r="F33" s="286"/>
      <c r="G33" s="286"/>
      <c r="H33" s="286"/>
      <c r="I33" s="285"/>
      <c r="J33" s="322" t="s">
        <v>28</v>
      </c>
      <c r="K33" s="323">
        <f>SUM(K21:K32)</f>
        <v>410076</v>
      </c>
      <c r="L33" s="320"/>
      <c r="M33" s="265"/>
      <c r="N33" s="47">
        <v>2600000</v>
      </c>
      <c r="O33" s="47"/>
      <c r="P33" s="39"/>
      <c r="Q33" s="39"/>
      <c r="R33" s="261"/>
      <c r="S33" s="259"/>
      <c r="T33" s="252"/>
      <c r="U33" s="258"/>
      <c r="V33" s="295"/>
      <c r="W33" s="46">
        <f>SUM(W21:W32)</f>
        <v>15.370000000000001</v>
      </c>
      <c r="X33" s="9"/>
      <c r="AA33" s="4"/>
    </row>
    <row r="34" spans="1:27" ht="17.399999999999999" x14ac:dyDescent="0.3">
      <c r="B34" s="279"/>
      <c r="C34" s="282"/>
      <c r="D34" s="283"/>
      <c r="E34" s="283"/>
      <c r="F34" s="283"/>
      <c r="G34" s="283"/>
      <c r="H34" s="283"/>
      <c r="I34" s="284"/>
      <c r="J34" s="294" t="s">
        <v>51</v>
      </c>
      <c r="K34" s="292">
        <f>K33*19%</f>
        <v>77914.44</v>
      </c>
      <c r="L34" s="320"/>
      <c r="M34" s="265"/>
      <c r="N34" s="47"/>
      <c r="O34" s="47"/>
      <c r="P34" s="39">
        <f>SUM(P21:P22)</f>
        <v>1.57</v>
      </c>
      <c r="Q34" s="12"/>
      <c r="R34" s="12"/>
      <c r="S34" s="253">
        <f>SUM(S21:S32)</f>
        <v>3.4476940000000003</v>
      </c>
      <c r="T34" s="14"/>
      <c r="U34" s="12"/>
      <c r="V34" s="239">
        <f>SUM(V21:V33)</f>
        <v>15.363999999999999</v>
      </c>
      <c r="W34" s="46"/>
      <c r="X34" s="9"/>
      <c r="AA34" s="4"/>
    </row>
    <row r="35" spans="1:27" ht="18" thickBot="1" x14ac:dyDescent="0.35">
      <c r="B35" s="275"/>
      <c r="C35" s="281"/>
      <c r="D35" s="272"/>
      <c r="E35" s="272"/>
      <c r="F35" s="272"/>
      <c r="G35" s="272"/>
      <c r="H35" s="272"/>
      <c r="I35" s="273"/>
      <c r="J35" s="280" t="s">
        <v>6</v>
      </c>
      <c r="K35" s="293">
        <f>K33+K34</f>
        <v>487990.44</v>
      </c>
      <c r="L35" s="320"/>
      <c r="M35" s="265"/>
      <c r="N35" s="47"/>
      <c r="O35" s="47"/>
      <c r="P35" s="39"/>
      <c r="Q35" s="12"/>
      <c r="R35" s="12"/>
      <c r="S35" s="253">
        <f>S34</f>
        <v>3.4476940000000003</v>
      </c>
      <c r="T35" s="14"/>
      <c r="U35" s="12"/>
      <c r="V35" s="239"/>
      <c r="W35" s="46"/>
      <c r="X35" s="9"/>
      <c r="AA35" s="4"/>
    </row>
    <row r="36" spans="1:27" ht="17.399999999999999" x14ac:dyDescent="0.3">
      <c r="B36" s="275"/>
      <c r="C36" s="271"/>
      <c r="D36" s="272"/>
      <c r="E36" s="272"/>
      <c r="F36" s="272"/>
      <c r="G36" s="272"/>
      <c r="H36" s="272"/>
      <c r="I36" s="273"/>
      <c r="M36" s="265"/>
      <c r="N36" s="47"/>
      <c r="O36" s="47"/>
      <c r="P36" s="14"/>
      <c r="Q36" s="12"/>
      <c r="R36" s="12"/>
      <c r="S36" s="39">
        <f>S35*20%</f>
        <v>0.68953880000000012</v>
      </c>
      <c r="T36" s="39" t="s">
        <v>130</v>
      </c>
      <c r="U36" s="42"/>
      <c r="V36" s="240">
        <f>V34+W33</f>
        <v>30.734000000000002</v>
      </c>
      <c r="W36" s="14"/>
      <c r="X36" s="9"/>
      <c r="AA36" s="4"/>
    </row>
    <row r="37" spans="1:27" ht="17.399999999999999" x14ac:dyDescent="0.35">
      <c r="B37" s="269"/>
      <c r="C37" s="230"/>
      <c r="D37" s="230"/>
      <c r="E37" s="233"/>
      <c r="F37" s="233"/>
      <c r="G37" s="233"/>
      <c r="H37" s="233"/>
      <c r="I37" s="234"/>
      <c r="J37" s="230"/>
      <c r="K37" s="274"/>
      <c r="L37" s="274"/>
      <c r="M37" s="265"/>
      <c r="N37" s="47"/>
      <c r="O37" s="47"/>
      <c r="P37" s="14"/>
      <c r="Q37" s="12"/>
      <c r="R37" s="12"/>
      <c r="S37" s="46">
        <f>S35+S36</f>
        <v>4.1372328000000005</v>
      </c>
      <c r="T37" s="14"/>
      <c r="U37" s="14"/>
      <c r="V37" s="238">
        <f>V36*20%</f>
        <v>6.1468000000000007</v>
      </c>
      <c r="W37" s="14"/>
      <c r="X37" s="9"/>
      <c r="AA37" s="4"/>
    </row>
    <row r="38" spans="1:27" ht="17.399999999999999" x14ac:dyDescent="0.35">
      <c r="B38" s="235"/>
      <c r="C38" s="236"/>
      <c r="D38" s="237"/>
      <c r="E38" s="235"/>
      <c r="F38" s="235"/>
      <c r="G38" s="235"/>
      <c r="H38" s="235"/>
      <c r="I38" s="230"/>
      <c r="J38" s="230"/>
      <c r="L38" s="274"/>
      <c r="M38" s="265"/>
      <c r="N38" s="47"/>
      <c r="O38" s="47"/>
      <c r="P38" s="14"/>
      <c r="Q38" s="14"/>
      <c r="R38" s="14"/>
      <c r="S38" s="14"/>
      <c r="T38" s="14"/>
      <c r="U38" s="14"/>
      <c r="V38" s="240">
        <f>V36+V37</f>
        <v>36.880800000000001</v>
      </c>
      <c r="W38" s="14"/>
      <c r="X38" s="300" t="s">
        <v>21</v>
      </c>
      <c r="Y38" s="297" t="s">
        <v>152</v>
      </c>
      <c r="Z38" s="301">
        <v>44971</v>
      </c>
      <c r="AA38" s="302"/>
    </row>
    <row r="39" spans="1:27" ht="17.399999999999999" x14ac:dyDescent="0.35">
      <c r="B39" s="230"/>
      <c r="C39" s="230"/>
      <c r="D39" s="230"/>
      <c r="E39" s="230"/>
      <c r="F39" s="230"/>
      <c r="G39" s="230"/>
      <c r="H39" s="230"/>
      <c r="I39" s="230"/>
      <c r="J39" s="230"/>
      <c r="M39" s="265"/>
      <c r="N39" s="47"/>
      <c r="O39" s="47"/>
      <c r="P39" s="39">
        <f>S37</f>
        <v>4.1372328000000005</v>
      </c>
      <c r="Q39" s="12">
        <v>3500</v>
      </c>
      <c r="R39" s="12">
        <f t="shared" ref="R39:R44" si="38">P39*Q39</f>
        <v>14480.314800000002</v>
      </c>
      <c r="S39" s="14" t="s">
        <v>21</v>
      </c>
      <c r="T39" s="14"/>
      <c r="U39" s="14"/>
      <c r="V39" s="241"/>
      <c r="W39" s="14"/>
      <c r="X39" s="300" t="s">
        <v>153</v>
      </c>
      <c r="Y39" s="297">
        <v>3625</v>
      </c>
      <c r="Z39" s="59" t="s">
        <v>154</v>
      </c>
      <c r="AA39" s="302"/>
    </row>
    <row r="40" spans="1:27" ht="17.399999999999999" x14ac:dyDescent="0.35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M40" s="265"/>
      <c r="N40" s="47"/>
      <c r="O40" s="47"/>
      <c r="P40" s="249">
        <v>1.1000000000000001</v>
      </c>
      <c r="Q40" s="12">
        <v>45000</v>
      </c>
      <c r="R40" s="12">
        <f t="shared" si="38"/>
        <v>49500.000000000007</v>
      </c>
      <c r="S40" s="39" t="s">
        <v>31</v>
      </c>
      <c r="T40" s="42"/>
      <c r="U40" s="14"/>
      <c r="V40" s="240"/>
      <c r="W40" s="14"/>
      <c r="X40" s="300"/>
      <c r="Y40" s="59">
        <v>906.25</v>
      </c>
      <c r="Z40" s="59" t="s">
        <v>155</v>
      </c>
      <c r="AA40" s="302"/>
    </row>
    <row r="41" spans="1:27" s="230" customFormat="1" ht="17.399999999999999" x14ac:dyDescent="0.35">
      <c r="B41" s="24" t="s">
        <v>151</v>
      </c>
      <c r="M41" s="262"/>
      <c r="N41" s="232"/>
      <c r="O41" s="250"/>
      <c r="P41" s="14"/>
      <c r="Q41" s="250">
        <v>36000</v>
      </c>
      <c r="R41" s="12">
        <f t="shared" si="38"/>
        <v>0</v>
      </c>
      <c r="S41" s="39" t="s">
        <v>30</v>
      </c>
      <c r="T41" s="42"/>
      <c r="V41" s="240"/>
      <c r="W41" s="256"/>
      <c r="X41" s="59"/>
      <c r="Y41" s="59">
        <f>Y40*20%</f>
        <v>181.25</v>
      </c>
      <c r="Z41" s="302" t="s">
        <v>156</v>
      </c>
      <c r="AA41" s="59"/>
    </row>
    <row r="42" spans="1:27" s="230" customFormat="1" ht="17.399999999999999" x14ac:dyDescent="0.35">
      <c r="B42" s="24" t="s">
        <v>144</v>
      </c>
      <c r="C42"/>
      <c r="D42"/>
      <c r="E42"/>
      <c r="F42"/>
      <c r="G42"/>
      <c r="H42"/>
      <c r="I42"/>
      <c r="M42" s="262"/>
      <c r="N42" s="232"/>
      <c r="O42" s="250"/>
      <c r="P42" s="14">
        <v>1</v>
      </c>
      <c r="Q42" s="250">
        <v>40600</v>
      </c>
      <c r="R42" s="12">
        <f t="shared" si="38"/>
        <v>40600</v>
      </c>
      <c r="S42" s="14" t="s">
        <v>141</v>
      </c>
      <c r="T42" s="17"/>
      <c r="V42" s="238"/>
      <c r="W42" s="256"/>
      <c r="X42" s="59"/>
      <c r="Y42" s="59">
        <f>Y40+Y41</f>
        <v>1087.5</v>
      </c>
      <c r="Z42" s="302" t="s">
        <v>157</v>
      </c>
      <c r="AA42" s="59"/>
    </row>
    <row r="43" spans="1:27" s="230" customFormat="1" ht="17.399999999999999" x14ac:dyDescent="0.35">
      <c r="B43" s="29" t="s">
        <v>125</v>
      </c>
      <c r="C43"/>
      <c r="D43"/>
      <c r="E43"/>
      <c r="F43"/>
      <c r="G43"/>
      <c r="H43"/>
      <c r="I43" s="229" t="s">
        <v>15</v>
      </c>
      <c r="M43" s="262"/>
      <c r="N43" s="260"/>
      <c r="O43" s="250"/>
      <c r="P43" s="249"/>
      <c r="Q43" s="250">
        <v>900</v>
      </c>
      <c r="R43" s="12">
        <f t="shared" si="38"/>
        <v>0</v>
      </c>
      <c r="S43" s="14" t="s">
        <v>32</v>
      </c>
      <c r="T43" s="14"/>
      <c r="U43" s="230">
        <v>1.52</v>
      </c>
      <c r="V43" s="238"/>
      <c r="W43" s="238"/>
    </row>
    <row r="44" spans="1:27" s="230" customFormat="1" ht="17.399999999999999" x14ac:dyDescent="0.35">
      <c r="M44" s="291"/>
      <c r="N44" s="260"/>
      <c r="O44" s="250"/>
      <c r="P44" s="266"/>
      <c r="Q44" s="12">
        <v>1500</v>
      </c>
      <c r="R44" s="12">
        <f t="shared" si="38"/>
        <v>0</v>
      </c>
      <c r="S44" s="14" t="s">
        <v>22</v>
      </c>
      <c r="T44" s="14"/>
      <c r="U44">
        <v>2.44</v>
      </c>
      <c r="V44"/>
      <c r="W44" s="238"/>
      <c r="AA44" s="231"/>
    </row>
    <row r="45" spans="1:27" s="230" customFormat="1" ht="17.399999999999999" x14ac:dyDescent="0.35">
      <c r="N45" s="260"/>
      <c r="O45" s="250"/>
      <c r="P45" s="14"/>
      <c r="Q45" s="12"/>
      <c r="R45" s="12">
        <f>SUM(R39:R44)</f>
        <v>104580.31480000001</v>
      </c>
      <c r="S45" s="39" t="s">
        <v>23</v>
      </c>
      <c r="T45" s="14"/>
      <c r="U45">
        <f>U43*U44</f>
        <v>3.7088000000000001</v>
      </c>
      <c r="V45"/>
      <c r="W45" s="238"/>
      <c r="AA45" s="231"/>
    </row>
    <row r="46" spans="1:27" s="230" customFormat="1" ht="17.399999999999999" x14ac:dyDescent="0.35">
      <c r="O46" s="250"/>
      <c r="P46" s="254" t="s">
        <v>33</v>
      </c>
      <c r="Q46" s="12"/>
      <c r="R46" s="255">
        <f>R45*2.2</f>
        <v>230076.69256000002</v>
      </c>
      <c r="S46" s="14" t="s">
        <v>140</v>
      </c>
      <c r="T46" s="14"/>
      <c r="U46" s="40">
        <f>S37/U45</f>
        <v>1.1155179033649698</v>
      </c>
      <c r="V46"/>
      <c r="W46" s="257"/>
    </row>
    <row r="47" spans="1:27" s="230" customFormat="1" ht="17.399999999999999" x14ac:dyDescent="0.35">
      <c r="J47"/>
      <c r="K47" s="260"/>
      <c r="L47" s="260"/>
      <c r="M47" s="260"/>
      <c r="N47" s="230">
        <v>48270</v>
      </c>
      <c r="O47" s="250"/>
      <c r="P47" s="14"/>
      <c r="Q47" s="12"/>
      <c r="R47" s="12">
        <f>R46/S35</f>
        <v>66733.501453435252</v>
      </c>
      <c r="S47" s="45" t="s">
        <v>24</v>
      </c>
      <c r="T47" s="14"/>
      <c r="U47" s="14"/>
      <c r="V47"/>
      <c r="W47" s="238"/>
      <c r="X47" s="59" t="s">
        <v>158</v>
      </c>
      <c r="Y47" s="297">
        <v>43650</v>
      </c>
    </row>
    <row r="48" spans="1:27" s="230" customFormat="1" ht="17.399999999999999" x14ac:dyDescent="0.35">
      <c r="J48"/>
      <c r="N48" s="230">
        <f>N47/1.19</f>
        <v>40563.025210084037</v>
      </c>
      <c r="O48" s="250"/>
      <c r="P48" s="13"/>
      <c r="Q48" s="14"/>
      <c r="R48" s="17">
        <f>R46/R45</f>
        <v>2.2000000000000002</v>
      </c>
      <c r="S48" s="15"/>
      <c r="T48"/>
      <c r="U48"/>
      <c r="V48"/>
      <c r="W48" s="238"/>
      <c r="X48" s="59" t="s">
        <v>160</v>
      </c>
      <c r="Y48" s="298" t="s">
        <v>159</v>
      </c>
      <c r="Z48" s="59">
        <v>2.4</v>
      </c>
    </row>
    <row r="49" spans="2:25" s="230" customFormat="1" ht="17.399999999999999" x14ac:dyDescent="0.35">
      <c r="J49" s="23"/>
      <c r="O49" s="12"/>
      <c r="W49" s="238"/>
      <c r="X49" s="59" t="s">
        <v>161</v>
      </c>
      <c r="Y49" s="299">
        <v>395.37</v>
      </c>
    </row>
    <row r="50" spans="2:25" s="230" customFormat="1" ht="17.399999999999999" x14ac:dyDescent="0.35">
      <c r="B50"/>
      <c r="C50" s="228"/>
      <c r="D50" s="22"/>
      <c r="E50" s="22"/>
      <c r="F50" s="22"/>
      <c r="G50" s="22"/>
      <c r="H50" s="22"/>
      <c r="I50" s="21"/>
      <c r="J50" s="23"/>
      <c r="O50" s="12"/>
      <c r="W50" s="238"/>
      <c r="X50" s="59" t="s">
        <v>156</v>
      </c>
      <c r="Y50" s="59">
        <v>474.45</v>
      </c>
    </row>
    <row r="51" spans="2:25" ht="14.4" customHeight="1" x14ac:dyDescent="0.3">
      <c r="O51" s="12"/>
      <c r="X51" s="59"/>
      <c r="Y51" s="59"/>
    </row>
    <row r="52" spans="2:25" x14ac:dyDescent="0.3">
      <c r="O52" s="250"/>
    </row>
    <row r="53" spans="2:25" x14ac:dyDescent="0.3">
      <c r="O53" s="250"/>
      <c r="W53" s="270"/>
    </row>
    <row r="54" spans="2:25" x14ac:dyDescent="0.3">
      <c r="O54" s="250"/>
    </row>
    <row r="55" spans="2:25" ht="15" customHeight="1" x14ac:dyDescent="0.3"/>
    <row r="57" spans="2:25" x14ac:dyDescent="0.3">
      <c r="R57">
        <v>40935</v>
      </c>
      <c r="S57" t="s">
        <v>16</v>
      </c>
      <c r="T57" t="s">
        <v>26</v>
      </c>
    </row>
    <row r="59" spans="2:25" x14ac:dyDescent="0.3">
      <c r="R59" s="54"/>
      <c r="S59" s="54"/>
    </row>
    <row r="60" spans="2:25" x14ac:dyDescent="0.3">
      <c r="V60" s="18"/>
      <c r="W60" s="18"/>
    </row>
    <row r="61" spans="2:25" x14ac:dyDescent="0.3">
      <c r="V61" s="18"/>
      <c r="W61" s="18"/>
    </row>
    <row r="62" spans="2:25" x14ac:dyDescent="0.3">
      <c r="V62" s="18"/>
      <c r="W62" s="18"/>
    </row>
    <row r="63" spans="2:25" x14ac:dyDescent="0.3">
      <c r="V63" s="18"/>
      <c r="W63" s="18"/>
    </row>
    <row r="64" spans="2:25" x14ac:dyDescent="0.3">
      <c r="V64" s="18"/>
      <c r="W64" s="18"/>
    </row>
    <row r="65" spans="18:23" x14ac:dyDescent="0.3">
      <c r="V65" s="18"/>
      <c r="W65" s="18"/>
    </row>
    <row r="66" spans="18:23" x14ac:dyDescent="0.3">
      <c r="V66" s="18"/>
      <c r="W66" s="18"/>
    </row>
    <row r="67" spans="18:23" x14ac:dyDescent="0.3">
      <c r="V67" s="18"/>
      <c r="W67" s="18"/>
    </row>
    <row r="68" spans="18:23" x14ac:dyDescent="0.3">
      <c r="V68" s="18"/>
      <c r="W68" s="18"/>
    </row>
    <row r="71" spans="18:23" x14ac:dyDescent="0.3">
      <c r="R71" s="43"/>
    </row>
    <row r="72" spans="18:23" x14ac:dyDescent="0.3">
      <c r="R72" s="43"/>
    </row>
    <row r="73" spans="18:23" x14ac:dyDescent="0.3">
      <c r="R73" s="6"/>
    </row>
    <row r="74" spans="18:23" x14ac:dyDescent="0.3">
      <c r="R74" s="6"/>
    </row>
    <row r="82" spans="3:3" x14ac:dyDescent="0.3">
      <c r="C82" t="s">
        <v>148</v>
      </c>
    </row>
    <row r="83" spans="3:3" x14ac:dyDescent="0.3">
      <c r="C83" t="s">
        <v>147</v>
      </c>
    </row>
    <row r="86" spans="3:3" x14ac:dyDescent="0.3">
      <c r="C86" t="s">
        <v>147</v>
      </c>
    </row>
    <row r="163" spans="3:3" x14ac:dyDescent="0.3">
      <c r="C163" t="s">
        <v>147</v>
      </c>
    </row>
    <row r="164" spans="3:3" x14ac:dyDescent="0.3">
      <c r="C164" t="s">
        <v>149</v>
      </c>
    </row>
    <row r="165" spans="3:3" x14ac:dyDescent="0.3">
      <c r="C165" t="s">
        <v>150</v>
      </c>
    </row>
    <row r="590" spans="3:3" x14ac:dyDescent="0.3">
      <c r="C590" t="s">
        <v>147</v>
      </c>
    </row>
  </sheetData>
  <mergeCells count="2">
    <mergeCell ref="I17:K17"/>
    <mergeCell ref="B19:K19"/>
  </mergeCells>
  <phoneticPr fontId="34" type="noConversion"/>
  <hyperlinks>
    <hyperlink ref="I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'2229'!J10</f>
        <v>45740</v>
      </c>
    </row>
    <row r="6" spans="2:31" ht="16.2" thickBot="1" x14ac:dyDescent="0.35">
      <c r="B6" s="140" t="s">
        <v>2</v>
      </c>
      <c r="C6" s="139" t="str">
        <f>'2229'!C10</f>
        <v>CONSTANZA SAINT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-42547.038463454104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'2229'!K33</f>
        <v>410076</v>
      </c>
      <c r="E11" s="132">
        <f>D11*0.19</f>
        <v>77914.44</v>
      </c>
      <c r="F11" s="131">
        <f>E11+D11</f>
        <v>487990.44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63442.961536545896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93814.405587439629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45442.961536545896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316261.59441256034</v>
      </c>
      <c r="E13" s="221">
        <f>(D11/D12)-1</f>
        <v>3.3711410569860618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36442.961536545896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-2557.0384634541042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154793.76921927539</v>
      </c>
      <c r="F15" s="216">
        <f>E15-D12</f>
        <v>60979.36363183576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-2557.0384634541042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37442.961536545896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'2229'!R41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'2229'!R40</f>
        <v>49500.000000000007</v>
      </c>
      <c r="E19" s="123">
        <f>D19*0.19</f>
        <v>9405.0000000000018</v>
      </c>
      <c r="F19" s="120">
        <f>SUM(D19:E19)</f>
        <v>58905.000000000007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'2229'!R39</f>
        <v>14480.314800000002</v>
      </c>
      <c r="E20" s="121">
        <f>D20*0.19</f>
        <v>2751.2598120000002</v>
      </c>
      <c r="F20" s="120">
        <f>SUM(D20:E20)</f>
        <v>17231.574612000004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63980.314800000007</v>
      </c>
      <c r="E21" s="116">
        <f>SUM(E18:E20)</f>
        <v>12156.259812000002</v>
      </c>
      <c r="F21" s="115">
        <f>SUM(F18:F20)</f>
        <v>76136.574612000011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65758.180187999998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410076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63980.314800000007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316261.59441256034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316261.59441256034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2025-03-24T13:42:15Z</cp:lastPrinted>
  <dcterms:created xsi:type="dcterms:W3CDTF">2013-03-18T13:35:42Z</dcterms:created>
  <dcterms:modified xsi:type="dcterms:W3CDTF">2025-03-24T14:13:01Z</dcterms:modified>
</cp:coreProperties>
</file>