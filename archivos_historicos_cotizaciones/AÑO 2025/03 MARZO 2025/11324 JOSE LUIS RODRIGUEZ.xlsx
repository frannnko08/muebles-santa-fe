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2E603C87-EE33-4FD4-90C6-13E6115A1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3" i="1"/>
  <c r="P27" i="1"/>
  <c r="L23" i="1"/>
  <c r="M23" i="1"/>
  <c r="N23" i="1"/>
  <c r="O23" i="1" s="1"/>
  <c r="P23" i="1" s="1"/>
  <c r="H22" i="1"/>
  <c r="L22" i="1"/>
  <c r="M22" i="1"/>
  <c r="N22" i="1"/>
  <c r="L21" i="1"/>
  <c r="N21" i="1"/>
  <c r="O22" i="1" l="1"/>
  <c r="P22" i="1" s="1"/>
  <c r="M21" i="1"/>
  <c r="M27" i="1" s="1"/>
  <c r="S21" i="1" l="1"/>
  <c r="S27" i="1" s="1"/>
  <c r="T21" i="1"/>
  <c r="T26" i="1" s="1"/>
  <c r="O21" i="1"/>
  <c r="P21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Q23" i="1" s="1"/>
  <c r="R23" i="1" s="1"/>
  <c r="D21" i="3"/>
  <c r="M43" i="3" s="1"/>
  <c r="D12" i="3" s="1"/>
  <c r="F20" i="3"/>
  <c r="F21" i="3" s="1"/>
  <c r="Q22" i="1" l="1"/>
  <c r="R22" i="1" s="1"/>
  <c r="O41" i="1"/>
  <c r="E15" i="3"/>
  <c r="Q21" i="1" l="1"/>
  <c r="F15" i="3"/>
  <c r="R21" i="1" l="1"/>
  <c r="H21" i="1" l="1"/>
  <c r="H27" i="1" l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<sst xmlns="http://schemas.openxmlformats.org/spreadsheetml/2006/main" count="233" uniqueCount="174">
  <si>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</si>
  <si>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</si>
  <si>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</si>
  <si>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</si>
  <si>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</si>
  <si>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</si>
  <si>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</si>
  <si>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</si>
  <si>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</si>
  <si>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</si>
  <si>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</si>
  <si>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</si>
  <si>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</si>
  <si>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</si>
  <si>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</si>
  <si>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</si>
  <si>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</si>
  <si>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</si>
  <si>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</si>
  <si>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</si>
  <si>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</si>
  <si>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</si>
  <si>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</si>
  <si>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</si>
  <si>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</si>
  <si>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</si>
  <si>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</si>
  <si>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</si>
  <si>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</si>
  <si>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</si>
  <si>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</si>
  <si>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</si>
  <si>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</si>
  <si>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</si>
  <si>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</si>
  <si>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</si>
  <si>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</si>
  <si>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</si>
  <si>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</si>
  <si>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</si>
  <si>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</si>
  <si>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</si>
  <si>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</si>
  <si>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</si>
  <si>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</si>
  <si>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</si>
  <si>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</si>
  <si>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</si>
  <si>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</si>
  <si>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</si>
  <si>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</si>
  <si>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</si>
  <si>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</si>
  <si>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</si>
  <si>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</si>
  <si>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</si>
  <si>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</si>
  <si>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</si>
  <si>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</si>
  <si>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</si>
  <si>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</si>
  <si>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</si>
  <si>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</si>
  <si>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</si>
  <si>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</si>
  <si>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</si>
  <si>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</si>
  <si>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</si>
  <si>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</si>
  <si>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</si>
  <si>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</si>
  <si>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</si>
  <si>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</si>
  <si>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</si>
  <si>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</si>
  <si>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</si>
  <si>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</si>
  <si>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</si>
  <si>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</si>
  <si>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</si>
  <si>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</si>
  <si>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</si>
  <si>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</si>
  <si>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</si>
  <si>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</si>
  <si>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</si>
  <si>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</si>
  <si>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</si>
  <si>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</si>
  <si>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</si>
  <si>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</si>
  <si>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</si>
  <si>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</si>
  <si>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</si>
  <si>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</si>
  <si>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</si>
  <si>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</si>
  <si>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</si>
  <si>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</si>
  <si>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</si>
  <si>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</si>
  <si>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</si>
  <si>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</si>
  <si>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</si>
  <si>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</si>
  <si>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</si>
  <si>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</si>
  <si>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</si>
  <si>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</si>
  <si>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</si>
  <si>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</si>
  <si>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</si>
  <si>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</si>
  <si>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</si>
  <si>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</si>
  <si>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</si>
  <si>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</si>
  <si>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</si>
  <si>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</si>
  <si>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</si>
  <si>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</si>
  <si>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</si>
  <si>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</si>
  <si>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</si>
  <si>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</si>
  <si>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</si>
  <si>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</si>
  <si>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</si>
  <si>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</si>
  <si>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</si>
  <si>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</si>
  <si>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</si>
  <si>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</si>
  <si>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</si>
  <si>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</si>
  <si>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</si>
  <si>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</si>
  <si>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</si>
  <si>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</si>
  <si>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</si>
  <si>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</si>
  <si>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</si>
  <si>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</si>
  <si>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</si>
  <si>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</si>
  <si>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</si>
  <si>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</si>
  <si>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</si>
  <si>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</si>
  <si>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</si>
  <si>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</si>
  <si>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</si>
  <si>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</si>
  <si>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</si>
  <si>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</si>
  <si>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</si>
  <si>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</si>
  <si>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</si>
  <si>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</si>
  <si>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</si>
  <si>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</si>
  <si>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</si>
  <si>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</si>
  <si>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</si>
  <si>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</si>
  <si>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</si>
  <si>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</si>
  <si>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</si>
  <si>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N° 11324</t>
  </si>
  <si>
    <t>JOSE LUIS RODRIGUEZ</t>
  </si>
  <si>
    <t>CUB C/R FRENTE 180°</t>
  </si>
  <si>
    <t>CUB MESA 180° 2 LADOS</t>
  </si>
  <si>
    <t>GRANITINO NEGRO 3014 BR</t>
  </si>
  <si>
    <t>56962302329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</si>
</sst>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C1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169</v>
      </c>
      <c r="D10" s="243"/>
      <c r="E10" s="243"/>
      <c r="F10" s="244" t="s">
        <v>0</v>
      </c>
      <c r="G10" s="276">
        <v>45721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173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72995.63463819692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170</v>
      </c>
      <c r="D21" s="331">
        <v>1.59</v>
      </c>
      <c r="E21" s="331">
        <v>0.6</v>
      </c>
      <c r="F21" s="330" t="s">
        <v>172</v>
      </c>
      <c r="G21" s="332">
        <v>76142</v>
      </c>
      <c r="H21" s="332">
        <f>G21*B21</f>
        <v>76142</v>
      </c>
      <c r="I21" s="320"/>
      <c r="J21" s="265"/>
      <c r="K21" s="47"/>
      <c r="L21" s="47">
        <f>B21</f>
        <v>1</v>
      </c>
      <c r="M21" s="39">
        <f>D21+M$19</f>
        <v>1.6700000000000002</v>
      </c>
      <c r="N21" s="39">
        <f>E21+$N$19</f>
        <v>0.6</v>
      </c>
      <c r="O21" s="261">
        <f t="shared" ref="O21" si="1">M21*N21</f>
        <v>1.002</v>
      </c>
      <c r="P21" s="259">
        <f t="shared" ref="P21" si="2">O21*L21</f>
        <v>1.002</v>
      </c>
      <c r="Q21" s="252">
        <f t="shared" ref="Q21" si="3">Q$20*O21</f>
        <v>73141.62590747331</v>
      </c>
      <c r="R21" s="319">
        <f t="shared" ref="R21" si="4">Q21+R$20</f>
        <v>76141.62590747331</v>
      </c>
      <c r="S21" s="297">
        <f>M21*L21</f>
        <v>1.6700000000000002</v>
      </c>
      <c r="T21" s="46">
        <f>N21*2*L21*2</f>
        <v>2.4</v>
      </c>
      <c r="U21" s="9"/>
      <c r="X21" s="4"/>
    </row>
    <row r="22" spans="2:25" ht="17.399999999999999" x14ac:dyDescent="0.3">
      <c r="B22" s="330">
        <v>1</v>
      </c>
      <c r="C22" s="330" t="s">
        <v>170</v>
      </c>
      <c r="D22" s="331">
        <v>1.73</v>
      </c>
      <c r="E22" s="331">
        <v>0.6</v>
      </c>
      <c r="F22" s="330" t="s">
        <v>172</v>
      </c>
      <c r="G22" s="332">
        <v>82273</v>
      </c>
      <c r="H22" s="332">
        <f t="shared" ref="H22:H23" si="5">G22*B22</f>
        <v>82273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1.81</v>
      </c>
      <c r="N22" s="39">
        <f t="shared" ref="N22" si="8">E22+$N$19</f>
        <v>0.6</v>
      </c>
      <c r="O22" s="261">
        <f t="shared" ref="O22" si="9">M22*N22</f>
        <v>1.0860000000000001</v>
      </c>
      <c r="P22" s="259">
        <f t="shared" ref="P22" si="10">O22*L22</f>
        <v>1.0860000000000001</v>
      </c>
      <c r="Q22" s="252">
        <f t="shared" ref="Q22" si="11">Q$20*O22</f>
        <v>79273.259217081853</v>
      </c>
      <c r="R22" s="319">
        <f t="shared" ref="R22" si="12">Q22+R$20</f>
        <v>82273.259217081853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1">
        <v>2.06</v>
      </c>
      <c r="E23" s="331">
        <v>0.6</v>
      </c>
      <c r="F23" s="330" t="s">
        <v>172</v>
      </c>
      <c r="G23" s="332">
        <v>96726</v>
      </c>
      <c r="H23" s="332">
        <f t="shared" si="5"/>
        <v>96726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2.14</v>
      </c>
      <c r="N23" s="39">
        <f t="shared" ref="N23" si="15">E23+$N$19</f>
        <v>0.6</v>
      </c>
      <c r="O23" s="261">
        <f t="shared" ref="O23" si="16">M23*N23</f>
        <v>1.284</v>
      </c>
      <c r="P23" s="259">
        <f t="shared" ref="P23" si="17">O23*L23</f>
        <v>1.284</v>
      </c>
      <c r="Q23" s="252">
        <f t="shared" ref="Q23" si="18">Q$20*O23</f>
        <v>93726.39487544485</v>
      </c>
      <c r="R23" s="319">
        <f t="shared" ref="R23" si="19">Q23+R$20</f>
        <v>96726.39487544485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255141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48476.79</v>
      </c>
      <c r="I27" s="322"/>
      <c r="J27" s="265"/>
      <c r="K27" s="47"/>
      <c r="L27" s="47"/>
      <c r="M27" s="39">
        <f>SUM(M21:M22)</f>
        <v>3.4800000000000004</v>
      </c>
      <c r="N27" s="12"/>
      <c r="O27" s="12"/>
      <c r="P27" s="253">
        <f>SUM(P21:P25)</f>
        <v>3.3719999999999999</v>
      </c>
      <c r="Q27" s="14"/>
      <c r="R27" s="12"/>
      <c r="S27" s="239">
        <f>SUM(S21:S26)</f>
        <v>1.6700000000000002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303617.78999999998</v>
      </c>
      <c r="I28" s="322"/>
      <c r="J28" s="265"/>
      <c r="K28" s="47"/>
      <c r="L28" s="47"/>
      <c r="M28" s="39"/>
      <c r="N28" s="12"/>
      <c r="O28" s="12"/>
      <c r="P28" s="253">
        <f>P27</f>
        <v>3.3719999999999999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0.6744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4.0464000000000002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151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4.0464000000000002</v>
      </c>
      <c r="N32" s="12">
        <v>3500</v>
      </c>
      <c r="O32" s="12">
        <f t="shared" ref="O32:O37" si="20">M32*N32</f>
        <v>14162.400000000001</v>
      </c>
      <c r="P32" s="14" t="s">
        <v>21</v>
      </c>
      <c r="Q32" s="14"/>
      <c r="R32" s="14"/>
      <c r="S32" s="241"/>
      <c r="T32" s="14"/>
      <c r="U32" s="302" t="s">
        <v>152</v>
      </c>
      <c r="V32" s="299">
        <v>3625</v>
      </c>
      <c r="W32" s="59" t="s">
        <v>153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1.1000000000000001</v>
      </c>
      <c r="N33" s="12">
        <v>25000</v>
      </c>
      <c r="O33" s="12">
        <f t="shared" si="20"/>
        <v>27500.000000000004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154</v>
      </c>
      <c r="X33" s="304"/>
    </row>
    <row r="34" spans="1:24" s="230" customFormat="1" ht="17.399999999999999" x14ac:dyDescent="0.35">
      <c r="B34" s="24" t="s">
        <v>150</v>
      </c>
      <c r="J34" s="262"/>
      <c r="K34" s="232"/>
      <c r="L34" s="250"/>
      <c r="M34" s="14">
        <v>1</v>
      </c>
      <c r="N34" s="250">
        <v>65000</v>
      </c>
      <c r="O34" s="12">
        <f t="shared" si="20"/>
        <v>65000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155</v>
      </c>
      <c r="X34" s="59"/>
    </row>
    <row r="35" spans="1:24" s="230" customFormat="1" ht="17.399999999999999" x14ac:dyDescent="0.35">
      <c r="B35" s="24" t="s">
        <v>166</v>
      </c>
      <c r="C35"/>
      <c r="D35"/>
      <c r="E35"/>
      <c r="F35"/>
      <c r="J35" s="262"/>
      <c r="K35" s="232"/>
      <c r="L35" s="250"/>
      <c r="M35" s="14"/>
      <c r="N35" s="250">
        <v>35000</v>
      </c>
      <c r="O35" s="12">
        <f t="shared" si="20"/>
        <v>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156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20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3.48</v>
      </c>
      <c r="N37" s="12">
        <v>1500</v>
      </c>
      <c r="O37" s="12">
        <f t="shared" si="20"/>
        <v>5220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111882.40000000001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246141.28000000003</v>
      </c>
      <c r="P39" s="14" t="s">
        <v>140</v>
      </c>
      <c r="Q39" s="14"/>
      <c r="R39" s="40">
        <f>P30/R38</f>
        <v>1.0910267471958586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77240</v>
      </c>
      <c r="L40" s="250"/>
      <c r="M40" s="14"/>
      <c r="N40" s="12"/>
      <c r="O40" s="12">
        <f>O39/P28</f>
        <v>72995.63463819692</v>
      </c>
      <c r="P40" s="45" t="s">
        <v>24</v>
      </c>
      <c r="Q40" s="14"/>
      <c r="R40" s="14"/>
      <c r="S40"/>
      <c r="T40" s="238"/>
      <c r="U40" s="59" t="s">
        <v>157</v>
      </c>
      <c r="V40" s="299">
        <v>43650</v>
      </c>
    </row>
    <row r="41" spans="1:24" s="230" customFormat="1" ht="17.399999999999999" x14ac:dyDescent="0.35">
      <c r="G41"/>
      <c r="K41" s="230">
        <f>K40/1.19</f>
        <v>64907.563025210089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159</v>
      </c>
      <c r="V41" s="300" t="s">
        <v>158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160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155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147</v>
      </c>
    </row>
    <row r="76" spans="3:15" x14ac:dyDescent="0.3">
      <c r="C76" t="s">
        <v>146</v>
      </c>
    </row>
    <row r="79" spans="3:15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45721</v>
      </c>
    </row>
    <row r="6" spans="2:31" ht="16.2" thickBot="1" x14ac:dyDescent="0.35">
      <c r="B6" s="140" t="s">
        <v>2</v>
      </c>
      <c r="C6" s="139" t="str">
        <f>'2229'!C10</f>
        <v>JOSE LUIS RODRIGUEZ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-4986.965033454112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255141</v>
      </c>
      <c r="E11" s="132">
        <f>D11*0.19</f>
        <v>48476.79</v>
      </c>
      <c r="F11" s="131">
        <f>E11+D11</f>
        <v>303617.78999999998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101003.03496654589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136496.4907874396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83003.034966545893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118644.5092125604</v>
      </c>
      <c r="E13" s="221">
        <f>(D11/D12)-1</f>
        <v>0.86921288985605227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74003.034966545893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35003.034966545885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225219.20979927533</v>
      </c>
      <c r="F15" s="216">
        <f>E15-D12</f>
        <v>88722.719011835725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35003.034966545885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75003.034966545893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65000</v>
      </c>
      <c r="E18" s="123">
        <f>D18*0.19</f>
        <v>12350</v>
      </c>
      <c r="F18" s="120">
        <f>SUM(D18:E18)</f>
        <v>77350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27500.000000000004</v>
      </c>
      <c r="E19" s="123">
        <f>D19*0.19</f>
        <v>5225.0000000000009</v>
      </c>
      <c r="F19" s="120">
        <f>SUM(D19:E19)</f>
        <v>32725.000000000004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14162.400000000001</v>
      </c>
      <c r="E20" s="121">
        <f>D20*0.19</f>
        <v>2690.8560000000002</v>
      </c>
      <c r="F20" s="120">
        <f>SUM(D20:E20)</f>
        <v>16853.256000000001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106662.39999999999</v>
      </c>
      <c r="E21" s="116">
        <f>SUM(E18:E20)</f>
        <v>20265.856</v>
      </c>
      <c r="F21" s="115">
        <f>SUM(F18:F20)</f>
        <v>126928.25599999999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28210.934000000001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255141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106662.39999999999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118644.5092125604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118644.5092125604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2025-03-05T21:22:37Z</cp:lastPrinted>
  <dcterms:created xsi:type="dcterms:W3CDTF">2013-03-18T13:35:42Z</dcterms:created>
  <dcterms:modified xsi:type="dcterms:W3CDTF">2025-03-05T21:32:48Z</dcterms:modified>
</cp:coreProperties>
</file>