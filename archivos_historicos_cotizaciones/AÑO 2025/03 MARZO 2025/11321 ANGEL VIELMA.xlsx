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2184975F-3CC9-41C6-BBCA-1E12174E6F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M28" i="1"/>
  <c r="P28" i="1"/>
  <c r="L22" i="1"/>
  <c r="M22" i="1"/>
  <c r="N22" i="1"/>
  <c r="O22" i="1"/>
  <c r="P22" i="1" s="1"/>
  <c r="L23" i="1"/>
  <c r="M23" i="1"/>
  <c r="O23" i="1" s="1"/>
  <c r="P23" i="1" s="1"/>
  <c r="N23" i="1"/>
  <c r="H24" i="1"/>
  <c r="L21" i="1"/>
  <c r="N21" i="1"/>
  <c r="M21" i="1" l="1"/>
  <c r="S21" i="1" l="1"/>
  <c r="S28" i="1" s="1"/>
  <c r="T21" i="1"/>
  <c r="T27" i="1" s="1"/>
  <c r="O21" i="1"/>
  <c r="P21" i="1" s="1"/>
  <c r="K42" i="1"/>
  <c r="V35" i="1" l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O41" i="1" l="1"/>
  <c r="D20" i="3"/>
  <c r="E20" i="3" s="1"/>
  <c r="E21" i="3" s="1"/>
  <c r="Q20" i="1" l="1"/>
  <c r="D21" i="3"/>
  <c r="M43" i="3" s="1"/>
  <c r="D12" i="3" s="1"/>
  <c r="F20" i="3"/>
  <c r="F21" i="3" s="1"/>
  <c r="Q23" i="1" l="1"/>
  <c r="R23" i="1" s="1"/>
  <c r="Q22" i="1"/>
  <c r="R22" i="1" s="1"/>
  <c r="O42" i="1"/>
  <c r="E15" i="3"/>
  <c r="Q21" i="1" l="1"/>
  <c r="F15" i="3"/>
  <c r="R21" i="1" l="1"/>
  <c r="H21" i="1" l="1"/>
  <c r="H27" i="1" s="1"/>
  <c r="H28" i="1" l="1"/>
  <c r="D11" i="3" l="1"/>
  <c r="X9" i="3" s="1"/>
  <c r="X15" i="3" s="1"/>
  <c r="H29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<sst xmlns="http://schemas.openxmlformats.org/spreadsheetml/2006/main" count="234" uniqueCount="175">
  <si>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</si>
  <si>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</si>
  <si>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</si>
  <si>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</si>
  <si>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</si>
  <si>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</si>
  <si>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</si>
  <si>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</si>
  <si>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</si>
  <si>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</si>
  <si>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</si>
  <si>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</si>
  <si>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</si>
  <si>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</si>
  <si>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</si>
  <si>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</si>
  <si>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</si>
  <si>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</si>
  <si>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</si>
  <si>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</si>
  <si>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</si>
  <si>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</si>
  <si>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</si>
  <si>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</si>
  <si>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</si>
  <si>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</si>
  <si>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</si>
  <si>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</si>
  <si>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</si>
  <si>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</si>
  <si>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</si>
  <si>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</si>
  <si>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</si>
  <si>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</si>
  <si>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</si>
  <si>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</si>
  <si>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</si>
  <si>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</si>
  <si>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</si>
  <si>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</si>
  <si>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</si>
  <si>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</si>
  <si>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</si>
  <si>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</si>
  <si>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</si>
  <si>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</si>
  <si>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</si>
  <si>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</si>
  <si>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</si>
  <si>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</si>
  <si>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</si>
  <si>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</si>
  <si>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</si>
  <si>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</si>
  <si>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</si>
  <si>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</si>
  <si>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</si>
  <si>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</si>
  <si>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</si>
  <si>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</si>
  <si>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</si>
  <si>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</si>
  <si>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</si>
  <si>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</si>
  <si>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</si>
  <si>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</si>
  <si>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</si>
  <si>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</si>
  <si>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</si>
  <si>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</si>
  <si>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</si>
  <si>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</si>
  <si>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</si>
  <si>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</si>
  <si>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</si>
  <si>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</si>
  <si>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</si>
  <si>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</si>
  <si>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</si>
  <si>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</si>
  <si>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</si>
  <si>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</si>
  <si>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</si>
  <si>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</si>
  <si>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</si>
  <si>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</si>
  <si>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</si>
  <si>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</si>
  <si>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</si>
  <si>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</si>
  <si>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</si>
  <si>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</si>
  <si>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</si>
  <si>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</si>
  <si>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</si>
  <si>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</si>
  <si>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</si>
  <si>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</si>
  <si>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</si>
  <si>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</si>
  <si>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</si>
  <si>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</si>
  <si>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</si>
  <si>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</si>
  <si>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</si>
  <si>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</si>
  <si>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</si>
  <si>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</si>
  <si>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</si>
  <si>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</si>
  <si>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</si>
  <si>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</si>
  <si>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</si>
  <si>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</si>
  <si>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</si>
  <si>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</si>
  <si>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</si>
  <si>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</si>
  <si>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</si>
  <si>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</si>
  <si>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</si>
  <si>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</si>
  <si>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</si>
  <si>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</si>
  <si>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</si>
  <si>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</si>
  <si>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</si>
  <si>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</si>
  <si>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</si>
  <si>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</si>
  <si>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</si>
  <si>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</si>
  <si>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</si>
  <si>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</si>
  <si>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</si>
  <si>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</si>
  <si>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</si>
  <si>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</si>
  <si>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</si>
  <si>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</si>
  <si>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</si>
  <si>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</si>
  <si>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</si>
  <si>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</si>
  <si>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</si>
  <si>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</si>
  <si>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</si>
  <si>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</si>
  <si>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</si>
  <si>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</si>
  <si>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</si>
  <si>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</si>
  <si>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</si>
  <si>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</si>
  <si>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</si>
  <si>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</si>
  <si>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</si>
  <si>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</si>
  <si>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</si>
  <si>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</si>
  <si>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</si>
  <si>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</si>
  <si>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</si>
  <si>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</si>
  <si>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</si>
  <si>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7 DIAS HABILES</t>
  </si>
  <si>
    <t>SANTIAGO</t>
  </si>
  <si>
    <t>SI</t>
  </si>
  <si>
    <t>RUT : 77.054.606-0 CORREO: FRANCODONOSO@TOPMOBILI.CL</t>
  </si>
  <si>
    <t>SERVICIO INSTALACION</t>
  </si>
  <si>
    <t>CUB C/R FRENTE 90° R8</t>
  </si>
  <si>
    <t>N° 11320</t>
  </si>
  <si>
    <t>COLOR MADERA POR DEFINIR</t>
  </si>
  <si>
    <t>ANGEL VIELMA</t>
  </si>
  <si>
    <t>56939208208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</si>
</sst>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NUESTRO</a:t>
          </a:r>
          <a:r>
            <a:rPr lang="es-CL" sz="1200" b="1" baseline="0"/>
            <a:t> SERVICIO INSTALACION NO INCLUYE GASFITERIA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INCLUYE DESFONDADOS PARA ENCIMERA Y LAVAPLATOS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9" zoomScale="93" zoomScaleNormal="93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30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173</v>
      </c>
      <c r="D10" s="243"/>
      <c r="E10" s="243"/>
      <c r="F10" s="244" t="s">
        <v>0</v>
      </c>
      <c r="G10" s="276">
        <v>45720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165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167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174</v>
      </c>
      <c r="D15" s="310"/>
      <c r="F15" t="s">
        <v>134</v>
      </c>
      <c r="G15" s="308" t="s">
        <v>167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97714.272930648774</v>
      </c>
      <c r="R20" s="258">
        <v>5000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170</v>
      </c>
      <c r="D21" s="331">
        <v>2.09</v>
      </c>
      <c r="E21" s="331">
        <v>0.55000000000000004</v>
      </c>
      <c r="F21" s="330" t="s">
        <v>172</v>
      </c>
      <c r="G21" s="332">
        <v>116622</v>
      </c>
      <c r="H21" s="332">
        <f>G21*B21</f>
        <v>116622</v>
      </c>
      <c r="I21" s="320"/>
      <c r="J21" s="265"/>
      <c r="K21" s="47"/>
      <c r="L21" s="47">
        <f>B21</f>
        <v>1</v>
      </c>
      <c r="M21" s="39">
        <f>D21+M$19</f>
        <v>2.17</v>
      </c>
      <c r="N21" s="39">
        <f>E21+$N$19</f>
        <v>0.55000000000000004</v>
      </c>
      <c r="O21" s="261">
        <f t="shared" ref="O21" si="1">M21*N21</f>
        <v>1.1935</v>
      </c>
      <c r="P21" s="259">
        <f t="shared" ref="P21" si="2">O21*L21</f>
        <v>1.1935</v>
      </c>
      <c r="Q21" s="252">
        <f t="shared" ref="Q21" si="3">Q$20*O21</f>
        <v>116621.98474272931</v>
      </c>
      <c r="R21" s="319">
        <f t="shared" ref="R21" si="4">Q21+R$20</f>
        <v>121621.98474272931</v>
      </c>
      <c r="S21" s="297">
        <f>M21*L21</f>
        <v>2.17</v>
      </c>
      <c r="T21" s="46">
        <f>N21*2*L21*2</f>
        <v>2.2000000000000002</v>
      </c>
      <c r="U21" s="9"/>
      <c r="X21" s="4"/>
    </row>
    <row r="22" spans="2:25" ht="17.399999999999999" x14ac:dyDescent="0.3">
      <c r="B22" s="330">
        <v>1</v>
      </c>
      <c r="C22" s="330" t="s">
        <v>170</v>
      </c>
      <c r="D22" s="331">
        <v>1.39</v>
      </c>
      <c r="E22" s="331">
        <v>0.55000000000000004</v>
      </c>
      <c r="F22" s="330" t="s">
        <v>172</v>
      </c>
      <c r="G22" s="332">
        <v>79002</v>
      </c>
      <c r="H22" s="332">
        <f t="shared" ref="H22:H23" si="5">G22*B22</f>
        <v>79002</v>
      </c>
      <c r="I22" s="320"/>
      <c r="J22" s="265"/>
      <c r="K22" s="47"/>
      <c r="L22" s="47">
        <f t="shared" ref="L22:L23" si="6">B22</f>
        <v>1</v>
      </c>
      <c r="M22" s="39">
        <f t="shared" ref="M22:M23" si="7">D22+M$19</f>
        <v>1.47</v>
      </c>
      <c r="N22" s="39">
        <f t="shared" ref="N22:N23" si="8">E22+$N$19</f>
        <v>0.55000000000000004</v>
      </c>
      <c r="O22" s="261">
        <f t="shared" ref="O22:O23" si="9">M22*N22</f>
        <v>0.8085</v>
      </c>
      <c r="P22" s="259">
        <f t="shared" ref="P22:P23" si="10">O22*L22</f>
        <v>0.8085</v>
      </c>
      <c r="Q22" s="252">
        <f t="shared" ref="Q22:Q23" si="11">Q$20*O22</f>
        <v>79001.989664429537</v>
      </c>
      <c r="R22" s="319">
        <f t="shared" ref="R22:R23" si="12">Q22+R$20</f>
        <v>84001.989664429537</v>
      </c>
      <c r="S22" s="297"/>
      <c r="T22" s="46"/>
      <c r="U22" s="9"/>
      <c r="X22" s="4"/>
    </row>
    <row r="23" spans="2:25" ht="17.399999999999999" x14ac:dyDescent="0.3">
      <c r="B23" s="330">
        <v>1</v>
      </c>
      <c r="C23" s="330" t="s">
        <v>170</v>
      </c>
      <c r="D23" s="331">
        <v>0.75</v>
      </c>
      <c r="E23" s="331">
        <v>0.55000000000000004</v>
      </c>
      <c r="F23" s="330" t="s">
        <v>172</v>
      </c>
      <c r="G23" s="332">
        <v>44607</v>
      </c>
      <c r="H23" s="332">
        <f t="shared" si="5"/>
        <v>44607</v>
      </c>
      <c r="I23" s="320"/>
      <c r="J23" s="265"/>
      <c r="K23" s="47"/>
      <c r="L23" s="47">
        <f t="shared" si="6"/>
        <v>1</v>
      </c>
      <c r="M23" s="39">
        <f t="shared" si="7"/>
        <v>0.83</v>
      </c>
      <c r="N23" s="39">
        <f t="shared" si="8"/>
        <v>0.55000000000000004</v>
      </c>
      <c r="O23" s="261">
        <f t="shared" si="9"/>
        <v>0.45650000000000002</v>
      </c>
      <c r="P23" s="259">
        <f t="shared" si="10"/>
        <v>0.45650000000000002</v>
      </c>
      <c r="Q23" s="252">
        <f t="shared" si="11"/>
        <v>44606.565592841165</v>
      </c>
      <c r="R23" s="319">
        <f t="shared" si="12"/>
        <v>49606.565592841165</v>
      </c>
      <c r="S23" s="297"/>
      <c r="T23" s="46"/>
      <c r="U23" s="9"/>
      <c r="X23" s="4"/>
    </row>
    <row r="24" spans="2:25" ht="17.399999999999999" x14ac:dyDescent="0.3">
      <c r="B24" s="330">
        <v>1</v>
      </c>
      <c r="C24" s="330" t="s">
        <v>169</v>
      </c>
      <c r="D24" s="331"/>
      <c r="E24" s="331"/>
      <c r="F24" s="330"/>
      <c r="G24" s="332">
        <v>125000</v>
      </c>
      <c r="H24" s="332">
        <f>G24*B24</f>
        <v>125000</v>
      </c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47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1"/>
      <c r="I26" s="323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4" t="s">
        <v>28</v>
      </c>
      <c r="H27" s="325">
        <f>SUM(H21:H26)</f>
        <v>365231</v>
      </c>
      <c r="I27" s="322"/>
      <c r="J27" s="265"/>
      <c r="K27" s="47">
        <v>2600000</v>
      </c>
      <c r="L27" s="47"/>
      <c r="M27" s="39"/>
      <c r="N27" s="39"/>
      <c r="O27" s="261"/>
      <c r="P27" s="259"/>
      <c r="Q27" s="252"/>
      <c r="R27" s="258"/>
      <c r="S27" s="297"/>
      <c r="T27" s="46">
        <f>SUM(T21:T26)</f>
        <v>2.2000000000000002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69393.89</v>
      </c>
      <c r="I28" s="322"/>
      <c r="J28" s="265"/>
      <c r="K28" s="47"/>
      <c r="L28" s="47"/>
      <c r="M28" s="39">
        <f>SUM(M21:M23)</f>
        <v>4.47</v>
      </c>
      <c r="N28" s="12"/>
      <c r="O28" s="12"/>
      <c r="P28" s="253">
        <f>SUM(P21:P26)</f>
        <v>2.4584999999999999</v>
      </c>
      <c r="Q28" s="14"/>
      <c r="R28" s="12"/>
      <c r="S28" s="239">
        <f>SUM(S21:S27)</f>
        <v>2.17</v>
      </c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434624.89</v>
      </c>
      <c r="I29" s="322"/>
      <c r="J29" s="265"/>
      <c r="K29" s="47"/>
      <c r="L29" s="47"/>
      <c r="M29" s="39"/>
      <c r="N29" s="12"/>
      <c r="O29" s="12"/>
      <c r="P29" s="253">
        <f>P28</f>
        <v>2.4584999999999999</v>
      </c>
      <c r="Q29" s="14"/>
      <c r="R29" s="12"/>
      <c r="S29" s="239"/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0.49170000000000003</v>
      </c>
      <c r="Q30" s="39" t="s">
        <v>130</v>
      </c>
      <c r="R30" s="42"/>
      <c r="S30" s="240"/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2.9501999999999997</v>
      </c>
      <c r="Q31" s="14"/>
      <c r="R31" s="14"/>
      <c r="S31" s="238"/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/>
      <c r="T32" s="14"/>
      <c r="U32" s="302" t="s">
        <v>21</v>
      </c>
      <c r="V32" s="299" t="s">
        <v>151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2.9501999999999997</v>
      </c>
      <c r="N33" s="12">
        <v>3500</v>
      </c>
      <c r="O33" s="12">
        <f t="shared" ref="O33:O38" si="13">M33*N33</f>
        <v>10325.699999999999</v>
      </c>
      <c r="P33" s="14" t="s">
        <v>21</v>
      </c>
      <c r="Q33" s="14"/>
      <c r="R33" s="14"/>
      <c r="S33" s="241"/>
      <c r="T33" s="14"/>
      <c r="U33" s="302" t="s">
        <v>152</v>
      </c>
      <c r="V33" s="299">
        <v>3625</v>
      </c>
      <c r="W33" s="59" t="s">
        <v>153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1</v>
      </c>
      <c r="N34" s="12">
        <v>25000</v>
      </c>
      <c r="O34" s="12">
        <f t="shared" si="13"/>
        <v>25000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154</v>
      </c>
      <c r="X34" s="304"/>
    </row>
    <row r="35" spans="1:24" s="230" customFormat="1" ht="17.399999999999999" x14ac:dyDescent="0.35">
      <c r="B35" s="24" t="s">
        <v>150</v>
      </c>
      <c r="J35" s="262"/>
      <c r="K35" s="232"/>
      <c r="L35" s="250"/>
      <c r="M35" s="14"/>
      <c r="N35" s="250">
        <v>61840</v>
      </c>
      <c r="O35" s="12">
        <f t="shared" si="13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155</v>
      </c>
      <c r="X35" s="59"/>
    </row>
    <row r="36" spans="1:24" s="230" customFormat="1" ht="17.399999999999999" x14ac:dyDescent="0.35">
      <c r="B36" s="24" t="s">
        <v>168</v>
      </c>
      <c r="C36"/>
      <c r="D36"/>
      <c r="E36"/>
      <c r="F36"/>
      <c r="J36" s="262"/>
      <c r="K36" s="232"/>
      <c r="L36" s="250"/>
      <c r="M36" s="14">
        <v>2</v>
      </c>
      <c r="N36" s="250">
        <v>35000</v>
      </c>
      <c r="O36" s="12">
        <f t="shared" si="13"/>
        <v>70000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4" t="s">
        <v>156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 t="shared" si="13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/>
      <c r="K38" s="260"/>
      <c r="L38" s="250"/>
      <c r="M38" s="266">
        <v>2.58</v>
      </c>
      <c r="N38" s="12">
        <v>1500</v>
      </c>
      <c r="O38" s="12">
        <f t="shared" si="13"/>
        <v>3870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109195.7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O39*2.2</f>
        <v>240230.54</v>
      </c>
      <c r="P40" s="14" t="s">
        <v>140</v>
      </c>
      <c r="Q40" s="14"/>
      <c r="R40" s="40">
        <f>P31/R39</f>
        <v>0.79545944779982736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K41" s="230">
        <v>31030</v>
      </c>
      <c r="L41" s="250"/>
      <c r="M41" s="14"/>
      <c r="N41" s="12"/>
      <c r="O41" s="12">
        <f>O40/P29</f>
        <v>97714.272930648774</v>
      </c>
      <c r="P41" s="45" t="s">
        <v>24</v>
      </c>
      <c r="Q41" s="14"/>
      <c r="R41" s="14"/>
      <c r="S41"/>
      <c r="T41" s="238"/>
      <c r="U41" s="59" t="s">
        <v>157</v>
      </c>
      <c r="V41" s="299">
        <v>43650</v>
      </c>
    </row>
    <row r="42" spans="1:24" s="230" customFormat="1" ht="17.399999999999999" x14ac:dyDescent="0.35">
      <c r="G42"/>
      <c r="K42" s="230">
        <f>K41/1.19</f>
        <v>26075.63025210084</v>
      </c>
      <c r="L42" s="250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159</v>
      </c>
      <c r="V42" s="300" t="s">
        <v>158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160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155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147</v>
      </c>
    </row>
    <row r="77" spans="3:15" x14ac:dyDescent="0.3">
      <c r="C77" t="s">
        <v>146</v>
      </c>
    </row>
    <row r="80" spans="3:15" x14ac:dyDescent="0.3">
      <c r="C80" t="s">
        <v>146</v>
      </c>
    </row>
    <row r="157" spans="3:3" x14ac:dyDescent="0.3">
      <c r="C157" t="s">
        <v>146</v>
      </c>
    </row>
    <row r="158" spans="3:3" x14ac:dyDescent="0.3">
      <c r="C158" t="s">
        <v>148</v>
      </c>
    </row>
    <row r="159" spans="3:3" x14ac:dyDescent="0.3">
      <c r="C159" t="s">
        <v>149</v>
      </c>
    </row>
    <row r="584" spans="3:3" x14ac:dyDescent="0.3">
      <c r="C584" t="s">
        <v>146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45720</v>
      </c>
    </row>
    <row r="6" spans="2:31" ht="16.2" thickBot="1" x14ac:dyDescent="0.35">
      <c r="B6" s="140" t="s">
        <v>2</v>
      </c>
      <c r="C6" s="139" t="str">
        <f>'2229'!C10</f>
        <v>ANGEL VIELMA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11320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-42952.890866787442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365231</v>
      </c>
      <c r="E11" s="132">
        <f>D11*0.19</f>
        <v>69393.89</v>
      </c>
      <c r="F11" s="131">
        <f>E11+D11</f>
        <v>434624.89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63037.109133212558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65159.790787439611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45037.109133212558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300071.20921256038</v>
      </c>
      <c r="E13" s="221">
        <f>(D11/D12)-1</f>
        <v>4.6051591876873088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36037.109133212558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-2962.8908667874421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107513.65479927535</v>
      </c>
      <c r="F15" s="216">
        <f>E15-D12</f>
        <v>42353.864011835736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-2962.8908667874421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37037.109133212558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10325.699999999999</v>
      </c>
      <c r="E20" s="121">
        <f>D20*0.19</f>
        <v>1961.8829999999998</v>
      </c>
      <c r="F20" s="120">
        <f>SUM(D20:E20)</f>
        <v>12287.582999999999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35325.699999999997</v>
      </c>
      <c r="E21" s="116">
        <f>SUM(E18:E20)</f>
        <v>6711.8829999999998</v>
      </c>
      <c r="F21" s="115">
        <f>SUM(F18:F20)</f>
        <v>42037.582999999999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62682.006999999998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365231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35325.699999999997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300071.20921256038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300071.20921256038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2025-03-04T21:04:33Z</cp:lastPrinted>
  <dcterms:created xsi:type="dcterms:W3CDTF">2013-03-18T13:35:42Z</dcterms:created>
  <dcterms:modified xsi:type="dcterms:W3CDTF">2025-03-04T21:39:37Z</dcterms:modified>
</cp:coreProperties>
</file>