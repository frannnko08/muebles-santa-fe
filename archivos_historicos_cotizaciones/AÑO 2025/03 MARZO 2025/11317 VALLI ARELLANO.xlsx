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57BCCC41-236A-4169-8FBD-05F878186B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O39" i="1"/>
  <c r="P27" i="1"/>
  <c r="M27" i="1"/>
  <c r="L22" i="1"/>
  <c r="M22" i="1"/>
  <c r="N22" i="1"/>
  <c r="O22" i="1"/>
  <c r="P22" i="1" s="1"/>
  <c r="H22" i="1"/>
  <c r="H23" i="1"/>
  <c r="H24" i="1"/>
  <c r="L21" i="1" l="1"/>
  <c r="N21" i="1"/>
  <c r="M21" i="1" l="1"/>
  <c r="S21" i="1" l="1"/>
  <c r="S27" i="1" s="1"/>
  <c r="T21" i="1"/>
  <c r="T26" i="1" s="1"/>
  <c r="O21" i="1"/>
  <c r="P21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40" i="1" l="1"/>
  <c r="D20" i="3"/>
  <c r="E20" i="3" s="1"/>
  <c r="E21" i="3" s="1"/>
  <c r="Q20" i="1" l="1"/>
  <c r="Q22" i="1" s="1"/>
  <c r="R22" i="1" s="1"/>
  <c r="D21" i="3"/>
  <c r="M43" i="3" s="1"/>
  <c r="D12" i="3" s="1"/>
  <c r="F20" i="3"/>
  <c r="F21" i="3" s="1"/>
  <c r="O41" i="1" l="1"/>
  <c r="E15" i="3"/>
  <c r="Q21" i="1" l="1"/>
  <c r="F15" i="3"/>
  <c r="R21" i="1" l="1"/>
  <c r="H21" i="1" l="1"/>
  <c r="H27" i="1" l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<sst xmlns="http://schemas.openxmlformats.org/spreadsheetml/2006/main" count="234" uniqueCount="176">
  <si>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</si>
  <si>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</si>
  <si>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</si>
  <si>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</si>
  <si>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</si>
  <si>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</si>
  <si>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</si>
  <si>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</si>
  <si>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</si>
  <si>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</si>
  <si>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</si>
  <si>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</si>
  <si>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</si>
  <si>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</si>
  <si>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</si>
  <si>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</si>
  <si>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</si>
  <si>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</si>
  <si>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</si>
  <si>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</si>
  <si>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</si>
  <si>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</si>
  <si>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</si>
  <si>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</si>
  <si>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</si>
  <si>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</si>
  <si>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</si>
  <si>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</si>
  <si>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</si>
  <si>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</si>
  <si>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</si>
  <si>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</si>
  <si>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</si>
  <si>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</si>
  <si>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</si>
  <si>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</si>
  <si>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</si>
  <si>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</si>
  <si>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</si>
  <si>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</si>
  <si>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</si>
  <si>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</si>
  <si>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</si>
  <si>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</si>
  <si>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</si>
  <si>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</si>
  <si>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</si>
  <si>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</si>
  <si>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</si>
  <si>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</si>
  <si>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</si>
  <si>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</si>
  <si>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</si>
  <si>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</si>
  <si>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</si>
  <si>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</si>
  <si>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</si>
  <si>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</si>
  <si>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</si>
  <si>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</si>
  <si>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</si>
  <si>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</si>
  <si>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</si>
  <si>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</si>
  <si>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</si>
  <si>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</si>
  <si>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</si>
  <si>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</si>
  <si>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</si>
  <si>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</si>
  <si>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</si>
  <si>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</si>
  <si>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</si>
  <si>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</si>
  <si>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</si>
  <si>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</si>
  <si>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</si>
  <si>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</si>
  <si>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</si>
  <si>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</si>
  <si>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</si>
  <si>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</si>
  <si>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</si>
  <si>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</si>
  <si>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</si>
  <si>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</si>
  <si>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</si>
  <si>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</si>
  <si>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</si>
  <si>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</si>
  <si>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</si>
  <si>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</si>
  <si>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</si>
  <si>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</si>
  <si>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</si>
  <si>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</si>
  <si>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</si>
  <si>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</si>
  <si>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</si>
  <si>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</si>
  <si>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</si>
  <si>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</si>
  <si>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</si>
  <si>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</si>
  <si>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</si>
  <si>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</si>
  <si>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</si>
  <si>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</si>
  <si>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</si>
  <si>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</si>
  <si>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</si>
  <si>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</si>
  <si>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</si>
  <si>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</si>
  <si>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</si>
  <si>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</si>
  <si>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</si>
  <si>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</si>
  <si>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</si>
  <si>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</si>
  <si>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</si>
  <si>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</si>
  <si>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</si>
  <si>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</si>
  <si>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</si>
  <si>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</si>
  <si>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</si>
  <si>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</si>
  <si>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</si>
  <si>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</si>
  <si>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</si>
  <si>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</si>
  <si>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</si>
  <si>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</si>
  <si>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</si>
  <si>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</si>
  <si>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</si>
  <si>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</si>
  <si>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</si>
  <si>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</si>
  <si>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</si>
  <si>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</si>
  <si>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</si>
  <si>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</si>
  <si>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</si>
  <si>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</si>
  <si>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</si>
  <si>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</si>
  <si>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</si>
  <si>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</si>
  <si>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</si>
  <si>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</si>
  <si>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</si>
  <si>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</si>
  <si>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</si>
  <si>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</si>
  <si>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</si>
  <si>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</si>
  <si>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</si>
  <si>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</si>
  <si>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</si>
  <si>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</si>
  <si>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</si>
  <si>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</si>
  <si>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</si>
  <si>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</si>
  <si>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</si>
  <si>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N° 11317</t>
  </si>
  <si>
    <t>VALLI ARELLANO</t>
  </si>
  <si>
    <t>SANTIAGO</t>
  </si>
  <si>
    <t>COMUNA RECOLETA</t>
  </si>
  <si>
    <t>5697796 8557</t>
  </si>
  <si>
    <t>CUB C/R FRENTE 90° R8</t>
  </si>
  <si>
    <t>CORTE 45° Y ENCHAPE</t>
  </si>
  <si>
    <t>DESPACHO</t>
  </si>
  <si>
    <t>WHITE MARBLE 42004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</si>
</sst>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CUBIERTAS CORTADAS A LA MEDIDA Y CORTE 45°, NO INCLUYE DESFONDADOS,</a:t>
          </a:r>
          <a:r>
            <a:rPr lang="es-CL" sz="1200" b="1" baseline="0"/>
            <a:t> SIN INSTALACION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45720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 t="s">
        <v>170</v>
      </c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169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72976.853637160384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172</v>
      </c>
      <c r="D21" s="331">
        <v>1.3</v>
      </c>
      <c r="E21" s="331">
        <v>0.56000000000000005</v>
      </c>
      <c r="F21" s="330" t="s">
        <v>175</v>
      </c>
      <c r="G21" s="332">
        <v>59397</v>
      </c>
      <c r="H21" s="332">
        <f>G21*B21</f>
        <v>59397</v>
      </c>
      <c r="I21" s="320"/>
      <c r="J21" s="265"/>
      <c r="K21" s="47"/>
      <c r="L21" s="47">
        <f>B21</f>
        <v>1</v>
      </c>
      <c r="M21" s="39">
        <f>D21+M$19</f>
        <v>1.3800000000000001</v>
      </c>
      <c r="N21" s="39">
        <f>E21+$N$19</f>
        <v>0.56000000000000005</v>
      </c>
      <c r="O21" s="261">
        <f t="shared" ref="O21" si="1">M21*N21</f>
        <v>0.77280000000000015</v>
      </c>
      <c r="P21" s="259">
        <f t="shared" ref="P21" si="2">O21*L21</f>
        <v>0.77280000000000015</v>
      </c>
      <c r="Q21" s="252">
        <f t="shared" ref="Q21" si="3">Q$20*O21</f>
        <v>56396.512490797555</v>
      </c>
      <c r="R21" s="319">
        <f t="shared" ref="R21" si="4">Q21+R$20</f>
        <v>61396.512490797555</v>
      </c>
      <c r="S21" s="297">
        <f>M21*L21</f>
        <v>1.3800000000000001</v>
      </c>
      <c r="T21" s="46">
        <f>N21*2*L21*2</f>
        <v>2.2400000000000002</v>
      </c>
      <c r="U21" s="9"/>
      <c r="X21" s="4"/>
    </row>
    <row r="22" spans="2:25" ht="17.399999999999999" x14ac:dyDescent="0.3">
      <c r="B22" s="330">
        <v>1</v>
      </c>
      <c r="C22" s="330" t="s">
        <v>172</v>
      </c>
      <c r="D22" s="331">
        <v>1.8</v>
      </c>
      <c r="E22" s="331">
        <v>0.56000000000000005</v>
      </c>
      <c r="F22" s="330" t="s">
        <v>175</v>
      </c>
      <c r="G22" s="332">
        <v>79830</v>
      </c>
      <c r="H22" s="332">
        <f t="shared" ref="H22:H24" si="5">G22*B22</f>
        <v>79830</v>
      </c>
      <c r="I22" s="320"/>
      <c r="J22" s="265"/>
      <c r="K22" s="47"/>
      <c r="L22" s="47">
        <f>B22</f>
        <v>1</v>
      </c>
      <c r="M22" s="39">
        <f>D22+M$19</f>
        <v>1.8800000000000001</v>
      </c>
      <c r="N22" s="39">
        <f>E22+$N$19</f>
        <v>0.56000000000000005</v>
      </c>
      <c r="O22" s="261">
        <f t="shared" ref="O22" si="6">M22*N22</f>
        <v>1.0528000000000002</v>
      </c>
      <c r="P22" s="259">
        <f t="shared" ref="P22" si="7">O22*L22</f>
        <v>1.0528000000000002</v>
      </c>
      <c r="Q22" s="252">
        <f t="shared" ref="Q22" si="8">Q$20*O22</f>
        <v>76830.031509202468</v>
      </c>
      <c r="R22" s="319">
        <f t="shared" ref="R22" si="9">Q22+R$20</f>
        <v>81830.031509202468</v>
      </c>
      <c r="S22" s="297"/>
      <c r="T22" s="46"/>
      <c r="U22" s="9"/>
      <c r="X22" s="4"/>
    </row>
    <row r="23" spans="2:25" ht="17.399999999999999" x14ac:dyDescent="0.3">
      <c r="B23" s="330">
        <v>2</v>
      </c>
      <c r="C23" s="330" t="s">
        <v>173</v>
      </c>
      <c r="D23" s="331"/>
      <c r="E23" s="331"/>
      <c r="F23" s="330"/>
      <c r="G23" s="332">
        <v>10000</v>
      </c>
      <c r="H23" s="332">
        <f t="shared" si="5"/>
        <v>20000</v>
      </c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2:25" ht="17.399999999999999" x14ac:dyDescent="0.3">
      <c r="B24" s="330">
        <v>1</v>
      </c>
      <c r="C24" s="330" t="s">
        <v>174</v>
      </c>
      <c r="D24" s="331"/>
      <c r="E24" s="331"/>
      <c r="F24" s="330"/>
      <c r="G24" s="332">
        <v>25000</v>
      </c>
      <c r="H24" s="332">
        <f t="shared" si="5"/>
        <v>25000</v>
      </c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184227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2.2400000000000002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35003.129999999997</v>
      </c>
      <c r="I27" s="322"/>
      <c r="J27" s="265"/>
      <c r="K27" s="47"/>
      <c r="L27" s="47"/>
      <c r="M27" s="39">
        <f>SUM(M21:M22)</f>
        <v>3.2600000000000002</v>
      </c>
      <c r="N27" s="12"/>
      <c r="O27" s="12"/>
      <c r="P27" s="253">
        <f>SUM(P21:P25)</f>
        <v>1.8256000000000003</v>
      </c>
      <c r="Q27" s="14"/>
      <c r="R27" s="12"/>
      <c r="S27" s="239">
        <f>SUM(S21:S26)</f>
        <v>1.3800000000000001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219230.13</v>
      </c>
      <c r="I28" s="322"/>
      <c r="J28" s="265"/>
      <c r="K28" s="47"/>
      <c r="L28" s="47"/>
      <c r="M28" s="39"/>
      <c r="N28" s="12"/>
      <c r="O28" s="12"/>
      <c r="P28" s="253">
        <f>P27</f>
        <v>1.8256000000000003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0.36512000000000011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2.1907200000000007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2.1907200000000007</v>
      </c>
      <c r="N32" s="12">
        <v>3500</v>
      </c>
      <c r="O32" s="12">
        <f t="shared" ref="O32:O37" si="10">M32*N32</f>
        <v>7667.5200000000023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0.6</v>
      </c>
      <c r="N33" s="12">
        <v>25000</v>
      </c>
      <c r="O33" s="12">
        <f t="shared" si="10"/>
        <v>15000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61840</v>
      </c>
      <c r="O34" s="12">
        <f t="shared" si="10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1.5</v>
      </c>
      <c r="N35" s="250">
        <v>22000</v>
      </c>
      <c r="O35" s="12">
        <f t="shared" si="10"/>
        <v>33000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0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3.26</v>
      </c>
      <c r="N37" s="12">
        <v>1500</v>
      </c>
      <c r="O37" s="12">
        <f t="shared" si="10"/>
        <v>4890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60557.520000000004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133226.54400000002</v>
      </c>
      <c r="P39" s="14" t="s">
        <v>140</v>
      </c>
      <c r="Q39" s="14"/>
      <c r="R39" s="40">
        <f>P30/R38</f>
        <v>0.59068162208800712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31030</v>
      </c>
      <c r="L40" s="250"/>
      <c r="M40" s="14"/>
      <c r="N40" s="12"/>
      <c r="O40" s="12">
        <f>O39/P28</f>
        <v>72976.853637160384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26075.63025210084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VALLI ARELLANO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11317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-16266.557033454106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184227</v>
      </c>
      <c r="E11" s="132">
        <f>D11*0.19</f>
        <v>35003.129999999997</v>
      </c>
      <c r="F11" s="131">
        <f>E11+D11</f>
        <v>219230.13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89723.442966545888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52501.610787439618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71723.442966545888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131725.38921256037</v>
      </c>
      <c r="E13" s="221">
        <f>(D11/D12)-1</f>
        <v>2.5089780529947876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62723.442966545896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23723.442966545896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86627.657799275359</v>
      </c>
      <c r="F15" s="216">
        <f>E15-D12</f>
        <v>34126.047011835741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23723.442966545896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63723.442966545896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7667.5200000000023</v>
      </c>
      <c r="E20" s="121">
        <f>D20*0.19</f>
        <v>1456.8288000000005</v>
      </c>
      <c r="F20" s="120">
        <f>SUM(D20:E20)</f>
        <v>9124.3488000000034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22667.520000000004</v>
      </c>
      <c r="E21" s="116">
        <f>SUM(E18:E20)</f>
        <v>4306.8288000000002</v>
      </c>
      <c r="F21" s="115">
        <f>SUM(F18:F20)</f>
        <v>26974.348800000003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30696.301199999998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184227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22667.520000000004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131725.38921256037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131725.38921256037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2025-03-04T20:32:29Z</dcterms:modified>
</cp:coreProperties>
</file>