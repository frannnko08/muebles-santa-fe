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D200D796-7007-4DF7-9D61-52145AD35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L22" i="1"/>
  <c r="M22" i="1"/>
  <c r="J39" i="1"/>
  <c r="K21" i="1"/>
  <c r="N34" i="1"/>
  <c r="R22" i="1" l="1"/>
  <c r="N22" i="1"/>
  <c r="O22" i="1" s="1"/>
  <c r="N33" i="1"/>
  <c r="N35" i="1"/>
  <c r="N36" i="1"/>
  <c r="L21" i="1" l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2" i="1" l="1"/>
  <c r="Q22" i="1" s="1"/>
  <c r="P21" i="1"/>
  <c r="F15" i="3"/>
  <c r="Q21" i="1" l="1"/>
  <c r="H21" i="1" l="1"/>
  <c r="H25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<sst xmlns="http://schemas.openxmlformats.org/spreadsheetml/2006/main" count="231" uniqueCount="173">
  <si>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</si>
  <si>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</si>
  <si>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</si>
  <si>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</si>
  <si>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</si>
  <si>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</si>
  <si>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</si>
  <si>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</si>
  <si>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</si>
  <si>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</si>
  <si>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</si>
  <si>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</si>
  <si>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</si>
  <si>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</si>
  <si>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</si>
  <si>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</si>
  <si>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</si>
  <si>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</si>
  <si>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</si>
  <si>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</si>
  <si>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</si>
  <si>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</si>
  <si>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</si>
  <si>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</si>
  <si>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</si>
  <si>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</si>
  <si>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</si>
  <si>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</si>
  <si>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</si>
  <si>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</si>
  <si>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</si>
  <si>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</si>
  <si>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</si>
  <si>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</si>
  <si>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</si>
  <si>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</si>
  <si>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</si>
  <si>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</si>
  <si>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</si>
  <si>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</si>
  <si>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</si>
  <si>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</si>
  <si>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</si>
  <si>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</si>
  <si>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</si>
  <si>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</si>
  <si>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</si>
  <si>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</si>
  <si>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</si>
  <si>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</si>
  <si>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</si>
  <si>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</si>
  <si>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</si>
  <si>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</si>
  <si>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</si>
  <si>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</si>
  <si>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</si>
  <si>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</si>
  <si>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</si>
  <si>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</si>
  <si>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</si>
  <si>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</si>
  <si>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</si>
  <si>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</si>
  <si>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</si>
  <si>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</si>
  <si>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</si>
  <si>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</si>
  <si>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</si>
  <si>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</si>
  <si>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</si>
  <si>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</si>
  <si>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</si>
  <si>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</si>
  <si>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</si>
  <si>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</si>
  <si>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</si>
  <si>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</si>
  <si>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</si>
  <si>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</si>
  <si>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</si>
  <si>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</si>
  <si>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</si>
  <si>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</si>
  <si>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</si>
  <si>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</si>
  <si>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</si>
  <si>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</si>
  <si>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</si>
  <si>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</si>
  <si>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</si>
  <si>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</si>
  <si>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</si>
  <si>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</si>
  <si>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</si>
  <si>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</si>
  <si>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</si>
  <si>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</si>
  <si>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</si>
  <si>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</si>
  <si>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</si>
  <si>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</si>
  <si>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</si>
  <si>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</si>
  <si>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</si>
  <si>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</si>
  <si>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</si>
  <si>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</si>
  <si>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</si>
  <si>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</si>
  <si>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</si>
  <si>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</si>
  <si>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</si>
  <si>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</si>
  <si>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</si>
  <si>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</si>
  <si>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</si>
  <si>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</si>
  <si>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</si>
  <si>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</si>
  <si>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</si>
  <si>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</si>
  <si>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</si>
  <si>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</si>
  <si>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</si>
  <si>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</si>
  <si>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</si>
  <si>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</si>
  <si>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</si>
  <si>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</si>
  <si>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</si>
  <si>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</si>
  <si>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</si>
  <si>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</si>
  <si>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</si>
  <si>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</si>
  <si>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</si>
  <si>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</si>
  <si>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</si>
  <si>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</si>
  <si>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</si>
  <si>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</si>
  <si>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</si>
  <si>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</si>
  <si>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</si>
  <si>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</si>
  <si>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</si>
  <si>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</si>
  <si>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</si>
  <si>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</si>
  <si>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</si>
  <si>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</si>
  <si>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</si>
  <si>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</si>
  <si>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</si>
  <si>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</si>
  <si>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</si>
  <si>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</si>
  <si>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</si>
  <si>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</si>
  <si>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</si>
  <si>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</si>
  <si>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</si>
  <si>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</si>
  <si>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</si>
  <si>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</si>
  <si>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5 DIAS HABILES</t>
  </si>
  <si>
    <t xml:space="preserve">TAPACANTO PVC </t>
  </si>
  <si>
    <t>RENE ROJAS</t>
  </si>
  <si>
    <t>N° 11375</t>
  </si>
  <si>
    <t>+569 96995548</t>
  </si>
  <si>
    <t>CUB CON RESPALDO Y FRENTE 90° R8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</si>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</sst>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7" fillId="0" borderId="16" xfId="0" quotePrefix="1" applyFont="1" applyBorder="1" applyAlignment="1">
      <alignment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23</xdr:row>
      <xdr:rowOff>206170</xdr:rowOff>
    </xdr:from>
    <xdr:to>
      <xdr:col>5</xdr:col>
      <xdr:colOff>1643259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3" zoomScaleNormal="93" workbookViewId="0">
      <selection activeCell="K10" sqref="K10"/>
    </sheetView>
  </sheetViews>
  <sheetFormatPr baseColWidth="10" defaultRowHeight="14.4" x14ac:dyDescent="0.3"/>
  <cols>
    <col min="1" max="1" width="6" customWidth="1"/>
    <col min="2" max="2" width="10.5546875" customWidth="1"/>
    <col min="3" max="3" width="36.21875" customWidth="1"/>
    <col min="4" max="4" width="11.109375" customWidth="1"/>
    <col min="5" max="5" width="10.5546875" customWidth="1"/>
    <col min="6" max="6" width="31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168</v>
      </c>
      <c r="D10" s="243"/>
      <c r="E10" s="243"/>
      <c r="F10" s="244" t="s">
        <v>0</v>
      </c>
      <c r="G10" s="277">
        <v>45744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32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163</v>
      </c>
      <c r="H16" s="248"/>
    </row>
    <row r="17" spans="2:24" ht="15" thickBot="1" x14ac:dyDescent="0.35">
      <c r="B17" s="316" t="s">
        <v>13</v>
      </c>
      <c r="C17" s="317" t="s">
        <v>165</v>
      </c>
      <c r="D17" s="318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132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N39</f>
        <v>68640.000000000015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171</v>
      </c>
      <c r="D21" s="326">
        <v>2.0499999999999998</v>
      </c>
      <c r="E21" s="326">
        <v>0.5</v>
      </c>
      <c r="F21" s="325" t="s">
        <v>172</v>
      </c>
      <c r="G21" s="327">
        <v>75072</v>
      </c>
      <c r="H21" s="327">
        <f>G21*B21</f>
        <v>75072</v>
      </c>
      <c r="I21" s="265"/>
      <c r="J21" s="47"/>
      <c r="K21" s="329">
        <f>B21</f>
        <v>1</v>
      </c>
      <c r="L21" s="39">
        <f>D21+L$19</f>
        <v>2.0999999999999996</v>
      </c>
      <c r="M21" s="39">
        <f>E21+M$19</f>
        <v>0.5</v>
      </c>
      <c r="N21" s="261">
        <f t="shared" ref="N21" si="0">L21*M21</f>
        <v>1.0499999999999998</v>
      </c>
      <c r="O21" s="259">
        <f t="shared" ref="O21" si="1">N21*K21</f>
        <v>1.0499999999999998</v>
      </c>
      <c r="P21" s="252">
        <f t="shared" ref="P21" si="2">P$20*N21</f>
        <v>72072</v>
      </c>
      <c r="Q21" s="328">
        <f t="shared" ref="Q21" si="3">P21+Q$20</f>
        <v>75072</v>
      </c>
      <c r="R21" s="298">
        <f>L21*K21*2</f>
        <v>4.1999999999999993</v>
      </c>
      <c r="S21" s="46">
        <f>M21*2*K21</f>
        <v>1</v>
      </c>
      <c r="T21" s="9"/>
      <c r="W21" s="4"/>
    </row>
    <row r="22" spans="2:24" ht="17.399999999999999" x14ac:dyDescent="0.3">
      <c r="B22" s="325">
        <v>1</v>
      </c>
      <c r="C22" s="325" t="s">
        <v>171</v>
      </c>
      <c r="D22" s="326">
        <v>0.85</v>
      </c>
      <c r="E22" s="326">
        <v>0.5</v>
      </c>
      <c r="F22" s="325" t="s">
        <v>172</v>
      </c>
      <c r="G22" s="327">
        <v>33888</v>
      </c>
      <c r="H22" s="327">
        <f t="shared" ref="H22" si="4">G22*B22</f>
        <v>33888</v>
      </c>
      <c r="I22" s="265"/>
      <c r="J22" s="47"/>
      <c r="K22" s="329">
        <f t="shared" ref="K22" si="5">B22</f>
        <v>1</v>
      </c>
      <c r="L22" s="39">
        <f t="shared" ref="L22" si="6">D22+L$19</f>
        <v>0.9</v>
      </c>
      <c r="M22" s="39">
        <f t="shared" ref="M22" si="7">E22+M$19</f>
        <v>0.5</v>
      </c>
      <c r="N22" s="261">
        <f t="shared" ref="N22" si="8">L22*M22</f>
        <v>0.45</v>
      </c>
      <c r="O22" s="259">
        <f t="shared" ref="O22" si="9">N22*K22</f>
        <v>0.45</v>
      </c>
      <c r="P22" s="252">
        <f t="shared" ref="P22" si="10">P$20*N22</f>
        <v>30888.000000000007</v>
      </c>
      <c r="Q22" s="328">
        <f t="shared" ref="Q22" si="11">P22+Q$20</f>
        <v>33888.000000000007</v>
      </c>
      <c r="R22" s="298">
        <f t="shared" ref="R22" si="12">L22*K22*2</f>
        <v>1.8</v>
      </c>
      <c r="S22" s="46"/>
      <c r="T22" s="9"/>
      <c r="W22" s="4"/>
    </row>
    <row r="23" spans="2:24" ht="17.399999999999999" x14ac:dyDescent="0.3">
      <c r="B23" s="286"/>
      <c r="C23" s="331"/>
      <c r="D23" s="287"/>
      <c r="E23" s="287"/>
      <c r="F23" s="286"/>
      <c r="G23" s="330"/>
      <c r="H23" s="330"/>
      <c r="I23" s="265"/>
      <c r="J23" s="47"/>
      <c r="K23" s="329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>
        <v>0</v>
      </c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108960</v>
      </c>
      <c r="I25" s="265"/>
      <c r="J25" s="47"/>
      <c r="K25" s="47"/>
      <c r="L25" s="39">
        <f>SUM(L21:L22)</f>
        <v>2.9999999999999996</v>
      </c>
      <c r="M25" s="39"/>
      <c r="N25" s="261"/>
      <c r="O25" s="259"/>
      <c r="P25" s="252"/>
      <c r="Q25" s="258"/>
      <c r="R25" s="298"/>
      <c r="S25" s="46">
        <f>SUM(S21:S24)</f>
        <v>1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/>
      <c r="I26" s="265"/>
      <c r="J26" s="47"/>
      <c r="K26" s="47"/>
      <c r="L26" s="39"/>
      <c r="M26" s="12"/>
      <c r="N26" s="12"/>
      <c r="O26" s="253">
        <f>SUM(O21:O23)</f>
        <v>1.4999999999999998</v>
      </c>
      <c r="P26" s="14"/>
      <c r="Q26" s="12"/>
      <c r="R26" s="239"/>
      <c r="S26" s="46">
        <f>S25*20%</f>
        <v>0.2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108960</v>
      </c>
      <c r="I27" s="265"/>
      <c r="J27" s="47"/>
      <c r="K27" s="47"/>
      <c r="L27" s="39"/>
      <c r="M27" s="12"/>
      <c r="N27" s="12"/>
      <c r="O27" s="253">
        <f>O26</f>
        <v>1.4999999999999998</v>
      </c>
      <c r="P27" s="14"/>
      <c r="Q27" s="12"/>
      <c r="R27" s="239">
        <f>SUM(R21:R26)</f>
        <v>5.9999999999999991</v>
      </c>
      <c r="S27" s="46">
        <f>S25+S26</f>
        <v>1.2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1.7999999999999998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152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1.7999999999999998</v>
      </c>
      <c r="M31" s="12">
        <v>3500</v>
      </c>
      <c r="N31" s="12">
        <f t="shared" ref="N31:N36" si="13">L31*M31</f>
        <v>6299.9999999999991</v>
      </c>
      <c r="O31" s="14" t="s">
        <v>22</v>
      </c>
      <c r="P31" s="14"/>
      <c r="Q31" s="14"/>
      <c r="R31" s="241"/>
      <c r="S31" s="14"/>
      <c r="T31" s="305" t="s">
        <v>153</v>
      </c>
      <c r="U31" s="302">
        <v>3625</v>
      </c>
      <c r="V31" s="59" t="s">
        <v>154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13"/>
        <v>12500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155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68300</v>
      </c>
      <c r="N33" s="12">
        <f t="shared" si="1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156</v>
      </c>
      <c r="W33" s="59"/>
    </row>
    <row r="34" spans="2:23" s="230" customFormat="1" ht="17.399999999999999" x14ac:dyDescent="0.35">
      <c r="B34" s="24" t="s">
        <v>151</v>
      </c>
      <c r="I34" s="262"/>
      <c r="J34" s="232"/>
      <c r="K34" s="250"/>
      <c r="L34" s="14">
        <v>1</v>
      </c>
      <c r="M34" s="250">
        <v>23500</v>
      </c>
      <c r="N34" s="12">
        <f t="shared" si="13"/>
        <v>23500</v>
      </c>
      <c r="O34" s="14" t="s">
        <v>167</v>
      </c>
      <c r="P34" s="17"/>
      <c r="R34" s="238"/>
      <c r="S34" s="256"/>
      <c r="T34" s="59"/>
      <c r="U34" s="59">
        <f>U32+U33</f>
        <v>1087.5</v>
      </c>
      <c r="V34" s="307" t="s">
        <v>157</v>
      </c>
      <c r="W34" s="59"/>
    </row>
    <row r="35" spans="2:23" s="230" customFormat="1" ht="17.399999999999999" x14ac:dyDescent="0.35">
      <c r="B35" s="24" t="s">
        <v>144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3"/>
        <v>0</v>
      </c>
      <c r="O35" s="14" t="s">
        <v>33</v>
      </c>
      <c r="P35" s="14"/>
      <c r="Q35" s="230">
        <v>1.83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>
        <v>3</v>
      </c>
      <c r="M36" s="12">
        <v>1500</v>
      </c>
      <c r="N36" s="12">
        <f t="shared" si="13"/>
        <v>4500</v>
      </c>
      <c r="O36" s="14" t="s">
        <v>23</v>
      </c>
      <c r="P36" s="14"/>
      <c r="Q36">
        <v>2.5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46800</v>
      </c>
      <c r="O37" s="39" t="s">
        <v>24</v>
      </c>
      <c r="P37" s="14"/>
      <c r="Q37">
        <f>Q35*Q36</f>
        <v>4.5750000000000002</v>
      </c>
      <c r="R37"/>
      <c r="S37" s="238"/>
      <c r="W37" s="231"/>
    </row>
    <row r="38" spans="2:23" s="230" customFormat="1" ht="17.399999999999999" x14ac:dyDescent="0.35">
      <c r="J38" s="230">
        <v>58000</v>
      </c>
      <c r="K38" s="250"/>
      <c r="L38" s="254" t="s">
        <v>34</v>
      </c>
      <c r="M38" s="12"/>
      <c r="N38" s="255">
        <f>N37*2.2</f>
        <v>102960.00000000001</v>
      </c>
      <c r="O38" s="14" t="s">
        <v>141</v>
      </c>
      <c r="P38" s="14"/>
      <c r="Q38" s="40">
        <f>O29/Q37</f>
        <v>0.39344262295081961</v>
      </c>
      <c r="R38"/>
      <c r="S38" s="257"/>
    </row>
    <row r="39" spans="2:23" s="230" customFormat="1" ht="17.399999999999999" x14ac:dyDescent="0.35">
      <c r="G39"/>
      <c r="H39" s="260"/>
      <c r="J39" s="230">
        <f>J38/1.19</f>
        <v>48739.495798319331</v>
      </c>
      <c r="K39" s="250">
        <v>0</v>
      </c>
      <c r="L39" s="14"/>
      <c r="M39" s="12"/>
      <c r="N39" s="12">
        <f>N38/O27</f>
        <v>68640.000000000015</v>
      </c>
      <c r="O39" s="45" t="s">
        <v>25</v>
      </c>
      <c r="P39" s="14"/>
      <c r="Q39" s="14"/>
      <c r="R39"/>
      <c r="S39" s="238"/>
      <c r="T39" s="59" t="s">
        <v>158</v>
      </c>
      <c r="U39" s="302">
        <v>43650</v>
      </c>
    </row>
    <row r="40" spans="2:23" s="230" customFormat="1" ht="17.399999999999999" x14ac:dyDescent="0.35">
      <c r="G40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160</v>
      </c>
      <c r="U40" s="303" t="s">
        <v>159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161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156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148</v>
      </c>
    </row>
    <row r="75" spans="3:14" x14ac:dyDescent="0.3">
      <c r="C75" t="s">
        <v>147</v>
      </c>
    </row>
    <row r="78" spans="3:14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45744</v>
      </c>
    </row>
    <row r="6" spans="2:31" ht="16.2" thickBot="1" x14ac:dyDescent="0.35">
      <c r="B6" s="140" t="s">
        <v>2</v>
      </c>
      <c r="C6" s="139" t="str">
        <f>'2229'!C10</f>
        <v>RENE ROJAS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-4785.6250334541064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108960</v>
      </c>
      <c r="E11" s="132">
        <f>D11*0.19</f>
        <v>20702.400000000001</v>
      </c>
      <c r="F11" s="131">
        <f>E11+D11</f>
        <v>129662.39999999999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101204.37496654589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48634.090787439614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83204.374966545889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60325.909212560386</v>
      </c>
      <c r="E13" s="221">
        <f>(D11/D12)-1</f>
        <v>1.2404037627889681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74204.374966545889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35204.374966545896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80246.249799275363</v>
      </c>
      <c r="F15" s="216">
        <f>E15-D12</f>
        <v>31612.159011835749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35204.374966545896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75204.374966545889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6299.9999999999991</v>
      </c>
      <c r="E20" s="121">
        <f>D20*0.19</f>
        <v>1196.9999999999998</v>
      </c>
      <c r="F20" s="120">
        <f>SUM(D20:E20)</f>
        <v>7496.9999999999991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18800</v>
      </c>
      <c r="E21" s="116">
        <f>SUM(E18:E20)</f>
        <v>3572</v>
      </c>
      <c r="F21" s="115">
        <f>SUM(F18:F20)</f>
        <v>22372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17130.400000000001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108960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18800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60325.909212560386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60325.909212560386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2025-03-27T18:44:42Z</cp:lastPrinted>
  <dcterms:created xsi:type="dcterms:W3CDTF">2013-03-18T13:35:42Z</dcterms:created>
  <dcterms:modified xsi:type="dcterms:W3CDTF">2025-03-31T13:07:25Z</dcterms:modified>
</cp:coreProperties>
</file>