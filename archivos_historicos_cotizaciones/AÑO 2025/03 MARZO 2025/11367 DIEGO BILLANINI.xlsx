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EC7DD4DE-258A-4A0E-AB32-2457C28A9B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K22" i="1"/>
  <c r="L22" i="1"/>
  <c r="R22" i="1" s="1"/>
  <c r="M22" i="1"/>
  <c r="K23" i="1"/>
  <c r="L23" i="1"/>
  <c r="M23" i="1"/>
  <c r="J40" i="1"/>
  <c r="K21" i="1"/>
  <c r="N35" i="1"/>
  <c r="N23" i="1" l="1"/>
  <c r="O23" i="1" s="1"/>
  <c r="R23" i="1"/>
  <c r="N22" i="1"/>
  <c r="O22" i="1" s="1"/>
  <c r="N34" i="1"/>
  <c r="N36" i="1"/>
  <c r="N37" i="1"/>
  <c r="L21" i="1" l="1"/>
  <c r="L26" i="1" s="1"/>
  <c r="M21" i="1"/>
  <c r="S21" i="1" l="1"/>
  <c r="S26" i="1" s="1"/>
  <c r="S27" i="1" s="1"/>
  <c r="S28" i="1" s="1"/>
  <c r="R21" i="1"/>
  <c r="R28" i="1" s="1"/>
  <c r="N21" i="1"/>
  <c r="O21" i="1" s="1"/>
  <c r="O27" i="1" s="1"/>
  <c r="U34" i="1"/>
  <c r="U35" i="1" s="1"/>
  <c r="N33" i="1" l="1"/>
  <c r="O28" i="1" l="1"/>
  <c r="O29" i="1" s="1"/>
  <c r="O30" i="1" s="1"/>
  <c r="L32" i="1" s="1"/>
  <c r="M20" i="1"/>
  <c r="K20" i="1"/>
  <c r="Q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2" i="1" l="1"/>
  <c r="N38" i="1" s="1"/>
  <c r="N39" i="1" s="1"/>
  <c r="Q39" i="1"/>
  <c r="D20" i="3" l="1"/>
  <c r="E20" i="3" s="1"/>
  <c r="E21" i="3" s="1"/>
  <c r="N40" i="1" l="1"/>
  <c r="D21" i="3"/>
  <c r="M43" i="3" s="1"/>
  <c r="D12" i="3" s="1"/>
  <c r="F20" i="3"/>
  <c r="F21" i="3" s="1"/>
  <c r="N41" i="1" l="1"/>
  <c r="P20" i="1"/>
  <c r="E15" i="3"/>
  <c r="P22" i="1" l="1"/>
  <c r="Q22" i="1" s="1"/>
  <c r="P23" i="1"/>
  <c r="Q23" i="1" s="1"/>
  <c r="P21" i="1"/>
  <c r="F15" i="3"/>
  <c r="Q21" i="1" l="1"/>
  <c r="H21" i="1" l="1"/>
  <c r="H26" i="1" s="1"/>
  <c r="H27" i="1" s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<sst xmlns="http://schemas.openxmlformats.org/spreadsheetml/2006/main" count="233" uniqueCount="173">
  <si>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</si>
  <si>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</si>
  <si>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</si>
  <si>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</si>
  <si>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</si>
  <si>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</si>
  <si>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</si>
  <si>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</si>
  <si>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</si>
  <si>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</si>
  <si>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</si>
  <si>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</si>
  <si>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</si>
  <si>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</si>
  <si>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</si>
  <si>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</si>
  <si>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</si>
  <si>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</si>
  <si>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</si>
  <si>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</si>
  <si>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</si>
  <si>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</si>
  <si>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</si>
  <si>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</si>
  <si>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</si>
  <si>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</si>
  <si>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</si>
  <si>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</si>
  <si>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</si>
  <si>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</si>
  <si>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</si>
  <si>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</si>
  <si>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</si>
  <si>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</si>
  <si>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</si>
  <si>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</si>
  <si>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</si>
  <si>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</si>
  <si>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</si>
  <si>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</si>
  <si>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</si>
  <si>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</si>
  <si>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</si>
  <si>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</si>
  <si>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</si>
  <si>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</si>
  <si>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</si>
  <si>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</si>
  <si>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</si>
  <si>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</si>
  <si>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</si>
  <si>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</si>
  <si>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</si>
  <si>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</si>
  <si>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</si>
  <si>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</si>
  <si>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</si>
  <si>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</si>
  <si>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</si>
  <si>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</si>
  <si>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</si>
  <si>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</si>
  <si>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</si>
  <si>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</si>
  <si>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</si>
  <si>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</si>
  <si>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</si>
  <si>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</si>
  <si>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</si>
  <si>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</si>
  <si>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</si>
  <si>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</si>
  <si>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</si>
  <si>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</si>
  <si>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</si>
  <si>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</si>
  <si>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</si>
  <si>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</si>
  <si>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</si>
  <si>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</si>
  <si>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</si>
  <si>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</si>
  <si>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</si>
  <si>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</si>
  <si>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</si>
  <si>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</si>
  <si>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</si>
  <si>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</si>
  <si>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</si>
  <si>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</si>
  <si>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</si>
  <si>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</si>
  <si>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</si>
  <si>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</si>
  <si>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</si>
  <si>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</si>
  <si>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</si>
  <si>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</si>
  <si>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</si>
  <si>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</si>
  <si>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</si>
  <si>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</si>
  <si>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</si>
  <si>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</si>
  <si>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</si>
  <si>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</si>
  <si>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</si>
  <si>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</si>
  <si>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</si>
  <si>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</si>
  <si>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</si>
  <si>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</si>
  <si>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</si>
  <si>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</si>
  <si>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</si>
  <si>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</si>
  <si>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</si>
  <si>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</si>
  <si>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</si>
  <si>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</si>
  <si>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</si>
  <si>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</si>
  <si>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</si>
  <si>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</si>
  <si>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</si>
  <si>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</si>
  <si>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</si>
  <si>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</si>
  <si>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</si>
  <si>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</si>
  <si>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</si>
  <si>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</si>
  <si>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</si>
  <si>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</si>
  <si>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</si>
  <si>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</si>
  <si>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</si>
  <si>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</si>
  <si>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</si>
  <si>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</si>
  <si>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</si>
  <si>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</si>
  <si>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</si>
  <si>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</si>
  <si>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</si>
  <si>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</si>
  <si>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</si>
  <si>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</si>
  <si>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</si>
  <si>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</si>
  <si>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</si>
  <si>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</si>
  <si>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</si>
  <si>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</si>
  <si>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</si>
  <si>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</si>
  <si>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</si>
  <si>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</si>
  <si>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</si>
  <si>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</si>
  <si>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</si>
  <si>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</si>
  <si>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</si>
  <si>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</si>
  <si>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FRANCO DONOSO</t>
  </si>
  <si>
    <t>DIEGO BILLANINI</t>
  </si>
  <si>
    <t>SANTIAGO</t>
  </si>
  <si>
    <t>HOSPITAL SAN JUAN DE DIOS</t>
  </si>
  <si>
    <t>569 3449 0554</t>
  </si>
  <si>
    <t>10 DIAS HABILES</t>
  </si>
  <si>
    <t>CORNISA 180° 2 LADOS</t>
  </si>
  <si>
    <t>MAGNOLIA 2299 MT</t>
  </si>
  <si>
    <t>N° 11367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</si>
</sst>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24</xdr:row>
      <xdr:rowOff>206170</xdr:rowOff>
    </xdr:from>
    <xdr:to>
      <xdr:col>5</xdr:col>
      <xdr:colOff>1643259</xdr:colOff>
      <xdr:row>28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CORNISAS SE ENTREGAN CON SOBRE MEDIDA EN EL LARGO</a:t>
          </a:r>
        </a:p>
        <a:p>
          <a:pPr algn="l"/>
          <a:r>
            <a:rPr lang="es-CL" sz="1200" b="1" baseline="0"/>
            <a:t>SUSTRATO: MDF 18MM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3" zoomScale="93" zoomScaleNormal="93" workbookViewId="0">
      <selection activeCell="J13" sqref="J13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165</v>
      </c>
      <c r="D10" s="243"/>
      <c r="E10" s="243"/>
      <c r="F10" s="244" t="s">
        <v>0</v>
      </c>
      <c r="G10" s="277">
        <v>45740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168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 t="s">
        <v>167</v>
      </c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166</v>
      </c>
      <c r="D17" s="319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0.08</v>
      </c>
      <c r="M19" s="14">
        <v>0.06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N40</f>
        <v>142614.80594228825</v>
      </c>
      <c r="Q20" s="258">
        <v>5000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2</v>
      </c>
      <c r="C21" s="326" t="s">
        <v>170</v>
      </c>
      <c r="D21" s="327">
        <v>3.0550000000000002</v>
      </c>
      <c r="E21" s="327">
        <v>0.2</v>
      </c>
      <c r="F21" s="326" t="s">
        <v>171</v>
      </c>
      <c r="G21" s="328">
        <v>77929</v>
      </c>
      <c r="H21" s="328">
        <f>G21*B21</f>
        <v>155858</v>
      </c>
      <c r="I21" s="265"/>
      <c r="J21" s="47"/>
      <c r="K21" s="330">
        <f>B21</f>
        <v>2</v>
      </c>
      <c r="L21" s="39">
        <f>D21+L$19</f>
        <v>3.1350000000000002</v>
      </c>
      <c r="M21" s="39">
        <f>E21+M$19</f>
        <v>0.26</v>
      </c>
      <c r="N21" s="261">
        <f t="shared" ref="N21" si="0">L21*M21</f>
        <v>0.81510000000000005</v>
      </c>
      <c r="O21" s="259">
        <f t="shared" ref="O21" si="1">N21*K21</f>
        <v>1.6302000000000001</v>
      </c>
      <c r="P21" s="252">
        <f t="shared" ref="P21" si="2">P$20*N21</f>
        <v>116245.32832355917</v>
      </c>
      <c r="Q21" s="329">
        <f t="shared" ref="Q21" si="3">P21+Q$20</f>
        <v>121245.32832355917</v>
      </c>
      <c r="R21" s="298">
        <f>L21*K21*2</f>
        <v>12.540000000000001</v>
      </c>
      <c r="S21" s="46">
        <f>M21*2*K21</f>
        <v>1.04</v>
      </c>
      <c r="T21" s="9"/>
      <c r="W21" s="4"/>
    </row>
    <row r="22" spans="2:24" ht="17.399999999999999" x14ac:dyDescent="0.3">
      <c r="B22" s="326">
        <v>1</v>
      </c>
      <c r="C22" s="326" t="s">
        <v>170</v>
      </c>
      <c r="D22" s="327">
        <v>0.63</v>
      </c>
      <c r="E22" s="327">
        <v>0.2</v>
      </c>
      <c r="F22" s="326" t="s">
        <v>171</v>
      </c>
      <c r="G22" s="328">
        <v>21517</v>
      </c>
      <c r="H22" s="328">
        <f t="shared" ref="H22:H23" si="4">G22*B22</f>
        <v>21517</v>
      </c>
      <c r="I22" s="265"/>
      <c r="J22" s="47"/>
      <c r="K22" s="330">
        <f t="shared" ref="K22:K23" si="5">B22</f>
        <v>1</v>
      </c>
      <c r="L22" s="39">
        <f t="shared" ref="L22:L23" si="6">D22+L$19</f>
        <v>0.71</v>
      </c>
      <c r="M22" s="39">
        <f t="shared" ref="M22:M23" si="7">E22+M$19</f>
        <v>0.26</v>
      </c>
      <c r="N22" s="261">
        <f t="shared" ref="N22:N23" si="8">L22*M22</f>
        <v>0.18459999999999999</v>
      </c>
      <c r="O22" s="259">
        <f t="shared" ref="O22:O23" si="9">N22*K22</f>
        <v>0.18459999999999999</v>
      </c>
      <c r="P22" s="252">
        <f t="shared" ref="P22:P23" si="10">P$20*N22</f>
        <v>26326.69317694641</v>
      </c>
      <c r="Q22" s="329">
        <f t="shared" ref="Q22:Q23" si="11">P22+Q$20</f>
        <v>31326.69317694641</v>
      </c>
      <c r="R22" s="298">
        <f t="shared" ref="R22:R23" si="12">L22*K22*2</f>
        <v>1.42</v>
      </c>
      <c r="S22" s="46"/>
      <c r="T22" s="9"/>
      <c r="W22" s="4"/>
    </row>
    <row r="23" spans="2:24" ht="17.399999999999999" x14ac:dyDescent="0.3">
      <c r="B23" s="326">
        <v>1</v>
      </c>
      <c r="C23" s="326" t="s">
        <v>170</v>
      </c>
      <c r="D23" s="327">
        <v>2.83</v>
      </c>
      <c r="E23" s="327">
        <v>0.2</v>
      </c>
      <c r="F23" s="326" t="s">
        <v>171</v>
      </c>
      <c r="G23" s="328">
        <v>72695</v>
      </c>
      <c r="H23" s="328">
        <f t="shared" si="4"/>
        <v>72695</v>
      </c>
      <c r="I23" s="265"/>
      <c r="J23" s="47"/>
      <c r="K23" s="330">
        <f t="shared" si="5"/>
        <v>1</v>
      </c>
      <c r="L23" s="39">
        <f t="shared" si="6"/>
        <v>2.91</v>
      </c>
      <c r="M23" s="39">
        <f t="shared" si="7"/>
        <v>0.26</v>
      </c>
      <c r="N23" s="261">
        <f t="shared" si="8"/>
        <v>0.75660000000000005</v>
      </c>
      <c r="O23" s="259">
        <f t="shared" si="9"/>
        <v>0.75660000000000005</v>
      </c>
      <c r="P23" s="252">
        <f t="shared" si="10"/>
        <v>107902.3621759353</v>
      </c>
      <c r="Q23" s="329">
        <f t="shared" si="11"/>
        <v>112902.3621759353</v>
      </c>
      <c r="R23" s="298">
        <f t="shared" si="12"/>
        <v>5.82</v>
      </c>
      <c r="S23" s="46"/>
      <c r="T23" s="9"/>
      <c r="W23" s="4"/>
    </row>
    <row r="24" spans="2:24" ht="17.399999999999999" x14ac:dyDescent="0.3">
      <c r="B24" s="286"/>
      <c r="C24" s="332"/>
      <c r="D24" s="287"/>
      <c r="E24" s="287"/>
      <c r="F24" s="286"/>
      <c r="G24" s="331"/>
      <c r="H24" s="331"/>
      <c r="I24" s="265"/>
      <c r="J24" s="47"/>
      <c r="K24" s="330"/>
      <c r="L24" s="39"/>
      <c r="M24" s="39"/>
      <c r="N24" s="261"/>
      <c r="O24" s="259"/>
      <c r="P24" s="252"/>
      <c r="Q24" s="329"/>
      <c r="R24" s="29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>
        <v>0</v>
      </c>
      <c r="O25" s="259"/>
      <c r="P25" s="252"/>
      <c r="Q25" s="258"/>
      <c r="R25" s="29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299" t="s">
        <v>29</v>
      </c>
      <c r="H26" s="300">
        <f>SUM(H21:H25)</f>
        <v>250070</v>
      </c>
      <c r="I26" s="265"/>
      <c r="J26" s="47"/>
      <c r="K26" s="47"/>
      <c r="L26" s="39">
        <f>SUM(L21:L21)</f>
        <v>3.1350000000000002</v>
      </c>
      <c r="M26" s="39"/>
      <c r="N26" s="261"/>
      <c r="O26" s="259"/>
      <c r="P26" s="252"/>
      <c r="Q26" s="258"/>
      <c r="R26" s="298"/>
      <c r="S26" s="46">
        <f>SUM(S21:S25)</f>
        <v>1.04</v>
      </c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7" t="s">
        <v>52</v>
      </c>
      <c r="H27" s="295">
        <f>H26*19%</f>
        <v>47513.3</v>
      </c>
      <c r="I27" s="265"/>
      <c r="J27" s="47"/>
      <c r="K27" s="47"/>
      <c r="L27" s="39"/>
      <c r="M27" s="12"/>
      <c r="N27" s="12"/>
      <c r="O27" s="253">
        <f>SUM(O21:O23)</f>
        <v>2.5714000000000001</v>
      </c>
      <c r="P27" s="14"/>
      <c r="Q27" s="12"/>
      <c r="R27" s="239"/>
      <c r="S27" s="46">
        <f>S26*20%</f>
        <v>0.20800000000000002</v>
      </c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297583.3</v>
      </c>
      <c r="I28" s="265"/>
      <c r="J28" s="47"/>
      <c r="K28" s="47"/>
      <c r="L28" s="39"/>
      <c r="M28" s="12"/>
      <c r="N28" s="12"/>
      <c r="O28" s="253">
        <f>O27</f>
        <v>2.5714000000000001</v>
      </c>
      <c r="P28" s="14"/>
      <c r="Q28" s="12"/>
      <c r="R28" s="239">
        <f>SUM(R21:R27)</f>
        <v>19.78</v>
      </c>
      <c r="S28" s="46">
        <f>S26+S27</f>
        <v>1.248</v>
      </c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0.51428000000000007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3.08568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5" t="s">
        <v>22</v>
      </c>
      <c r="U31" s="302" t="s">
        <v>152</v>
      </c>
      <c r="V31" s="306">
        <v>44971</v>
      </c>
      <c r="W31" s="30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3.08568</v>
      </c>
      <c r="M32" s="12">
        <v>3500</v>
      </c>
      <c r="N32" s="12">
        <f t="shared" ref="N32:N37" si="13">L32*M32</f>
        <v>10799.88</v>
      </c>
      <c r="O32" s="14" t="s">
        <v>22</v>
      </c>
      <c r="P32" s="14"/>
      <c r="Q32" s="14"/>
      <c r="R32" s="241"/>
      <c r="S32" s="14"/>
      <c r="T32" s="305" t="s">
        <v>153</v>
      </c>
      <c r="U32" s="302">
        <v>3625</v>
      </c>
      <c r="V32" s="59" t="s">
        <v>154</v>
      </c>
      <c r="W32" s="30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2</v>
      </c>
      <c r="M33" s="12">
        <v>25000</v>
      </c>
      <c r="N33" s="12">
        <f t="shared" si="13"/>
        <v>50000</v>
      </c>
      <c r="O33" s="39" t="s">
        <v>32</v>
      </c>
      <c r="P33" s="42"/>
      <c r="Q33" s="14"/>
      <c r="R33" s="240"/>
      <c r="S33" s="14"/>
      <c r="T33" s="305"/>
      <c r="U33" s="59">
        <v>906.25</v>
      </c>
      <c r="V33" s="59" t="s">
        <v>155</v>
      </c>
      <c r="W33" s="307"/>
    </row>
    <row r="34" spans="2:23" s="230" customFormat="1" ht="17.399999999999999" x14ac:dyDescent="0.35">
      <c r="I34" s="262"/>
      <c r="J34" s="232"/>
      <c r="K34" s="250"/>
      <c r="L34" s="14"/>
      <c r="M34" s="250">
        <v>90076</v>
      </c>
      <c r="N34" s="12">
        <f t="shared" si="13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7" t="s">
        <v>156</v>
      </c>
      <c r="W34" s="59"/>
    </row>
    <row r="35" spans="2:23" s="230" customFormat="1" ht="17.399999999999999" x14ac:dyDescent="0.35">
      <c r="B35" s="24" t="s">
        <v>151</v>
      </c>
      <c r="I35" s="262"/>
      <c r="J35" s="232"/>
      <c r="K35" s="250"/>
      <c r="L35" s="14">
        <v>2</v>
      </c>
      <c r="M35" s="250">
        <v>46000</v>
      </c>
      <c r="N35" s="12">
        <f t="shared" si="13"/>
        <v>92000</v>
      </c>
      <c r="O35" s="14"/>
      <c r="P35" s="17"/>
      <c r="R35" s="238"/>
      <c r="S35" s="256"/>
      <c r="T35" s="59"/>
      <c r="U35" s="59">
        <f>U33+U34</f>
        <v>1087.5</v>
      </c>
      <c r="V35" s="307" t="s">
        <v>157</v>
      </c>
      <c r="W35" s="59"/>
    </row>
    <row r="36" spans="2:23" s="230" customFormat="1" ht="17.399999999999999" x14ac:dyDescent="0.35">
      <c r="B36" s="24" t="s">
        <v>144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3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4"/>
      <c r="K37" s="250"/>
      <c r="L37" s="266"/>
      <c r="M37" s="12">
        <v>1500</v>
      </c>
      <c r="N37" s="12">
        <f t="shared" si="13"/>
        <v>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152799.88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J39" s="230">
        <v>69620</v>
      </c>
      <c r="K39" s="250"/>
      <c r="L39" s="254" t="s">
        <v>34</v>
      </c>
      <c r="M39" s="12"/>
      <c r="N39" s="255">
        <f>N38*2.4</f>
        <v>366719.712</v>
      </c>
      <c r="O39" s="14" t="s">
        <v>141</v>
      </c>
      <c r="P39" s="14"/>
      <c r="Q39" s="40">
        <f>O30/Q38</f>
        <v>0.83198878343399485</v>
      </c>
      <c r="R39"/>
      <c r="S39" s="257"/>
    </row>
    <row r="40" spans="2:23" s="230" customFormat="1" ht="17.399999999999999" x14ac:dyDescent="0.35">
      <c r="G40"/>
      <c r="H40" s="260"/>
      <c r="J40" s="230">
        <f>J39/1.19</f>
        <v>58504.201680672275</v>
      </c>
      <c r="K40" s="250">
        <v>0</v>
      </c>
      <c r="L40" s="14"/>
      <c r="M40" s="12"/>
      <c r="N40" s="12">
        <f>N39/O28</f>
        <v>142614.80594228825</v>
      </c>
      <c r="O40" s="45" t="s">
        <v>25</v>
      </c>
      <c r="P40" s="14"/>
      <c r="Q40" s="14"/>
      <c r="R40"/>
      <c r="S40" s="238"/>
      <c r="T40" s="59" t="s">
        <v>158</v>
      </c>
      <c r="U40" s="302">
        <v>43650</v>
      </c>
    </row>
    <row r="41" spans="2:23" s="230" customFormat="1" ht="17.399999999999999" x14ac:dyDescent="0.35">
      <c r="G41"/>
      <c r="K41" s="250"/>
      <c r="L41" s="13"/>
      <c r="M41" s="14"/>
      <c r="N41" s="17">
        <f>N39/N38</f>
        <v>2.4</v>
      </c>
      <c r="O41" s="15"/>
      <c r="P41"/>
      <c r="Q41"/>
      <c r="R41"/>
      <c r="S41" s="238"/>
      <c r="T41" s="59" t="s">
        <v>160</v>
      </c>
      <c r="U41" s="303" t="s">
        <v>159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161</v>
      </c>
      <c r="U42" s="30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156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148</v>
      </c>
    </row>
    <row r="76" spans="3:14" x14ac:dyDescent="0.3">
      <c r="C76" t="s">
        <v>147</v>
      </c>
    </row>
    <row r="79" spans="3:14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45740</v>
      </c>
    </row>
    <row r="6" spans="2:31" ht="16.2" thickBot="1" x14ac:dyDescent="0.35">
      <c r="B6" s="140" t="s">
        <v>2</v>
      </c>
      <c r="C6" s="139" t="str">
        <f>'2229'!C10</f>
        <v>DIEGO BILLANINI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11367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-16753.991366787439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250070</v>
      </c>
      <c r="E11" s="132">
        <f>D11*0.19</f>
        <v>47513.3</v>
      </c>
      <c r="F11" s="131">
        <f>E11+D11</f>
        <v>297583.3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89236.008633212565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90633.970787439612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71236.008633212565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159436.02921256039</v>
      </c>
      <c r="E13" s="221">
        <f>(D11/D12)-1</f>
        <v>1.75911998368117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62236.008633212565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23236.008633212561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149546.05179927536</v>
      </c>
      <c r="F15" s="216">
        <f>E15-D12</f>
        <v>58912.081011835748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23236.008633212561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63236.008633212565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10799.88</v>
      </c>
      <c r="E20" s="121">
        <f>D20*0.19</f>
        <v>2051.9771999999998</v>
      </c>
      <c r="F20" s="120">
        <f>SUM(D20:E20)</f>
        <v>12851.857199999999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60799.88</v>
      </c>
      <c r="E21" s="116">
        <f>SUM(E18:E20)</f>
        <v>11551.977199999999</v>
      </c>
      <c r="F21" s="115">
        <f>SUM(F18:F20)</f>
        <v>72351.857199999999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35961.322800000002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250070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60799.88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159436.02921256039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159436.02921256039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2025-03-20T14:38:35Z</cp:lastPrinted>
  <dcterms:created xsi:type="dcterms:W3CDTF">2013-03-18T13:35:42Z</dcterms:created>
  <dcterms:modified xsi:type="dcterms:W3CDTF">2025-03-24T19:30:31Z</dcterms:modified>
</cp:coreProperties>
</file>