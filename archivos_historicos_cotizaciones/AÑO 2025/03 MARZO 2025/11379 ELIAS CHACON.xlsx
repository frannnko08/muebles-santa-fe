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3CFC26EA-84D1-40BE-B9C1-95FF2FFD21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7" i="1" l="1"/>
  <c r="K21" i="1"/>
  <c r="L21" i="1"/>
  <c r="N21" i="1" s="1"/>
  <c r="O21" i="1" s="1"/>
  <c r="M21" i="1"/>
  <c r="K22" i="1"/>
  <c r="R22" i="1" s="1"/>
  <c r="L22" i="1"/>
  <c r="M22" i="1"/>
  <c r="K23" i="1"/>
  <c r="L23" i="1"/>
  <c r="N23" i="1" s="1"/>
  <c r="O23" i="1" s="1"/>
  <c r="M23" i="1"/>
  <c r="R23" i="1"/>
  <c r="H23" i="1"/>
  <c r="H27" i="1" s="1"/>
  <c r="H24" i="1"/>
  <c r="H21" i="1"/>
  <c r="H22" i="1"/>
  <c r="N22" i="1" l="1"/>
  <c r="O22" i="1" s="1"/>
  <c r="R21" i="1"/>
  <c r="J42" i="1"/>
  <c r="O28" i="1" l="1"/>
  <c r="U35" i="1"/>
  <c r="U36" i="1" s="1"/>
  <c r="R29" i="1" l="1"/>
  <c r="N34" i="1"/>
  <c r="O29" i="1" l="1"/>
  <c r="O30" i="1" s="1"/>
  <c r="O31" i="1" s="1"/>
  <c r="L33" i="1" s="1"/>
  <c r="M20" i="1"/>
  <c r="K20" i="1"/>
  <c r="N35" i="1" l="1"/>
  <c r="Q39" i="1"/>
  <c r="N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N33" i="1" l="1"/>
  <c r="Q40" i="1"/>
  <c r="N39" i="1" l="1"/>
  <c r="N40" i="1" s="1"/>
  <c r="D20" i="3"/>
  <c r="E20" i="3" s="1"/>
  <c r="E21" i="3" s="1"/>
  <c r="N42" i="1" l="1"/>
  <c r="D21" i="3"/>
  <c r="M43" i="3" s="1"/>
  <c r="D12" i="3" s="1"/>
  <c r="F20" i="3"/>
  <c r="F21" i="3" s="1"/>
  <c r="N41" i="1" l="1"/>
  <c r="P20" i="1" s="1"/>
  <c r="E15" i="3"/>
  <c r="P23" i="1" l="1"/>
  <c r="Q23" i="1" s="1"/>
  <c r="P22" i="1"/>
  <c r="Q22" i="1" s="1"/>
  <c r="P21" i="1"/>
  <c r="Q21" i="1" s="1"/>
  <c r="H28" i="1"/>
  <c r="F15" i="3"/>
  <c r="D11" i="3" l="1"/>
  <c r="X9" i="3" s="1"/>
  <c r="X15" i="3" s="1"/>
  <c r="H29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<sst xmlns="http://schemas.openxmlformats.org/spreadsheetml/2006/main" count="235" uniqueCount="176">
  <si>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</si>
  <si>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</si>
  <si>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</si>
  <si>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</si>
  <si>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</si>
  <si>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</si>
  <si>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</si>
  <si>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</si>
  <si>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</si>
  <si>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</si>
  <si>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</si>
  <si>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</si>
  <si>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</si>
  <si>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</si>
  <si>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</si>
  <si>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</si>
  <si>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</si>
  <si>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</si>
  <si>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</si>
  <si>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</si>
  <si>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</si>
  <si>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</si>
  <si>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</si>
  <si>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</si>
  <si>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</si>
  <si>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</si>
  <si>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</si>
  <si>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</si>
  <si>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</si>
  <si>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</si>
  <si>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</si>
  <si>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</si>
  <si>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</si>
  <si>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</si>
  <si>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</si>
  <si>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</si>
  <si>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</si>
  <si>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</si>
  <si>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</si>
  <si>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</si>
  <si>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</si>
  <si>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</si>
  <si>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</si>
  <si>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</si>
  <si>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</si>
  <si>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</si>
  <si>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</si>
  <si>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</si>
  <si>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</si>
  <si>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</si>
  <si>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</si>
  <si>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</si>
  <si>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</si>
  <si>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</si>
  <si>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</si>
  <si>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</si>
  <si>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</si>
  <si>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</si>
  <si>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</si>
  <si>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</si>
  <si>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</si>
  <si>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</si>
  <si>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</si>
  <si>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</si>
  <si>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</si>
  <si>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</si>
  <si>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</si>
  <si>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</si>
  <si>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</si>
  <si>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</si>
  <si>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</si>
  <si>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</si>
  <si>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</si>
  <si>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</si>
  <si>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</si>
  <si>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</si>
  <si>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</si>
  <si>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</si>
  <si>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</si>
  <si>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</si>
  <si>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</si>
  <si>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</si>
  <si>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</si>
  <si>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</si>
  <si>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</si>
  <si>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</si>
  <si>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</si>
  <si>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</si>
  <si>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</si>
  <si>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</si>
  <si>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</si>
  <si>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</si>
  <si>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</si>
  <si>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</si>
  <si>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</si>
  <si>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</si>
  <si>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</si>
  <si>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</si>
  <si>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</si>
  <si>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</si>
  <si>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</si>
  <si>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</si>
  <si>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</si>
  <si>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</si>
  <si>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</si>
  <si>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</si>
  <si>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</si>
  <si>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</si>
  <si>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</si>
  <si>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</si>
  <si>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</si>
  <si>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</si>
  <si>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</si>
  <si>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</si>
  <si>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</si>
  <si>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</si>
  <si>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</si>
  <si>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</si>
  <si>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</si>
  <si>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</si>
  <si>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</si>
  <si>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</si>
  <si>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</si>
  <si>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</si>
  <si>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</si>
  <si>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</si>
  <si>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</si>
  <si>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</si>
  <si>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</si>
  <si>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</si>
  <si>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</si>
  <si>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</si>
  <si>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</si>
  <si>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</si>
  <si>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</si>
  <si>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</si>
  <si>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</si>
  <si>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</si>
  <si>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</si>
  <si>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</si>
  <si>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</si>
  <si>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</si>
  <si>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</si>
  <si>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</si>
  <si>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</si>
  <si>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</si>
  <si>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</si>
  <si>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</si>
  <si>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</si>
  <si>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</si>
  <si>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</si>
  <si>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</si>
  <si>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</si>
  <si>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</si>
  <si>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</si>
  <si>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</si>
  <si>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</si>
  <si>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</si>
  <si>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</si>
  <si>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</si>
  <si>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</si>
  <si>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</si>
  <si>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</si>
  <si>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</si>
  <si>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</si>
  <si>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ESKELETOR</t>
  </si>
  <si>
    <t>SANTIAGO</t>
  </si>
  <si>
    <t>DURACION COTIZACION: 5 DIAS                            FRANCO DONOSO</t>
  </si>
  <si>
    <t>5 DIAS HABILES</t>
  </si>
  <si>
    <t>CUB CON RESPALDO FRENTE 90° R8</t>
  </si>
  <si>
    <t>N° 11379</t>
  </si>
  <si>
    <t>ELIAS CHACON</t>
  </si>
  <si>
    <t>569 99341718</t>
  </si>
  <si>
    <t>CUB MESA 90° R8 3 LADOS</t>
  </si>
  <si>
    <t>CORTE 45°</t>
  </si>
  <si>
    <t>FASHION GREY 21371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</si>
</sst>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0" fillId="7" borderId="0" xfId="0" applyNumberFormat="1" applyFill="1"/>
    <xf numFmtId="166" fontId="3" fillId="7" borderId="0" xfId="0" applyNumberFormat="1" applyFont="1" applyFill="1"/>
    <xf numFmtId="0" fontId="24" fillId="20" borderId="3" xfId="0" applyFont="1" applyFill="1" applyBorder="1" applyAlignment="1">
      <alignment horizontal="center"/>
    </xf>
    <xf numFmtId="0" fontId="32" fillId="0" borderId="0" xfId="0" applyFont="1" applyAlignment="1">
      <alignment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0" fontId="32" fillId="0" borderId="0" xfId="0" quotePrefix="1" applyFont="1" applyAlignment="1">
      <alignment horizontal="center" vertical="center"/>
    </xf>
    <xf numFmtId="41" fontId="32" fillId="0" borderId="0" xfId="4" applyFont="1" applyAlignment="1">
      <alignment vertical="center"/>
    </xf>
    <xf numFmtId="0" fontId="32" fillId="0" borderId="1" xfId="0" applyFont="1" applyBorder="1" applyAlignment="1">
      <alignment horizontal="center" vertical="center"/>
    </xf>
    <xf numFmtId="0" fontId="32" fillId="0" borderId="1" xfId="0" quotePrefix="1" applyFont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32" fillId="0" borderId="1" xfId="4" applyFont="1" applyBorder="1" applyAlignment="1">
      <alignment vertical="center"/>
    </xf>
    <xf numFmtId="166" fontId="32" fillId="0" borderId="1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25</xdr:row>
      <xdr:rowOff>222558</xdr:rowOff>
    </xdr:from>
    <xdr:to>
      <xdr:col>5</xdr:col>
      <xdr:colOff>1659644</xdr:colOff>
      <xdr:row>29</xdr:row>
      <xdr:rowOff>8193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6580752"/>
          <a:ext cx="6502032" cy="68692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 CUBIERTA SE ENTREGA CON SOBRE MEDIDA EN EL LARGO 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RESPALDO DE 5CMS SOBRE LA BASE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17" zoomScale="93" zoomScaleNormal="93" workbookViewId="0">
      <selection activeCell="G24" sqref="G24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26" t="s">
        <v>170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8" t="s">
        <v>163</v>
      </c>
      <c r="C10" s="279" t="s">
        <v>171</v>
      </c>
      <c r="D10" s="243"/>
      <c r="E10" s="243"/>
      <c r="F10" s="244" t="s">
        <v>0</v>
      </c>
      <c r="G10" s="277">
        <v>45747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/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3" t="s">
        <v>172</v>
      </c>
      <c r="D15" s="295"/>
      <c r="E15" s="247"/>
      <c r="F15" s="247" t="s">
        <v>135</v>
      </c>
      <c r="G15" s="296" t="s">
        <v>136</v>
      </c>
      <c r="H15" s="248"/>
      <c r="K15" s="18" t="s">
        <v>165</v>
      </c>
    </row>
    <row r="16" spans="2:23" ht="16.8" x14ac:dyDescent="0.4">
      <c r="B16" s="292" t="s">
        <v>3</v>
      </c>
      <c r="C16" s="311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166</v>
      </c>
      <c r="D17" s="299"/>
      <c r="E17" s="300"/>
      <c r="F17" s="328" t="s">
        <v>167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0" t="s">
        <v>148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0.08</v>
      </c>
      <c r="M19" s="14">
        <v>0.05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N41</f>
        <v>52319.980919065034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43">
        <v>1</v>
      </c>
      <c r="C21" s="343" t="s">
        <v>169</v>
      </c>
      <c r="D21" s="348">
        <v>1.57</v>
      </c>
      <c r="E21" s="348">
        <v>0.54</v>
      </c>
      <c r="F21" s="343" t="s">
        <v>175</v>
      </c>
      <c r="G21" s="346">
        <v>53934</v>
      </c>
      <c r="H21" s="346">
        <f t="shared" ref="H21:H24" si="1">G21*B21</f>
        <v>53934</v>
      </c>
      <c r="I21" s="265"/>
      <c r="J21" s="47"/>
      <c r="K21" s="324">
        <f t="shared" ref="K21:K23" si="2">B21</f>
        <v>1</v>
      </c>
      <c r="L21" s="325">
        <f t="shared" ref="L21:L23" si="3">D21+L$19</f>
        <v>1.6500000000000001</v>
      </c>
      <c r="M21" s="325">
        <f t="shared" ref="M21:M23" si="4">E21+M$19</f>
        <v>0.59000000000000008</v>
      </c>
      <c r="N21" s="261">
        <f t="shared" ref="N21:N23" si="5">L21*M21</f>
        <v>0.97350000000000025</v>
      </c>
      <c r="O21" s="259">
        <f t="shared" ref="O21:O23" si="6">N21*K21</f>
        <v>0.97350000000000025</v>
      </c>
      <c r="P21" s="252">
        <f t="shared" ref="P21:P23" si="7">P$20*N21</f>
        <v>50933.501424709822</v>
      </c>
      <c r="Q21" s="258">
        <f t="shared" ref="Q21:Q23" si="8">P21+Q$20</f>
        <v>53933.501424709822</v>
      </c>
      <c r="R21" s="308">
        <f t="shared" ref="R21:R23" si="9">L21*K21</f>
        <v>1.6500000000000001</v>
      </c>
      <c r="S21" s="46"/>
      <c r="T21" s="9"/>
      <c r="W21" s="4"/>
    </row>
    <row r="22" spans="2:24" ht="17.399999999999999" x14ac:dyDescent="0.3">
      <c r="B22" s="343">
        <v>1</v>
      </c>
      <c r="C22" s="343" t="s">
        <v>169</v>
      </c>
      <c r="D22" s="348">
        <v>1.1100000000000001</v>
      </c>
      <c r="E22" s="348">
        <v>0.54</v>
      </c>
      <c r="F22" s="343" t="s">
        <v>175</v>
      </c>
      <c r="G22" s="346">
        <v>39735</v>
      </c>
      <c r="H22" s="346">
        <f t="shared" si="1"/>
        <v>39735</v>
      </c>
      <c r="I22" s="265"/>
      <c r="J22" s="47"/>
      <c r="K22" s="324">
        <f t="shared" si="2"/>
        <v>1</v>
      </c>
      <c r="L22" s="325">
        <f t="shared" si="3"/>
        <v>1.1900000000000002</v>
      </c>
      <c r="M22" s="325">
        <f t="shared" si="4"/>
        <v>0.59000000000000008</v>
      </c>
      <c r="N22" s="261">
        <f t="shared" si="5"/>
        <v>0.70210000000000017</v>
      </c>
      <c r="O22" s="259">
        <f t="shared" si="6"/>
        <v>0.70210000000000017</v>
      </c>
      <c r="P22" s="252">
        <f t="shared" si="7"/>
        <v>36733.85860327557</v>
      </c>
      <c r="Q22" s="258">
        <f t="shared" si="8"/>
        <v>39733.85860327557</v>
      </c>
      <c r="R22" s="308">
        <f t="shared" si="9"/>
        <v>1.1900000000000002</v>
      </c>
      <c r="S22" s="46"/>
      <c r="T22" s="9"/>
      <c r="W22" s="4"/>
    </row>
    <row r="23" spans="2:24" ht="17.399999999999999" x14ac:dyDescent="0.3">
      <c r="B23" s="343">
        <v>1</v>
      </c>
      <c r="C23" s="344" t="s">
        <v>173</v>
      </c>
      <c r="D23" s="348">
        <v>2.02</v>
      </c>
      <c r="E23" s="348">
        <v>0.35</v>
      </c>
      <c r="F23" s="343" t="s">
        <v>175</v>
      </c>
      <c r="G23" s="347">
        <v>46949</v>
      </c>
      <c r="H23" s="346">
        <f t="shared" si="1"/>
        <v>46949</v>
      </c>
      <c r="I23" s="265"/>
      <c r="J23" s="47"/>
      <c r="K23" s="324">
        <f t="shared" si="2"/>
        <v>1</v>
      </c>
      <c r="L23" s="325">
        <f t="shared" si="3"/>
        <v>2.1</v>
      </c>
      <c r="M23" s="325">
        <f t="shared" si="4"/>
        <v>0.39999999999999997</v>
      </c>
      <c r="N23" s="261">
        <f t="shared" si="5"/>
        <v>0.84</v>
      </c>
      <c r="O23" s="259">
        <f t="shared" si="6"/>
        <v>0.84</v>
      </c>
      <c r="P23" s="252">
        <f t="shared" si="7"/>
        <v>43948.783972014629</v>
      </c>
      <c r="Q23" s="258">
        <f t="shared" si="8"/>
        <v>46948.783972014629</v>
      </c>
      <c r="R23" s="308">
        <f t="shared" si="9"/>
        <v>2.1</v>
      </c>
      <c r="S23" s="46"/>
      <c r="T23" s="9"/>
      <c r="W23" s="4"/>
    </row>
    <row r="24" spans="2:24" ht="17.399999999999999" x14ac:dyDescent="0.3">
      <c r="B24" s="343">
        <v>2</v>
      </c>
      <c r="C24" s="344" t="s">
        <v>174</v>
      </c>
      <c r="D24" s="345"/>
      <c r="E24" s="345"/>
      <c r="F24" s="345"/>
      <c r="G24" s="347">
        <v>7500</v>
      </c>
      <c r="H24" s="346">
        <f t="shared" si="1"/>
        <v>15000</v>
      </c>
      <c r="I24" s="265"/>
      <c r="J24" s="47"/>
      <c r="K24" s="324"/>
      <c r="L24" s="325"/>
      <c r="M24" s="325"/>
      <c r="N24" s="261"/>
      <c r="O24" s="259"/>
      <c r="P24" s="252"/>
      <c r="Q24" s="258"/>
      <c r="R24" s="308"/>
      <c r="S24" s="46"/>
      <c r="T24" s="9"/>
      <c r="W24" s="4"/>
    </row>
    <row r="25" spans="2:24" ht="17.399999999999999" x14ac:dyDescent="0.3">
      <c r="B25" s="286"/>
      <c r="C25" s="341"/>
      <c r="D25" s="327"/>
      <c r="E25" s="327"/>
      <c r="F25" s="327"/>
      <c r="G25" s="342"/>
      <c r="H25" s="340"/>
      <c r="I25" s="265"/>
      <c r="J25" s="47"/>
      <c r="K25" s="324"/>
      <c r="L25" s="325"/>
      <c r="M25" s="325"/>
      <c r="N25" s="261"/>
      <c r="O25" s="259"/>
      <c r="P25" s="252"/>
      <c r="Q25" s="258"/>
      <c r="R25" s="308"/>
      <c r="S25" s="46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3"/>
      <c r="I26" s="233"/>
      <c r="J26" s="47"/>
      <c r="K26" s="47"/>
      <c r="L26" s="39"/>
      <c r="M26" s="39"/>
      <c r="N26" s="261"/>
      <c r="O26" s="259"/>
      <c r="P26" s="252"/>
      <c r="Q26" s="258"/>
      <c r="R26" s="30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309" t="s">
        <v>29</v>
      </c>
      <c r="H27" s="310">
        <f>SUM(H21:H26)</f>
        <v>155618</v>
      </c>
      <c r="I27" s="265"/>
      <c r="J27" s="47"/>
      <c r="K27" s="47"/>
      <c r="L27" s="39">
        <f>SUM(L21:L22)</f>
        <v>2.8400000000000003</v>
      </c>
      <c r="M27" s="39"/>
      <c r="N27" s="261"/>
      <c r="O27" s="259"/>
      <c r="P27" s="252"/>
      <c r="Q27" s="258"/>
      <c r="R27" s="308"/>
      <c r="S27" s="14"/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307" t="s">
        <v>52</v>
      </c>
      <c r="H28" s="304">
        <f>H27*19%</f>
        <v>29567.420000000002</v>
      </c>
      <c r="I28" s="265"/>
      <c r="J28" s="47"/>
      <c r="K28" s="47"/>
      <c r="L28" s="39"/>
      <c r="M28" s="12"/>
      <c r="N28" s="12"/>
      <c r="O28" s="253">
        <f>SUM(O21:O23)</f>
        <v>2.5156000000000005</v>
      </c>
      <c r="P28" s="14"/>
      <c r="Q28" s="12"/>
      <c r="R28" s="239"/>
      <c r="S28" s="14"/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305">
        <f>H27+H28</f>
        <v>185185.42</v>
      </c>
      <c r="I29" s="265"/>
      <c r="J29" s="47"/>
      <c r="K29" s="47"/>
      <c r="L29" s="39"/>
      <c r="M29" s="12"/>
      <c r="N29" s="12"/>
      <c r="O29" s="253">
        <f>O28</f>
        <v>2.5156000000000005</v>
      </c>
      <c r="P29" s="14"/>
      <c r="Q29" s="12"/>
      <c r="R29" s="239">
        <f>SUM(R21:R28)</f>
        <v>4.9400000000000004</v>
      </c>
      <c r="S29" s="14"/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0.50312000000000012</v>
      </c>
      <c r="P30" s="39" t="s">
        <v>131</v>
      </c>
      <c r="Q30" s="42"/>
      <c r="R30" s="240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/>
      <c r="K31" s="47"/>
      <c r="L31" s="14"/>
      <c r="M31" s="12"/>
      <c r="N31" s="12"/>
      <c r="O31" s="46">
        <f>O29+O30</f>
        <v>3.0187200000000005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/>
      <c r="K32" s="47"/>
      <c r="L32" s="14"/>
      <c r="M32" s="14"/>
      <c r="N32" s="14"/>
      <c r="O32" s="14"/>
      <c r="P32" s="14"/>
      <c r="Q32" s="14"/>
      <c r="R32" s="238"/>
      <c r="S32" s="14"/>
      <c r="T32" s="315" t="s">
        <v>22</v>
      </c>
      <c r="U32" s="312" t="s">
        <v>153</v>
      </c>
      <c r="V32" s="316">
        <v>44971</v>
      </c>
      <c r="W32" s="317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/>
      <c r="K33" s="47"/>
      <c r="L33" s="39">
        <f>O31</f>
        <v>3.0187200000000005</v>
      </c>
      <c r="M33" s="12">
        <v>3500</v>
      </c>
      <c r="N33" s="12">
        <f t="shared" ref="N33:N38" si="10">L33*M33</f>
        <v>10565.520000000002</v>
      </c>
      <c r="O33" s="14" t="s">
        <v>22</v>
      </c>
      <c r="P33" s="14"/>
      <c r="Q33" s="14"/>
      <c r="R33" s="241"/>
      <c r="S33" s="14"/>
      <c r="T33" s="315" t="s">
        <v>154</v>
      </c>
      <c r="U33" s="312">
        <v>3625</v>
      </c>
      <c r="V33" s="59" t="s">
        <v>155</v>
      </c>
      <c r="W33" s="317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0.8</v>
      </c>
      <c r="M34" s="12">
        <v>25000</v>
      </c>
      <c r="N34" s="12">
        <f t="shared" si="10"/>
        <v>20000</v>
      </c>
      <c r="O34" s="39" t="s">
        <v>32</v>
      </c>
      <c r="P34" s="42"/>
      <c r="Q34" s="14"/>
      <c r="R34" s="240"/>
      <c r="S34" s="14"/>
      <c r="T34" s="315"/>
      <c r="U34" s="59">
        <v>906.25</v>
      </c>
      <c r="V34" s="59" t="s">
        <v>156</v>
      </c>
      <c r="W34" s="317"/>
    </row>
    <row r="35" spans="2:23" s="230" customFormat="1" ht="17.399999999999999" x14ac:dyDescent="0.35">
      <c r="I35" s="262"/>
      <c r="J35" s="232"/>
      <c r="K35" s="250"/>
      <c r="L35" s="14"/>
      <c r="M35" s="250">
        <v>77058</v>
      </c>
      <c r="N35" s="12">
        <f t="shared" si="10"/>
        <v>0</v>
      </c>
      <c r="O35" s="39" t="s">
        <v>31</v>
      </c>
      <c r="P35" s="42"/>
      <c r="R35" s="240"/>
      <c r="S35" s="256"/>
      <c r="T35" s="59"/>
      <c r="U35" s="59">
        <f>U34*20%</f>
        <v>181.25</v>
      </c>
      <c r="V35" s="317" t="s">
        <v>157</v>
      </c>
      <c r="W35" s="59"/>
    </row>
    <row r="36" spans="2:23" s="230" customFormat="1" ht="17.399999999999999" x14ac:dyDescent="0.35">
      <c r="B36" s="24" t="s">
        <v>152</v>
      </c>
      <c r="I36" s="262"/>
      <c r="J36" s="232"/>
      <c r="K36" s="250"/>
      <c r="L36" s="14">
        <v>1</v>
      </c>
      <c r="M36" s="250">
        <v>25000</v>
      </c>
      <c r="N36" s="12">
        <f t="shared" si="10"/>
        <v>25000</v>
      </c>
      <c r="O36" s="14" t="s">
        <v>142</v>
      </c>
      <c r="P36" s="17"/>
      <c r="R36" s="238"/>
      <c r="S36" s="256"/>
      <c r="T36" s="59"/>
      <c r="U36" s="59">
        <f>U34+U35</f>
        <v>1087.5</v>
      </c>
      <c r="V36" s="317" t="s">
        <v>158</v>
      </c>
      <c r="W36" s="59"/>
    </row>
    <row r="37" spans="2:23" s="230" customFormat="1" ht="17.399999999999999" x14ac:dyDescent="0.35">
      <c r="B37" s="24" t="s">
        <v>145</v>
      </c>
      <c r="C37"/>
      <c r="D37"/>
      <c r="E37"/>
      <c r="F37"/>
      <c r="I37" s="262"/>
      <c r="K37" s="250"/>
      <c r="L37" s="249"/>
      <c r="M37" s="250">
        <v>300</v>
      </c>
      <c r="N37" s="12">
        <f t="shared" si="10"/>
        <v>0</v>
      </c>
      <c r="O37" s="14" t="s">
        <v>33</v>
      </c>
      <c r="P37" s="14"/>
      <c r="Q37" s="230">
        <v>1.52</v>
      </c>
      <c r="R37" s="238"/>
      <c r="S37" s="238"/>
    </row>
    <row r="38" spans="2:23" s="230" customFormat="1" ht="17.399999999999999" x14ac:dyDescent="0.35">
      <c r="B38" s="29" t="s">
        <v>126</v>
      </c>
      <c r="C38"/>
      <c r="D38"/>
      <c r="E38"/>
      <c r="F38" s="229" t="s">
        <v>16</v>
      </c>
      <c r="I38" s="303"/>
      <c r="K38" s="250"/>
      <c r="L38" s="266">
        <v>2.84</v>
      </c>
      <c r="M38" s="12">
        <v>1500</v>
      </c>
      <c r="N38" s="12">
        <f t="shared" si="10"/>
        <v>4260</v>
      </c>
      <c r="O38" s="14" t="s">
        <v>23</v>
      </c>
      <c r="P38" s="14"/>
      <c r="Q38">
        <v>2.44</v>
      </c>
      <c r="R38"/>
      <c r="S38" s="238"/>
      <c r="W38" s="231"/>
    </row>
    <row r="39" spans="2:23" s="230" customFormat="1" ht="17.399999999999999" x14ac:dyDescent="0.35">
      <c r="K39" s="250"/>
      <c r="L39" s="14"/>
      <c r="M39" s="12"/>
      <c r="N39" s="12">
        <f>SUM(N33:N38)</f>
        <v>59825.520000000004</v>
      </c>
      <c r="O39" s="39" t="s">
        <v>24</v>
      </c>
      <c r="P39" s="14"/>
      <c r="Q39">
        <f>Q37*Q38</f>
        <v>3.7088000000000001</v>
      </c>
      <c r="R39"/>
      <c r="S39" s="238"/>
      <c r="W39" s="231"/>
    </row>
    <row r="40" spans="2:23" s="230" customFormat="1" ht="17.399999999999999" x14ac:dyDescent="0.35">
      <c r="K40" s="250"/>
      <c r="L40" s="254" t="s">
        <v>34</v>
      </c>
      <c r="M40" s="12"/>
      <c r="N40" s="255">
        <f>N39*2.2</f>
        <v>131616.14400000003</v>
      </c>
      <c r="O40" s="14" t="s">
        <v>141</v>
      </c>
      <c r="P40" s="14"/>
      <c r="Q40" s="40">
        <f>O31/Q39</f>
        <v>0.81393442622950829</v>
      </c>
      <c r="R40"/>
      <c r="S40" s="257"/>
    </row>
    <row r="41" spans="2:23" s="230" customFormat="1" ht="17.399999999999999" x14ac:dyDescent="0.35">
      <c r="G41"/>
      <c r="H41" s="260"/>
      <c r="I41" s="260"/>
      <c r="J41" s="230">
        <v>60910</v>
      </c>
      <c r="K41" s="250"/>
      <c r="L41" s="14"/>
      <c r="M41" s="12"/>
      <c r="N41" s="12">
        <f>N40/O29</f>
        <v>52319.980919065034</v>
      </c>
      <c r="O41" s="45" t="s">
        <v>25</v>
      </c>
      <c r="P41" s="14"/>
      <c r="Q41" s="14"/>
      <c r="R41"/>
      <c r="S41" s="238"/>
      <c r="T41" s="59" t="s">
        <v>159</v>
      </c>
      <c r="U41" s="312">
        <v>43650</v>
      </c>
    </row>
    <row r="42" spans="2:23" s="230" customFormat="1" ht="17.399999999999999" x14ac:dyDescent="0.35">
      <c r="G42"/>
      <c r="J42" s="230">
        <f>J41/1.19</f>
        <v>51184.873949579836</v>
      </c>
      <c r="K42" s="250"/>
      <c r="L42" s="13"/>
      <c r="M42" s="14"/>
      <c r="N42" s="17">
        <f>N40/N39</f>
        <v>2.2000000000000002</v>
      </c>
      <c r="O42" s="15"/>
      <c r="P42"/>
      <c r="Q42"/>
      <c r="R42"/>
      <c r="S42" s="238"/>
      <c r="T42" s="59" t="s">
        <v>161</v>
      </c>
      <c r="U42" s="313" t="s">
        <v>160</v>
      </c>
      <c r="V42" s="59">
        <v>2.4</v>
      </c>
    </row>
    <row r="43" spans="2:23" s="230" customFormat="1" ht="17.399999999999999" x14ac:dyDescent="0.35">
      <c r="G43" s="23"/>
      <c r="K43" s="12"/>
      <c r="S43" s="238"/>
      <c r="T43" s="59" t="s">
        <v>162</v>
      </c>
      <c r="U43" s="314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K44" s="12"/>
      <c r="S44" s="238"/>
      <c r="T44" s="59" t="s">
        <v>157</v>
      </c>
      <c r="U44" s="59">
        <v>474.45</v>
      </c>
    </row>
    <row r="45" spans="2:23" ht="14.4" customHeight="1" x14ac:dyDescent="0.3">
      <c r="K45" s="12"/>
      <c r="T45" s="59"/>
      <c r="U45" s="59"/>
    </row>
    <row r="46" spans="2:23" x14ac:dyDescent="0.3">
      <c r="K46" s="250"/>
    </row>
    <row r="47" spans="2:23" x14ac:dyDescent="0.3">
      <c r="K47" s="250"/>
      <c r="S47" s="270"/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27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45747</v>
      </c>
    </row>
    <row r="6" spans="2:31" ht="16.2" thickBot="1" x14ac:dyDescent="0.35">
      <c r="B6" s="140" t="s">
        <v>2</v>
      </c>
      <c r="C6" s="139" t="str">
        <f>'2229'!C10</f>
        <v>ELIAS CHACON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99</v>
      </c>
      <c r="I7" s="335"/>
      <c r="J7" s="335"/>
      <c r="K7" s="336"/>
      <c r="N7" s="75"/>
      <c r="O7" s="333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11379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3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-9326.4403667874376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'2229'!H27</f>
        <v>155618</v>
      </c>
      <c r="E11" s="132">
        <f>D11*0.19</f>
        <v>29567.420000000002</v>
      </c>
      <c r="F11" s="131">
        <f>E11+D11</f>
        <v>185185.42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96663.559633212557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60399.610787439618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78663.559633212557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95218.389212560374</v>
      </c>
      <c r="E13" s="221">
        <f>(D11/D12)-1</f>
        <v>1.5764735562230063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69663.559633212557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30663.559633212564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99659.357799275371</v>
      </c>
      <c r="F15" s="216">
        <f>E15-D12</f>
        <v>39259.747011835752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30663.559633212564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70663.559633212557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'2229'!N34</f>
        <v>20000</v>
      </c>
      <c r="E19" s="123">
        <f>D19*0.19</f>
        <v>3800</v>
      </c>
      <c r="F19" s="120">
        <f>SUM(D19:E19)</f>
        <v>23800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10565.520000000002</v>
      </c>
      <c r="E20" s="121">
        <f>D20*0.19</f>
        <v>2007.4488000000003</v>
      </c>
      <c r="F20" s="120">
        <f>SUM(D20:E20)</f>
        <v>12572.968800000002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30565.520000000004</v>
      </c>
      <c r="E21" s="116">
        <f>SUM(E18:E20)</f>
        <v>5807.4488000000001</v>
      </c>
      <c r="F21" s="115">
        <f>SUM(F18:F20)</f>
        <v>36372.968800000002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23759.9712</v>
      </c>
    </row>
    <row r="41" spans="2:16" ht="15" thickBot="1" x14ac:dyDescent="0.35">
      <c r="H41" s="337" t="s">
        <v>61</v>
      </c>
      <c r="I41" s="338"/>
      <c r="J41" s="338"/>
      <c r="K41" s="338"/>
      <c r="L41" s="338"/>
      <c r="M41" s="339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155618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30565.520000000004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95218.389212560374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95218.389212560374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2025-03-31T20:31:07Z</cp:lastPrinted>
  <dcterms:created xsi:type="dcterms:W3CDTF">2013-03-18T13:35:42Z</dcterms:created>
  <dcterms:modified xsi:type="dcterms:W3CDTF">2025-03-31T20:38:41Z</dcterms:modified>
</cp:coreProperties>
</file>