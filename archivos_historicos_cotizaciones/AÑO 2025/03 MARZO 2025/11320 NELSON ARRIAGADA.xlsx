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B217E229-E55E-4566-B6A1-7DC96D4EF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1" i="1"/>
  <c r="N21" i="1"/>
  <c r="M21" i="1" l="1"/>
  <c r="M26" i="1" s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<sst xmlns="http://schemas.openxmlformats.org/spreadsheetml/2006/main" count="230" uniqueCount="175">
  <si>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</si>
  <si>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</si>
  <si>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</si>
  <si>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</si>
  <si>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</si>
  <si>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</si>
  <si>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</si>
  <si>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</si>
  <si>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</si>
  <si>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</si>
  <si>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</si>
  <si>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</si>
  <si>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</si>
  <si>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</si>
  <si>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</si>
  <si>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</si>
  <si>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</si>
  <si>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</si>
  <si>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</si>
  <si>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</si>
  <si>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</si>
  <si>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</si>
  <si>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</si>
  <si>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</si>
  <si>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</si>
  <si>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</si>
  <si>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</si>
  <si>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</si>
  <si>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</si>
  <si>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</si>
  <si>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</si>
  <si>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</si>
  <si>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</si>
  <si>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</si>
  <si>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</si>
  <si>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</si>
  <si>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</si>
  <si>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</si>
  <si>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</si>
  <si>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</si>
  <si>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</si>
  <si>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</si>
  <si>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</si>
  <si>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</si>
  <si>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</si>
  <si>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</si>
  <si>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</si>
  <si>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</si>
  <si>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</si>
  <si>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</si>
  <si>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</si>
  <si>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</si>
  <si>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</si>
  <si>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</si>
  <si>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</si>
  <si>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</si>
  <si>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</si>
  <si>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</si>
  <si>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</si>
  <si>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</si>
  <si>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</si>
  <si>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</si>
  <si>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</si>
  <si>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</si>
  <si>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</si>
  <si>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</si>
  <si>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</si>
  <si>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</si>
  <si>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</si>
  <si>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</si>
  <si>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</si>
  <si>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</si>
  <si>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</si>
  <si>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</si>
  <si>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</si>
  <si>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</si>
  <si>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</si>
  <si>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</si>
  <si>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</si>
  <si>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</si>
  <si>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</si>
  <si>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</si>
  <si>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</si>
  <si>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</si>
  <si>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</si>
  <si>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</si>
  <si>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</si>
  <si>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</si>
  <si>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</si>
  <si>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</si>
  <si>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</si>
  <si>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</si>
  <si>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</si>
  <si>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</si>
  <si>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</si>
  <si>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</si>
  <si>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</si>
  <si>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</si>
  <si>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</si>
  <si>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</si>
  <si>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</si>
  <si>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</si>
  <si>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</si>
  <si>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</si>
  <si>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</si>
  <si>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</si>
  <si>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</si>
  <si>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</si>
  <si>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</si>
  <si>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</si>
  <si>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</si>
  <si>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</si>
  <si>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</si>
  <si>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</si>
  <si>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</si>
  <si>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</si>
  <si>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</si>
  <si>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</si>
  <si>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</si>
  <si>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</si>
  <si>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</si>
  <si>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</si>
  <si>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</si>
  <si>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</si>
  <si>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</si>
  <si>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</si>
  <si>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</si>
  <si>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</si>
  <si>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</si>
  <si>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</si>
  <si>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</si>
  <si>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</si>
  <si>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</si>
  <si>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</si>
  <si>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</si>
  <si>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</si>
  <si>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</si>
  <si>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</si>
  <si>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</si>
  <si>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</si>
  <si>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</si>
  <si>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</si>
  <si>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</si>
  <si>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</si>
  <si>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</si>
  <si>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</si>
  <si>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</si>
  <si>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</si>
  <si>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</si>
  <si>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</si>
  <si>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</si>
  <si>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</si>
  <si>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</si>
  <si>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</si>
  <si>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</si>
  <si>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</si>
  <si>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</si>
  <si>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</si>
  <si>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</si>
  <si>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</si>
  <si>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</si>
  <si>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</si>
  <si>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</si>
  <si>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</si>
  <si>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</si>
  <si>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</si>
  <si>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</si>
  <si>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SI</t>
  </si>
  <si>
    <t>RUT : 77.054.606-0 CORREO: FRANCODONOSO@TOPMOBILI.CL</t>
  </si>
  <si>
    <t>SERVICIO INSTALACION</t>
  </si>
  <si>
    <t>CUB C/R FRENTE 90° R8</t>
  </si>
  <si>
    <t>N° 11320</t>
  </si>
  <si>
    <t>NELSON ARRIAGADA</t>
  </si>
  <si>
    <t>56965753659</t>
  </si>
  <si>
    <t>COLOR MADERA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</si>
</sst>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NUESTRO</a:t>
          </a:r>
          <a:r>
            <a:rPr lang="es-CL" sz="1200" b="1" baseline="0"/>
            <a:t> SERVICIO INSTALACION NO INCLUYE GASFITERIA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DESFONDADOS PARA ENCIMERA Y LAVAPLATOS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9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172</v>
      </c>
      <c r="D10" s="243"/>
      <c r="E10" s="243"/>
      <c r="F10" s="244" t="s">
        <v>0</v>
      </c>
      <c r="G10" s="276">
        <v>45720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167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173</v>
      </c>
      <c r="D15" s="310"/>
      <c r="F15" t="s">
        <v>134</v>
      </c>
      <c r="G15" s="308" t="s">
        <v>167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89352.403100775206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2.5</v>
      </c>
      <c r="E21" s="331">
        <v>0.6</v>
      </c>
      <c r="F21" s="330" t="s">
        <v>174</v>
      </c>
      <c r="G21" s="332">
        <v>143318</v>
      </c>
      <c r="H21" s="332">
        <f>G21*B21</f>
        <v>143318</v>
      </c>
      <c r="I21" s="320"/>
      <c r="J21" s="265"/>
      <c r="K21" s="47"/>
      <c r="L21" s="47">
        <f>B21</f>
        <v>1</v>
      </c>
      <c r="M21" s="39">
        <f>D21+M$19</f>
        <v>2.58</v>
      </c>
      <c r="N21" s="39">
        <f>E21+$N$19</f>
        <v>0.6</v>
      </c>
      <c r="O21" s="261">
        <f t="shared" ref="O21" si="1">M21*N21</f>
        <v>1.548</v>
      </c>
      <c r="P21" s="259">
        <f t="shared" ref="P21" si="2">O21*L21</f>
        <v>1.548</v>
      </c>
      <c r="Q21" s="252">
        <f t="shared" ref="Q21" si="3">Q$20*O21</f>
        <v>138317.52000000002</v>
      </c>
      <c r="R21" s="319">
        <f t="shared" ref="R21" si="4">Q21+R$20</f>
        <v>143317.52000000002</v>
      </c>
      <c r="S21" s="297">
        <f>M21*L21</f>
        <v>2.58</v>
      </c>
      <c r="T21" s="46">
        <f>N21*2*L21*2</f>
        <v>2.4</v>
      </c>
      <c r="U21" s="9"/>
      <c r="X21" s="4"/>
    </row>
    <row r="22" spans="1:25" ht="17.399999999999999" x14ac:dyDescent="0.3">
      <c r="B22" s="330">
        <v>1</v>
      </c>
      <c r="C22" s="330" t="s">
        <v>169</v>
      </c>
      <c r="D22" s="331"/>
      <c r="E22" s="331"/>
      <c r="F22" s="330"/>
      <c r="G22" s="332">
        <v>125000</v>
      </c>
      <c r="H22" s="332">
        <f>G22*B22</f>
        <v>125000</v>
      </c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345"/>
      <c r="C23" s="345"/>
      <c r="D23" s="346"/>
      <c r="E23" s="346"/>
      <c r="F23" s="34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268318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50980.42</v>
      </c>
      <c r="I26" s="322"/>
      <c r="J26" s="265"/>
      <c r="K26" s="47"/>
      <c r="L26" s="47"/>
      <c r="M26" s="39">
        <f>SUM(M21:M21)</f>
        <v>2.58</v>
      </c>
      <c r="N26" s="12"/>
      <c r="O26" s="12"/>
      <c r="P26" s="253">
        <f>SUM(P21:P24)</f>
        <v>1.548</v>
      </c>
      <c r="Q26" s="14"/>
      <c r="R26" s="12"/>
      <c r="S26" s="239">
        <f>SUM(S21:S25)</f>
        <v>2.58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319298.42</v>
      </c>
      <c r="I27" s="322"/>
      <c r="J27" s="265"/>
      <c r="K27" s="47"/>
      <c r="L27" s="47"/>
      <c r="M27" s="39"/>
      <c r="N27" s="12"/>
      <c r="O27" s="12"/>
      <c r="P27" s="253">
        <f>P26</f>
        <v>1.548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0.30960000000000004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1.8576000000000001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1.8576000000000001</v>
      </c>
      <c r="N31" s="12">
        <v>3500</v>
      </c>
      <c r="O31" s="12">
        <f t="shared" ref="O31:O36" si="5">M31*N31</f>
        <v>6501.6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</v>
      </c>
      <c r="N32" s="12">
        <v>25000</v>
      </c>
      <c r="O32" s="12">
        <f t="shared" si="5"/>
        <v>12500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61840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168</v>
      </c>
      <c r="C34"/>
      <c r="D34"/>
      <c r="E34"/>
      <c r="F34"/>
      <c r="J34" s="262"/>
      <c r="K34" s="232"/>
      <c r="L34" s="250"/>
      <c r="M34" s="14">
        <v>1</v>
      </c>
      <c r="N34" s="250">
        <v>40000</v>
      </c>
      <c r="O34" s="12">
        <f t="shared" si="5"/>
        <v>40000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2.58</v>
      </c>
      <c r="N36" s="12">
        <v>1500</v>
      </c>
      <c r="O36" s="12">
        <f t="shared" si="5"/>
        <v>3870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62871.6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138317.52000000002</v>
      </c>
      <c r="P38" s="14" t="s">
        <v>140</v>
      </c>
      <c r="Q38" s="14"/>
      <c r="R38" s="40">
        <f>P29/R37</f>
        <v>0.50086281276962896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31030</v>
      </c>
      <c r="L39" s="250"/>
      <c r="M39" s="14"/>
      <c r="N39" s="12"/>
      <c r="O39" s="12">
        <f>O38/P27</f>
        <v>89352.403100775206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26075.63025210084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45720</v>
      </c>
    </row>
    <row r="6" spans="2:31" ht="16.2" thickBot="1" x14ac:dyDescent="0.35">
      <c r="B6" s="140" t="s">
        <v>2</v>
      </c>
      <c r="C6" s="139" t="str">
        <f>'2229'!C10</f>
        <v>NELSON ARRIAGADA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-31289.851700120769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268318</v>
      </c>
      <c r="E11" s="132">
        <f>D11*0.19</f>
        <v>50980.42</v>
      </c>
      <c r="F11" s="131">
        <f>E11+D11</f>
        <v>319298.42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74700.148299879234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48835.690787439613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56700.148299879234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219482.30921256039</v>
      </c>
      <c r="E13" s="221">
        <f>(D11/D12)-1</f>
        <v>4.4943013126991653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47700.148299879234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8700.1482998792308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80578.889799275363</v>
      </c>
      <c r="F15" s="216">
        <f>E15-D12</f>
        <v>31743.19901183575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8700.1482998792308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48700.148299879234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6501.6</v>
      </c>
      <c r="E20" s="121">
        <f>D20*0.19</f>
        <v>1235.3040000000001</v>
      </c>
      <c r="F20" s="120">
        <f>SUM(D20:E20)</f>
        <v>7736.9040000000005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19001.599999999999</v>
      </c>
      <c r="E21" s="116">
        <f>SUM(E18:E20)</f>
        <v>3610.3040000000001</v>
      </c>
      <c r="F21" s="115">
        <f>SUM(F18:F20)</f>
        <v>22611.904000000002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47370.115999999995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268318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19001.599999999999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219482.30921256039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219482.30921256039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2025-03-04T21:16:47Z</dcterms:modified>
</cp:coreProperties>
</file>