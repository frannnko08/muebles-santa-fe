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0C92DF5E-2B5A-47A0-A9BE-38D41F65B0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4" i="1"/>
  <c r="L24" i="1"/>
  <c r="H23" i="1"/>
  <c r="L22" i="1"/>
  <c r="M22" i="1"/>
  <c r="O22" i="1" s="1"/>
  <c r="P22" i="1" s="1"/>
  <c r="N22" i="1"/>
  <c r="L23" i="1"/>
  <c r="M23" i="1"/>
  <c r="N23" i="1"/>
  <c r="O23" i="1" s="1"/>
  <c r="P23" i="1" s="1"/>
  <c r="S23" i="1"/>
  <c r="H22" i="1"/>
  <c r="S22" i="1" l="1"/>
  <c r="H25" i="1"/>
  <c r="H26" i="1"/>
  <c r="L21" i="1"/>
  <c r="N21" i="1"/>
  <c r="M21" i="1" l="1"/>
  <c r="M29" i="1" s="1"/>
  <c r="S21" i="1" l="1"/>
  <c r="S29" i="1" s="1"/>
  <c r="T21" i="1"/>
  <c r="T28" i="1" s="1"/>
  <c r="O21" i="1"/>
  <c r="P21" i="1" s="1"/>
  <c r="P29" i="1" s="1"/>
  <c r="K43" i="1"/>
  <c r="V36" i="1" l="1"/>
  <c r="V37" i="1" s="1"/>
  <c r="O35" i="1" l="1"/>
  <c r="P30" i="1" l="1"/>
  <c r="N20" i="1"/>
  <c r="L20" i="1"/>
  <c r="P31" i="1" l="1"/>
  <c r="P32" i="1" s="1"/>
  <c r="M34" i="1" s="1"/>
  <c r="O36" i="1"/>
  <c r="R40" i="1"/>
  <c r="R41" i="1" l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O41" i="1" s="1"/>
  <c r="O42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Q23" i="1"/>
  <c r="R23" i="1" s="1"/>
  <c r="O43" i="1"/>
  <c r="E15" i="3"/>
  <c r="Q21" i="1" l="1"/>
  <c r="F15" i="3"/>
  <c r="R21" i="1" l="1"/>
  <c r="H21" i="1" l="1"/>
  <c r="D11" i="3" l="1"/>
  <c r="X9" i="3" s="1"/>
  <c r="X15" i="3" s="1"/>
  <c r="H30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<sst xmlns="http://schemas.openxmlformats.org/spreadsheetml/2006/main" count="238" uniqueCount="180">
  <si>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</si>
  <si>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</si>
  <si>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</si>
  <si>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</si>
  <si>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</si>
  <si>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</si>
  <si>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</si>
  <si>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</si>
  <si>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</si>
  <si>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</si>
  <si>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</si>
  <si>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</si>
  <si>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</si>
  <si>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</si>
  <si>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</si>
  <si>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</si>
  <si>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</si>
  <si>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</si>
  <si>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</si>
  <si>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</si>
  <si>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</si>
  <si>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</si>
  <si>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</si>
  <si>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</si>
  <si>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</si>
  <si>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</si>
  <si>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</si>
  <si>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</si>
  <si>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</si>
  <si>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</si>
  <si>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</si>
  <si>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</si>
  <si>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</si>
  <si>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</si>
  <si>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</si>
  <si>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</si>
  <si>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</si>
  <si>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</si>
  <si>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</si>
  <si>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</si>
  <si>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</si>
  <si>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</si>
  <si>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</si>
  <si>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</si>
  <si>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</si>
  <si>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</si>
  <si>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</si>
  <si>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</si>
  <si>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</si>
  <si>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</si>
  <si>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</si>
  <si>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</si>
  <si>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</si>
  <si>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</si>
  <si>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</si>
  <si>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</si>
  <si>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</si>
  <si>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</si>
  <si>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</si>
  <si>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</si>
  <si>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</si>
  <si>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</si>
  <si>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</si>
  <si>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</si>
  <si>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</si>
  <si>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</si>
  <si>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</si>
  <si>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</si>
  <si>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</si>
  <si>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</si>
  <si>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</si>
  <si>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</si>
  <si>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</si>
  <si>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</si>
  <si>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</si>
  <si>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</si>
  <si>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</si>
  <si>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</si>
  <si>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</si>
  <si>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</si>
  <si>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</si>
  <si>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</si>
  <si>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</si>
  <si>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</si>
  <si>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</si>
  <si>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</si>
  <si>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</si>
  <si>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</si>
  <si>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</si>
  <si>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</si>
  <si>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</si>
  <si>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</si>
  <si>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</si>
  <si>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</si>
  <si>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</si>
  <si>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</si>
  <si>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</si>
  <si>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</si>
  <si>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</si>
  <si>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</si>
  <si>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</si>
  <si>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</si>
  <si>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</si>
  <si>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</si>
  <si>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</si>
  <si>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</si>
  <si>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</si>
  <si>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</si>
  <si>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</si>
  <si>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</si>
  <si>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</si>
  <si>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</si>
  <si>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</si>
  <si>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</si>
  <si>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</si>
  <si>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</si>
  <si>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</si>
  <si>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</si>
  <si>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</si>
  <si>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</si>
  <si>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</si>
  <si>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</si>
  <si>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</si>
  <si>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</si>
  <si>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</si>
  <si>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</si>
  <si>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</si>
  <si>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</si>
  <si>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</si>
  <si>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</si>
  <si>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</si>
  <si>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</si>
  <si>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</si>
  <si>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</si>
  <si>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</si>
  <si>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</si>
  <si>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</si>
  <si>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</si>
  <si>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</si>
  <si>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</si>
  <si>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</si>
  <si>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</si>
  <si>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</si>
  <si>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</si>
  <si>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</si>
  <si>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</si>
  <si>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</si>
  <si>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</si>
  <si>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</si>
  <si>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</si>
  <si>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</si>
  <si>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</si>
  <si>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</si>
  <si>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</si>
  <si>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</si>
  <si>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</si>
  <si>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</si>
  <si>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</si>
  <si>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</si>
  <si>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</si>
  <si>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</si>
  <si>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</si>
  <si>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</si>
  <si>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</si>
  <si>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</si>
  <si>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</si>
  <si>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</si>
  <si>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SI</t>
  </si>
  <si>
    <t>RUT : 77.054.606-0 CORREO: FRANCODONOSO@TOPMOBILI.CL</t>
  </si>
  <si>
    <t>N° 11319</t>
  </si>
  <si>
    <t>KAREN GAETE</t>
  </si>
  <si>
    <t>56950162158</t>
  </si>
  <si>
    <t>SERVICIO INSTALACION</t>
  </si>
  <si>
    <t>ROSARIO SUR 234 LAS CONDES</t>
  </si>
  <si>
    <t>MUEBLE CAMPANA POR MEDIR</t>
  </si>
  <si>
    <t>CLOUD TERRAZO 40001 GLT</t>
  </si>
  <si>
    <t>CUB C/R FRENTE 90° R6</t>
  </si>
  <si>
    <t>CUB MESA 90 ° R6 3 LADOS</t>
  </si>
  <si>
    <t>MELAMINA BLANCA 18MM</t>
  </si>
  <si>
    <t>REPISAS MUEBLE AEREO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</si>
</sst>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27</xdr:row>
      <xdr:rowOff>9525</xdr:rowOff>
    </xdr:from>
    <xdr:to>
      <xdr:col>5</xdr:col>
      <xdr:colOff>1728839</xdr:colOff>
      <xdr:row>30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NUESTRO</a:t>
          </a:r>
          <a:r>
            <a:rPr lang="es-CL" sz="1200" b="1" baseline="0"/>
            <a:t> SERVICIO INSTALACION NO INCLUYE GASFITERIA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INCLUYE DESFONDADOS PARA ENCIMERA Y LAVAPLATOS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7" zoomScale="93" zoomScaleNormal="93" workbookViewId="0">
      <selection activeCell="I27" sqref="I27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170</v>
      </c>
      <c r="D10" s="243"/>
      <c r="E10" s="243"/>
      <c r="F10" s="244" t="s">
        <v>0</v>
      </c>
      <c r="G10" s="276">
        <v>45720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167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167</v>
      </c>
      <c r="H15" s="289"/>
    </row>
    <row r="16" spans="2:24" ht="16.8" x14ac:dyDescent="0.4">
      <c r="B16" s="316" t="s">
        <v>3</v>
      </c>
      <c r="C16" s="306" t="s">
        <v>173</v>
      </c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O42</f>
        <v>62101.092584732913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176</v>
      </c>
      <c r="D21" s="331">
        <v>2.2759999999999998</v>
      </c>
      <c r="E21" s="331">
        <v>0.6</v>
      </c>
      <c r="F21" s="330" t="s">
        <v>175</v>
      </c>
      <c r="G21" s="332">
        <v>91852</v>
      </c>
      <c r="H21" s="332">
        <f>G21*B21</f>
        <v>91852</v>
      </c>
      <c r="I21" s="320"/>
      <c r="J21" s="265"/>
      <c r="K21" s="47"/>
      <c r="L21" s="47">
        <f>B21</f>
        <v>1</v>
      </c>
      <c r="M21" s="39">
        <f>D21+M$19</f>
        <v>2.3559999999999999</v>
      </c>
      <c r="N21" s="39">
        <f>E21+$N$19</f>
        <v>0.6</v>
      </c>
      <c r="O21" s="261">
        <f t="shared" ref="O21" si="1">M21*N21</f>
        <v>1.4136</v>
      </c>
      <c r="P21" s="259">
        <f t="shared" ref="P21" si="2">O21*L21</f>
        <v>1.4136</v>
      </c>
      <c r="Q21" s="252">
        <f t="shared" ref="Q21" si="3">Q$20*O21</f>
        <v>87786.104477778441</v>
      </c>
      <c r="R21" s="319">
        <f t="shared" ref="R21" si="4">Q21+R$20</f>
        <v>92786.104477778441</v>
      </c>
      <c r="S21" s="297">
        <f>M21*L21</f>
        <v>2.3559999999999999</v>
      </c>
      <c r="T21" s="46">
        <f>N21*2*L21*2</f>
        <v>2.4</v>
      </c>
      <c r="U21" s="9"/>
      <c r="X21" s="4"/>
    </row>
    <row r="22" spans="2:25" ht="17.399999999999999" x14ac:dyDescent="0.3">
      <c r="B22" s="330">
        <v>1</v>
      </c>
      <c r="C22" s="330" t="s">
        <v>176</v>
      </c>
      <c r="D22" s="331">
        <v>3.02</v>
      </c>
      <c r="E22" s="331">
        <v>0.45</v>
      </c>
      <c r="F22" s="330" t="s">
        <v>175</v>
      </c>
      <c r="G22" s="332">
        <v>92162</v>
      </c>
      <c r="H22" s="332">
        <f>G22*B22</f>
        <v>92162</v>
      </c>
      <c r="I22" s="320"/>
      <c r="J22" s="265"/>
      <c r="K22" s="47"/>
      <c r="L22" s="47">
        <f t="shared" ref="L22:L24" si="5">B22</f>
        <v>1</v>
      </c>
      <c r="M22" s="39">
        <f t="shared" ref="M22:M23" si="6">D22+M$19</f>
        <v>3.1</v>
      </c>
      <c r="N22" s="39">
        <f t="shared" ref="N22:N23" si="7">E22+$N$19</f>
        <v>0.45</v>
      </c>
      <c r="O22" s="261">
        <f t="shared" ref="O22:O23" si="8">M22*N22</f>
        <v>1.395</v>
      </c>
      <c r="P22" s="259">
        <f t="shared" ref="P22:P23" si="9">O22*L22</f>
        <v>1.395</v>
      </c>
      <c r="Q22" s="252">
        <f t="shared" ref="Q22:Q23" si="10">Q$20*O22</f>
        <v>86631.024155702413</v>
      </c>
      <c r="R22" s="319">
        <f t="shared" ref="R22:R23" si="11">Q22+R$20</f>
        <v>91631.024155702413</v>
      </c>
      <c r="S22" s="297">
        <f t="shared" ref="S22:S23" si="12">M22*L22</f>
        <v>3.1</v>
      </c>
      <c r="T22" s="46"/>
      <c r="U22" s="9"/>
      <c r="X22" s="4"/>
    </row>
    <row r="23" spans="2:25" ht="17.399999999999999" x14ac:dyDescent="0.3">
      <c r="B23" s="330">
        <v>1</v>
      </c>
      <c r="C23" s="330" t="s">
        <v>177</v>
      </c>
      <c r="D23" s="331">
        <v>0.9</v>
      </c>
      <c r="E23" s="331">
        <v>0.5</v>
      </c>
      <c r="F23" s="330" t="s">
        <v>175</v>
      </c>
      <c r="G23" s="332">
        <v>35616</v>
      </c>
      <c r="H23" s="332">
        <f>G23*B23</f>
        <v>35616</v>
      </c>
      <c r="I23" s="320"/>
      <c r="J23" s="265"/>
      <c r="K23" s="47"/>
      <c r="L23" s="47">
        <f t="shared" si="5"/>
        <v>1</v>
      </c>
      <c r="M23" s="39">
        <f t="shared" si="6"/>
        <v>0.98</v>
      </c>
      <c r="N23" s="39">
        <f t="shared" si="7"/>
        <v>0.5</v>
      </c>
      <c r="O23" s="261">
        <f t="shared" si="8"/>
        <v>0.49</v>
      </c>
      <c r="P23" s="259">
        <f t="shared" si="9"/>
        <v>0.49</v>
      </c>
      <c r="Q23" s="252">
        <f t="shared" si="10"/>
        <v>30429.535366519125</v>
      </c>
      <c r="R23" s="319">
        <f t="shared" si="11"/>
        <v>35429.535366519121</v>
      </c>
      <c r="S23" s="297">
        <f t="shared" si="12"/>
        <v>0.98</v>
      </c>
      <c r="T23" s="46"/>
      <c r="U23" s="9"/>
      <c r="X23" s="4"/>
    </row>
    <row r="24" spans="2:25" ht="17.399999999999999" x14ac:dyDescent="0.3">
      <c r="B24" s="330">
        <v>2</v>
      </c>
      <c r="C24" s="330" t="s">
        <v>179</v>
      </c>
      <c r="D24" s="331">
        <v>0.82</v>
      </c>
      <c r="E24" s="331">
        <v>0.32</v>
      </c>
      <c r="F24" s="330" t="s">
        <v>178</v>
      </c>
      <c r="G24" s="332">
        <v>7500</v>
      </c>
      <c r="H24" s="332">
        <f>G24*B24</f>
        <v>15000</v>
      </c>
      <c r="I24" s="320"/>
      <c r="J24" s="265"/>
      <c r="K24" s="47"/>
      <c r="L24" s="47">
        <f t="shared" si="5"/>
        <v>2</v>
      </c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7.399999999999999" x14ac:dyDescent="0.3">
      <c r="B25" s="330">
        <v>1</v>
      </c>
      <c r="C25" s="330" t="s">
        <v>172</v>
      </c>
      <c r="D25" s="331"/>
      <c r="E25" s="331"/>
      <c r="F25" s="330"/>
      <c r="G25" s="332">
        <v>150000</v>
      </c>
      <c r="H25" s="332">
        <f t="shared" ref="H25:H26" si="13">G25*B25</f>
        <v>150000</v>
      </c>
      <c r="I25" s="320"/>
      <c r="J25" s="265"/>
      <c r="K25" s="47"/>
      <c r="L25" s="47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7.399999999999999" x14ac:dyDescent="0.3">
      <c r="B26" s="330">
        <v>1</v>
      </c>
      <c r="C26" s="330" t="s">
        <v>174</v>
      </c>
      <c r="D26" s="331"/>
      <c r="E26" s="331"/>
      <c r="F26" s="330"/>
      <c r="G26" s="332">
        <v>65000</v>
      </c>
      <c r="H26" s="332">
        <f t="shared" si="13"/>
        <v>65000</v>
      </c>
      <c r="I26" s="320"/>
      <c r="J26" s="265"/>
      <c r="K26" s="47"/>
      <c r="L26" s="47"/>
      <c r="M26" s="39"/>
      <c r="N26" s="39"/>
      <c r="O26" s="261"/>
      <c r="P26" s="259"/>
      <c r="Q26" s="252"/>
      <c r="R26" s="319"/>
      <c r="S26" s="297"/>
      <c r="T26" s="46"/>
      <c r="U26" s="9"/>
      <c r="X26" s="4"/>
    </row>
    <row r="27" spans="2:25" ht="18" thickBot="1" x14ac:dyDescent="0.35">
      <c r="B27" s="285"/>
      <c r="C27" s="285"/>
      <c r="D27" s="286"/>
      <c r="E27" s="286"/>
      <c r="F27" s="285"/>
      <c r="G27" s="265"/>
      <c r="H27" s="321"/>
      <c r="I27" s="323"/>
      <c r="J27" s="233"/>
      <c r="K27" s="47"/>
      <c r="L27" s="47"/>
      <c r="M27" s="39"/>
      <c r="N27" s="39"/>
      <c r="O27" s="261"/>
      <c r="P27" s="259"/>
      <c r="Q27" s="252"/>
      <c r="R27" s="258"/>
      <c r="S27" s="297"/>
      <c r="T27" s="14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24" t="s">
        <v>28</v>
      </c>
      <c r="H28" s="325">
        <f>SUM(H21:H27)</f>
        <v>449630</v>
      </c>
      <c r="I28" s="322"/>
      <c r="J28" s="265"/>
      <c r="K28" s="47">
        <v>2600000</v>
      </c>
      <c r="L28" s="47"/>
      <c r="M28" s="39"/>
      <c r="N28" s="39"/>
      <c r="O28" s="261"/>
      <c r="P28" s="259"/>
      <c r="Q28" s="252"/>
      <c r="R28" s="258"/>
      <c r="S28" s="297"/>
      <c r="T28" s="46">
        <f>SUM(T21:T27)</f>
        <v>2.4</v>
      </c>
      <c r="U28" s="9"/>
      <c r="X28" s="4"/>
    </row>
    <row r="29" spans="2:25" ht="17.399999999999999" x14ac:dyDescent="0.3">
      <c r="B29" s="279"/>
      <c r="C29" s="282"/>
      <c r="D29" s="283"/>
      <c r="E29" s="283"/>
      <c r="F29" s="284"/>
      <c r="G29" s="296" t="s">
        <v>51</v>
      </c>
      <c r="H29" s="294"/>
      <c r="I29" s="322"/>
      <c r="J29" s="265"/>
      <c r="K29" s="47"/>
      <c r="L29" s="47"/>
      <c r="M29" s="39">
        <f>SUM(M21:M22)</f>
        <v>5.4559999999999995</v>
      </c>
      <c r="N29" s="12"/>
      <c r="O29" s="12"/>
      <c r="P29" s="253">
        <f>SUM(P21:P27)</f>
        <v>3.2986000000000004</v>
      </c>
      <c r="Q29" s="14"/>
      <c r="R29" s="12"/>
      <c r="S29" s="239">
        <f>SUM(S21:S28)</f>
        <v>6.4359999999999999</v>
      </c>
      <c r="T29" s="46"/>
      <c r="U29" s="9"/>
      <c r="X29" s="4"/>
    </row>
    <row r="30" spans="2:25" ht="18" thickBot="1" x14ac:dyDescent="0.35">
      <c r="B30" s="275"/>
      <c r="C30" s="281"/>
      <c r="D30" s="272"/>
      <c r="E30" s="272"/>
      <c r="F30" s="273"/>
      <c r="G30" s="280" t="s">
        <v>6</v>
      </c>
      <c r="H30" s="295">
        <f>H28+H29</f>
        <v>449630</v>
      </c>
      <c r="I30" s="322"/>
      <c r="J30" s="265"/>
      <c r="K30" s="47"/>
      <c r="L30" s="47"/>
      <c r="M30" s="39"/>
      <c r="N30" s="12"/>
      <c r="O30" s="12"/>
      <c r="P30" s="253">
        <f>P29</f>
        <v>3.2986000000000004</v>
      </c>
      <c r="Q30" s="14"/>
      <c r="R30" s="12"/>
      <c r="S30" s="239"/>
      <c r="T30" s="46"/>
      <c r="U30" s="9"/>
      <c r="X30" s="4"/>
    </row>
    <row r="31" spans="2:25" ht="17.399999999999999" x14ac:dyDescent="0.3">
      <c r="B31" s="275"/>
      <c r="C31" s="271"/>
      <c r="D31" s="272"/>
      <c r="E31" s="272"/>
      <c r="F31" s="273"/>
      <c r="J31" s="265"/>
      <c r="K31" s="47"/>
      <c r="L31" s="47"/>
      <c r="M31" s="14"/>
      <c r="N31" s="12"/>
      <c r="O31" s="12"/>
      <c r="P31" s="39">
        <f>P30*20%</f>
        <v>0.65972000000000008</v>
      </c>
      <c r="Q31" s="39" t="s">
        <v>130</v>
      </c>
      <c r="R31" s="42"/>
      <c r="S31" s="240"/>
      <c r="T31" s="14"/>
      <c r="U31" s="9"/>
      <c r="X31" s="4"/>
    </row>
    <row r="32" spans="2:25" ht="17.399999999999999" x14ac:dyDescent="0.35">
      <c r="B32" s="269"/>
      <c r="C32" s="230"/>
      <c r="D32" s="230"/>
      <c r="E32" s="233"/>
      <c r="F32" s="234"/>
      <c r="G32" s="230"/>
      <c r="H32" s="274"/>
      <c r="I32" s="274"/>
      <c r="J32" s="265"/>
      <c r="K32" s="47"/>
      <c r="L32" s="47"/>
      <c r="M32" s="14"/>
      <c r="N32" s="12"/>
      <c r="O32" s="12"/>
      <c r="P32" s="46">
        <f>P30+P31</f>
        <v>3.9583200000000005</v>
      </c>
      <c r="Q32" s="14"/>
      <c r="R32" s="14"/>
      <c r="S32" s="238"/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4"/>
      <c r="J33" s="265"/>
      <c r="K33" s="47"/>
      <c r="L33" s="47"/>
      <c r="M33" s="14"/>
      <c r="N33" s="14"/>
      <c r="O33" s="14"/>
      <c r="P33" s="14"/>
      <c r="Q33" s="14"/>
      <c r="R33" s="14"/>
      <c r="S33" s="240"/>
      <c r="T33" s="14"/>
      <c r="U33" s="302" t="s">
        <v>21</v>
      </c>
      <c r="V33" s="299" t="s">
        <v>151</v>
      </c>
      <c r="W33" s="303">
        <v>44971</v>
      </c>
      <c r="X33" s="304"/>
    </row>
    <row r="34" spans="1:24" ht="17.399999999999999" x14ac:dyDescent="0.35">
      <c r="B34" s="230"/>
      <c r="C34" s="230"/>
      <c r="D34" s="230"/>
      <c r="E34" s="230"/>
      <c r="F34" s="230"/>
      <c r="G34" s="230"/>
      <c r="J34" s="265"/>
      <c r="K34" s="47"/>
      <c r="L34" s="47"/>
      <c r="M34" s="39">
        <f>P32</f>
        <v>3.9583200000000005</v>
      </c>
      <c r="N34" s="12">
        <v>3500</v>
      </c>
      <c r="O34" s="12">
        <f t="shared" ref="O34:O39" si="14">M34*N34</f>
        <v>13854.120000000003</v>
      </c>
      <c r="P34" s="14" t="s">
        <v>21</v>
      </c>
      <c r="Q34" s="14"/>
      <c r="R34" s="14"/>
      <c r="S34" s="241"/>
      <c r="T34" s="14"/>
      <c r="U34" s="302" t="s">
        <v>152</v>
      </c>
      <c r="V34" s="299">
        <v>3625</v>
      </c>
      <c r="W34" s="59" t="s">
        <v>153</v>
      </c>
      <c r="X34" s="304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5"/>
      <c r="K35" s="47"/>
      <c r="L35" s="47"/>
      <c r="M35" s="249">
        <v>1</v>
      </c>
      <c r="N35" s="12">
        <v>25000</v>
      </c>
      <c r="O35" s="12">
        <f t="shared" si="14"/>
        <v>25000</v>
      </c>
      <c r="P35" s="39" t="s">
        <v>31</v>
      </c>
      <c r="Q35" s="42"/>
      <c r="R35" s="14"/>
      <c r="S35" s="240"/>
      <c r="T35" s="14"/>
      <c r="U35" s="302"/>
      <c r="V35" s="59">
        <v>906.25</v>
      </c>
      <c r="W35" s="59" t="s">
        <v>154</v>
      </c>
      <c r="X35" s="304"/>
    </row>
    <row r="36" spans="1:24" s="230" customFormat="1" ht="17.399999999999999" x14ac:dyDescent="0.35">
      <c r="B36" s="24" t="s">
        <v>150</v>
      </c>
      <c r="J36" s="262"/>
      <c r="K36" s="232"/>
      <c r="L36" s="250"/>
      <c r="M36" s="14"/>
      <c r="N36" s="250">
        <v>61840</v>
      </c>
      <c r="O36" s="12">
        <f t="shared" si="14"/>
        <v>0</v>
      </c>
      <c r="P36" s="39" t="s">
        <v>30</v>
      </c>
      <c r="Q36" s="42"/>
      <c r="S36" s="240"/>
      <c r="T36" s="256"/>
      <c r="U36" s="59"/>
      <c r="V36" s="59">
        <f>V35*20%</f>
        <v>181.25</v>
      </c>
      <c r="W36" s="304" t="s">
        <v>155</v>
      </c>
      <c r="X36" s="59"/>
    </row>
    <row r="37" spans="1:24" s="230" customFormat="1" ht="17.399999999999999" x14ac:dyDescent="0.35">
      <c r="B37" s="24" t="s">
        <v>168</v>
      </c>
      <c r="C37"/>
      <c r="D37"/>
      <c r="E37"/>
      <c r="F37"/>
      <c r="J37" s="262"/>
      <c r="K37" s="232"/>
      <c r="L37" s="250"/>
      <c r="M37" s="14">
        <v>1</v>
      </c>
      <c r="N37" s="250">
        <v>46074</v>
      </c>
      <c r="O37" s="12">
        <f t="shared" si="14"/>
        <v>46074</v>
      </c>
      <c r="P37" s="14" t="s">
        <v>141</v>
      </c>
      <c r="Q37" s="17"/>
      <c r="S37" s="238"/>
      <c r="T37" s="256"/>
      <c r="U37" s="59"/>
      <c r="V37" s="59">
        <f>V35+V36</f>
        <v>1087.5</v>
      </c>
      <c r="W37" s="304" t="s">
        <v>156</v>
      </c>
      <c r="X37" s="59"/>
    </row>
    <row r="38" spans="1:24" s="230" customFormat="1" ht="17.399999999999999" x14ac:dyDescent="0.35">
      <c r="B38" s="29" t="s">
        <v>125</v>
      </c>
      <c r="C38"/>
      <c r="D38"/>
      <c r="E38"/>
      <c r="F38" s="229" t="s">
        <v>15</v>
      </c>
      <c r="J38" s="262"/>
      <c r="K38" s="260"/>
      <c r="L38" s="250"/>
      <c r="M38" s="249"/>
      <c r="N38" s="250">
        <v>900</v>
      </c>
      <c r="O38" s="12">
        <f t="shared" si="14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93"/>
      <c r="K39" s="260"/>
      <c r="L39" s="250"/>
      <c r="M39" s="266">
        <v>5.4560000000000004</v>
      </c>
      <c r="N39" s="12">
        <v>1500</v>
      </c>
      <c r="O39" s="12">
        <f t="shared" si="14"/>
        <v>8184.0000000000009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60"/>
      <c r="L40" s="250"/>
      <c r="M40" s="14"/>
      <c r="N40" s="12"/>
      <c r="O40" s="12">
        <f>SUM(O34:O39)</f>
        <v>93112.12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50"/>
      <c r="M41" s="254" t="s">
        <v>33</v>
      </c>
      <c r="N41" s="12"/>
      <c r="O41" s="255">
        <f>O40*2.2</f>
        <v>204846.66400000002</v>
      </c>
      <c r="P41" s="14" t="s">
        <v>140</v>
      </c>
      <c r="Q41" s="14"/>
      <c r="R41" s="40">
        <f>P32/R40</f>
        <v>1.0672778257118207</v>
      </c>
      <c r="S41"/>
      <c r="T41" s="257"/>
    </row>
    <row r="42" spans="1:24" s="230" customFormat="1" ht="17.399999999999999" x14ac:dyDescent="0.35">
      <c r="G42"/>
      <c r="H42" s="260"/>
      <c r="I42" s="260"/>
      <c r="J42" s="260"/>
      <c r="K42" s="230">
        <v>31030</v>
      </c>
      <c r="L42" s="250"/>
      <c r="M42" s="14"/>
      <c r="N42" s="12"/>
      <c r="O42" s="12">
        <f>O41/P30</f>
        <v>62101.092584732913</v>
      </c>
      <c r="P42" s="45" t="s">
        <v>24</v>
      </c>
      <c r="Q42" s="14"/>
      <c r="R42" s="14"/>
      <c r="S42"/>
      <c r="T42" s="238"/>
      <c r="U42" s="59" t="s">
        <v>157</v>
      </c>
      <c r="V42" s="299">
        <v>43650</v>
      </c>
    </row>
    <row r="43" spans="1:24" s="230" customFormat="1" ht="17.399999999999999" x14ac:dyDescent="0.35">
      <c r="G43"/>
      <c r="K43" s="230">
        <f>K42/1.19</f>
        <v>26075.63025210084</v>
      </c>
      <c r="L43" s="250"/>
      <c r="M43" s="13"/>
      <c r="N43" s="14"/>
      <c r="O43" s="17">
        <f>O41/O40</f>
        <v>2.2000000000000002</v>
      </c>
      <c r="P43" s="15"/>
      <c r="Q43"/>
      <c r="R43"/>
      <c r="S43"/>
      <c r="T43" s="238"/>
      <c r="U43" s="59" t="s">
        <v>159</v>
      </c>
      <c r="V43" s="300" t="s">
        <v>158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160</v>
      </c>
      <c r="V44" s="301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155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50"/>
    </row>
    <row r="48" spans="1:24" x14ac:dyDescent="0.3">
      <c r="L48" s="250"/>
      <c r="T48" s="270"/>
    </row>
    <row r="49" spans="12:20" x14ac:dyDescent="0.3">
      <c r="L49" s="250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147</v>
      </c>
    </row>
    <row r="78" spans="3:15" x14ac:dyDescent="0.3">
      <c r="C78" t="s">
        <v>146</v>
      </c>
    </row>
    <row r="81" spans="3:3" x14ac:dyDescent="0.3">
      <c r="C81" t="s">
        <v>146</v>
      </c>
    </row>
    <row r="158" spans="3:3" x14ac:dyDescent="0.3">
      <c r="C158" t="s">
        <v>146</v>
      </c>
    </row>
    <row r="159" spans="3:3" x14ac:dyDescent="0.3">
      <c r="C159" t="s">
        <v>148</v>
      </c>
    </row>
    <row r="160" spans="3:3" x14ac:dyDescent="0.3">
      <c r="C160" t="s">
        <v>149</v>
      </c>
    </row>
    <row r="585" spans="3:3" x14ac:dyDescent="0.3">
      <c r="C585" t="s">
        <v>146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KAREN GAETE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-56049.075366787438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449630</v>
      </c>
      <c r="E11" s="132">
        <f>D11*0.19</f>
        <v>85429.7</v>
      </c>
      <c r="F11" s="131">
        <f>E11+D11</f>
        <v>535059.69999999995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49940.924633212562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68688.210787439617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31940.924633212562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380941.7892125604</v>
      </c>
      <c r="E13" s="221">
        <f>(D11/D12)-1</f>
        <v>5.5459559194431618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22940.924633212562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-16059.075366787438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113335.54779927536</v>
      </c>
      <c r="F15" s="216">
        <f>E15-D12</f>
        <v>44647.337011835742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-16059.075366787438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23940.924633212562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13854.120000000003</v>
      </c>
      <c r="E20" s="121">
        <f>D20*0.19</f>
        <v>2632.2828000000004</v>
      </c>
      <c r="F20" s="120">
        <f>SUM(D20:E20)</f>
        <v>16486.402800000003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38854.120000000003</v>
      </c>
      <c r="E21" s="116">
        <f>SUM(E18:E20)</f>
        <v>7382.2828000000009</v>
      </c>
      <c r="F21" s="115">
        <f>SUM(F18:F20)</f>
        <v>46236.402800000003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78047.417199999996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449630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38854.120000000003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380941.7892125604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380941.7892125604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2025-03-05T17:25:30Z</cp:lastPrinted>
  <dcterms:created xsi:type="dcterms:W3CDTF">2013-03-18T13:35:42Z</dcterms:created>
  <dcterms:modified xsi:type="dcterms:W3CDTF">2025-03-06T21:46:47Z</dcterms:modified>
</cp:coreProperties>
</file>