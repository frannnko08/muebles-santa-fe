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5B6E8451-63CE-4687-B4BA-5F1C3C47A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4" i="1"/>
  <c r="R24" i="1" s="1"/>
  <c r="M24" i="1"/>
  <c r="N24" i="1"/>
  <c r="O24" i="1" s="1"/>
  <c r="K25" i="1"/>
  <c r="L25" i="1"/>
  <c r="N25" i="1" s="1"/>
  <c r="O25" i="1" s="1"/>
  <c r="M25" i="1"/>
  <c r="K26" i="1"/>
  <c r="L26" i="1"/>
  <c r="N26" i="1" s="1"/>
  <c r="O26" i="1" s="1"/>
  <c r="M26" i="1"/>
  <c r="R26" i="1"/>
  <c r="K27" i="1"/>
  <c r="L27" i="1"/>
  <c r="M27" i="1"/>
  <c r="N27" i="1"/>
  <c r="O27" i="1" s="1"/>
  <c r="R27" i="1"/>
  <c r="K28" i="1"/>
  <c r="L28" i="1"/>
  <c r="R28" i="1" s="1"/>
  <c r="M28" i="1"/>
  <c r="N28" i="1"/>
  <c r="O28" i="1" s="1"/>
  <c r="K29" i="1"/>
  <c r="L29" i="1"/>
  <c r="N29" i="1" s="1"/>
  <c r="O29" i="1" s="1"/>
  <c r="M29" i="1"/>
  <c r="H22" i="1"/>
  <c r="H23" i="1"/>
  <c r="H24" i="1"/>
  <c r="H25" i="1"/>
  <c r="H26" i="1"/>
  <c r="H27" i="1"/>
  <c r="H28" i="1"/>
  <c r="H29" i="1"/>
  <c r="K22" i="1"/>
  <c r="L22" i="1"/>
  <c r="M22" i="1"/>
  <c r="K23" i="1"/>
  <c r="L23" i="1"/>
  <c r="M23" i="1"/>
  <c r="J46" i="1"/>
  <c r="K21" i="1"/>
  <c r="N41" i="1"/>
  <c r="R29" i="1" l="1"/>
  <c r="R25" i="1"/>
  <c r="R22" i="1"/>
  <c r="N23" i="1"/>
  <c r="O23" i="1" s="1"/>
  <c r="N22" i="1"/>
  <c r="O22" i="1" s="1"/>
  <c r="R23" i="1"/>
  <c r="N40" i="1"/>
  <c r="N42" i="1"/>
  <c r="N43" i="1"/>
  <c r="L21" i="1" l="1"/>
  <c r="L32" i="1" s="1"/>
  <c r="M21" i="1"/>
  <c r="S21" i="1" l="1"/>
  <c r="S32" i="1" s="1"/>
  <c r="S33" i="1" s="1"/>
  <c r="S34" i="1" s="1"/>
  <c r="R21" i="1"/>
  <c r="R34" i="1" s="1"/>
  <c r="N21" i="1"/>
  <c r="O21" i="1" s="1"/>
  <c r="O33" i="1" s="1"/>
  <c r="U40" i="1"/>
  <c r="U41" i="1" s="1"/>
  <c r="N39" i="1" l="1"/>
  <c r="O34" i="1" l="1"/>
  <c r="O35" i="1" s="1"/>
  <c r="O36" i="1" s="1"/>
  <c r="L38" i="1" s="1"/>
  <c r="M20" i="1"/>
  <c r="K20" i="1"/>
  <c r="Q4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8" i="1" l="1"/>
  <c r="N44" i="1" s="1"/>
  <c r="N45" i="1" s="1"/>
  <c r="Q45" i="1"/>
  <c r="D20" i="3" l="1"/>
  <c r="E20" i="3" s="1"/>
  <c r="E21" i="3" s="1"/>
  <c r="N46" i="1" l="1"/>
  <c r="D21" i="3"/>
  <c r="M43" i="3" s="1"/>
  <c r="D12" i="3" s="1"/>
  <c r="F20" i="3"/>
  <c r="F21" i="3" s="1"/>
  <c r="N47" i="1" l="1"/>
  <c r="P20" i="1"/>
  <c r="E15" i="3"/>
  <c r="P24" i="1" l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22" i="1"/>
  <c r="Q22" i="1" s="1"/>
  <c r="P23" i="1"/>
  <c r="Q23" i="1" s="1"/>
  <c r="P21" i="1"/>
  <c r="F15" i="3"/>
  <c r="Q21" i="1" l="1"/>
  <c r="H21" i="1" l="1"/>
  <c r="H32" i="1" s="1"/>
  <c r="H34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<sst xmlns="http://schemas.openxmlformats.org/spreadsheetml/2006/main" count="245" uniqueCount="174">
  <si>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</si>
  <si>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</si>
  <si>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</si>
  <si>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</si>
  <si>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</si>
  <si>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</si>
  <si>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</si>
  <si>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</si>
  <si>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</si>
  <si>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</si>
  <si>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</si>
  <si>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</si>
  <si>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</si>
  <si>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</si>
  <si>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</si>
  <si>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</si>
  <si>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</si>
  <si>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</si>
  <si>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</si>
  <si>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</si>
  <si>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</si>
  <si>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</si>
  <si>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</si>
  <si>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</si>
  <si>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</si>
  <si>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</si>
  <si>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</si>
  <si>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</si>
  <si>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</si>
  <si>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</si>
  <si>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</si>
  <si>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</si>
  <si>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</si>
  <si>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</si>
  <si>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</si>
  <si>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</si>
  <si>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</si>
  <si>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</si>
  <si>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</si>
  <si>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</si>
  <si>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</si>
  <si>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</si>
  <si>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</si>
  <si>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</si>
  <si>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</si>
  <si>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</si>
  <si>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</si>
  <si>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</si>
  <si>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</si>
  <si>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</si>
  <si>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</si>
  <si>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</si>
  <si>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</si>
  <si>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</si>
  <si>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</si>
  <si>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</si>
  <si>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</si>
  <si>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</si>
  <si>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</si>
  <si>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</si>
  <si>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</si>
  <si>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</si>
  <si>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</si>
  <si>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</si>
  <si>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</si>
  <si>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</si>
  <si>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</si>
  <si>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</si>
  <si>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</si>
  <si>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</si>
  <si>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</si>
  <si>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</si>
  <si>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</si>
  <si>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</si>
  <si>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</si>
  <si>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</si>
  <si>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</si>
  <si>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</si>
  <si>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</si>
  <si>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</si>
  <si>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</si>
  <si>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</si>
  <si>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</si>
  <si>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</si>
  <si>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</si>
  <si>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</si>
  <si>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</si>
  <si>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</si>
  <si>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</si>
  <si>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</si>
  <si>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</si>
  <si>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</si>
  <si>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</si>
  <si>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</si>
  <si>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</si>
  <si>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</si>
  <si>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</si>
  <si>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</si>
  <si>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</si>
  <si>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</si>
  <si>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</si>
  <si>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</si>
  <si>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</si>
  <si>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</si>
  <si>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</si>
  <si>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</si>
  <si>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</si>
  <si>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</si>
  <si>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</si>
  <si>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</si>
  <si>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</si>
  <si>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</si>
  <si>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</si>
  <si>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</si>
  <si>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</si>
  <si>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</si>
  <si>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</si>
  <si>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</si>
  <si>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</si>
  <si>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</si>
  <si>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</si>
  <si>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</si>
  <si>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</si>
  <si>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</si>
  <si>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</si>
  <si>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</si>
  <si>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</si>
  <si>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</si>
  <si>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</si>
  <si>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</si>
  <si>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</si>
  <si>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</si>
  <si>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</si>
  <si>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</si>
  <si>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</si>
  <si>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</si>
  <si>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</si>
  <si>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</si>
  <si>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</si>
  <si>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</si>
  <si>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</si>
  <si>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</si>
  <si>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</si>
  <si>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</si>
  <si>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</si>
  <si>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</si>
  <si>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</si>
  <si>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</si>
  <si>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</si>
  <si>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</si>
  <si>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</si>
  <si>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</si>
  <si>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</si>
  <si>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</si>
  <si>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</si>
  <si>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</si>
  <si>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</si>
  <si>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</si>
  <si>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</si>
  <si>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</si>
  <si>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</si>
  <si>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</si>
  <si>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</si>
  <si>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</si>
  <si>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</si>
  <si>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</si>
  <si>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5 DIAS HABILES</t>
  </si>
  <si>
    <t xml:space="preserve">TAPACANTO PVC </t>
  </si>
  <si>
    <t>N° 11374</t>
  </si>
  <si>
    <t>RICARDO MEDINA</t>
  </si>
  <si>
    <t>+569 7589 0145</t>
  </si>
  <si>
    <t>SI</t>
  </si>
  <si>
    <t>PR6 HORIZONTAL</t>
  </si>
  <si>
    <t>DOVE GREY 22079 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</si>
</sst>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16" xfId="0" quotePrefix="1" applyFont="1" applyBorder="1" applyAlignment="1">
      <alignment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36</xdr:row>
      <xdr:rowOff>26670</xdr:rowOff>
    </xdr:from>
    <xdr:to>
      <xdr:col>7</xdr:col>
      <xdr:colOff>1034435</xdr:colOff>
      <xdr:row>39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1714500</xdr:colOff>
      <xdr:row>39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30</xdr:row>
      <xdr:rowOff>206170</xdr:rowOff>
    </xdr:from>
    <xdr:to>
      <xdr:col>5</xdr:col>
      <xdr:colOff>1643259</xdr:colOff>
      <xdr:row>34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PUERTAS SE ENTREGAN CORTADAS A LA MEDIDA Y ENCHAPADAS CON TAPACANTO PVC 0,4MM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9"/>
  <sheetViews>
    <sheetView tabSelected="1" topLeftCell="A6" zoomScale="93" zoomScaleNormal="93" workbookViewId="0">
      <selection activeCell="F21" sqref="F21:F29"/>
    </sheetView>
  </sheetViews>
  <sheetFormatPr baseColWidth="10" defaultRowHeight="14.4" x14ac:dyDescent="0.3"/>
  <cols>
    <col min="1" max="1" width="6" customWidth="1"/>
    <col min="2" max="2" width="10.5546875" customWidth="1"/>
    <col min="3" max="3" width="26.6640625" customWidth="1"/>
    <col min="4" max="4" width="11.109375" customWidth="1"/>
    <col min="5" max="5" width="10.5546875" customWidth="1"/>
    <col min="6" max="6" width="31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169</v>
      </c>
      <c r="D10" s="243"/>
      <c r="E10" s="243"/>
      <c r="F10" s="244" t="s">
        <v>0</v>
      </c>
      <c r="G10" s="277">
        <v>45743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171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32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163</v>
      </c>
      <c r="H16" s="248"/>
    </row>
    <row r="17" spans="2:24" ht="15" thickBot="1" x14ac:dyDescent="0.35">
      <c r="B17" s="316" t="s">
        <v>13</v>
      </c>
      <c r="C17" s="317" t="s">
        <v>165</v>
      </c>
      <c r="D17" s="318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132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N46</f>
        <v>70137.811131461087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2</v>
      </c>
      <c r="C21" s="325" t="s">
        <v>172</v>
      </c>
      <c r="D21" s="326">
        <v>0.35</v>
      </c>
      <c r="E21" s="326">
        <v>0.29499999999999998</v>
      </c>
      <c r="F21" s="325" t="s">
        <v>173</v>
      </c>
      <c r="G21" s="327">
        <v>11276</v>
      </c>
      <c r="H21" s="327">
        <f>G21*B21</f>
        <v>22552</v>
      </c>
      <c r="I21" s="265"/>
      <c r="J21" s="47"/>
      <c r="K21" s="329">
        <f>B21</f>
        <v>2</v>
      </c>
      <c r="L21" s="39">
        <f>D21+L$19</f>
        <v>0.39999999999999997</v>
      </c>
      <c r="M21" s="39">
        <f>E21+M$19</f>
        <v>0.29499999999999998</v>
      </c>
      <c r="N21" s="261">
        <f t="shared" ref="N21" si="0">L21*M21</f>
        <v>0.11799999999999998</v>
      </c>
      <c r="O21" s="259">
        <f t="shared" ref="O21" si="1">N21*K21</f>
        <v>0.23599999999999996</v>
      </c>
      <c r="P21" s="252">
        <f t="shared" ref="P21" si="2">P$20*N21</f>
        <v>8276.2617135124074</v>
      </c>
      <c r="Q21" s="328">
        <f t="shared" ref="Q21" si="3">P21+Q$20</f>
        <v>11276.261713512407</v>
      </c>
      <c r="R21" s="298">
        <f>L21*K21*2</f>
        <v>1.5999999999999999</v>
      </c>
      <c r="S21" s="46">
        <f>M21*2*K21</f>
        <v>1.18</v>
      </c>
      <c r="T21" s="9"/>
      <c r="W21" s="4"/>
    </row>
    <row r="22" spans="2:24" ht="17.399999999999999" x14ac:dyDescent="0.3">
      <c r="B22" s="325">
        <v>4</v>
      </c>
      <c r="C22" s="325" t="s">
        <v>172</v>
      </c>
      <c r="D22" s="326">
        <v>0.65</v>
      </c>
      <c r="E22" s="326">
        <v>0.36</v>
      </c>
      <c r="F22" s="325" t="s">
        <v>173</v>
      </c>
      <c r="G22" s="327">
        <v>20675</v>
      </c>
      <c r="H22" s="327">
        <f t="shared" ref="H22:H29" si="4">G22*B22</f>
        <v>82700</v>
      </c>
      <c r="I22" s="265"/>
      <c r="J22" s="47"/>
      <c r="K22" s="329">
        <f t="shared" ref="K22:K23" si="5">B22</f>
        <v>4</v>
      </c>
      <c r="L22" s="39">
        <f t="shared" ref="L22:L23" si="6">D22+L$19</f>
        <v>0.70000000000000007</v>
      </c>
      <c r="M22" s="39">
        <f t="shared" ref="M22:M23" si="7">E22+M$19</f>
        <v>0.36</v>
      </c>
      <c r="N22" s="261">
        <f t="shared" ref="N22:N23" si="8">L22*M22</f>
        <v>0.252</v>
      </c>
      <c r="O22" s="259">
        <f t="shared" ref="O22:O23" si="9">N22*K22</f>
        <v>1.008</v>
      </c>
      <c r="P22" s="252">
        <f t="shared" ref="P22:P23" si="10">P$20*N22</f>
        <v>17674.728405128193</v>
      </c>
      <c r="Q22" s="328">
        <f t="shared" ref="Q22:Q23" si="11">P22+Q$20</f>
        <v>20674.728405128193</v>
      </c>
      <c r="R22" s="298">
        <f t="shared" ref="R22:R23" si="12">L22*K22*2</f>
        <v>5.6000000000000005</v>
      </c>
      <c r="S22" s="46"/>
      <c r="T22" s="9"/>
      <c r="W22" s="4"/>
    </row>
    <row r="23" spans="2:24" ht="17.399999999999999" x14ac:dyDescent="0.3">
      <c r="B23" s="325">
        <v>1</v>
      </c>
      <c r="C23" s="325" t="s">
        <v>172</v>
      </c>
      <c r="D23" s="326">
        <v>0.65</v>
      </c>
      <c r="E23" s="326">
        <v>0.42</v>
      </c>
      <c r="F23" s="325" t="s">
        <v>173</v>
      </c>
      <c r="G23" s="327">
        <v>23621</v>
      </c>
      <c r="H23" s="327">
        <f t="shared" si="4"/>
        <v>23621</v>
      </c>
      <c r="I23" s="265"/>
      <c r="J23" s="47"/>
      <c r="K23" s="345">
        <f t="shared" si="5"/>
        <v>1</v>
      </c>
      <c r="L23" s="346">
        <f t="shared" si="6"/>
        <v>0.70000000000000007</v>
      </c>
      <c r="M23" s="39">
        <f t="shared" si="7"/>
        <v>0.42</v>
      </c>
      <c r="N23" s="261">
        <f t="shared" si="8"/>
        <v>0.29400000000000004</v>
      </c>
      <c r="O23" s="259">
        <f t="shared" si="9"/>
        <v>0.29400000000000004</v>
      </c>
      <c r="P23" s="252">
        <f t="shared" si="10"/>
        <v>20620.516472649564</v>
      </c>
      <c r="Q23" s="328">
        <f t="shared" si="11"/>
        <v>23620.516472649564</v>
      </c>
      <c r="R23" s="298">
        <f t="shared" si="12"/>
        <v>1.4000000000000001</v>
      </c>
      <c r="S23" s="46"/>
      <c r="T23" s="9"/>
      <c r="W23" s="4"/>
    </row>
    <row r="24" spans="2:24" ht="17.399999999999999" x14ac:dyDescent="0.3">
      <c r="B24" s="325">
        <v>2</v>
      </c>
      <c r="C24" s="325" t="s">
        <v>172</v>
      </c>
      <c r="D24" s="326">
        <v>0.7</v>
      </c>
      <c r="E24" s="326">
        <v>0.30499999999999999</v>
      </c>
      <c r="F24" s="325" t="s">
        <v>173</v>
      </c>
      <c r="G24" s="327">
        <v>19044</v>
      </c>
      <c r="H24" s="327">
        <f t="shared" si="4"/>
        <v>38088</v>
      </c>
      <c r="I24" s="265"/>
      <c r="J24" s="47"/>
      <c r="K24" s="345">
        <f t="shared" ref="K24:K29" si="13">B24</f>
        <v>2</v>
      </c>
      <c r="L24" s="346">
        <f t="shared" ref="L24:L29" si="14">D24+L$19</f>
        <v>0.75</v>
      </c>
      <c r="M24" s="39">
        <f t="shared" ref="M24:M29" si="15">E24+M$19</f>
        <v>0.30499999999999999</v>
      </c>
      <c r="N24" s="261">
        <f t="shared" ref="N24:N29" si="16">L24*M24</f>
        <v>0.22875000000000001</v>
      </c>
      <c r="O24" s="259">
        <f t="shared" ref="O24:O29" si="17">N24*K24</f>
        <v>0.45750000000000002</v>
      </c>
      <c r="P24" s="252">
        <f t="shared" ref="P24:P29" si="18">P$20*N24</f>
        <v>16044.024296321724</v>
      </c>
      <c r="Q24" s="328">
        <f t="shared" ref="Q24:Q29" si="19">P24+Q$20</f>
        <v>19044.024296321724</v>
      </c>
      <c r="R24" s="298">
        <f t="shared" ref="R24:R29" si="20">L24*K24*2</f>
        <v>3</v>
      </c>
      <c r="S24" s="46"/>
      <c r="T24" s="9"/>
      <c r="W24" s="4"/>
    </row>
    <row r="25" spans="2:24" ht="17.399999999999999" x14ac:dyDescent="0.3">
      <c r="B25" s="325">
        <v>2</v>
      </c>
      <c r="C25" s="325" t="s">
        <v>172</v>
      </c>
      <c r="D25" s="326">
        <v>0.7</v>
      </c>
      <c r="E25" s="326">
        <v>0.41</v>
      </c>
      <c r="F25" s="325" t="s">
        <v>173</v>
      </c>
      <c r="G25" s="327">
        <v>24567</v>
      </c>
      <c r="H25" s="327">
        <f t="shared" si="4"/>
        <v>49134</v>
      </c>
      <c r="I25" s="265"/>
      <c r="J25" s="47"/>
      <c r="K25" s="345">
        <f t="shared" si="13"/>
        <v>2</v>
      </c>
      <c r="L25" s="346">
        <f t="shared" si="14"/>
        <v>0.75</v>
      </c>
      <c r="M25" s="39">
        <f t="shared" si="15"/>
        <v>0.41</v>
      </c>
      <c r="N25" s="261">
        <f t="shared" si="16"/>
        <v>0.3075</v>
      </c>
      <c r="O25" s="259">
        <f t="shared" si="17"/>
        <v>0.61499999999999999</v>
      </c>
      <c r="P25" s="252">
        <f t="shared" si="18"/>
        <v>21567.376922924283</v>
      </c>
      <c r="Q25" s="328">
        <f t="shared" si="19"/>
        <v>24567.376922924283</v>
      </c>
      <c r="R25" s="298">
        <f t="shared" si="20"/>
        <v>3</v>
      </c>
      <c r="S25" s="46"/>
      <c r="T25" s="9"/>
      <c r="W25" s="4"/>
    </row>
    <row r="26" spans="2:24" ht="17.399999999999999" x14ac:dyDescent="0.3">
      <c r="B26" s="325">
        <v>2</v>
      </c>
      <c r="C26" s="325" t="s">
        <v>172</v>
      </c>
      <c r="D26" s="326">
        <v>0.7</v>
      </c>
      <c r="E26" s="326">
        <v>0.29499999999999998</v>
      </c>
      <c r="F26" s="325" t="s">
        <v>173</v>
      </c>
      <c r="G26" s="327">
        <v>18518</v>
      </c>
      <c r="H26" s="327">
        <f t="shared" si="4"/>
        <v>37036</v>
      </c>
      <c r="I26" s="265"/>
      <c r="J26" s="47"/>
      <c r="K26" s="345">
        <f t="shared" si="13"/>
        <v>2</v>
      </c>
      <c r="L26" s="346">
        <f t="shared" si="14"/>
        <v>0.75</v>
      </c>
      <c r="M26" s="39">
        <f t="shared" si="15"/>
        <v>0.29499999999999998</v>
      </c>
      <c r="N26" s="261">
        <f t="shared" si="16"/>
        <v>0.22125</v>
      </c>
      <c r="O26" s="259">
        <f t="shared" si="17"/>
        <v>0.4425</v>
      </c>
      <c r="P26" s="252">
        <f t="shared" si="18"/>
        <v>15517.990712835766</v>
      </c>
      <c r="Q26" s="328">
        <f t="shared" si="19"/>
        <v>18517.990712835766</v>
      </c>
      <c r="R26" s="298">
        <f t="shared" si="20"/>
        <v>3</v>
      </c>
      <c r="S26" s="46"/>
      <c r="T26" s="9"/>
      <c r="W26" s="4"/>
    </row>
    <row r="27" spans="2:24" ht="17.399999999999999" x14ac:dyDescent="0.3">
      <c r="B27" s="325">
        <v>1</v>
      </c>
      <c r="C27" s="325" t="s">
        <v>172</v>
      </c>
      <c r="D27" s="326">
        <v>0.7</v>
      </c>
      <c r="E27" s="326">
        <v>0.42399999999999999</v>
      </c>
      <c r="F27" s="325" t="s">
        <v>173</v>
      </c>
      <c r="G27" s="327">
        <v>25304</v>
      </c>
      <c r="H27" s="327">
        <f t="shared" si="4"/>
        <v>25304</v>
      </c>
      <c r="I27" s="265"/>
      <c r="J27" s="47"/>
      <c r="K27" s="345">
        <f t="shared" si="13"/>
        <v>1</v>
      </c>
      <c r="L27" s="346">
        <f t="shared" si="14"/>
        <v>0.75</v>
      </c>
      <c r="M27" s="39">
        <f t="shared" si="15"/>
        <v>0.42399999999999999</v>
      </c>
      <c r="N27" s="261">
        <f t="shared" si="16"/>
        <v>0.318</v>
      </c>
      <c r="O27" s="259">
        <f t="shared" si="17"/>
        <v>0.318</v>
      </c>
      <c r="P27" s="252">
        <f t="shared" si="18"/>
        <v>22303.823939804624</v>
      </c>
      <c r="Q27" s="328">
        <f t="shared" si="19"/>
        <v>25303.823939804624</v>
      </c>
      <c r="R27" s="298">
        <f t="shared" si="20"/>
        <v>1.5</v>
      </c>
      <c r="S27" s="46"/>
      <c r="T27" s="9"/>
      <c r="W27" s="4"/>
    </row>
    <row r="28" spans="2:24" ht="17.399999999999999" x14ac:dyDescent="0.3">
      <c r="B28" s="325">
        <v>4</v>
      </c>
      <c r="C28" s="325" t="s">
        <v>172</v>
      </c>
      <c r="D28" s="326">
        <v>0.72</v>
      </c>
      <c r="E28" s="326">
        <v>0.443</v>
      </c>
      <c r="F28" s="325" t="s">
        <v>173</v>
      </c>
      <c r="G28" s="327">
        <v>26925</v>
      </c>
      <c r="H28" s="327">
        <f t="shared" si="4"/>
        <v>107700</v>
      </c>
      <c r="I28" s="265"/>
      <c r="J28" s="47"/>
      <c r="K28" s="329">
        <f t="shared" si="13"/>
        <v>4</v>
      </c>
      <c r="L28" s="39">
        <f t="shared" si="14"/>
        <v>0.77</v>
      </c>
      <c r="M28" s="39">
        <f t="shared" si="15"/>
        <v>0.443</v>
      </c>
      <c r="N28" s="261">
        <f t="shared" si="16"/>
        <v>0.34111000000000002</v>
      </c>
      <c r="O28" s="259">
        <f t="shared" si="17"/>
        <v>1.3644400000000001</v>
      </c>
      <c r="P28" s="252">
        <f t="shared" si="18"/>
        <v>23924.708755052692</v>
      </c>
      <c r="Q28" s="328">
        <f t="shared" si="19"/>
        <v>26924.708755052692</v>
      </c>
      <c r="R28" s="298">
        <f t="shared" si="20"/>
        <v>6.16</v>
      </c>
      <c r="S28" s="46"/>
      <c r="T28" s="9"/>
      <c r="W28" s="4"/>
    </row>
    <row r="29" spans="2:24" ht="17.399999999999999" x14ac:dyDescent="0.3">
      <c r="B29" s="325">
        <v>1</v>
      </c>
      <c r="C29" s="325" t="s">
        <v>172</v>
      </c>
      <c r="D29" s="326">
        <v>0.72</v>
      </c>
      <c r="E29" s="326">
        <v>0.39500000000000002</v>
      </c>
      <c r="F29" s="325" t="s">
        <v>173</v>
      </c>
      <c r="G29" s="327">
        <v>24332</v>
      </c>
      <c r="H29" s="327">
        <f t="shared" si="4"/>
        <v>24332</v>
      </c>
      <c r="I29" s="265"/>
      <c r="J29" s="47"/>
      <c r="K29" s="329">
        <f t="shared" si="13"/>
        <v>1</v>
      </c>
      <c r="L29" s="39">
        <f t="shared" si="14"/>
        <v>0.77</v>
      </c>
      <c r="M29" s="39">
        <f t="shared" si="15"/>
        <v>0.39500000000000002</v>
      </c>
      <c r="N29" s="261">
        <f t="shared" si="16"/>
        <v>0.30415000000000003</v>
      </c>
      <c r="O29" s="259">
        <f t="shared" si="17"/>
        <v>0.30415000000000003</v>
      </c>
      <c r="P29" s="252">
        <f t="shared" si="18"/>
        <v>21332.415255633892</v>
      </c>
      <c r="Q29" s="328">
        <f t="shared" si="19"/>
        <v>24332.415255633892</v>
      </c>
      <c r="R29" s="298">
        <f t="shared" si="20"/>
        <v>1.54</v>
      </c>
      <c r="S29" s="46"/>
      <c r="T29" s="9"/>
      <c r="W29" s="4"/>
    </row>
    <row r="30" spans="2:24" ht="17.399999999999999" x14ac:dyDescent="0.3">
      <c r="B30" s="286"/>
      <c r="C30" s="331"/>
      <c r="D30" s="287"/>
      <c r="E30" s="287"/>
      <c r="F30" s="286"/>
      <c r="G30" s="330"/>
      <c r="H30" s="330"/>
      <c r="I30" s="265"/>
      <c r="J30" s="47"/>
      <c r="K30" s="329"/>
      <c r="L30" s="39"/>
      <c r="M30" s="39"/>
      <c r="N30" s="261"/>
      <c r="O30" s="259"/>
      <c r="P30" s="252"/>
      <c r="Q30" s="328"/>
      <c r="R30" s="298"/>
      <c r="S30" s="46"/>
      <c r="T30" s="9"/>
      <c r="W30" s="4"/>
    </row>
    <row r="31" spans="2:24" ht="18" thickBot="1" x14ac:dyDescent="0.35">
      <c r="B31" s="286"/>
      <c r="C31" s="286"/>
      <c r="D31" s="287"/>
      <c r="E31" s="287"/>
      <c r="F31" s="286"/>
      <c r="G31" s="265"/>
      <c r="H31" s="233"/>
      <c r="I31" s="233"/>
      <c r="J31" s="47"/>
      <c r="K31" s="47"/>
      <c r="L31" s="39"/>
      <c r="M31" s="39"/>
      <c r="N31" s="261">
        <v>0</v>
      </c>
      <c r="O31" s="259"/>
      <c r="P31" s="252"/>
      <c r="Q31" s="258"/>
      <c r="R31" s="298"/>
      <c r="S31" s="14"/>
      <c r="T31" s="9"/>
      <c r="W31" s="4"/>
    </row>
    <row r="32" spans="2:24" ht="17.399999999999999" x14ac:dyDescent="0.3">
      <c r="B32" s="286"/>
      <c r="C32" s="286"/>
      <c r="D32" s="287"/>
      <c r="E32" s="287"/>
      <c r="F32" s="286"/>
      <c r="G32" s="299" t="s">
        <v>29</v>
      </c>
      <c r="H32" s="300">
        <f>SUM(H21:H31)</f>
        <v>410467</v>
      </c>
      <c r="I32" s="265"/>
      <c r="J32" s="47"/>
      <c r="K32" s="47"/>
      <c r="L32" s="39">
        <f>SUM(L21:L23)</f>
        <v>1.8000000000000003</v>
      </c>
      <c r="M32" s="39"/>
      <c r="N32" s="261"/>
      <c r="O32" s="259"/>
      <c r="P32" s="252"/>
      <c r="Q32" s="258"/>
      <c r="R32" s="298"/>
      <c r="S32" s="46">
        <f>SUM(S21:S31)</f>
        <v>1.18</v>
      </c>
      <c r="T32" s="9"/>
      <c r="W32" s="4"/>
    </row>
    <row r="33" spans="2:23" ht="17.399999999999999" x14ac:dyDescent="0.3">
      <c r="B33" s="280"/>
      <c r="C33" s="283"/>
      <c r="D33" s="284"/>
      <c r="E33" s="284"/>
      <c r="F33" s="285"/>
      <c r="G33" s="297" t="s">
        <v>52</v>
      </c>
      <c r="H33" s="295"/>
      <c r="I33" s="265"/>
      <c r="J33" s="47"/>
      <c r="K33" s="47"/>
      <c r="L33" s="39"/>
      <c r="M33" s="12"/>
      <c r="N33" s="12"/>
      <c r="O33" s="253">
        <f>SUM(O21:O30)</f>
        <v>5.0395900000000005</v>
      </c>
      <c r="P33" s="14"/>
      <c r="Q33" s="12"/>
      <c r="R33" s="239"/>
      <c r="S33" s="46">
        <f>S32*20%</f>
        <v>0.23599999999999999</v>
      </c>
      <c r="T33" s="9"/>
      <c r="W33" s="4"/>
    </row>
    <row r="34" spans="2:23" ht="18" thickBot="1" x14ac:dyDescent="0.35">
      <c r="B34" s="276"/>
      <c r="C34" s="282"/>
      <c r="D34" s="272"/>
      <c r="E34" s="272"/>
      <c r="F34" s="273"/>
      <c r="G34" s="281" t="s">
        <v>6</v>
      </c>
      <c r="H34" s="296">
        <f>H32+H33</f>
        <v>410467</v>
      </c>
      <c r="I34" s="265"/>
      <c r="J34" s="47"/>
      <c r="K34" s="47"/>
      <c r="L34" s="39"/>
      <c r="M34" s="12"/>
      <c r="N34" s="12"/>
      <c r="O34" s="253">
        <f>O33</f>
        <v>5.0395900000000005</v>
      </c>
      <c r="P34" s="14"/>
      <c r="Q34" s="12"/>
      <c r="R34" s="239">
        <f>SUM(R21:R33)</f>
        <v>26.8</v>
      </c>
      <c r="S34" s="46">
        <f>S32+S33</f>
        <v>1.4159999999999999</v>
      </c>
      <c r="T34" s="9"/>
      <c r="W34" s="4"/>
    </row>
    <row r="35" spans="2:23" ht="17.399999999999999" x14ac:dyDescent="0.3">
      <c r="B35" s="276"/>
      <c r="C35" s="271"/>
      <c r="D35" s="272"/>
      <c r="E35" s="272"/>
      <c r="F35" s="273"/>
      <c r="I35" s="265"/>
      <c r="J35" s="47"/>
      <c r="K35" s="47"/>
      <c r="L35" s="14"/>
      <c r="M35" s="12"/>
      <c r="N35" s="12"/>
      <c r="O35" s="39">
        <f>O34*20%</f>
        <v>1.0079180000000001</v>
      </c>
      <c r="P35" s="39" t="s">
        <v>131</v>
      </c>
      <c r="Q35" s="42"/>
      <c r="R35" s="240"/>
      <c r="S35" s="14"/>
      <c r="T35" s="9"/>
      <c r="W35" s="4"/>
    </row>
    <row r="36" spans="2:23" ht="17.399999999999999" x14ac:dyDescent="0.3">
      <c r="B36" s="271"/>
      <c r="C36" s="271"/>
      <c r="D36" s="272"/>
      <c r="E36" s="272"/>
      <c r="F36" s="273"/>
      <c r="G36" s="274"/>
      <c r="H36" s="275"/>
      <c r="I36" s="265"/>
      <c r="J36" s="47"/>
      <c r="K36" s="47"/>
      <c r="L36" s="14"/>
      <c r="M36" s="12"/>
      <c r="N36" s="12"/>
      <c r="O36" s="46">
        <f>O34+O35</f>
        <v>6.0475080000000005</v>
      </c>
      <c r="P36" s="14"/>
      <c r="Q36" s="14"/>
      <c r="R36" s="238">
        <v>40</v>
      </c>
      <c r="S36" s="14"/>
      <c r="T36" s="9"/>
      <c r="W36" s="4"/>
    </row>
    <row r="37" spans="2:23" ht="17.399999999999999" x14ac:dyDescent="0.35">
      <c r="B37" s="269"/>
      <c r="C37" s="230"/>
      <c r="D37" s="230"/>
      <c r="E37" s="233"/>
      <c r="F37" s="234"/>
      <c r="G37" s="230"/>
      <c r="H37" s="275"/>
      <c r="I37" s="265"/>
      <c r="J37" s="47"/>
      <c r="K37" s="47"/>
      <c r="L37" s="14"/>
      <c r="M37" s="14"/>
      <c r="N37" s="14"/>
      <c r="O37" s="14"/>
      <c r="P37" s="14"/>
      <c r="Q37" s="14"/>
      <c r="R37" s="238"/>
      <c r="S37" s="14"/>
      <c r="T37" s="305" t="s">
        <v>22</v>
      </c>
      <c r="U37" s="302" t="s">
        <v>152</v>
      </c>
      <c r="V37" s="306">
        <v>44971</v>
      </c>
      <c r="W37" s="307"/>
    </row>
    <row r="38" spans="2:23" ht="17.399999999999999" x14ac:dyDescent="0.35">
      <c r="B38" s="235"/>
      <c r="C38" s="236"/>
      <c r="D38" s="237"/>
      <c r="E38" s="235"/>
      <c r="F38" s="230"/>
      <c r="G38" s="230"/>
      <c r="I38" s="265"/>
      <c r="J38" s="47"/>
      <c r="K38" s="47"/>
      <c r="L38" s="39">
        <f>O36</f>
        <v>6.0475080000000005</v>
      </c>
      <c r="M38" s="12">
        <v>3500</v>
      </c>
      <c r="N38" s="12">
        <f t="shared" ref="N38:N43" si="21">L38*M38</f>
        <v>21166.278000000002</v>
      </c>
      <c r="O38" s="14" t="s">
        <v>22</v>
      </c>
      <c r="P38" s="14"/>
      <c r="Q38" s="14"/>
      <c r="R38" s="241"/>
      <c r="S38" s="14"/>
      <c r="T38" s="305" t="s">
        <v>153</v>
      </c>
      <c r="U38" s="302">
        <v>3625</v>
      </c>
      <c r="V38" s="59" t="s">
        <v>154</v>
      </c>
      <c r="W38" s="307"/>
    </row>
    <row r="39" spans="2:23" ht="17.399999999999999" x14ac:dyDescent="0.35">
      <c r="B39" s="230"/>
      <c r="C39" s="230"/>
      <c r="D39" s="230"/>
      <c r="E39" s="230"/>
      <c r="F39" s="230"/>
      <c r="G39" s="230"/>
      <c r="I39" s="265"/>
      <c r="J39" s="47"/>
      <c r="K39" s="47"/>
      <c r="L39" s="249">
        <v>1.5</v>
      </c>
      <c r="M39" s="12">
        <v>43000</v>
      </c>
      <c r="N39" s="12">
        <f t="shared" si="21"/>
        <v>64500</v>
      </c>
      <c r="O39" s="39" t="s">
        <v>32</v>
      </c>
      <c r="P39" s="42"/>
      <c r="Q39" s="14"/>
      <c r="R39" s="240"/>
      <c r="S39" s="14"/>
      <c r="T39" s="305"/>
      <c r="U39" s="59">
        <v>906.25</v>
      </c>
      <c r="V39" s="59" t="s">
        <v>155</v>
      </c>
      <c r="W39" s="307"/>
    </row>
    <row r="40" spans="2:23" s="230" customFormat="1" ht="17.399999999999999" x14ac:dyDescent="0.35">
      <c r="I40" s="262"/>
      <c r="J40" s="232"/>
      <c r="K40" s="250"/>
      <c r="L40" s="14"/>
      <c r="M40" s="250">
        <v>68300</v>
      </c>
      <c r="N40" s="12">
        <f t="shared" si="21"/>
        <v>0</v>
      </c>
      <c r="O40" s="39" t="s">
        <v>31</v>
      </c>
      <c r="P40" s="42"/>
      <c r="R40" s="240"/>
      <c r="S40" s="256"/>
      <c r="T40" s="59"/>
      <c r="U40" s="59">
        <f>U39*20%</f>
        <v>181.25</v>
      </c>
      <c r="V40" s="307" t="s">
        <v>156</v>
      </c>
      <c r="W40" s="59"/>
    </row>
    <row r="41" spans="2:23" s="230" customFormat="1" ht="17.399999999999999" x14ac:dyDescent="0.35">
      <c r="B41" s="24" t="s">
        <v>151</v>
      </c>
      <c r="I41" s="262"/>
      <c r="J41" s="232"/>
      <c r="K41" s="250"/>
      <c r="L41" s="14">
        <v>3</v>
      </c>
      <c r="M41" s="250">
        <v>25000</v>
      </c>
      <c r="N41" s="12">
        <f t="shared" si="21"/>
        <v>75000</v>
      </c>
      <c r="O41" s="14" t="s">
        <v>167</v>
      </c>
      <c r="P41" s="17"/>
      <c r="R41" s="238"/>
      <c r="S41" s="256"/>
      <c r="T41" s="59"/>
      <c r="U41" s="59">
        <f>U39+U40</f>
        <v>1087.5</v>
      </c>
      <c r="V41" s="307" t="s">
        <v>157</v>
      </c>
      <c r="W41" s="59"/>
    </row>
    <row r="42" spans="2:23" s="230" customFormat="1" ht="17.399999999999999" x14ac:dyDescent="0.35">
      <c r="B42" s="24" t="s">
        <v>144</v>
      </c>
      <c r="C42"/>
      <c r="D42"/>
      <c r="E42"/>
      <c r="F42"/>
      <c r="I42" s="262"/>
      <c r="K42" s="250"/>
      <c r="L42" s="249"/>
      <c r="M42" s="250">
        <v>300</v>
      </c>
      <c r="N42" s="12">
        <f t="shared" si="21"/>
        <v>0</v>
      </c>
      <c r="O42" s="14" t="s">
        <v>33</v>
      </c>
      <c r="P42" s="14"/>
      <c r="Q42" s="230">
        <v>1.83</v>
      </c>
      <c r="R42" s="238"/>
      <c r="S42" s="238"/>
    </row>
    <row r="43" spans="2:23" s="230" customFormat="1" ht="17.399999999999999" x14ac:dyDescent="0.35">
      <c r="B43" s="29" t="s">
        <v>126</v>
      </c>
      <c r="C43"/>
      <c r="D43"/>
      <c r="E43"/>
      <c r="F43" s="229" t="s">
        <v>16</v>
      </c>
      <c r="I43" s="294"/>
      <c r="K43" s="250"/>
      <c r="L43" s="266"/>
      <c r="M43" s="12">
        <v>1500</v>
      </c>
      <c r="N43" s="12">
        <f t="shared" si="21"/>
        <v>0</v>
      </c>
      <c r="O43" s="14" t="s">
        <v>23</v>
      </c>
      <c r="P43" s="14"/>
      <c r="Q43">
        <v>2.5</v>
      </c>
      <c r="R43"/>
      <c r="S43" s="238"/>
      <c r="W43" s="231"/>
    </row>
    <row r="44" spans="2:23" s="230" customFormat="1" ht="17.399999999999999" x14ac:dyDescent="0.35">
      <c r="K44" s="250"/>
      <c r="L44" s="14"/>
      <c r="M44" s="12"/>
      <c r="N44" s="12">
        <f>SUM(N38:N43)</f>
        <v>160666.27799999999</v>
      </c>
      <c r="O44" s="39" t="s">
        <v>24</v>
      </c>
      <c r="P44" s="14"/>
      <c r="Q44">
        <f>Q42*Q43</f>
        <v>4.5750000000000002</v>
      </c>
      <c r="R44"/>
      <c r="S44" s="238"/>
      <c r="W44" s="231"/>
    </row>
    <row r="45" spans="2:23" s="230" customFormat="1" ht="17.399999999999999" x14ac:dyDescent="0.35">
      <c r="J45" s="230">
        <v>58000</v>
      </c>
      <c r="K45" s="250"/>
      <c r="L45" s="254" t="s">
        <v>34</v>
      </c>
      <c r="M45" s="12"/>
      <c r="N45" s="255">
        <f>N44*2.2</f>
        <v>353465.81160000002</v>
      </c>
      <c r="O45" s="14" t="s">
        <v>141</v>
      </c>
      <c r="P45" s="14"/>
      <c r="Q45" s="40">
        <f>O36/Q44</f>
        <v>1.3218596721311475</v>
      </c>
      <c r="R45"/>
      <c r="S45" s="257"/>
    </row>
    <row r="46" spans="2:23" s="230" customFormat="1" ht="17.399999999999999" x14ac:dyDescent="0.35">
      <c r="G46"/>
      <c r="H46" s="260"/>
      <c r="J46" s="230">
        <f>J45/1.19</f>
        <v>48739.495798319331</v>
      </c>
      <c r="K46" s="250">
        <v>0</v>
      </c>
      <c r="L46" s="14"/>
      <c r="M46" s="12"/>
      <c r="N46" s="12">
        <f>N45/O34</f>
        <v>70137.811131461087</v>
      </c>
      <c r="O46" s="45" t="s">
        <v>25</v>
      </c>
      <c r="P46" s="14"/>
      <c r="Q46" s="14"/>
      <c r="R46"/>
      <c r="S46" s="238"/>
      <c r="T46" s="59" t="s">
        <v>158</v>
      </c>
      <c r="U46" s="302">
        <v>43650</v>
      </c>
    </row>
    <row r="47" spans="2:23" s="230" customFormat="1" ht="17.399999999999999" x14ac:dyDescent="0.35">
      <c r="G47"/>
      <c r="K47" s="250"/>
      <c r="L47" s="13"/>
      <c r="M47" s="14"/>
      <c r="N47" s="17">
        <f>N45/N44</f>
        <v>2.2000000000000002</v>
      </c>
      <c r="O47" s="15"/>
      <c r="P47"/>
      <c r="Q47"/>
      <c r="R47"/>
      <c r="S47" s="238"/>
      <c r="T47" s="59" t="s">
        <v>160</v>
      </c>
      <c r="U47" s="303" t="s">
        <v>159</v>
      </c>
      <c r="V47" s="59">
        <v>2.4</v>
      </c>
    </row>
    <row r="48" spans="2:23" s="230" customFormat="1" ht="17.399999999999999" x14ac:dyDescent="0.35">
      <c r="G48" s="23"/>
      <c r="K48" s="12"/>
      <c r="S48" s="238"/>
      <c r="T48" s="59" t="s">
        <v>161</v>
      </c>
      <c r="U48" s="304">
        <v>395.37</v>
      </c>
    </row>
    <row r="49" spans="2:21" s="230" customFormat="1" ht="17.399999999999999" x14ac:dyDescent="0.35">
      <c r="B49"/>
      <c r="C49" s="228"/>
      <c r="D49" s="22"/>
      <c r="E49" s="22"/>
      <c r="F49" s="21"/>
      <c r="G49" s="23"/>
      <c r="K49" s="12"/>
      <c r="S49" s="238"/>
      <c r="T49" s="59" t="s">
        <v>156</v>
      </c>
      <c r="U49" s="59">
        <v>474.45</v>
      </c>
    </row>
    <row r="50" spans="2:21" ht="14.4" customHeight="1" x14ac:dyDescent="0.3">
      <c r="K50" s="12"/>
      <c r="T50" s="59"/>
      <c r="U50" s="59"/>
    </row>
    <row r="51" spans="2:21" x14ac:dyDescent="0.3">
      <c r="K51" s="250"/>
    </row>
    <row r="52" spans="2:21" x14ac:dyDescent="0.3">
      <c r="K52" s="250"/>
      <c r="S52" s="270"/>
    </row>
    <row r="53" spans="2:21" x14ac:dyDescent="0.3">
      <c r="K53" s="250"/>
    </row>
    <row r="54" spans="2:21" ht="15" customHeight="1" x14ac:dyDescent="0.3"/>
    <row r="56" spans="2:21" x14ac:dyDescent="0.3">
      <c r="N56">
        <v>40935</v>
      </c>
      <c r="O56" t="s">
        <v>17</v>
      </c>
      <c r="P56" t="s">
        <v>27</v>
      </c>
    </row>
    <row r="58" spans="2:21" x14ac:dyDescent="0.3">
      <c r="N58" s="54"/>
      <c r="O58" s="54"/>
    </row>
    <row r="59" spans="2:21" x14ac:dyDescent="0.3">
      <c r="R59" s="18"/>
      <c r="S59" s="18"/>
    </row>
    <row r="60" spans="2:21" x14ac:dyDescent="0.3">
      <c r="R60" s="18"/>
      <c r="S60" s="18"/>
    </row>
    <row r="61" spans="2:21" x14ac:dyDescent="0.3">
      <c r="R61" s="18"/>
      <c r="S61" s="18"/>
    </row>
    <row r="62" spans="2:21" x14ac:dyDescent="0.3">
      <c r="R62" s="18"/>
      <c r="S62" s="18"/>
    </row>
    <row r="63" spans="2:21" x14ac:dyDescent="0.3">
      <c r="R63" s="18"/>
      <c r="S63" s="18"/>
    </row>
    <row r="64" spans="2:21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70" spans="14:19" x14ac:dyDescent="0.3">
      <c r="N70" s="43"/>
    </row>
    <row r="71" spans="14:19" x14ac:dyDescent="0.3">
      <c r="N71" s="43"/>
    </row>
    <row r="72" spans="14:19" x14ac:dyDescent="0.3">
      <c r="N72" s="6"/>
    </row>
    <row r="73" spans="14:19" x14ac:dyDescent="0.3">
      <c r="N73" s="6"/>
    </row>
    <row r="81" spans="3:3" x14ac:dyDescent="0.3">
      <c r="C81" t="s">
        <v>148</v>
      </c>
    </row>
    <row r="82" spans="3:3" x14ac:dyDescent="0.3">
      <c r="C82" t="s">
        <v>147</v>
      </c>
    </row>
    <row r="85" spans="3:3" x14ac:dyDescent="0.3">
      <c r="C85" t="s">
        <v>147</v>
      </c>
    </row>
    <row r="162" spans="3:3" x14ac:dyDescent="0.3">
      <c r="C162" t="s">
        <v>147</v>
      </c>
    </row>
    <row r="163" spans="3:3" x14ac:dyDescent="0.3">
      <c r="C163" t="s">
        <v>149</v>
      </c>
    </row>
    <row r="164" spans="3:3" x14ac:dyDescent="0.3">
      <c r="C164" t="s">
        <v>150</v>
      </c>
    </row>
    <row r="589" spans="3:3" x14ac:dyDescent="0.3">
      <c r="C589" t="s">
        <v>147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45743</v>
      </c>
    </row>
    <row r="6" spans="2:31" ht="16.2" thickBot="1" x14ac:dyDescent="0.35">
      <c r="B6" s="140" t="s">
        <v>2</v>
      </c>
      <c r="C6" s="139" t="str">
        <f>'2229'!C10</f>
        <v>RICARDO MEDINA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-36648.565250120773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'2229'!H32</f>
        <v>410467</v>
      </c>
      <c r="E11" s="132">
        <f>D11*0.19</f>
        <v>77988.73</v>
      </c>
      <c r="F11" s="131">
        <f>E11+D11</f>
        <v>488455.73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69341.434749879234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115500.36878743963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51341.434749879227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294966.63121256034</v>
      </c>
      <c r="E13" s="221">
        <f>(D11/D12)-1</f>
        <v>2.5538154926189054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42341.434749879227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3341.4347498792267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190575.60849927537</v>
      </c>
      <c r="F15" s="216">
        <f>E15-D12</f>
        <v>75075.239711835748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3341.4347498792267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43341.434749879227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'2229'!N39</f>
        <v>64500</v>
      </c>
      <c r="E19" s="123">
        <f>D19*0.19</f>
        <v>12255</v>
      </c>
      <c r="F19" s="120">
        <f>SUM(D19:E19)</f>
        <v>76755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'2229'!N38</f>
        <v>21166.278000000002</v>
      </c>
      <c r="E20" s="121">
        <f>D20*0.19</f>
        <v>4021.5928200000003</v>
      </c>
      <c r="F20" s="120">
        <f>SUM(D20:E20)</f>
        <v>25187.870820000004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85666.278000000006</v>
      </c>
      <c r="E21" s="116">
        <f>SUM(E18:E20)</f>
        <v>16276.59282</v>
      </c>
      <c r="F21" s="115">
        <f>SUM(F18:F20)</f>
        <v>101942.87082000001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61712.137179999998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410467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85666.278000000006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294966.63121256034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294966.63121256034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2025-03-27T18:44:42Z</cp:lastPrinted>
  <dcterms:created xsi:type="dcterms:W3CDTF">2013-03-18T13:35:42Z</dcterms:created>
  <dcterms:modified xsi:type="dcterms:W3CDTF">2025-03-27T18:47:29Z</dcterms:modified>
</cp:coreProperties>
</file>