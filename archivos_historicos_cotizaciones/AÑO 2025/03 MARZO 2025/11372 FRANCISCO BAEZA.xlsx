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7630BABA-C2DF-42DC-B41A-C4445414F1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L28" i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J42" i="1"/>
  <c r="K21" i="1"/>
  <c r="N37" i="1"/>
  <c r="N36" i="1" l="1"/>
  <c r="N38" i="1"/>
  <c r="N39" i="1"/>
  <c r="L21" i="1" l="1"/>
  <c r="M21" i="1"/>
  <c r="S21" i="1" l="1"/>
  <c r="S28" i="1" s="1"/>
  <c r="S29" i="1" s="1"/>
  <c r="S30" i="1" s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4" i="1" l="1"/>
  <c r="Q24" i="1" s="1"/>
  <c r="P22" i="1"/>
  <c r="Q22" i="1" s="1"/>
  <c r="P25" i="1"/>
  <c r="Q25" i="1" s="1"/>
  <c r="P23" i="1"/>
  <c r="Q23" i="1" s="1"/>
  <c r="P21" i="1"/>
  <c r="F15" i="3"/>
  <c r="Q21" i="1" l="1"/>
  <c r="H21" i="1" l="1"/>
  <c r="H28" i="1" s="1"/>
  <c r="H29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<sst xmlns="http://schemas.openxmlformats.org/spreadsheetml/2006/main" count="237" uniqueCount="173">
  <si>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</si>
  <si>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</si>
  <si>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</si>
  <si>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</si>
  <si>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</si>
  <si>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</si>
  <si>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</si>
  <si>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</si>
  <si>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</si>
  <si>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</si>
  <si>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</si>
  <si>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</si>
  <si>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</si>
  <si>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</si>
  <si>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</si>
  <si>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</si>
  <si>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</si>
  <si>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</si>
  <si>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</si>
  <si>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</si>
  <si>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</si>
  <si>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</si>
  <si>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</si>
  <si>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</si>
  <si>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</si>
  <si>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</si>
  <si>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</si>
  <si>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</si>
  <si>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</si>
  <si>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</si>
  <si>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</si>
  <si>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</si>
  <si>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</si>
  <si>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</si>
  <si>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</si>
  <si>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</si>
  <si>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</si>
  <si>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</si>
  <si>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</si>
  <si>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</si>
  <si>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</si>
  <si>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</si>
  <si>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</si>
  <si>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</si>
  <si>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</si>
  <si>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</si>
  <si>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</si>
  <si>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</si>
  <si>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</si>
  <si>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</si>
  <si>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</si>
  <si>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</si>
  <si>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</si>
  <si>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</si>
  <si>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</si>
  <si>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</si>
  <si>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</si>
  <si>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</si>
  <si>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</si>
  <si>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</si>
  <si>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</si>
  <si>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</si>
  <si>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</si>
  <si>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</si>
  <si>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</si>
  <si>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</si>
  <si>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</si>
  <si>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</si>
  <si>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</si>
  <si>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</si>
  <si>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</si>
  <si>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</si>
  <si>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</si>
  <si>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</si>
  <si>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</si>
  <si>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</si>
  <si>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</si>
  <si>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</si>
  <si>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</si>
  <si>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</si>
  <si>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</si>
  <si>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</si>
  <si>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</si>
  <si>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</si>
  <si>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</si>
  <si>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</si>
  <si>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</si>
  <si>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</si>
  <si>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</si>
  <si>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</si>
  <si>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</si>
  <si>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</si>
  <si>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</si>
  <si>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</si>
  <si>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</si>
  <si>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</si>
  <si>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</si>
  <si>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</si>
  <si>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</si>
  <si>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</si>
  <si>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</si>
  <si>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</si>
  <si>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</si>
  <si>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</si>
  <si>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</si>
  <si>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</si>
  <si>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</si>
  <si>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</si>
  <si>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</si>
  <si>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</si>
  <si>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</si>
  <si>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</si>
  <si>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</si>
  <si>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</si>
  <si>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</si>
  <si>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</si>
  <si>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</si>
  <si>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</si>
  <si>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</si>
  <si>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</si>
  <si>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</si>
  <si>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</si>
  <si>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</si>
  <si>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</si>
  <si>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</si>
  <si>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</si>
  <si>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</si>
  <si>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</si>
  <si>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</si>
  <si>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</si>
  <si>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</si>
  <si>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</si>
  <si>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</si>
  <si>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</si>
  <si>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</si>
  <si>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</si>
  <si>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</si>
  <si>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</si>
  <si>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</si>
  <si>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</si>
  <si>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</si>
  <si>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</si>
  <si>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</si>
  <si>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</si>
  <si>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</si>
  <si>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</si>
  <si>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</si>
  <si>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</si>
  <si>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</si>
  <si>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</si>
  <si>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</si>
  <si>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</si>
  <si>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</si>
  <si>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</si>
  <si>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</si>
  <si>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</si>
  <si>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</si>
  <si>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</si>
  <si>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</si>
  <si>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</si>
  <si>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</si>
  <si>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</si>
  <si>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</si>
  <si>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</si>
  <si>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</si>
  <si>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</si>
  <si>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5 DIAS HABILES</t>
  </si>
  <si>
    <t xml:space="preserve">TAPACANTO PVC </t>
  </si>
  <si>
    <t>FRANCISCO BAEZA</t>
  </si>
  <si>
    <t>+569 9789 9304</t>
  </si>
  <si>
    <t>CUB CON RESPALDO 90°</t>
  </si>
  <si>
    <t>N° 11372</t>
  </si>
  <si>
    <t>VAINILLA 2109 LEGNO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</si>
</sst>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16" xfId="0" quotePrefix="1" applyFont="1" applyBorder="1" applyAlignment="1">
      <alignment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6" zoomScale="93" zoomScaleNormal="93" workbookViewId="0">
      <selection activeCell="A16" sqref="A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7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168</v>
      </c>
      <c r="D10" s="243"/>
      <c r="E10" s="243"/>
      <c r="F10" s="244" t="s">
        <v>0</v>
      </c>
      <c r="G10" s="277">
        <v>45743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2" t="s">
        <v>169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91801.295565358712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170</v>
      </c>
      <c r="D21" s="326">
        <v>1.79</v>
      </c>
      <c r="E21" s="326">
        <v>0.61</v>
      </c>
      <c r="F21" s="325" t="s">
        <v>172</v>
      </c>
      <c r="G21" s="327">
        <v>107718</v>
      </c>
      <c r="H21" s="327">
        <f>G21*B21</f>
        <v>107718</v>
      </c>
      <c r="I21" s="265"/>
      <c r="J21" s="47"/>
      <c r="K21" s="329">
        <f>B21</f>
        <v>1</v>
      </c>
      <c r="L21" s="39">
        <f>D21+L$19</f>
        <v>1.87</v>
      </c>
      <c r="M21" s="39">
        <f>E21+M$19</f>
        <v>0.61</v>
      </c>
      <c r="N21" s="261">
        <f t="shared" ref="N21" si="0">L21*M21</f>
        <v>1.1407</v>
      </c>
      <c r="O21" s="259">
        <f t="shared" ref="O21" si="1">N21*K21</f>
        <v>1.1407</v>
      </c>
      <c r="P21" s="252">
        <f t="shared" ref="P21" si="2">P$20*N21</f>
        <v>104717.73785140469</v>
      </c>
      <c r="Q21" s="328">
        <f t="shared" ref="Q21" si="3">P21+Q$20</f>
        <v>107717.73785140469</v>
      </c>
      <c r="R21" s="298">
        <f>L21*K21*2</f>
        <v>3.74</v>
      </c>
      <c r="S21" s="46">
        <f>M21*2*K21</f>
        <v>1.22</v>
      </c>
      <c r="T21" s="9"/>
      <c r="W21" s="4"/>
    </row>
    <row r="22" spans="2:24" ht="17.399999999999999" x14ac:dyDescent="0.3">
      <c r="B22" s="325">
        <v>1</v>
      </c>
      <c r="C22" s="325" t="s">
        <v>170</v>
      </c>
      <c r="D22" s="326">
        <v>2.9249999999999998</v>
      </c>
      <c r="E22" s="326">
        <v>0.61</v>
      </c>
      <c r="F22" s="325" t="s">
        <v>172</v>
      </c>
      <c r="G22" s="327">
        <v>171276</v>
      </c>
      <c r="H22" s="327">
        <f t="shared" ref="H22:H25" si="4">G22*B22</f>
        <v>171276</v>
      </c>
      <c r="I22" s="265"/>
      <c r="J22" s="47"/>
      <c r="K22" s="329">
        <f t="shared" ref="K22:K25" si="5">B22</f>
        <v>1</v>
      </c>
      <c r="L22" s="39">
        <f t="shared" ref="L22:L25" si="6">D22+L$19</f>
        <v>3.0049999999999999</v>
      </c>
      <c r="M22" s="39">
        <f t="shared" ref="M22:M25" si="7">E22+M$19</f>
        <v>0.61</v>
      </c>
      <c r="N22" s="261">
        <f t="shared" ref="N22:N25" si="8">L22*M22</f>
        <v>1.8330499999999998</v>
      </c>
      <c r="O22" s="259">
        <f t="shared" ref="O22:O25" si="9">N22*K22</f>
        <v>1.8330499999999998</v>
      </c>
      <c r="P22" s="252">
        <f t="shared" ref="P22:P25" si="10">P$20*N22</f>
        <v>168276.36483608079</v>
      </c>
      <c r="Q22" s="328">
        <f t="shared" ref="Q22:Q25" si="11">P22+Q$20</f>
        <v>171276.36483608079</v>
      </c>
      <c r="R22" s="298">
        <f t="shared" ref="R22:R25" si="12">L22*K22*2</f>
        <v>6.01</v>
      </c>
      <c r="S22" s="46"/>
      <c r="T22" s="9"/>
      <c r="W22" s="4"/>
    </row>
    <row r="23" spans="2:24" ht="17.399999999999999" x14ac:dyDescent="0.3">
      <c r="B23" s="325">
        <v>1</v>
      </c>
      <c r="C23" s="325" t="s">
        <v>170</v>
      </c>
      <c r="D23" s="326">
        <v>0.43</v>
      </c>
      <c r="E23" s="326">
        <v>0.61</v>
      </c>
      <c r="F23" s="325" t="s">
        <v>172</v>
      </c>
      <c r="G23" s="327">
        <v>31559</v>
      </c>
      <c r="H23" s="327">
        <f t="shared" si="4"/>
        <v>31559</v>
      </c>
      <c r="I23" s="265"/>
      <c r="J23" s="47"/>
      <c r="K23" s="329">
        <f t="shared" si="5"/>
        <v>1</v>
      </c>
      <c r="L23" s="39">
        <f t="shared" si="6"/>
        <v>0.51</v>
      </c>
      <c r="M23" s="39">
        <f t="shared" si="7"/>
        <v>0.61</v>
      </c>
      <c r="N23" s="261">
        <f t="shared" si="8"/>
        <v>0.31109999999999999</v>
      </c>
      <c r="O23" s="259">
        <f t="shared" si="9"/>
        <v>0.31109999999999999</v>
      </c>
      <c r="P23" s="252">
        <f t="shared" si="10"/>
        <v>28559.383050383094</v>
      </c>
      <c r="Q23" s="328">
        <f t="shared" si="11"/>
        <v>31559.383050383094</v>
      </c>
      <c r="R23" s="298">
        <f t="shared" si="12"/>
        <v>1.02</v>
      </c>
      <c r="S23" s="46"/>
      <c r="T23" s="9"/>
      <c r="W23" s="4"/>
    </row>
    <row r="24" spans="2:24" ht="17.399999999999999" x14ac:dyDescent="0.3">
      <c r="B24" s="325">
        <v>1</v>
      </c>
      <c r="C24" s="325" t="s">
        <v>170</v>
      </c>
      <c r="D24" s="326">
        <v>1.4650000000000001</v>
      </c>
      <c r="E24" s="326">
        <v>0.52</v>
      </c>
      <c r="F24" s="325" t="s">
        <v>172</v>
      </c>
      <c r="G24" s="327">
        <v>76753</v>
      </c>
      <c r="H24" s="327">
        <f t="shared" si="4"/>
        <v>76753</v>
      </c>
      <c r="I24" s="265"/>
      <c r="J24" s="47"/>
      <c r="K24" s="329">
        <f t="shared" si="5"/>
        <v>1</v>
      </c>
      <c r="L24" s="39">
        <f t="shared" si="6"/>
        <v>1.5450000000000002</v>
      </c>
      <c r="M24" s="39">
        <f t="shared" si="7"/>
        <v>0.52</v>
      </c>
      <c r="N24" s="261">
        <f t="shared" si="8"/>
        <v>0.80340000000000011</v>
      </c>
      <c r="O24" s="259">
        <f t="shared" si="9"/>
        <v>0.80340000000000011</v>
      </c>
      <c r="P24" s="252">
        <f t="shared" si="10"/>
        <v>73753.160857209194</v>
      </c>
      <c r="Q24" s="328">
        <f t="shared" si="11"/>
        <v>76753.160857209194</v>
      </c>
      <c r="R24" s="298">
        <f t="shared" si="12"/>
        <v>3.0900000000000003</v>
      </c>
      <c r="S24" s="46"/>
      <c r="T24" s="9"/>
      <c r="W24" s="4"/>
    </row>
    <row r="25" spans="2:24" ht="17.399999999999999" x14ac:dyDescent="0.3">
      <c r="B25" s="325">
        <v>1</v>
      </c>
      <c r="C25" s="325" t="s">
        <v>170</v>
      </c>
      <c r="D25" s="326">
        <v>0.54500000000000004</v>
      </c>
      <c r="E25" s="326">
        <v>0.35</v>
      </c>
      <c r="F25" s="325" t="s">
        <v>172</v>
      </c>
      <c r="G25" s="327">
        <v>23082</v>
      </c>
      <c r="H25" s="327">
        <f t="shared" si="4"/>
        <v>23082</v>
      </c>
      <c r="I25" s="265"/>
      <c r="J25" s="47"/>
      <c r="K25" s="329">
        <f t="shared" si="5"/>
        <v>1</v>
      </c>
      <c r="L25" s="39">
        <f t="shared" si="6"/>
        <v>0.625</v>
      </c>
      <c r="M25" s="39">
        <f t="shared" si="7"/>
        <v>0.35</v>
      </c>
      <c r="N25" s="261">
        <f t="shared" si="8"/>
        <v>0.21875</v>
      </c>
      <c r="O25" s="259">
        <f t="shared" si="9"/>
        <v>0.21875</v>
      </c>
      <c r="P25" s="252">
        <f t="shared" si="10"/>
        <v>20081.533404922218</v>
      </c>
      <c r="Q25" s="328">
        <f t="shared" si="11"/>
        <v>23081.533404922218</v>
      </c>
      <c r="R25" s="298">
        <f t="shared" si="12"/>
        <v>1.25</v>
      </c>
      <c r="S25" s="46"/>
      <c r="T25" s="9"/>
      <c r="W25" s="4"/>
    </row>
    <row r="26" spans="2:24" ht="17.399999999999999" x14ac:dyDescent="0.3">
      <c r="B26" s="286"/>
      <c r="C26" s="331"/>
      <c r="D26" s="287"/>
      <c r="E26" s="287"/>
      <c r="F26" s="286"/>
      <c r="G26" s="330"/>
      <c r="H26" s="330"/>
      <c r="I26" s="265"/>
      <c r="J26" s="47"/>
      <c r="K26" s="329"/>
      <c r="L26" s="39"/>
      <c r="M26" s="39"/>
      <c r="N26" s="261"/>
      <c r="O26" s="259"/>
      <c r="P26" s="252"/>
      <c r="Q26" s="328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>
        <v>0</v>
      </c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410388</v>
      </c>
      <c r="I28" s="265"/>
      <c r="J28" s="47"/>
      <c r="K28" s="47"/>
      <c r="L28" s="39">
        <f>SUM(L21:L25)</f>
        <v>7.5549999999999997</v>
      </c>
      <c r="M28" s="39"/>
      <c r="N28" s="261"/>
      <c r="O28" s="259"/>
      <c r="P28" s="252"/>
      <c r="Q28" s="258"/>
      <c r="R28" s="298"/>
      <c r="S28" s="46">
        <f>SUM(S21:S27)</f>
        <v>1.22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77973.72</v>
      </c>
      <c r="I29" s="265"/>
      <c r="J29" s="47"/>
      <c r="K29" s="47"/>
      <c r="L29" s="39"/>
      <c r="M29" s="12"/>
      <c r="N29" s="12"/>
      <c r="O29" s="253">
        <f>SUM(O21:O26)</f>
        <v>4.3070000000000004</v>
      </c>
      <c r="P29" s="14"/>
      <c r="Q29" s="12"/>
      <c r="R29" s="239"/>
      <c r="S29" s="46">
        <f>S28*20%</f>
        <v>0.24399999999999999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488361.72</v>
      </c>
      <c r="I30" s="265"/>
      <c r="J30" s="47"/>
      <c r="K30" s="47"/>
      <c r="L30" s="39"/>
      <c r="M30" s="12"/>
      <c r="N30" s="12"/>
      <c r="O30" s="253">
        <f>O29</f>
        <v>4.3070000000000004</v>
      </c>
      <c r="P30" s="14"/>
      <c r="Q30" s="12"/>
      <c r="R30" s="239">
        <f>SUM(R21:R29)</f>
        <v>15.11</v>
      </c>
      <c r="S30" s="46">
        <f>S28+S29</f>
        <v>1.464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0.86140000000000017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5.1684000000000001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152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5.1684000000000001</v>
      </c>
      <c r="M34" s="12">
        <v>3500</v>
      </c>
      <c r="N34" s="12">
        <f t="shared" ref="N34:N39" si="13">L34*M34</f>
        <v>18089.400000000001</v>
      </c>
      <c r="O34" s="14" t="s">
        <v>22</v>
      </c>
      <c r="P34" s="14"/>
      <c r="Q34" s="14"/>
      <c r="R34" s="241"/>
      <c r="S34" s="14"/>
      <c r="T34" s="305" t="s">
        <v>153</v>
      </c>
      <c r="U34" s="302">
        <v>3625</v>
      </c>
      <c r="V34" s="59" t="s">
        <v>154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1.5</v>
      </c>
      <c r="M35" s="12">
        <v>25000</v>
      </c>
      <c r="N35" s="12">
        <f t="shared" si="13"/>
        <v>37500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155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68300</v>
      </c>
      <c r="N36" s="12">
        <f t="shared" si="1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156</v>
      </c>
      <c r="W36" s="59"/>
    </row>
    <row r="37" spans="2:23" s="230" customFormat="1" ht="17.399999999999999" x14ac:dyDescent="0.35">
      <c r="B37" s="24" t="s">
        <v>151</v>
      </c>
      <c r="I37" s="262"/>
      <c r="J37" s="232"/>
      <c r="K37" s="250"/>
      <c r="L37" s="14">
        <v>3</v>
      </c>
      <c r="M37" s="250">
        <v>37600</v>
      </c>
      <c r="N37" s="12">
        <f t="shared" si="13"/>
        <v>112800</v>
      </c>
      <c r="O37" s="14" t="s">
        <v>167</v>
      </c>
      <c r="P37" s="17"/>
      <c r="R37" s="238"/>
      <c r="S37" s="256"/>
      <c r="T37" s="59"/>
      <c r="U37" s="59">
        <f>U35+U36</f>
        <v>1087.5</v>
      </c>
      <c r="V37" s="307" t="s">
        <v>157</v>
      </c>
      <c r="W37" s="59"/>
    </row>
    <row r="38" spans="2:23" s="230" customFormat="1" ht="17.399999999999999" x14ac:dyDescent="0.35">
      <c r="B38" s="24" t="s">
        <v>144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3"/>
        <v>0</v>
      </c>
      <c r="O38" s="14" t="s">
        <v>33</v>
      </c>
      <c r="P38" s="14"/>
      <c r="Q38" s="230">
        <v>1.83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>
        <v>7.5549999999999997</v>
      </c>
      <c r="M39" s="12">
        <v>1500</v>
      </c>
      <c r="N39" s="12">
        <f t="shared" si="13"/>
        <v>11332.5</v>
      </c>
      <c r="O39" s="14" t="s">
        <v>23</v>
      </c>
      <c r="P39" s="14"/>
      <c r="Q39">
        <v>2.5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179721.9</v>
      </c>
      <c r="O40" s="39" t="s">
        <v>24</v>
      </c>
      <c r="P40" s="14"/>
      <c r="Q40">
        <f>Q38*Q39</f>
        <v>4.5750000000000002</v>
      </c>
      <c r="R40"/>
      <c r="S40" s="238"/>
      <c r="W40" s="231"/>
    </row>
    <row r="41" spans="2:23" s="230" customFormat="1" ht="17.399999999999999" x14ac:dyDescent="0.35">
      <c r="J41" s="230">
        <v>44669</v>
      </c>
      <c r="K41" s="250"/>
      <c r="L41" s="254" t="s">
        <v>34</v>
      </c>
      <c r="M41" s="12"/>
      <c r="N41" s="255">
        <f>N40*2.2</f>
        <v>395388.18</v>
      </c>
      <c r="O41" s="14" t="s">
        <v>141</v>
      </c>
      <c r="P41" s="14"/>
      <c r="Q41" s="40">
        <f>O32/Q40</f>
        <v>1.1297049180327869</v>
      </c>
      <c r="R41"/>
      <c r="S41" s="257"/>
    </row>
    <row r="42" spans="2:23" s="230" customFormat="1" ht="17.399999999999999" x14ac:dyDescent="0.35">
      <c r="G42"/>
      <c r="H42" s="260"/>
      <c r="J42" s="230">
        <f>J41/1.19</f>
        <v>37536.97478991597</v>
      </c>
      <c r="K42" s="250">
        <v>0</v>
      </c>
      <c r="L42" s="14"/>
      <c r="M42" s="12"/>
      <c r="N42" s="12">
        <f>N41/O30</f>
        <v>91801.295565358712</v>
      </c>
      <c r="O42" s="45" t="s">
        <v>25</v>
      </c>
      <c r="P42" s="14"/>
      <c r="Q42" s="14"/>
      <c r="R42"/>
      <c r="S42" s="238"/>
      <c r="T42" s="59" t="s">
        <v>158</v>
      </c>
      <c r="U42" s="302">
        <v>43650</v>
      </c>
    </row>
    <row r="43" spans="2:23" s="230" customFormat="1" ht="17.399999999999999" x14ac:dyDescent="0.35">
      <c r="G43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160</v>
      </c>
      <c r="U43" s="303" t="s">
        <v>159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161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156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148</v>
      </c>
    </row>
    <row r="78" spans="3:14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45743</v>
      </c>
    </row>
    <row r="6" spans="2:31" ht="16.2" thickBot="1" x14ac:dyDescent="0.35">
      <c r="B6" s="140" t="s">
        <v>2</v>
      </c>
      <c r="C6" s="139" t="str">
        <f>'2229'!C10</f>
        <v>FRANCISCO BAEZA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-44906.540033454105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410388</v>
      </c>
      <c r="E11" s="132">
        <f>D11*0.19</f>
        <v>77973.72</v>
      </c>
      <c r="F11" s="131">
        <f>E11+D11</f>
        <v>488361.72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61083.459966545895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85423.490787439616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43083.459966545895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324964.50921256037</v>
      </c>
      <c r="E13" s="221">
        <f>(D11/D12)-1</f>
        <v>3.8041586244839118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34083.459966545895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-4916.5400334541046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140948.75979927537</v>
      </c>
      <c r="F15" s="216">
        <f>E15-D12</f>
        <v>55525.269011835757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-4916.5400334541046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35083.459966545895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18089.400000000001</v>
      </c>
      <c r="E20" s="121">
        <f>D20*0.19</f>
        <v>3436.9860000000003</v>
      </c>
      <c r="F20" s="120">
        <f>SUM(D20:E20)</f>
        <v>21526.386000000002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55589.4</v>
      </c>
      <c r="E21" s="116">
        <f>SUM(E18:E20)</f>
        <v>10561.986000000001</v>
      </c>
      <c r="F21" s="115">
        <f>SUM(F18:F20)</f>
        <v>66151.385999999999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67411.733999999997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410388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55589.4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324964.50921256037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324964.50921256037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2025-03-27T14:14:27Z</dcterms:modified>
</cp:coreProperties>
</file>