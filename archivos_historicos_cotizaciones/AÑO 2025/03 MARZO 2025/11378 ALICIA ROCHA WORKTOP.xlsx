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99245D77-528B-49AC-B254-BC4969524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 s="1"/>
  <c r="O22" i="1" s="1"/>
  <c r="R22" i="1"/>
  <c r="H22" i="1"/>
  <c r="H21" i="1"/>
  <c r="K21" i="1"/>
  <c r="J40" i="1" l="1"/>
  <c r="L21" i="1"/>
  <c r="R21" i="1" s="1"/>
  <c r="M21" i="1"/>
  <c r="L25" i="1" l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5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<sst xmlns="http://schemas.openxmlformats.org/spreadsheetml/2006/main" count="233" uniqueCount="176">
  <si>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</si>
  <si>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</si>
  <si>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</si>
  <si>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</si>
  <si>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</si>
  <si>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</si>
  <si>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</si>
  <si>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</si>
  <si>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</si>
  <si>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</si>
  <si>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</si>
  <si>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</si>
  <si>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</si>
  <si>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</si>
  <si>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</si>
  <si>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</si>
  <si>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</si>
  <si>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</si>
  <si>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</si>
  <si>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</si>
  <si>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</si>
  <si>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</si>
  <si>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</si>
  <si>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</si>
  <si>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</si>
  <si>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</si>
  <si>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</si>
  <si>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</si>
  <si>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</si>
  <si>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</si>
  <si>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</si>
  <si>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</si>
  <si>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</si>
  <si>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</si>
  <si>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</si>
  <si>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</si>
  <si>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</si>
  <si>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</si>
  <si>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</si>
  <si>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</si>
  <si>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</si>
  <si>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</si>
  <si>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</si>
  <si>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</si>
  <si>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</si>
  <si>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</si>
  <si>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</si>
  <si>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</si>
  <si>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</si>
  <si>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</si>
  <si>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</si>
  <si>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</si>
  <si>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</si>
  <si>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</si>
  <si>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</si>
  <si>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</si>
  <si>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</si>
  <si>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</si>
  <si>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</si>
  <si>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</si>
  <si>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</si>
  <si>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</si>
  <si>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</si>
  <si>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</si>
  <si>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</si>
  <si>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</si>
  <si>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</si>
  <si>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</si>
  <si>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</si>
  <si>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</si>
  <si>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</si>
  <si>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</si>
  <si>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</si>
  <si>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</si>
  <si>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</si>
  <si>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</si>
  <si>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</si>
  <si>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</si>
  <si>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</si>
  <si>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</si>
  <si>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</si>
  <si>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</si>
  <si>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</si>
  <si>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</si>
  <si>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</si>
  <si>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</si>
  <si>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</si>
  <si>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</si>
  <si>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</si>
  <si>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</si>
  <si>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</si>
  <si>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</si>
  <si>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</si>
  <si>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</si>
  <si>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</si>
  <si>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</si>
  <si>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</si>
  <si>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</si>
  <si>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</si>
  <si>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</si>
  <si>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</si>
  <si>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</si>
  <si>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</si>
  <si>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</si>
  <si>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</si>
  <si>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</si>
  <si>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</si>
  <si>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</si>
  <si>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</si>
  <si>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</si>
  <si>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</si>
  <si>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</si>
  <si>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</si>
  <si>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</si>
  <si>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</si>
  <si>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</si>
  <si>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</si>
  <si>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</si>
  <si>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</si>
  <si>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</si>
  <si>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</si>
  <si>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</si>
  <si>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</si>
  <si>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</si>
  <si>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</si>
  <si>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</si>
  <si>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</si>
  <si>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</si>
  <si>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</si>
  <si>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</si>
  <si>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</si>
  <si>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</si>
  <si>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</si>
  <si>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</si>
  <si>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</si>
  <si>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</si>
  <si>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</si>
  <si>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</si>
  <si>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</si>
  <si>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</si>
  <si>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</si>
  <si>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</si>
  <si>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</si>
  <si>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</si>
  <si>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</si>
  <si>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</si>
  <si>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</si>
  <si>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</si>
  <si>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</si>
  <si>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</si>
  <si>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</si>
  <si>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</si>
  <si>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</si>
  <si>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</si>
  <si>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</si>
  <si>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</si>
  <si>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</si>
  <si>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</si>
  <si>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</si>
  <si>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</si>
  <si>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</si>
  <si>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</si>
  <si>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</si>
  <si>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</si>
  <si>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</si>
  <si>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</si>
  <si>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</si>
  <si>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</si>
  <si>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11378</t>
  </si>
  <si>
    <t>ALICIA ROCHA</t>
  </si>
  <si>
    <t>569 9537 9899</t>
  </si>
  <si>
    <t>PJE NIDO DE AGUILA 1294 MAIPU</t>
  </si>
  <si>
    <t>10 DIAS HABILES</t>
  </si>
  <si>
    <t>SI</t>
  </si>
  <si>
    <t>BLANCO CARRARA</t>
  </si>
  <si>
    <t>CUBIERTA WORKTOP  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</si>
</sst>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RESPALDO DE 6 CMS DE ALTURA, INCLUYE DESFONDADO LAVAPLATOS E INCIMERA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D39" sqref="D3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173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171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8" t="s">
        <v>167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371941.99306631257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42">
        <v>1</v>
      </c>
      <c r="C21" s="343" t="s">
        <v>175</v>
      </c>
      <c r="D21" s="344">
        <v>1.405</v>
      </c>
      <c r="E21" s="344">
        <v>1.3</v>
      </c>
      <c r="F21" s="343" t="s">
        <v>174</v>
      </c>
      <c r="G21" s="345">
        <v>745651</v>
      </c>
      <c r="H21" s="346">
        <f t="shared" ref="H21" si="1">G21*B21</f>
        <v>745651</v>
      </c>
      <c r="I21" s="265"/>
      <c r="J21" s="47"/>
      <c r="K21" s="324">
        <f t="shared" ref="K21" si="2">B21</f>
        <v>1</v>
      </c>
      <c r="L21" s="325">
        <f t="shared" ref="L21" si="3">D21+L$19</f>
        <v>1.4850000000000001</v>
      </c>
      <c r="M21" s="325">
        <f t="shared" ref="M21" si="4">E21+M$19</f>
        <v>1.35</v>
      </c>
      <c r="N21" s="261">
        <f t="shared" ref="N21" si="5">L21*M21</f>
        <v>2.0047500000000005</v>
      </c>
      <c r="O21" s="259">
        <f t="shared" ref="O21" si="6">N21*K21</f>
        <v>2.0047500000000005</v>
      </c>
      <c r="P21" s="252">
        <f>P$20*N21</f>
        <v>745650.71059969033</v>
      </c>
      <c r="Q21" s="258">
        <f t="shared" ref="Q21" si="7">P21+Q$20</f>
        <v>748650.71059969033</v>
      </c>
      <c r="R21" s="308">
        <f>L21*K21</f>
        <v>1.4850000000000001</v>
      </c>
      <c r="S21" s="46">
        <f>M21*K21*2</f>
        <v>2.7</v>
      </c>
      <c r="T21" s="9"/>
      <c r="W21" s="4"/>
    </row>
    <row r="22" spans="2:24" ht="17.399999999999999" x14ac:dyDescent="0.3">
      <c r="B22" s="347">
        <v>1</v>
      </c>
      <c r="C22" s="347" t="s">
        <v>175</v>
      </c>
      <c r="D22" s="348">
        <v>2.0499999999999998</v>
      </c>
      <c r="E22" s="348">
        <v>0.6</v>
      </c>
      <c r="F22" s="347" t="s">
        <v>174</v>
      </c>
      <c r="G22" s="349">
        <v>514954</v>
      </c>
      <c r="H22" s="349">
        <f t="shared" ref="H22" si="8">G22*B22</f>
        <v>514954</v>
      </c>
      <c r="I22" s="265"/>
      <c r="J22" s="47"/>
      <c r="K22" s="324">
        <f t="shared" ref="K22" si="9">B22</f>
        <v>1</v>
      </c>
      <c r="L22" s="325">
        <f t="shared" ref="L22" si="10">D22+L$19</f>
        <v>2.13</v>
      </c>
      <c r="M22" s="325">
        <f t="shared" ref="M22" si="11">E22+M$19</f>
        <v>0.65</v>
      </c>
      <c r="N22" s="261">
        <f t="shared" ref="N22" si="12">L22*M22</f>
        <v>1.3845000000000001</v>
      </c>
      <c r="O22" s="259">
        <f t="shared" ref="O22" si="13">N22*K22</f>
        <v>1.3845000000000001</v>
      </c>
      <c r="P22" s="252">
        <f>P$20*N22</f>
        <v>514953.68940030976</v>
      </c>
      <c r="Q22" s="258">
        <f t="shared" ref="Q22" si="14">P22+Q$20</f>
        <v>517953.68940030976</v>
      </c>
      <c r="R22" s="308">
        <f>L22*K22</f>
        <v>2.13</v>
      </c>
      <c r="S22" s="46"/>
      <c r="T22" s="9"/>
      <c r="W22" s="4"/>
    </row>
    <row r="23" spans="2:24" ht="17.399999999999999" x14ac:dyDescent="0.3">
      <c r="B23" s="340"/>
      <c r="C23" s="340"/>
      <c r="D23" s="341"/>
      <c r="E23" s="341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1260605</v>
      </c>
      <c r="I25" s="265"/>
      <c r="J25" s="47"/>
      <c r="K25" s="47"/>
      <c r="L25" s="39">
        <f>SUM(L21:L24)</f>
        <v>3.6150000000000002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/>
      <c r="I26" s="265"/>
      <c r="J26" s="47"/>
      <c r="K26" s="47"/>
      <c r="L26" s="39"/>
      <c r="M26" s="12"/>
      <c r="N26" s="12"/>
      <c r="O26" s="253">
        <f>SUM(O21:O22)</f>
        <v>3.3892500000000005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1260605</v>
      </c>
      <c r="I27" s="265"/>
      <c r="J27" s="47"/>
      <c r="K27" s="47"/>
      <c r="L27" s="39"/>
      <c r="M27" s="12"/>
      <c r="N27" s="12"/>
      <c r="O27" s="253">
        <f>O26</f>
        <v>3.3892500000000005</v>
      </c>
      <c r="P27" s="14"/>
      <c r="Q27" s="12"/>
      <c r="R27" s="239">
        <f>SUM(R21:R26)</f>
        <v>3.6150000000000002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0.67785000000000017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4.0671000000000008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/>
      <c r="M31" s="12">
        <v>3500</v>
      </c>
      <c r="N31" s="12">
        <f t="shared" ref="N31:N36" si="15">L31*M31</f>
        <v>0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/>
      <c r="M32" s="12">
        <v>25000</v>
      </c>
      <c r="N32" s="12">
        <f t="shared" si="15"/>
        <v>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573002</v>
      </c>
      <c r="N33" s="12">
        <f t="shared" si="15"/>
        <v>573002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51185</v>
      </c>
      <c r="N34" s="12">
        <f t="shared" si="15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5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/>
      <c r="M36" s="12">
        <v>1500</v>
      </c>
      <c r="N36" s="12">
        <f t="shared" si="15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573002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1260604.4000000001</v>
      </c>
      <c r="O38" s="14" t="s">
        <v>141</v>
      </c>
      <c r="P38" s="14"/>
      <c r="Q38" s="40">
        <f>O29/Q37</f>
        <v>1.0966080672993963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60910</v>
      </c>
      <c r="K39" s="250"/>
      <c r="L39" s="14"/>
      <c r="M39" s="12"/>
      <c r="N39" s="12">
        <f>N38/O27</f>
        <v>371941.99306631257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51184.873949579836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45747</v>
      </c>
    </row>
    <row r="6" spans="2:31" ht="16.2" thickBot="1" x14ac:dyDescent="0.35">
      <c r="B6" s="140" t="s">
        <v>2</v>
      </c>
      <c r="C6" s="139" t="str">
        <f>'2229'!C10</f>
        <v>ALICIA ROCHA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-44320.908366787444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1260605</v>
      </c>
      <c r="E11" s="132">
        <f>D11*0.19</f>
        <v>239514.95</v>
      </c>
      <c r="F11" s="131">
        <f>E11+D11</f>
        <v>1500119.95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61669.091633212556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602836.09078743961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43669.091633212556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657768.90921256039</v>
      </c>
      <c r="E13" s="221">
        <f>(D11/D12)-1</f>
        <v>1.0911239709509863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34669.091633212556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-4330.9083667874438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994679.54979927535</v>
      </c>
      <c r="F15" s="216">
        <f>E15-D12</f>
        <v>391843.45901183574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-4330.9083667874438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35669.091633212556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573002</v>
      </c>
      <c r="E18" s="123">
        <f>D18*0.19</f>
        <v>108870.38</v>
      </c>
      <c r="F18" s="120">
        <f>SUM(D18:E18)</f>
        <v>681872.38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573002</v>
      </c>
      <c r="E21" s="116">
        <f>SUM(E18:E20)</f>
        <v>108870.38</v>
      </c>
      <c r="F21" s="115">
        <f>SUM(F18:F20)</f>
        <v>681872.38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130644.57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1260605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573002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657768.90921256039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657768.90921256039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2025-03-31T19:34:23Z</dcterms:modified>
</cp:coreProperties>
</file>