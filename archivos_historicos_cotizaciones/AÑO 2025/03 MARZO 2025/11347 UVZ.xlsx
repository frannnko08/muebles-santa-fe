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0A5BEC1A-18B6-4CA2-812B-16C97E4E2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<sst xmlns="http://schemas.openxmlformats.org/spreadsheetml/2006/main" count="231" uniqueCount="175">
  <si>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</si>
  <si>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</si>
  <si>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</si>
  <si>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</si>
  <si>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</si>
  <si>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</si>
  <si>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</si>
  <si>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</si>
  <si>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</si>
  <si>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</si>
  <si>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</si>
  <si>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</si>
  <si>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</si>
  <si>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</si>
  <si>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</si>
  <si>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</si>
  <si>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</si>
  <si>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</si>
  <si>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</si>
  <si>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</si>
  <si>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</si>
  <si>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</si>
  <si>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</si>
  <si>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</si>
  <si>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</si>
  <si>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</si>
  <si>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</si>
  <si>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</si>
  <si>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</si>
  <si>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</si>
  <si>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</si>
  <si>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</si>
  <si>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</si>
  <si>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</si>
  <si>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</si>
  <si>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</si>
  <si>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</si>
  <si>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</si>
  <si>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</si>
  <si>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</si>
  <si>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</si>
  <si>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</si>
  <si>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</si>
  <si>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</si>
  <si>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</si>
  <si>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</si>
  <si>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</si>
  <si>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</si>
  <si>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</si>
  <si>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</si>
  <si>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</si>
  <si>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</si>
  <si>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</si>
  <si>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</si>
  <si>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</si>
  <si>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</si>
  <si>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</si>
  <si>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</si>
  <si>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</si>
  <si>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</si>
  <si>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</si>
  <si>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</si>
  <si>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</si>
  <si>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</si>
  <si>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</si>
  <si>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</si>
  <si>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</si>
  <si>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</si>
  <si>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</si>
  <si>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</si>
  <si>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</si>
  <si>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</si>
  <si>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</si>
  <si>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</si>
  <si>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</si>
  <si>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</si>
  <si>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</si>
  <si>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</si>
  <si>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</si>
  <si>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</si>
  <si>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</si>
  <si>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</si>
  <si>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</si>
  <si>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</si>
  <si>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</si>
  <si>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</si>
  <si>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</si>
  <si>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</si>
  <si>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</si>
  <si>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</si>
  <si>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</si>
  <si>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</si>
  <si>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</si>
  <si>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</si>
  <si>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</si>
  <si>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</si>
  <si>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</si>
  <si>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</si>
  <si>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</si>
  <si>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</si>
  <si>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</si>
  <si>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</si>
  <si>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</si>
  <si>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</si>
  <si>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</si>
  <si>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</si>
  <si>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</si>
  <si>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</si>
  <si>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</si>
  <si>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</si>
  <si>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</si>
  <si>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</si>
  <si>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</si>
  <si>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</si>
  <si>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</si>
  <si>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</si>
  <si>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</si>
  <si>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</si>
  <si>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</si>
  <si>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</si>
  <si>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</si>
  <si>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</si>
  <si>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</si>
  <si>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</si>
  <si>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</si>
  <si>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</si>
  <si>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</si>
  <si>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</si>
  <si>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</si>
  <si>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</si>
  <si>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</si>
  <si>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</si>
  <si>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</si>
  <si>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</si>
  <si>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</si>
  <si>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</si>
  <si>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</si>
  <si>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</si>
  <si>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</si>
  <si>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</si>
  <si>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</si>
  <si>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</si>
  <si>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</si>
  <si>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</si>
  <si>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</si>
  <si>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</si>
  <si>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</si>
  <si>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</si>
  <si>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</si>
  <si>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</si>
  <si>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</si>
  <si>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</si>
  <si>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</si>
  <si>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</si>
  <si>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</si>
  <si>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</si>
  <si>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</si>
  <si>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</si>
  <si>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</si>
  <si>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</si>
  <si>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</si>
  <si>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</si>
  <si>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</si>
  <si>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</si>
  <si>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</si>
  <si>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</si>
  <si>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</si>
  <si>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</si>
  <si>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</si>
  <si>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UVZ</t>
  </si>
  <si>
    <t>RAMON SALINAS</t>
  </si>
  <si>
    <t>569 42714183</t>
  </si>
  <si>
    <t>GALAXIA GRAFITO 0491 MT</t>
  </si>
  <si>
    <t>N° 11347</t>
  </si>
  <si>
    <t>CUB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</si>
</sst>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5CMS SOBRE LA BASE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45733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106648.17512592018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1</v>
      </c>
      <c r="C21" s="332" t="s">
        <v>174</v>
      </c>
      <c r="D21" s="333">
        <v>0.81</v>
      </c>
      <c r="E21" s="333">
        <v>0.53</v>
      </c>
      <c r="F21" s="332" t="s">
        <v>172</v>
      </c>
      <c r="G21" s="322">
        <v>58052</v>
      </c>
      <c r="H21" s="323">
        <f t="shared" ref="H21" si="1">G21*B21</f>
        <v>58052</v>
      </c>
      <c r="I21" s="265"/>
      <c r="J21" s="47"/>
      <c r="K21" s="326">
        <f t="shared" ref="K21" si="2">B21</f>
        <v>1</v>
      </c>
      <c r="L21" s="327">
        <f t="shared" ref="L21" si="3">D21+L$19</f>
        <v>0.89</v>
      </c>
      <c r="M21" s="327">
        <f t="shared" ref="M21" si="4">E21+M$19</f>
        <v>0.58000000000000007</v>
      </c>
      <c r="N21" s="261">
        <f t="shared" ref="N21" si="5">L21*M21</f>
        <v>0.5162000000000001</v>
      </c>
      <c r="O21" s="259">
        <f t="shared" ref="O21" si="6">N21*K21</f>
        <v>0.5162000000000001</v>
      </c>
      <c r="P21" s="252">
        <f>P$20*N21</f>
        <v>55051.788000000008</v>
      </c>
      <c r="Q21" s="258">
        <f t="shared" ref="Q21" si="7">P21+Q$20</f>
        <v>58051.788000000008</v>
      </c>
      <c r="R21" s="308">
        <f>L21*K21</f>
        <v>0.89</v>
      </c>
      <c r="S21" s="46">
        <f>M21*K21*2</f>
        <v>1.1600000000000001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58052</v>
      </c>
      <c r="I24" s="265"/>
      <c r="J24" s="47"/>
      <c r="K24" s="47"/>
      <c r="L24" s="39">
        <f>SUM(L21:L23)</f>
        <v>0.89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11029.880000000001</v>
      </c>
      <c r="I25" s="265"/>
      <c r="J25" s="47"/>
      <c r="K25" s="47"/>
      <c r="L25" s="39"/>
      <c r="M25" s="12"/>
      <c r="N25" s="12"/>
      <c r="O25" s="253">
        <f>SUM(O21:O21)</f>
        <v>0.5162000000000001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69081.88</v>
      </c>
      <c r="I26" s="265"/>
      <c r="J26" s="47"/>
      <c r="K26" s="47"/>
      <c r="L26" s="39"/>
      <c r="M26" s="12"/>
      <c r="N26" s="12"/>
      <c r="O26" s="253">
        <f>O25</f>
        <v>0.5162000000000001</v>
      </c>
      <c r="P26" s="14"/>
      <c r="Q26" s="12"/>
      <c r="R26" s="239">
        <f>SUM(R21:R25)</f>
        <v>0.89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0.10324000000000003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0.6194400000000001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0.6194400000000001</v>
      </c>
      <c r="M30" s="12">
        <v>3500</v>
      </c>
      <c r="N30" s="12">
        <f t="shared" ref="N30:N35" si="8">L30*M30</f>
        <v>2168.0400000000004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8"/>
        <v>7500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77058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0.3</v>
      </c>
      <c r="M33" s="250">
        <v>51185</v>
      </c>
      <c r="N33" s="12">
        <f t="shared" si="8"/>
        <v>15355.5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25023.54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55051.788000000008</v>
      </c>
      <c r="O37" s="14" t="s">
        <v>141</v>
      </c>
      <c r="P37" s="14"/>
      <c r="Q37" s="40">
        <f>O28/Q36</f>
        <v>0.16701898188093187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60910</v>
      </c>
      <c r="K38" s="250"/>
      <c r="L38" s="14"/>
      <c r="M38" s="12"/>
      <c r="N38" s="12">
        <f>N37/O26</f>
        <v>106648.17512592018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51184.873949579836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11347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1187.7526332125599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58052</v>
      </c>
      <c r="E11" s="132">
        <f>D11*0.19</f>
        <v>11029.880000000001</v>
      </c>
      <c r="F11" s="131">
        <f>E11+D11</f>
        <v>69081.88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107177.75263321256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39502.130787439615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89177.752633212556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18549.869212560385</v>
      </c>
      <c r="E13" s="221">
        <f>(D11/D12)-1</f>
        <v>0.4695916104469644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80177.752633212556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41177.752633212556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65178.515799275359</v>
      </c>
      <c r="F15" s="216">
        <f>E15-D12</f>
        <v>25676.385011835744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41177.752633212556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81177.752633212556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2168.0400000000004</v>
      </c>
      <c r="E20" s="121">
        <f>D20*0.19</f>
        <v>411.9276000000001</v>
      </c>
      <c r="F20" s="120">
        <f>SUM(D20:E20)</f>
        <v>2579.9676000000004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9668.0400000000009</v>
      </c>
      <c r="E21" s="116">
        <f>SUM(E18:E20)</f>
        <v>1836.9276</v>
      </c>
      <c r="F21" s="115">
        <f>SUM(F18:F20)</f>
        <v>11504.9676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9192.9524000000019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58052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9668.0400000000009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18549.869212560385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18549.869212560385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2025-03-17T15:42:37Z</dcterms:modified>
</cp:coreProperties>
</file>