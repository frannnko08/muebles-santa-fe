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041CDA8E-F016-4199-B709-EC78704E7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K21" i="1"/>
  <c r="N33" i="1"/>
  <c r="N32" i="1" l="1"/>
  <c r="N34" i="1"/>
  <c r="N35" i="1"/>
  <c r="L21" i="1" l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<sst xmlns="http://schemas.openxmlformats.org/spreadsheetml/2006/main" count="231" uniqueCount="176">
  <si>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</si>
  <si>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</si>
  <si>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</si>
  <si>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</si>
  <si>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</si>
  <si>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</si>
  <si>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</si>
  <si>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</si>
  <si>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</si>
  <si>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</si>
  <si>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</si>
  <si>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</si>
  <si>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</si>
  <si>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</si>
  <si>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</si>
  <si>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</si>
  <si>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</si>
  <si>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</si>
  <si>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</si>
  <si>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</si>
  <si>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</si>
  <si>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</si>
  <si>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</si>
  <si>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</si>
  <si>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</si>
  <si>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</si>
  <si>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</si>
  <si>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</si>
  <si>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</si>
  <si>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</si>
  <si>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</si>
  <si>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</si>
  <si>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</si>
  <si>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</si>
  <si>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</si>
  <si>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</si>
  <si>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</si>
  <si>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</si>
  <si>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</si>
  <si>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</si>
  <si>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</si>
  <si>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</si>
  <si>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</si>
  <si>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</si>
  <si>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</si>
  <si>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</si>
  <si>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</si>
  <si>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</si>
  <si>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</si>
  <si>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</si>
  <si>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</si>
  <si>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</si>
  <si>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</si>
  <si>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</si>
  <si>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</si>
  <si>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</si>
  <si>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</si>
  <si>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</si>
  <si>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</si>
  <si>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</si>
  <si>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</si>
  <si>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</si>
  <si>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</si>
  <si>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</si>
  <si>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</si>
  <si>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</si>
  <si>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</si>
  <si>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</si>
  <si>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</si>
  <si>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</si>
  <si>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</si>
  <si>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</si>
  <si>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</si>
  <si>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</si>
  <si>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</si>
  <si>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</si>
  <si>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</si>
  <si>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</si>
  <si>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</si>
  <si>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</si>
  <si>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</si>
  <si>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</si>
  <si>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</si>
  <si>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</si>
  <si>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</si>
  <si>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</si>
  <si>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</si>
  <si>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</si>
  <si>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</si>
  <si>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</si>
  <si>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</si>
  <si>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</si>
  <si>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</si>
  <si>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</si>
  <si>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</si>
  <si>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</si>
  <si>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</si>
  <si>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</si>
  <si>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</si>
  <si>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</si>
  <si>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</si>
  <si>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</si>
  <si>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</si>
  <si>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</si>
  <si>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</si>
  <si>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</si>
  <si>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</si>
  <si>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</si>
  <si>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</si>
  <si>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</si>
  <si>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</si>
  <si>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</si>
  <si>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</si>
  <si>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</si>
  <si>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</si>
  <si>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</si>
  <si>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</si>
  <si>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</si>
  <si>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</si>
  <si>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</si>
  <si>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</si>
  <si>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</si>
  <si>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</si>
  <si>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</si>
  <si>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</si>
  <si>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</si>
  <si>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</si>
  <si>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</si>
  <si>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</si>
  <si>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</si>
  <si>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</si>
  <si>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</si>
  <si>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</si>
  <si>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</si>
  <si>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</si>
  <si>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</si>
  <si>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</si>
  <si>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</si>
  <si>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</si>
  <si>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</si>
  <si>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</si>
  <si>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</si>
  <si>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</si>
  <si>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</si>
  <si>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</si>
  <si>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</si>
  <si>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</si>
  <si>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</si>
  <si>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</si>
  <si>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</si>
  <si>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</si>
  <si>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</si>
  <si>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</si>
  <si>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</si>
  <si>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</si>
  <si>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</si>
  <si>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</si>
  <si>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</si>
  <si>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</si>
  <si>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</si>
  <si>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</si>
  <si>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</si>
  <si>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</si>
  <si>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</si>
  <si>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</si>
  <si>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</si>
  <si>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5 DIAS HABILES</t>
  </si>
  <si>
    <t>N° 11371</t>
  </si>
  <si>
    <t>77.839.824-0</t>
  </si>
  <si>
    <t>RODRIGO JIMENEZ</t>
  </si>
  <si>
    <t xml:space="preserve">+569 </t>
  </si>
  <si>
    <t>SI</t>
  </si>
  <si>
    <t>E/R 1 CARA</t>
  </si>
  <si>
    <t>WENGUE 1807 MT</t>
  </si>
  <si>
    <t xml:space="preserve">TAPACANTO PVC </t>
  </si>
  <si>
    <t>FINANCIA CAPITAL SERVCIOS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</si>
</sst>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16" xfId="0" quotePrefix="1" applyFont="1" applyBorder="1" applyAlignment="1">
      <alignment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SERVICIO</a:t>
          </a:r>
          <a:r>
            <a:rPr lang="es-CL" sz="1200" b="1" baseline="0"/>
            <a:t> DE REFACCION CUBIERTAS ACTUALES, SE COLOCA LAMINA  NUEVA Y CAMBIO DE TAPACANTO PVC 2MM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7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175</v>
      </c>
      <c r="D10" s="243"/>
      <c r="E10" s="243"/>
      <c r="F10" s="244" t="s">
        <v>0</v>
      </c>
      <c r="G10" s="277">
        <v>45742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 t="s">
        <v>168</v>
      </c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169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171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2" t="s">
        <v>170</v>
      </c>
      <c r="D15" s="315"/>
      <c r="F15" t="s">
        <v>135</v>
      </c>
      <c r="G15" s="314" t="s">
        <v>171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N38</f>
        <v>95832.261904761923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3</v>
      </c>
      <c r="C21" s="325" t="s">
        <v>172</v>
      </c>
      <c r="D21" s="326">
        <v>1.2</v>
      </c>
      <c r="E21" s="326">
        <v>0.7</v>
      </c>
      <c r="F21" s="325" t="s">
        <v>173</v>
      </c>
      <c r="G21" s="327">
        <v>95866</v>
      </c>
      <c r="H21" s="327">
        <f>G21*B21</f>
        <v>287598</v>
      </c>
      <c r="I21" s="265"/>
      <c r="J21" s="47"/>
      <c r="K21" s="329">
        <f>B21</f>
        <v>3</v>
      </c>
      <c r="L21" s="39">
        <f>D21+L$19</f>
        <v>1.28</v>
      </c>
      <c r="M21" s="39">
        <f>E21+M$19</f>
        <v>0.7</v>
      </c>
      <c r="N21" s="261">
        <f t="shared" ref="N21" si="0">L21*M21</f>
        <v>0.89599999999999991</v>
      </c>
      <c r="O21" s="259">
        <f t="shared" ref="O21" si="1">N21*K21</f>
        <v>2.6879999999999997</v>
      </c>
      <c r="P21" s="252">
        <f t="shared" ref="P21" si="2">P$20*N21</f>
        <v>85865.70666666668</v>
      </c>
      <c r="Q21" s="328">
        <f t="shared" ref="Q21" si="3">P21+Q$20</f>
        <v>95865.70666666668</v>
      </c>
      <c r="R21" s="298">
        <f>L21*K21*2</f>
        <v>7.68</v>
      </c>
      <c r="S21" s="46">
        <f>M21*2*K21</f>
        <v>4.1999999999999993</v>
      </c>
      <c r="T21" s="9"/>
      <c r="W21" s="4"/>
    </row>
    <row r="22" spans="2:24" ht="17.399999999999999" x14ac:dyDescent="0.3">
      <c r="B22" s="286"/>
      <c r="C22" s="331"/>
      <c r="D22" s="287"/>
      <c r="E22" s="287"/>
      <c r="F22" s="286"/>
      <c r="G22" s="330"/>
      <c r="H22" s="330"/>
      <c r="I22" s="265"/>
      <c r="J22" s="47"/>
      <c r="K22" s="329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287598</v>
      </c>
      <c r="I24" s="265"/>
      <c r="J24" s="47"/>
      <c r="K24" s="47"/>
      <c r="L24" s="39">
        <f>SUM(L21:L21)</f>
        <v>1.28</v>
      </c>
      <c r="M24" s="39"/>
      <c r="N24" s="261"/>
      <c r="O24" s="259"/>
      <c r="P24" s="252"/>
      <c r="Q24" s="258"/>
      <c r="R24" s="298"/>
      <c r="S24" s="46">
        <f>SUM(S21:S23)</f>
        <v>4.1999999999999993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54643.62</v>
      </c>
      <c r="I25" s="265"/>
      <c r="J25" s="47"/>
      <c r="K25" s="47"/>
      <c r="L25" s="39"/>
      <c r="M25" s="12"/>
      <c r="N25" s="12"/>
      <c r="O25" s="253">
        <f>SUM(O21:O21)</f>
        <v>2.6879999999999997</v>
      </c>
      <c r="P25" s="14"/>
      <c r="Q25" s="12"/>
      <c r="R25" s="239"/>
      <c r="S25" s="46">
        <f>S24*20%</f>
        <v>0.83999999999999986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342241.62</v>
      </c>
      <c r="I26" s="265"/>
      <c r="J26" s="47"/>
      <c r="K26" s="47"/>
      <c r="L26" s="39"/>
      <c r="M26" s="12"/>
      <c r="N26" s="12"/>
      <c r="O26" s="253">
        <f>O25</f>
        <v>2.6879999999999997</v>
      </c>
      <c r="P26" s="14"/>
      <c r="Q26" s="12"/>
      <c r="R26" s="239">
        <f>SUM(R21:R25)</f>
        <v>7.68</v>
      </c>
      <c r="S26" s="46">
        <f>S24+S25</f>
        <v>5.0399999999999991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0.53759999999999997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3.2255999999999996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3.2255999999999996</v>
      </c>
      <c r="M30" s="12">
        <v>3500</v>
      </c>
      <c r="N30" s="12">
        <f t="shared" ref="N30:N35" si="4">L30*M30</f>
        <v>11289.599999999999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/>
      <c r="M31" s="12">
        <v>25000</v>
      </c>
      <c r="N31" s="12">
        <f t="shared" si="4"/>
        <v>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68300</v>
      </c>
      <c r="N32" s="12">
        <f t="shared" si="4"/>
        <v>68300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15</v>
      </c>
      <c r="M33" s="250">
        <v>2500</v>
      </c>
      <c r="N33" s="12">
        <f t="shared" si="4"/>
        <v>37500</v>
      </c>
      <c r="O33" s="14" t="s">
        <v>174</v>
      </c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4"/>
        <v>0</v>
      </c>
      <c r="O34" s="14" t="s">
        <v>33</v>
      </c>
      <c r="P34" s="14"/>
      <c r="Q34" s="230">
        <v>1.83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4"/>
        <v>0</v>
      </c>
      <c r="O35" s="14" t="s">
        <v>23</v>
      </c>
      <c r="P35" s="14"/>
      <c r="Q35">
        <v>2.5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117089.60000000001</v>
      </c>
      <c r="O36" s="39" t="s">
        <v>24</v>
      </c>
      <c r="P36" s="14"/>
      <c r="Q36">
        <f>Q34*Q35</f>
        <v>4.5750000000000002</v>
      </c>
      <c r="R36"/>
      <c r="S36" s="238"/>
      <c r="W36" s="231"/>
    </row>
    <row r="37" spans="2:23" s="230" customFormat="1" ht="17.399999999999999" x14ac:dyDescent="0.35">
      <c r="J37" s="230">
        <v>81168</v>
      </c>
      <c r="K37" s="250"/>
      <c r="L37" s="254" t="s">
        <v>34</v>
      </c>
      <c r="M37" s="12"/>
      <c r="N37" s="255">
        <f>N36*2.2</f>
        <v>257597.12000000002</v>
      </c>
      <c r="O37" s="14" t="s">
        <v>141</v>
      </c>
      <c r="P37" s="14"/>
      <c r="Q37" s="40">
        <f>O28/Q36</f>
        <v>0.70504918032786879</v>
      </c>
      <c r="R37"/>
      <c r="S37" s="257"/>
    </row>
    <row r="38" spans="2:23" s="230" customFormat="1" ht="17.399999999999999" x14ac:dyDescent="0.35">
      <c r="G38"/>
      <c r="H38" s="260"/>
      <c r="J38" s="230">
        <f>J37/1.19</f>
        <v>68208.403361344535</v>
      </c>
      <c r="K38" s="250">
        <v>0</v>
      </c>
      <c r="L38" s="14"/>
      <c r="M38" s="12"/>
      <c r="N38" s="12">
        <f>N37/O26</f>
        <v>95832.261904761923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45742</v>
      </c>
    </row>
    <row r="6" spans="2:31" ht="16.2" thickBot="1" x14ac:dyDescent="0.35">
      <c r="B6" s="140" t="s">
        <v>2</v>
      </c>
      <c r="C6" s="139" t="str">
        <f>'2229'!C10</f>
        <v>FINANCIA CAPITAL SERVCIOS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-17841.485033454108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287598</v>
      </c>
      <c r="E11" s="132">
        <f>D11*0.19</f>
        <v>54643.62</v>
      </c>
      <c r="F11" s="131">
        <f>E11+D11</f>
        <v>342241.62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88148.514966545888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109423.69078743961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70148.514966545888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178174.30921256039</v>
      </c>
      <c r="E13" s="221">
        <f>(D11/D12)-1</f>
        <v>1.6282973817678288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61148.514966545888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22148.514966545892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180549.08979927536</v>
      </c>
      <c r="F15" s="216">
        <f>E15-D12</f>
        <v>71125.399011835747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22148.514966545892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62148.514966545888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68300</v>
      </c>
      <c r="E18" s="123">
        <f>D18*0.19</f>
        <v>12977</v>
      </c>
      <c r="F18" s="120">
        <f>SUM(D18:E18)</f>
        <v>81277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11289.599999999999</v>
      </c>
      <c r="E20" s="121">
        <f>D20*0.19</f>
        <v>2145.0239999999999</v>
      </c>
      <c r="F20" s="120">
        <f>SUM(D20:E20)</f>
        <v>13434.623999999998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79589.600000000006</v>
      </c>
      <c r="E21" s="116">
        <f>SUM(E18:E20)</f>
        <v>15122.023999999999</v>
      </c>
      <c r="F21" s="115">
        <f>SUM(F18:F20)</f>
        <v>94711.623999999996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39521.596000000005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287598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79589.600000000006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178174.30921256039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178174.30921256039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2025-03-26T15:25:32Z</dcterms:modified>
</cp:coreProperties>
</file>