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50990446-ECAA-42D4-B1D7-DB5D9D3F6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L21" i="1"/>
  <c r="N21" i="1"/>
  <c r="O22" i="1" l="1"/>
  <c r="P22" i="1" s="1"/>
  <c r="M21" i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<sst xmlns="http://schemas.openxmlformats.org/spreadsheetml/2006/main" count="231" uniqueCount="173">
  <si>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</si>
  <si>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</si>
  <si>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</si>
  <si>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</si>
  <si>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</si>
  <si>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</si>
  <si>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</si>
  <si>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</si>
  <si>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</si>
  <si>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</si>
  <si>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</si>
  <si>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</si>
  <si>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</si>
  <si>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</si>
  <si>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</si>
  <si>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</si>
  <si>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</si>
  <si>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</si>
  <si>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</si>
  <si>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</si>
  <si>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</si>
  <si>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</si>
  <si>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</si>
  <si>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</si>
  <si>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</si>
  <si>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</si>
  <si>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</si>
  <si>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</si>
  <si>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</si>
  <si>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</si>
  <si>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</si>
  <si>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</si>
  <si>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</si>
  <si>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</si>
  <si>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</si>
  <si>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</si>
  <si>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</si>
  <si>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</si>
  <si>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</si>
  <si>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</si>
  <si>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</si>
  <si>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</si>
  <si>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</si>
  <si>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</si>
  <si>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</si>
  <si>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</si>
  <si>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</si>
  <si>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</si>
  <si>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</si>
  <si>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</si>
  <si>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</si>
  <si>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</si>
  <si>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</si>
  <si>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</si>
  <si>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</si>
  <si>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</si>
  <si>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</si>
  <si>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</si>
  <si>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</si>
  <si>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</si>
  <si>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</si>
  <si>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</si>
  <si>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</si>
  <si>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</si>
  <si>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</si>
  <si>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</si>
  <si>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</si>
  <si>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</si>
  <si>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</si>
  <si>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</si>
  <si>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</si>
  <si>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</si>
  <si>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</si>
  <si>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</si>
  <si>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</si>
  <si>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</si>
  <si>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</si>
  <si>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</si>
  <si>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</si>
  <si>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</si>
  <si>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</si>
  <si>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</si>
  <si>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</si>
  <si>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</si>
  <si>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</si>
  <si>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</si>
  <si>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</si>
  <si>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</si>
  <si>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</si>
  <si>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</si>
  <si>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</si>
  <si>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</si>
  <si>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</si>
  <si>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</si>
  <si>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</si>
  <si>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</si>
  <si>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</si>
  <si>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</si>
  <si>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</si>
  <si>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</si>
  <si>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</si>
  <si>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</si>
  <si>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</si>
  <si>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</si>
  <si>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</si>
  <si>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</si>
  <si>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</si>
  <si>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</si>
  <si>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</si>
  <si>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</si>
  <si>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</si>
  <si>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</si>
  <si>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</si>
  <si>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</si>
  <si>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</si>
  <si>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</si>
  <si>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</si>
  <si>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</si>
  <si>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</si>
  <si>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</si>
  <si>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</si>
  <si>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</si>
  <si>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</si>
  <si>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</si>
  <si>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</si>
  <si>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</si>
  <si>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</si>
  <si>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</si>
  <si>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</si>
  <si>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</si>
  <si>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</si>
  <si>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</si>
  <si>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</si>
  <si>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</si>
  <si>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</si>
  <si>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</si>
  <si>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</si>
  <si>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</si>
  <si>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</si>
  <si>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</si>
  <si>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</si>
  <si>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</si>
  <si>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</si>
  <si>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</si>
  <si>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</si>
  <si>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</si>
  <si>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</si>
  <si>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</si>
  <si>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</si>
  <si>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</si>
  <si>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</si>
  <si>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</si>
  <si>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</si>
  <si>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</si>
  <si>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</si>
  <si>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</si>
  <si>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</si>
  <si>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</si>
  <si>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</si>
  <si>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</si>
  <si>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</si>
  <si>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</si>
  <si>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</si>
  <si>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</si>
  <si>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</si>
  <si>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</si>
  <si>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</si>
  <si>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</si>
  <si>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ANDREA NUÑEZ</t>
  </si>
  <si>
    <t>56961914275</t>
  </si>
  <si>
    <t>N° 11353</t>
  </si>
  <si>
    <t>CUB CON RESPALDO FRENTE 90° R8</t>
  </si>
  <si>
    <t>BLANCO MERINO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</si>
</sst>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CORTADAS</a:t>
          </a:r>
          <a:r>
            <a:rPr lang="es-CL" sz="1200" b="1" baseline="0"/>
            <a:t> A LA MEDIDA Y ENCHAPADAS CON TAPACANTO PVC 0,4MM, PUERTA DE ALTO 2100 SE DEBE UNIR LA LAMINA, NO DA EL ALTO AL SER VETA HORIZONTAL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45734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131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56268.154327424403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2.7</v>
      </c>
      <c r="E21" s="331">
        <v>0.5</v>
      </c>
      <c r="F21" s="330" t="s">
        <v>172</v>
      </c>
      <c r="G21" s="332">
        <v>81213</v>
      </c>
      <c r="H21" s="332">
        <f>G21*B21</f>
        <v>81213</v>
      </c>
      <c r="I21" s="320"/>
      <c r="J21" s="265"/>
      <c r="K21" s="47"/>
      <c r="L21" s="47">
        <f>B21</f>
        <v>1</v>
      </c>
      <c r="M21" s="39">
        <f>D21+M$19</f>
        <v>2.7800000000000002</v>
      </c>
      <c r="N21" s="39">
        <f>E21+$N$19</f>
        <v>0.5</v>
      </c>
      <c r="O21" s="261">
        <f t="shared" ref="O21" si="1">M21*N21</f>
        <v>1.3900000000000001</v>
      </c>
      <c r="P21" s="259">
        <f t="shared" ref="P21" si="2">O21*L21</f>
        <v>1.3900000000000001</v>
      </c>
      <c r="Q21" s="252">
        <f t="shared" ref="Q21" si="3">Q$20*O21</f>
        <v>78212.734515119926</v>
      </c>
      <c r="R21" s="319">
        <f t="shared" ref="R21" si="4">Q21+R$20</f>
        <v>81212.734515119926</v>
      </c>
      <c r="S21" s="297">
        <f>M21*L21</f>
        <v>2.7800000000000002</v>
      </c>
      <c r="T21" s="46">
        <f>N21*2*L21*2</f>
        <v>2</v>
      </c>
      <c r="U21" s="9"/>
      <c r="X21" s="4"/>
    </row>
    <row r="22" spans="1:25" ht="17.399999999999999" x14ac:dyDescent="0.3">
      <c r="B22" s="330">
        <v>1</v>
      </c>
      <c r="C22" s="330" t="s">
        <v>171</v>
      </c>
      <c r="D22" s="331">
        <v>0.8</v>
      </c>
      <c r="E22" s="331">
        <v>0.6</v>
      </c>
      <c r="F22" s="330" t="s">
        <v>172</v>
      </c>
      <c r="G22" s="332">
        <v>32710</v>
      </c>
      <c r="H22" s="332">
        <f t="shared" ref="H22" si="5">G22*B22</f>
        <v>32710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0.88</v>
      </c>
      <c r="N22" s="39">
        <f t="shared" ref="N22" si="8">E22+$N$19</f>
        <v>0.6</v>
      </c>
      <c r="O22" s="261">
        <f t="shared" ref="O22" si="9">M22*N22</f>
        <v>0.52800000000000002</v>
      </c>
      <c r="P22" s="259">
        <f t="shared" ref="P22" si="10">O22*L22</f>
        <v>0.52800000000000002</v>
      </c>
      <c r="Q22" s="252">
        <f t="shared" ref="Q22" si="11">Q$20*O22</f>
        <v>29709.585484880085</v>
      </c>
      <c r="R22" s="319">
        <f t="shared" ref="R22" si="12">Q22+R$20</f>
        <v>32709.585484880085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113923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21645.37</v>
      </c>
      <c r="I26" s="322"/>
      <c r="J26" s="265"/>
      <c r="K26" s="47"/>
      <c r="L26" s="47"/>
      <c r="M26" s="39">
        <f>SUM(M21:M22)</f>
        <v>3.66</v>
      </c>
      <c r="N26" s="12"/>
      <c r="O26" s="12"/>
      <c r="P26" s="253">
        <f>SUM(P21:P24)</f>
        <v>1.9180000000000001</v>
      </c>
      <c r="Q26" s="14"/>
      <c r="R26" s="12"/>
      <c r="S26" s="239">
        <f>SUM(S21:S25)</f>
        <v>2.7800000000000002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135568.37</v>
      </c>
      <c r="I27" s="322"/>
      <c r="J27" s="265"/>
      <c r="K27" s="47"/>
      <c r="L27" s="47"/>
      <c r="M27" s="39"/>
      <c r="N27" s="12"/>
      <c r="O27" s="12"/>
      <c r="P27" s="253">
        <f>P26</f>
        <v>1.9180000000000001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0.38360000000000005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2.3016000000000001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2.3016000000000001</v>
      </c>
      <c r="N31" s="12">
        <v>3500</v>
      </c>
      <c r="O31" s="12">
        <f t="shared" ref="O31:O36" si="13">M31*N31</f>
        <v>8055.6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0.7</v>
      </c>
      <c r="N32" s="12">
        <v>25000</v>
      </c>
      <c r="O32" s="12">
        <f t="shared" si="13"/>
        <v>17500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65682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166</v>
      </c>
      <c r="C34"/>
      <c r="D34"/>
      <c r="E34"/>
      <c r="F34"/>
      <c r="J34" s="262"/>
      <c r="K34" s="232"/>
      <c r="L34" s="250"/>
      <c r="M34" s="14">
        <v>1</v>
      </c>
      <c r="N34" s="250">
        <v>23500</v>
      </c>
      <c r="O34" s="12">
        <f t="shared" si="13"/>
        <v>23500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49055.6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107922.32</v>
      </c>
      <c r="P38" s="14" t="s">
        <v>140</v>
      </c>
      <c r="Q38" s="14"/>
      <c r="R38" s="40">
        <f>P29/R37</f>
        <v>0.62057808455565144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62090</v>
      </c>
      <c r="L39" s="250"/>
      <c r="M39" s="14"/>
      <c r="N39" s="12"/>
      <c r="O39" s="12">
        <f>O38/P27</f>
        <v>56268.154327424403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52176.470588235294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45734</v>
      </c>
    </row>
    <row r="6" spans="2:31" ht="16.2" thickBot="1" x14ac:dyDescent="0.35">
      <c r="B6" s="140" t="s">
        <v>2</v>
      </c>
      <c r="C6" s="139" t="str">
        <f>'2229'!C10</f>
        <v>ANDREA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11353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-3755.0017001207743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113923</v>
      </c>
      <c r="E11" s="132">
        <f>D11*0.19</f>
        <v>21645.37</v>
      </c>
      <c r="F11" s="131">
        <f>E11+D11</f>
        <v>135568.37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102234.99829987923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55389.690787439613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84234.998299879226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58533.309212560387</v>
      </c>
      <c r="E13" s="221">
        <f>(D11/D12)-1</f>
        <v>1.056754576175277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75234.998299879226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36234.998299879226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91392.989799275354</v>
      </c>
      <c r="F15" s="216">
        <f>E15-D12</f>
        <v>36003.299011835741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36234.998299879226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76234.998299879226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8055.6</v>
      </c>
      <c r="E20" s="121">
        <f>D20*0.19</f>
        <v>1530.5640000000001</v>
      </c>
      <c r="F20" s="120">
        <f>SUM(D20:E20)</f>
        <v>9586.1640000000007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25555.599999999999</v>
      </c>
      <c r="E21" s="116">
        <f>SUM(E18:E20)</f>
        <v>4855.5640000000003</v>
      </c>
      <c r="F21" s="115">
        <f>SUM(F18:F20)</f>
        <v>30411.164000000001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16789.805999999997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113923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25555.599999999999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58533.309212560387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58533.309212560387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2025-03-18T12:37:05Z</dcterms:modified>
</cp:coreProperties>
</file>