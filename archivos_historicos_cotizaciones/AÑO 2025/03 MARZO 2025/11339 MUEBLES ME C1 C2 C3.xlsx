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B5DDF0BD-4A36-46D9-ABFC-3709DB2865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22" i="1"/>
  <c r="L23" i="1"/>
  <c r="L24" i="1"/>
  <c r="L25" i="1"/>
  <c r="J45" i="1"/>
  <c r="H25" i="1" l="1"/>
  <c r="H24" i="1"/>
  <c r="H23" i="1"/>
  <c r="J28" i="1"/>
  <c r="M24" i="1"/>
  <c r="N24" i="1"/>
  <c r="M25" i="1"/>
  <c r="N25" i="1"/>
  <c r="M28" i="1"/>
  <c r="S28" i="1" s="1"/>
  <c r="N23" i="1"/>
  <c r="M23" i="1"/>
  <c r="M22" i="1"/>
  <c r="N22" i="1"/>
  <c r="N21" i="1"/>
  <c r="T25" i="1" l="1"/>
  <c r="T24" i="1"/>
  <c r="O24" i="1"/>
  <c r="P24" i="1" s="1"/>
  <c r="S24" i="1"/>
  <c r="O25" i="1"/>
  <c r="P25" i="1" s="1"/>
  <c r="S25" i="1"/>
  <c r="S23" i="1"/>
  <c r="O23" i="1"/>
  <c r="P23" i="1" s="1"/>
  <c r="T23" i="1"/>
  <c r="T21" i="1"/>
  <c r="S22" i="1"/>
  <c r="T22" i="1"/>
  <c r="O22" i="1"/>
  <c r="P22" i="1" s="1"/>
  <c r="M21" i="1"/>
  <c r="T30" i="1" l="1"/>
  <c r="M31" i="1"/>
  <c r="S21" i="1"/>
  <c r="S31" i="1" s="1"/>
  <c r="O21" i="1"/>
  <c r="P21" i="1" s="1"/>
  <c r="P31" i="1" s="1"/>
  <c r="K45" i="1"/>
  <c r="S33" i="1" l="1"/>
  <c r="S34" i="1" s="1"/>
  <c r="S35" i="1" s="1"/>
  <c r="V38" i="1"/>
  <c r="V39" i="1" s="1"/>
  <c r="O37" i="1" l="1"/>
  <c r="P32" i="1" l="1"/>
  <c r="N20" i="1"/>
  <c r="L20" i="1"/>
  <c r="P33" i="1" l="1"/>
  <c r="P34" i="1" s="1"/>
  <c r="M36" i="1" s="1"/>
  <c r="O38" i="1"/>
  <c r="R42" i="1"/>
  <c r="R43" i="1" l="1"/>
  <c r="O39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1" i="1"/>
  <c r="O40" i="1"/>
  <c r="F18" i="3" l="1"/>
  <c r="O36" i="1" l="1"/>
  <c r="O42" i="1" s="1"/>
  <c r="O43" i="1" s="1"/>
  <c r="O44" i="1" s="1"/>
  <c r="Q20" i="1" s="1"/>
  <c r="Q23" i="1" l="1"/>
  <c r="R23" i="1" s="1"/>
  <c r="Q24" i="1"/>
  <c r="R24" i="1" s="1"/>
  <c r="Q25" i="1"/>
  <c r="R25" i="1" s="1"/>
  <c r="D20" i="3"/>
  <c r="E20" i="3" s="1"/>
  <c r="E21" i="3" s="1"/>
  <c r="D21" i="3" l="1"/>
  <c r="M43" i="3" s="1"/>
  <c r="D12" i="3" s="1"/>
  <c r="F20" i="3"/>
  <c r="F21" i="3" s="1"/>
  <c r="Q22" i="1" l="1"/>
  <c r="R22" i="1" s="1"/>
  <c r="O45" i="1"/>
  <c r="E15" i="3"/>
  <c r="Q21" i="1" l="1"/>
  <c r="F15" i="3"/>
  <c r="R21" i="1" l="1"/>
  <c r="H30" i="1" l="1"/>
  <c r="H31" i="1" l="1"/>
  <c r="D11" i="3" l="1"/>
  <c r="X9" i="3" s="1"/>
  <c r="X15" i="3" s="1"/>
  <c r="H32" i="1"/>
  <c r="E13" i="3" l="1"/>
  <c r="D13" i="3"/>
  <c r="X16" i="3"/>
  <c r="M42" i="3"/>
  <c r="M46" i="3" s="1"/>
  <c r="M49" i="3" s="1"/>
  <c r="X12" i="3"/>
  <c r="X13" i="3"/>
  <c r="E11" i="3"/>
  <c r="D40" i="3" s="1"/>
  <c r="X14" i="3"/>
  <c r="X11" i="3"/>
  <c r="F11" i="3" l="1"/>
</calcChain>
</file>

<file path=xl/sharedStrings.xml><?xml version="1.0" encoding="utf-8"?>
<sst xmlns="http://schemas.openxmlformats.org/spreadsheetml/2006/main" count="239" uniqueCount="177">
  <si>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</si>
  <si>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</si>
  <si>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</si>
  <si>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</si>
  <si>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</si>
  <si>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</si>
  <si>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</si>
  <si>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</si>
  <si>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</si>
  <si>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</si>
  <si>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</si>
  <si>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</si>
  <si>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</si>
  <si>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</si>
  <si>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</si>
  <si>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</si>
  <si>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</si>
  <si>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</si>
  <si>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</si>
  <si>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</si>
  <si>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</si>
  <si>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</si>
  <si>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</si>
  <si>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</si>
  <si>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</si>
  <si>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</si>
  <si>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</si>
  <si>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</si>
  <si>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</si>
  <si>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</si>
  <si>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</si>
  <si>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</si>
  <si>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</si>
  <si>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</si>
  <si>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</si>
  <si>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</si>
  <si>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</si>
  <si>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</si>
  <si>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</si>
  <si>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</si>
  <si>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</si>
  <si>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</si>
  <si>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</si>
  <si>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</si>
  <si>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</si>
  <si>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</si>
  <si>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</si>
  <si>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</si>
  <si>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</si>
  <si>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</si>
  <si>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</si>
  <si>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</si>
  <si>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</si>
  <si>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</si>
  <si>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</si>
  <si>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</si>
  <si>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</si>
  <si>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</si>
  <si>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</si>
  <si>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</si>
  <si>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</si>
  <si>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</si>
  <si>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</si>
  <si>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</si>
  <si>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</si>
  <si>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</si>
  <si>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</si>
  <si>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</si>
  <si>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</si>
  <si>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</si>
  <si>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</si>
  <si>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</si>
  <si>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</si>
  <si>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</si>
  <si>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</si>
  <si>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</si>
  <si>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</si>
  <si>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</si>
  <si>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</si>
  <si>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</si>
  <si>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</si>
  <si>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</si>
  <si>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</si>
  <si>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</si>
  <si>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</si>
  <si>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</si>
  <si>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</si>
  <si>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</si>
  <si>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</si>
  <si>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</si>
  <si>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</si>
  <si>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</si>
  <si>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</si>
  <si>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</si>
  <si>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</si>
  <si>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</si>
  <si>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</si>
  <si>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</si>
  <si>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</si>
  <si>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</si>
  <si>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</si>
  <si>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</si>
  <si>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</si>
  <si>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</si>
  <si>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</si>
  <si>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</si>
  <si>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</si>
  <si>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</si>
  <si>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</si>
  <si>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</si>
  <si>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</si>
  <si>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</si>
  <si>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</si>
  <si>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</si>
  <si>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</si>
  <si>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</si>
  <si>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</si>
  <si>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</si>
  <si>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</si>
  <si>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</si>
  <si>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</si>
  <si>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</si>
  <si>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</si>
  <si>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</si>
  <si>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</si>
  <si>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</si>
  <si>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</si>
  <si>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</si>
  <si>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</si>
  <si>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</si>
  <si>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</si>
  <si>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</si>
  <si>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</si>
  <si>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</si>
  <si>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</si>
  <si>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</si>
  <si>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</si>
  <si>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</si>
  <si>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</si>
  <si>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</si>
  <si>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</si>
  <si>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</si>
  <si>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</si>
  <si>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</si>
  <si>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</si>
  <si>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</si>
  <si>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</si>
  <si>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</si>
  <si>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</si>
  <si>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</si>
  <si>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</si>
  <si>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</si>
  <si>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</si>
  <si>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</si>
  <si>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</si>
  <si>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</si>
  <si>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</si>
  <si>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</si>
  <si>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</si>
  <si>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</si>
  <si>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</si>
  <si>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</si>
  <si>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</si>
  <si>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</si>
  <si>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</si>
  <si>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</si>
  <si>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ME SPA</t>
  </si>
  <si>
    <t>FRANCO GARCIA</t>
  </si>
  <si>
    <t>+569 9438 6075</t>
  </si>
  <si>
    <t>10 DIAS HABILES</t>
  </si>
  <si>
    <t>E/R 1 CARA</t>
  </si>
  <si>
    <t>HUMO 2108 MT</t>
  </si>
  <si>
    <t xml:space="preserve">TAPACANTO PVC </t>
  </si>
  <si>
    <t>N° 11336</t>
  </si>
  <si>
    <t>CUB E/R MDF 30MM</t>
  </si>
  <si>
    <t>EBANO 2109  MT</t>
  </si>
  <si>
    <t>MUEBLE A1 A2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</si>
</sst>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21" fillId="19" borderId="40" xfId="0" applyFont="1" applyFill="1" applyBorder="1" applyAlignment="1">
      <alignment horizontal="center" vertical="center"/>
    </xf>
    <xf numFmtId="0" fontId="21" fillId="19" borderId="39" xfId="0" applyFont="1" applyFill="1" applyBorder="1" applyAlignment="1">
      <alignment horizontal="center" vertical="center"/>
    </xf>
    <xf numFmtId="0" fontId="21" fillId="19" borderId="43" xfId="0" applyFont="1" applyFill="1" applyBorder="1" applyAlignment="1">
      <alignment horizontal="center" vertical="center"/>
    </xf>
    <xf numFmtId="0" fontId="24" fillId="19" borderId="2" xfId="0" applyFont="1" applyFill="1" applyBorder="1" applyAlignment="1">
      <alignment horizontal="left" indent="1"/>
    </xf>
    <xf numFmtId="0" fontId="23" fillId="19" borderId="9" xfId="0" applyFont="1" applyFill="1" applyBorder="1"/>
    <xf numFmtId="0" fontId="24" fillId="19" borderId="3" xfId="0" applyFont="1" applyFill="1" applyBorder="1" applyAlignment="1">
      <alignment horizont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9" borderId="40" xfId="0" applyFont="1" applyFill="1" applyBorder="1" applyAlignment="1">
      <alignment horizontal="center" vertical="center"/>
    </xf>
    <xf numFmtId="0" fontId="5" fillId="19" borderId="39" xfId="0" applyFont="1" applyFill="1" applyBorder="1" applyAlignment="1">
      <alignment horizontal="center" vertical="center"/>
    </xf>
    <xf numFmtId="0" fontId="5" fillId="19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33</xdr:row>
      <xdr:rowOff>8194</xdr:rowOff>
    </xdr:from>
    <xdr:to>
      <xdr:col>8</xdr:col>
      <xdr:colOff>8193</xdr:colOff>
      <xdr:row>36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35</xdr:row>
      <xdr:rowOff>154305</xdr:rowOff>
    </xdr:from>
    <xdr:to>
      <xdr:col>7</xdr:col>
      <xdr:colOff>853440</xdr:colOff>
      <xdr:row>35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33</xdr:row>
      <xdr:rowOff>9525</xdr:rowOff>
    </xdr:from>
    <xdr:to>
      <xdr:col>5</xdr:col>
      <xdr:colOff>1745226</xdr:colOff>
      <xdr:row>36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29</xdr:row>
      <xdr:rowOff>9525</xdr:rowOff>
    </xdr:from>
    <xdr:to>
      <xdr:col>5</xdr:col>
      <xdr:colOff>1728839</xdr:colOff>
      <xdr:row>32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solidFill>
          <a:schemeClr val="bg2">
            <a:lumMod val="90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CLIENTE APORTA SUSTRATO Y LAMINAS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SUSTRATO. mdf 25mm</a:t>
          </a:r>
        </a:p>
        <a:p>
          <a:pPr algn="l"/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1520321</xdr:colOff>
      <xdr:row>6</xdr:row>
      <xdr:rowOff>34491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7"/>
  <sheetViews>
    <sheetView tabSelected="1" topLeftCell="F17" zoomScale="93" zoomScaleNormal="93" workbookViewId="0">
      <selection activeCell="H21" sqref="H21:H22"/>
    </sheetView>
  </sheetViews>
  <sheetFormatPr baseColWidth="10" defaultRowHeight="14.4" x14ac:dyDescent="0.3"/>
  <cols>
    <col min="1" max="1" width="6" customWidth="1"/>
    <col min="2" max="2" width="10.5546875" customWidth="1"/>
    <col min="3" max="3" width="31.6640625" customWidth="1"/>
    <col min="4" max="4" width="11.109375" customWidth="1"/>
    <col min="5" max="5" width="10.5546875" customWidth="1"/>
    <col min="6" max="6" width="30.441406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8.10937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141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137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142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163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30" t="s">
        <v>125</v>
      </c>
      <c r="C8" s="331"/>
      <c r="D8" s="332" t="s">
        <v>173</v>
      </c>
      <c r="F8" s="59" t="s">
        <v>176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3" t="s">
        <v>161</v>
      </c>
      <c r="C10" s="278" t="s">
        <v>166</v>
      </c>
      <c r="D10" s="243"/>
      <c r="E10" s="243"/>
      <c r="F10" s="244" t="s">
        <v>0</v>
      </c>
      <c r="G10" s="276">
        <v>45727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6"/>
      <c r="F11" t="s">
        <v>122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144</v>
      </c>
      <c r="C12" s="304"/>
      <c r="D12" s="247"/>
      <c r="E12" s="247"/>
      <c r="F12" s="247" t="s">
        <v>126</v>
      </c>
      <c r="G12" s="277" t="s">
        <v>134</v>
      </c>
      <c r="H12" s="248"/>
      <c r="Q12" s="19"/>
      <c r="R12" s="25"/>
      <c r="S12" s="19"/>
    </row>
    <row r="13" spans="2:24" x14ac:dyDescent="0.3">
      <c r="B13" s="287" t="s">
        <v>145</v>
      </c>
      <c r="C13" t="s">
        <v>167</v>
      </c>
      <c r="G13" s="305"/>
      <c r="H13" s="289"/>
      <c r="Q13" s="19"/>
      <c r="R13" s="25"/>
      <c r="S13" s="19"/>
    </row>
    <row r="14" spans="2:24" x14ac:dyDescent="0.3">
      <c r="B14" s="246" t="s">
        <v>138</v>
      </c>
      <c r="C14" s="312"/>
      <c r="D14" s="247"/>
      <c r="E14" s="247"/>
      <c r="F14" s="313" t="s">
        <v>135</v>
      </c>
      <c r="G14" s="290" t="s">
        <v>134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7" t="s">
        <v>168</v>
      </c>
      <c r="D15" s="308"/>
      <c r="F15" t="s">
        <v>133</v>
      </c>
      <c r="G15" s="306" t="s">
        <v>134</v>
      </c>
      <c r="H15" s="289"/>
    </row>
    <row r="16" spans="2:24" ht="16.8" x14ac:dyDescent="0.4">
      <c r="B16" s="314" t="s">
        <v>3</v>
      </c>
      <c r="C16" s="304"/>
      <c r="D16" s="247"/>
      <c r="E16" s="247"/>
      <c r="F16" s="315" t="s">
        <v>128</v>
      </c>
      <c r="G16" s="316" t="s">
        <v>162</v>
      </c>
      <c r="H16" s="248"/>
    </row>
    <row r="17" spans="2:25" ht="15" thickBot="1" x14ac:dyDescent="0.35">
      <c r="B17" s="309" t="s">
        <v>13</v>
      </c>
      <c r="C17" s="310" t="s">
        <v>165</v>
      </c>
      <c r="D17" s="311"/>
      <c r="E17" s="119"/>
      <c r="F17" s="333" t="s">
        <v>164</v>
      </c>
      <c r="G17" s="333"/>
      <c r="H17" s="334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5" t="s">
        <v>94</v>
      </c>
      <c r="C19" s="336"/>
      <c r="D19" s="336"/>
      <c r="E19" s="336"/>
      <c r="F19" s="336"/>
      <c r="G19" s="336"/>
      <c r="H19" s="337"/>
      <c r="I19" s="264"/>
      <c r="J19" s="264"/>
      <c r="K19" s="5"/>
      <c r="L19" s="250"/>
      <c r="M19" s="14">
        <v>0.02</v>
      </c>
      <c r="N19" s="14">
        <v>0.02</v>
      </c>
      <c r="O19" s="14"/>
      <c r="P19" s="251" t="s">
        <v>6</v>
      </c>
      <c r="Q19" s="36" t="s">
        <v>20</v>
      </c>
      <c r="R19" s="37" t="s">
        <v>132</v>
      </c>
      <c r="S19" s="10" t="s">
        <v>136</v>
      </c>
      <c r="U19" s="9"/>
      <c r="V19" s="9"/>
      <c r="X19" s="6"/>
      <c r="Y19" s="6"/>
    </row>
    <row r="20" spans="2:25" ht="17.399999999999999" x14ac:dyDescent="0.3">
      <c r="B20" s="327" t="s">
        <v>7</v>
      </c>
      <c r="C20" s="328" t="s">
        <v>1</v>
      </c>
      <c r="D20" s="328" t="s">
        <v>10</v>
      </c>
      <c r="E20" s="328" t="s">
        <v>11</v>
      </c>
      <c r="F20" s="328" t="s">
        <v>8</v>
      </c>
      <c r="G20" s="328" t="s">
        <v>5</v>
      </c>
      <c r="H20" s="329" t="s">
        <v>6</v>
      </c>
      <c r="I20" s="265"/>
      <c r="J20" s="265"/>
      <c r="K20" s="47"/>
      <c r="L20" s="268" t="str">
        <f>B20</f>
        <v>UNIDAD</v>
      </c>
      <c r="M20" s="267" t="s">
        <v>130</v>
      </c>
      <c r="N20" s="39" t="str">
        <f>E20</f>
        <v>ANCHO</v>
      </c>
      <c r="O20" s="261" t="s">
        <v>131</v>
      </c>
      <c r="P20" s="259" t="s">
        <v>16</v>
      </c>
      <c r="Q20" s="252">
        <f>O44</f>
        <v>89125.563380281717</v>
      </c>
      <c r="R20" s="258">
        <v>5000</v>
      </c>
      <c r="S20" s="38"/>
      <c r="T20" s="14" t="s">
        <v>127</v>
      </c>
      <c r="U20" s="9"/>
      <c r="X20" s="4"/>
    </row>
    <row r="21" spans="2:25" ht="17.399999999999999" x14ac:dyDescent="0.3">
      <c r="B21" s="324">
        <v>6</v>
      </c>
      <c r="C21" s="324" t="s">
        <v>170</v>
      </c>
      <c r="D21" s="325">
        <v>0.32</v>
      </c>
      <c r="E21" s="325">
        <v>0.4</v>
      </c>
      <c r="F21" s="324" t="s">
        <v>171</v>
      </c>
      <c r="G21" s="326">
        <v>27625</v>
      </c>
      <c r="H21" s="326">
        <f>G21*B21</f>
        <v>165750</v>
      </c>
      <c r="I21" s="318"/>
      <c r="J21" s="265"/>
      <c r="K21" s="47">
        <v>2</v>
      </c>
      <c r="L21" s="47"/>
      <c r="M21" s="267">
        <f>D21+M$19</f>
        <v>0.34</v>
      </c>
      <c r="N21" s="267">
        <f>E21+$N$19</f>
        <v>0.42000000000000004</v>
      </c>
      <c r="O21" s="261">
        <f t="shared" ref="O21" si="0">M21*N21</f>
        <v>0.14280000000000001</v>
      </c>
      <c r="P21" s="259">
        <f t="shared" ref="P21" si="1">O21*L21</f>
        <v>0</v>
      </c>
      <c r="Q21" s="252">
        <f t="shared" ref="Q21" si="2">Q$20*O21</f>
        <v>12727.13045070423</v>
      </c>
      <c r="R21" s="317">
        <f t="shared" ref="R21" si="3">Q21+R$20</f>
        <v>17727.13045070423</v>
      </c>
      <c r="S21" s="295">
        <f>M21*2*L21</f>
        <v>0</v>
      </c>
      <c r="T21" s="46">
        <f>N21*2*L21</f>
        <v>0</v>
      </c>
      <c r="U21" s="9"/>
      <c r="X21" s="4"/>
    </row>
    <row r="22" spans="2:25" ht="17.399999999999999" x14ac:dyDescent="0.3">
      <c r="B22" s="324">
        <v>12</v>
      </c>
      <c r="C22" s="324" t="s">
        <v>170</v>
      </c>
      <c r="D22" s="325">
        <v>0.2</v>
      </c>
      <c r="E22" s="325">
        <v>0.4</v>
      </c>
      <c r="F22" s="324" t="s">
        <v>171</v>
      </c>
      <c r="G22" s="326">
        <v>19640</v>
      </c>
      <c r="H22" s="326">
        <f>G22*B22</f>
        <v>235680</v>
      </c>
      <c r="I22" s="318"/>
      <c r="J22" s="265"/>
      <c r="K22" s="47"/>
      <c r="L22" s="47"/>
      <c r="M22" s="267">
        <f>D22+M$19</f>
        <v>0.22</v>
      </c>
      <c r="N22" s="267">
        <f>E22+$N$19</f>
        <v>0.42000000000000004</v>
      </c>
      <c r="O22" s="261">
        <f t="shared" ref="O22" si="4">M22*N22</f>
        <v>9.240000000000001E-2</v>
      </c>
      <c r="P22" s="259">
        <f t="shared" ref="P22" si="5">O22*L22</f>
        <v>0</v>
      </c>
      <c r="Q22" s="252">
        <f t="shared" ref="Q22" si="6">Q$20*O22</f>
        <v>8235.202056338032</v>
      </c>
      <c r="R22" s="317">
        <f t="shared" ref="R22" si="7">Q22+R$20</f>
        <v>13235.202056338032</v>
      </c>
      <c r="S22" s="295">
        <f t="shared" ref="S22" si="8">M22*2*L22</f>
        <v>0</v>
      </c>
      <c r="T22" s="46">
        <f t="shared" ref="T22:T25" si="9">N22*2*L22</f>
        <v>0</v>
      </c>
      <c r="U22" s="9"/>
      <c r="X22" s="4"/>
    </row>
    <row r="23" spans="2:25" ht="17.399999999999999" x14ac:dyDescent="0.3">
      <c r="B23" s="324">
        <v>1</v>
      </c>
      <c r="C23" s="324" t="s">
        <v>174</v>
      </c>
      <c r="D23" s="325">
        <v>4.67</v>
      </c>
      <c r="E23" s="325">
        <v>0.7</v>
      </c>
      <c r="F23" s="324" t="s">
        <v>175</v>
      </c>
      <c r="G23" s="326">
        <v>305959</v>
      </c>
      <c r="H23" s="326">
        <f t="shared" ref="H23:H25" si="10">G23*B23</f>
        <v>305959</v>
      </c>
      <c r="I23" s="318"/>
      <c r="J23" s="265">
        <v>298786</v>
      </c>
      <c r="K23" s="47"/>
      <c r="L23" s="47">
        <f t="shared" ref="L21:L25" si="11">B23</f>
        <v>1</v>
      </c>
      <c r="M23" s="267">
        <f t="shared" ref="M23:M28" si="12">D23+M$19</f>
        <v>4.6899999999999995</v>
      </c>
      <c r="N23" s="267">
        <f t="shared" ref="N23" si="13">E23+$N$19</f>
        <v>0.72</v>
      </c>
      <c r="O23" s="261">
        <f t="shared" ref="O23" si="14">M23*N23</f>
        <v>3.3767999999999994</v>
      </c>
      <c r="P23" s="259">
        <f t="shared" ref="P23" si="15">O23*L23</f>
        <v>3.3767999999999994</v>
      </c>
      <c r="Q23" s="252">
        <f t="shared" ref="Q23" si="16">Q$20*O23</f>
        <v>300959.20242253522</v>
      </c>
      <c r="R23" s="317">
        <f t="shared" ref="R23" si="17">Q23+R$20</f>
        <v>305959.20242253522</v>
      </c>
      <c r="S23" s="295">
        <f t="shared" ref="S23:S28" si="18">M23*2*L23</f>
        <v>9.379999999999999</v>
      </c>
      <c r="T23" s="46">
        <f t="shared" si="9"/>
        <v>1.44</v>
      </c>
      <c r="U23" s="9"/>
      <c r="X23" s="4"/>
    </row>
    <row r="24" spans="2:25" ht="17.399999999999999" x14ac:dyDescent="0.3">
      <c r="B24" s="324">
        <v>1</v>
      </c>
      <c r="C24" s="324" t="s">
        <v>174</v>
      </c>
      <c r="D24" s="325">
        <v>2.0299999999999998</v>
      </c>
      <c r="E24" s="325">
        <v>0.7</v>
      </c>
      <c r="F24" s="324" t="s">
        <v>175</v>
      </c>
      <c r="G24" s="326">
        <v>136549</v>
      </c>
      <c r="H24" s="326">
        <f t="shared" si="10"/>
        <v>136549</v>
      </c>
      <c r="I24" s="318"/>
      <c r="J24" s="265">
        <v>596213</v>
      </c>
      <c r="K24" s="47"/>
      <c r="L24" s="47">
        <f t="shared" si="11"/>
        <v>1</v>
      </c>
      <c r="M24" s="267">
        <f t="shared" ref="M24:M25" si="19">D24+M$19</f>
        <v>2.0499999999999998</v>
      </c>
      <c r="N24" s="267">
        <f t="shared" ref="N24:N25" si="20">E24+$N$19</f>
        <v>0.72</v>
      </c>
      <c r="O24" s="261">
        <f t="shared" ref="O24:O25" si="21">M24*N24</f>
        <v>1.4759999999999998</v>
      </c>
      <c r="P24" s="259">
        <f t="shared" ref="P24:P25" si="22">O24*L24</f>
        <v>1.4759999999999998</v>
      </c>
      <c r="Q24" s="252">
        <f t="shared" ref="Q24:Q25" si="23">Q$20*O24</f>
        <v>131549.33154929581</v>
      </c>
      <c r="R24" s="317">
        <f t="shared" ref="R24:R25" si="24">Q24+R$20</f>
        <v>136549.33154929581</v>
      </c>
      <c r="S24" s="295">
        <f t="shared" ref="S24:S25" si="25">M24*2*L24</f>
        <v>4.0999999999999996</v>
      </c>
      <c r="T24" s="46">
        <f t="shared" si="9"/>
        <v>1.44</v>
      </c>
      <c r="U24" s="9"/>
      <c r="X24" s="4"/>
    </row>
    <row r="25" spans="2:25" ht="17.399999999999999" x14ac:dyDescent="0.3">
      <c r="B25" s="324">
        <v>1</v>
      </c>
      <c r="C25" s="324" t="s">
        <v>174</v>
      </c>
      <c r="D25" s="325">
        <v>4.5999999999999996</v>
      </c>
      <c r="E25" s="325">
        <v>0.7</v>
      </c>
      <c r="F25" s="324" t="s">
        <v>175</v>
      </c>
      <c r="G25" s="326">
        <v>301467</v>
      </c>
      <c r="H25" s="326">
        <f t="shared" si="10"/>
        <v>301467</v>
      </c>
      <c r="I25" s="318"/>
      <c r="J25" s="265">
        <v>581131</v>
      </c>
      <c r="K25" s="47"/>
      <c r="L25" s="47">
        <f t="shared" si="11"/>
        <v>1</v>
      </c>
      <c r="M25" s="267">
        <f t="shared" si="19"/>
        <v>4.6199999999999992</v>
      </c>
      <c r="N25" s="267">
        <f t="shared" si="20"/>
        <v>0.72</v>
      </c>
      <c r="O25" s="261">
        <f t="shared" si="21"/>
        <v>3.3263999999999991</v>
      </c>
      <c r="P25" s="259">
        <f t="shared" si="22"/>
        <v>3.3263999999999991</v>
      </c>
      <c r="Q25" s="252">
        <f t="shared" si="23"/>
        <v>296467.27402816905</v>
      </c>
      <c r="R25" s="317">
        <f t="shared" si="24"/>
        <v>301467.27402816905</v>
      </c>
      <c r="S25" s="295">
        <f t="shared" si="25"/>
        <v>9.2399999999999984</v>
      </c>
      <c r="T25" s="46">
        <f t="shared" si="9"/>
        <v>1.44</v>
      </c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18"/>
      <c r="H26" s="318"/>
      <c r="I26" s="318"/>
      <c r="J26" s="265"/>
      <c r="K26" s="47"/>
      <c r="L26" s="47"/>
      <c r="M26" s="267"/>
      <c r="N26" s="267"/>
      <c r="O26" s="261"/>
      <c r="P26" s="259"/>
      <c r="Q26" s="252"/>
      <c r="R26" s="317"/>
      <c r="S26" s="295"/>
      <c r="T26" s="46"/>
      <c r="U26" s="9"/>
      <c r="X26" s="4"/>
    </row>
    <row r="27" spans="2:25" ht="17.399999999999999" x14ac:dyDescent="0.3">
      <c r="B27" s="285"/>
      <c r="C27" s="285"/>
      <c r="D27" s="286"/>
      <c r="E27" s="286"/>
      <c r="F27" s="285"/>
      <c r="G27" s="318"/>
      <c r="H27" s="318"/>
      <c r="I27" s="318"/>
      <c r="J27" s="265"/>
      <c r="K27" s="47"/>
      <c r="L27" s="47"/>
      <c r="M27" s="267"/>
      <c r="N27" s="267"/>
      <c r="O27" s="261"/>
      <c r="P27" s="259"/>
      <c r="Q27" s="252"/>
      <c r="R27" s="317"/>
      <c r="S27" s="295"/>
      <c r="T27" s="46"/>
      <c r="U27" s="9"/>
      <c r="X27" s="4"/>
    </row>
    <row r="28" spans="2:25" ht="17.399999999999999" x14ac:dyDescent="0.3">
      <c r="B28" s="285"/>
      <c r="C28" s="285"/>
      <c r="D28" s="286"/>
      <c r="E28" s="286"/>
      <c r="F28" s="285"/>
      <c r="G28" s="318"/>
      <c r="H28" s="318"/>
      <c r="I28" s="318"/>
      <c r="J28" s="265">
        <f>SUM(J23:J25)</f>
        <v>1476130</v>
      </c>
      <c r="K28" s="47"/>
      <c r="L28" s="47"/>
      <c r="M28" s="267">
        <f t="shared" si="12"/>
        <v>0.02</v>
      </c>
      <c r="N28" s="267"/>
      <c r="O28" s="261"/>
      <c r="P28" s="259"/>
      <c r="Q28" s="252"/>
      <c r="R28" s="317"/>
      <c r="S28" s="295">
        <f t="shared" si="18"/>
        <v>0</v>
      </c>
      <c r="T28" s="46"/>
      <c r="U28" s="9"/>
      <c r="X28" s="4"/>
    </row>
    <row r="29" spans="2:25" ht="18" thickBot="1" x14ac:dyDescent="0.35">
      <c r="B29" s="285"/>
      <c r="C29" s="285"/>
      <c r="D29" s="286"/>
      <c r="E29" s="286"/>
      <c r="F29" s="285"/>
      <c r="G29" s="265"/>
      <c r="H29" s="319"/>
      <c r="I29" s="321"/>
      <c r="J29" s="233"/>
      <c r="K29" s="47"/>
      <c r="L29" s="47"/>
      <c r="M29" s="39"/>
      <c r="N29" s="39"/>
      <c r="O29" s="261"/>
      <c r="P29" s="259"/>
      <c r="Q29" s="252"/>
      <c r="R29" s="258"/>
      <c r="S29" s="295"/>
      <c r="T29" s="14"/>
      <c r="U29" s="9"/>
      <c r="X29" s="4"/>
    </row>
    <row r="30" spans="2:25" ht="17.399999999999999" x14ac:dyDescent="0.3">
      <c r="B30" s="285"/>
      <c r="C30" s="285"/>
      <c r="D30" s="286"/>
      <c r="E30" s="286"/>
      <c r="F30" s="285"/>
      <c r="G30" s="322" t="s">
        <v>28</v>
      </c>
      <c r="H30" s="323">
        <f>SUM(H21:H29)</f>
        <v>1145405</v>
      </c>
      <c r="I30" s="320"/>
      <c r="J30" s="265"/>
      <c r="K30" s="47">
        <v>2600000</v>
      </c>
      <c r="L30" s="47"/>
      <c r="M30" s="39"/>
      <c r="N30" s="39"/>
      <c r="O30" s="261"/>
      <c r="P30" s="259"/>
      <c r="Q30" s="252"/>
      <c r="R30" s="258"/>
      <c r="S30" s="295"/>
      <c r="T30" s="46">
        <f>SUM(T21:T29)</f>
        <v>4.32</v>
      </c>
      <c r="U30" s="9"/>
      <c r="X30" s="4"/>
    </row>
    <row r="31" spans="2:25" ht="17.399999999999999" x14ac:dyDescent="0.3">
      <c r="B31" s="279"/>
      <c r="C31" s="282"/>
      <c r="D31" s="283"/>
      <c r="E31" s="283"/>
      <c r="F31" s="284"/>
      <c r="G31" s="294" t="s">
        <v>50</v>
      </c>
      <c r="H31" s="292">
        <f>H30*19%</f>
        <v>217626.95</v>
      </c>
      <c r="I31" s="320"/>
      <c r="J31" s="265"/>
      <c r="K31" s="47"/>
      <c r="L31" s="47"/>
      <c r="M31" s="39">
        <f>SUM(M21:M22)</f>
        <v>0.56000000000000005</v>
      </c>
      <c r="N31" s="12"/>
      <c r="O31" s="12"/>
      <c r="P31" s="253">
        <f>SUM(P21:P29)</f>
        <v>8.179199999999998</v>
      </c>
      <c r="Q31" s="14"/>
      <c r="R31" s="12"/>
      <c r="S31" s="239">
        <f>SUM(S21:S30)</f>
        <v>22.72</v>
      </c>
      <c r="T31" s="46"/>
      <c r="U31" s="9"/>
      <c r="X31" s="4"/>
    </row>
    <row r="32" spans="2:25" ht="18" thickBot="1" x14ac:dyDescent="0.35">
      <c r="B32" s="275"/>
      <c r="C32" s="281"/>
      <c r="D32" s="272"/>
      <c r="E32" s="272"/>
      <c r="F32" s="273"/>
      <c r="G32" s="280" t="s">
        <v>6</v>
      </c>
      <c r="H32" s="293">
        <f>H30+H31</f>
        <v>1363031.95</v>
      </c>
      <c r="I32" s="320"/>
      <c r="J32" s="265"/>
      <c r="K32" s="47"/>
      <c r="L32" s="47"/>
      <c r="M32" s="39"/>
      <c r="N32" s="12"/>
      <c r="O32" s="12"/>
      <c r="P32" s="253">
        <f>P31</f>
        <v>8.179199999999998</v>
      </c>
      <c r="Q32" s="14"/>
      <c r="R32" s="12"/>
      <c r="S32" s="239"/>
      <c r="T32" s="46"/>
      <c r="U32" s="9"/>
      <c r="X32" s="4"/>
    </row>
    <row r="33" spans="1:24" ht="17.399999999999999" x14ac:dyDescent="0.3">
      <c r="B33" s="275"/>
      <c r="C33" s="271"/>
      <c r="D33" s="272"/>
      <c r="E33" s="272"/>
      <c r="F33" s="273"/>
      <c r="J33" s="265"/>
      <c r="K33" s="47"/>
      <c r="L33" s="47"/>
      <c r="M33" s="14"/>
      <c r="N33" s="12"/>
      <c r="O33" s="12"/>
      <c r="P33" s="39">
        <f>P32*20%</f>
        <v>1.6358399999999997</v>
      </c>
      <c r="Q33" s="39" t="s">
        <v>129</v>
      </c>
      <c r="R33" s="42"/>
      <c r="S33" s="240">
        <f>S31+T30</f>
        <v>27.04</v>
      </c>
      <c r="T33" s="14"/>
      <c r="U33" s="9"/>
      <c r="X33" s="4"/>
    </row>
    <row r="34" spans="1:24" ht="17.399999999999999" x14ac:dyDescent="0.35">
      <c r="B34" s="269"/>
      <c r="C34" s="230"/>
      <c r="D34" s="230"/>
      <c r="E34" s="233"/>
      <c r="F34" s="234"/>
      <c r="G34" s="230"/>
      <c r="H34" s="274"/>
      <c r="I34" s="274"/>
      <c r="J34" s="265"/>
      <c r="K34" s="47"/>
      <c r="L34" s="47"/>
      <c r="M34" s="14"/>
      <c r="N34" s="12"/>
      <c r="O34" s="12"/>
      <c r="P34" s="46">
        <f>P32+P33</f>
        <v>9.815039999999998</v>
      </c>
      <c r="Q34" s="14"/>
      <c r="R34" s="14"/>
      <c r="S34" s="238">
        <f>S33*20%</f>
        <v>5.4080000000000004</v>
      </c>
      <c r="T34" s="14"/>
      <c r="U34" s="9"/>
      <c r="X34" s="4"/>
    </row>
    <row r="35" spans="1:24" ht="17.399999999999999" x14ac:dyDescent="0.35">
      <c r="B35" s="235"/>
      <c r="C35" s="236"/>
      <c r="D35" s="237"/>
      <c r="E35" s="235"/>
      <c r="F35" s="230"/>
      <c r="G35" s="230"/>
      <c r="I35" s="274"/>
      <c r="J35" s="265"/>
      <c r="K35" s="47"/>
      <c r="L35" s="47"/>
      <c r="M35" s="14"/>
      <c r="N35" s="14"/>
      <c r="O35" s="14"/>
      <c r="P35" s="14"/>
      <c r="Q35" s="14"/>
      <c r="R35" s="14"/>
      <c r="S35" s="240">
        <f>S33+S34</f>
        <v>32.448</v>
      </c>
      <c r="T35" s="14"/>
      <c r="U35" s="300" t="s">
        <v>21</v>
      </c>
      <c r="V35" s="297" t="s">
        <v>151</v>
      </c>
      <c r="W35" s="301">
        <v>44971</v>
      </c>
      <c r="X35" s="302"/>
    </row>
    <row r="36" spans="1:24" ht="17.399999999999999" x14ac:dyDescent="0.35">
      <c r="B36" s="230"/>
      <c r="C36" s="230"/>
      <c r="D36" s="230"/>
      <c r="E36" s="230"/>
      <c r="F36" s="230"/>
      <c r="G36" s="230"/>
      <c r="J36" s="265"/>
      <c r="K36" s="47"/>
      <c r="L36" s="47"/>
      <c r="M36" s="39">
        <f>P34</f>
        <v>9.815039999999998</v>
      </c>
      <c r="N36" s="12">
        <v>3500</v>
      </c>
      <c r="O36" s="12">
        <f t="shared" ref="O36:O41" si="26">M36*N36</f>
        <v>34352.639999999992</v>
      </c>
      <c r="P36" s="14" t="s">
        <v>21</v>
      </c>
      <c r="Q36" s="14"/>
      <c r="R36" s="14"/>
      <c r="S36" s="241"/>
      <c r="T36" s="14"/>
      <c r="U36" s="300" t="s">
        <v>152</v>
      </c>
      <c r="V36" s="297">
        <v>3625</v>
      </c>
      <c r="W36" s="59" t="s">
        <v>153</v>
      </c>
      <c r="X36" s="302"/>
    </row>
    <row r="37" spans="1:24" ht="17.399999999999999" x14ac:dyDescent="0.35">
      <c r="A37" s="230"/>
      <c r="B37" s="230"/>
      <c r="C37" s="230"/>
      <c r="D37" s="230"/>
      <c r="E37" s="230"/>
      <c r="F37" s="230"/>
      <c r="G37" s="230"/>
      <c r="H37" s="230"/>
      <c r="J37" s="265"/>
      <c r="K37" s="47"/>
      <c r="L37" s="47"/>
      <c r="M37" s="249">
        <v>3</v>
      </c>
      <c r="N37" s="12">
        <v>45000</v>
      </c>
      <c r="O37" s="12">
        <f t="shared" si="26"/>
        <v>135000</v>
      </c>
      <c r="P37" s="39" t="s">
        <v>30</v>
      </c>
      <c r="Q37" s="42"/>
      <c r="R37" s="14"/>
      <c r="S37" s="240"/>
      <c r="T37" s="14"/>
      <c r="U37" s="300"/>
      <c r="V37" s="59">
        <v>906.25</v>
      </c>
      <c r="W37" s="59" t="s">
        <v>154</v>
      </c>
      <c r="X37" s="302"/>
    </row>
    <row r="38" spans="1:24" s="230" customFormat="1" ht="17.399999999999999" x14ac:dyDescent="0.35">
      <c r="B38" s="24" t="s">
        <v>150</v>
      </c>
      <c r="J38" s="262"/>
      <c r="K38" s="232"/>
      <c r="L38" s="250"/>
      <c r="M38" s="14">
        <v>20</v>
      </c>
      <c r="N38" s="250">
        <v>2000</v>
      </c>
      <c r="O38" s="12">
        <f t="shared" si="26"/>
        <v>40000</v>
      </c>
      <c r="P38" s="39" t="s">
        <v>172</v>
      </c>
      <c r="Q38" s="42"/>
      <c r="S38" s="240"/>
      <c r="T38" s="256"/>
      <c r="U38" s="59"/>
      <c r="V38" s="59">
        <f>V37*20%</f>
        <v>181.25</v>
      </c>
      <c r="W38" s="302" t="s">
        <v>155</v>
      </c>
      <c r="X38" s="59"/>
    </row>
    <row r="39" spans="1:24" s="230" customFormat="1" ht="17.399999999999999" x14ac:dyDescent="0.35">
      <c r="B39" s="24" t="s">
        <v>143</v>
      </c>
      <c r="C39"/>
      <c r="D39"/>
      <c r="E39"/>
      <c r="F39"/>
      <c r="J39" s="262"/>
      <c r="K39" s="232"/>
      <c r="L39" s="250"/>
      <c r="M39" s="14">
        <v>2</v>
      </c>
      <c r="N39" s="250">
        <v>61000</v>
      </c>
      <c r="O39" s="12">
        <f t="shared" si="26"/>
        <v>122000</v>
      </c>
      <c r="P39" s="14" t="s">
        <v>140</v>
      </c>
      <c r="Q39" s="17"/>
      <c r="S39" s="238"/>
      <c r="T39" s="256"/>
      <c r="U39" s="59"/>
      <c r="V39" s="59">
        <f>V37+V38</f>
        <v>1087.5</v>
      </c>
      <c r="W39" s="302" t="s">
        <v>156</v>
      </c>
      <c r="X39" s="59"/>
    </row>
    <row r="40" spans="1:24" s="230" customFormat="1" ht="17.399999999999999" x14ac:dyDescent="0.35">
      <c r="B40" s="29" t="s">
        <v>124</v>
      </c>
      <c r="C40"/>
      <c r="D40"/>
      <c r="E40"/>
      <c r="F40" s="229" t="s">
        <v>15</v>
      </c>
      <c r="J40" s="262"/>
      <c r="K40" s="260"/>
      <c r="L40" s="250"/>
      <c r="M40" s="249"/>
      <c r="N40" s="250">
        <v>900</v>
      </c>
      <c r="O40" s="12">
        <f t="shared" si="26"/>
        <v>0</v>
      </c>
      <c r="P40" s="14" t="s">
        <v>31</v>
      </c>
      <c r="Q40" s="14"/>
      <c r="R40" s="230">
        <v>1.52</v>
      </c>
      <c r="S40" s="238"/>
      <c r="T40" s="238"/>
    </row>
    <row r="41" spans="1:24" s="230" customFormat="1" ht="17.399999999999999" x14ac:dyDescent="0.35">
      <c r="J41" s="291"/>
      <c r="K41" s="260"/>
      <c r="L41" s="250"/>
      <c r="M41" s="266"/>
      <c r="N41" s="12">
        <v>1500</v>
      </c>
      <c r="O41" s="12">
        <f t="shared" si="26"/>
        <v>0</v>
      </c>
      <c r="P41" s="14" t="s">
        <v>22</v>
      </c>
      <c r="Q41" s="14"/>
      <c r="R41">
        <v>2.44</v>
      </c>
      <c r="S41"/>
      <c r="T41" s="238"/>
      <c r="X41" s="231"/>
    </row>
    <row r="42" spans="1:24" s="230" customFormat="1" ht="17.399999999999999" x14ac:dyDescent="0.35">
      <c r="K42" s="260"/>
      <c r="L42" s="250"/>
      <c r="M42" s="14"/>
      <c r="N42" s="12"/>
      <c r="O42" s="12">
        <f>SUM(O36:O41)</f>
        <v>331352.64</v>
      </c>
      <c r="P42" s="39" t="s">
        <v>23</v>
      </c>
      <c r="Q42" s="14"/>
      <c r="R42">
        <f>R40*R41</f>
        <v>3.7088000000000001</v>
      </c>
      <c r="S42"/>
      <c r="T42" s="238"/>
      <c r="X42" s="231"/>
    </row>
    <row r="43" spans="1:24" s="230" customFormat="1" ht="17.399999999999999" x14ac:dyDescent="0.35">
      <c r="L43" s="250"/>
      <c r="M43" s="254" t="s">
        <v>32</v>
      </c>
      <c r="N43" s="12"/>
      <c r="O43" s="255">
        <f>O42*2.2</f>
        <v>728975.80800000008</v>
      </c>
      <c r="P43" s="14" t="s">
        <v>139</v>
      </c>
      <c r="Q43" s="14"/>
      <c r="R43" s="40">
        <f>P34/R42</f>
        <v>2.646419327006039</v>
      </c>
      <c r="S43"/>
      <c r="T43" s="257"/>
    </row>
    <row r="44" spans="1:24" s="230" customFormat="1" ht="17.399999999999999" x14ac:dyDescent="0.35">
      <c r="G44"/>
      <c r="H44" s="260"/>
      <c r="I44" s="260"/>
      <c r="J44" s="260">
        <v>72590</v>
      </c>
      <c r="K44" s="230">
        <v>49710</v>
      </c>
      <c r="L44" s="250"/>
      <c r="M44" s="14"/>
      <c r="N44" s="12"/>
      <c r="O44" s="12">
        <f>O43/P32</f>
        <v>89125.563380281717</v>
      </c>
      <c r="P44" s="45" t="s">
        <v>24</v>
      </c>
      <c r="Q44" s="14"/>
      <c r="R44" s="14"/>
      <c r="S44"/>
      <c r="T44" s="238"/>
      <c r="U44" s="59" t="s">
        <v>157</v>
      </c>
      <c r="V44" s="297">
        <v>43650</v>
      </c>
    </row>
    <row r="45" spans="1:24" s="230" customFormat="1" ht="17.399999999999999" x14ac:dyDescent="0.35">
      <c r="G45"/>
      <c r="J45" s="260">
        <f>J44/1.19</f>
        <v>61000</v>
      </c>
      <c r="K45" s="230">
        <f>K44/1.19</f>
        <v>41773.10924369748</v>
      </c>
      <c r="L45" s="250"/>
      <c r="M45" s="13"/>
      <c r="N45" s="14"/>
      <c r="O45" s="17">
        <f>O43/O42</f>
        <v>2.2000000000000002</v>
      </c>
      <c r="P45" s="15"/>
      <c r="Q45"/>
      <c r="R45"/>
      <c r="S45"/>
      <c r="T45" s="238"/>
      <c r="U45" s="59" t="s">
        <v>159</v>
      </c>
      <c r="V45" s="298" t="s">
        <v>158</v>
      </c>
      <c r="W45" s="59">
        <v>2.4</v>
      </c>
    </row>
    <row r="46" spans="1:24" s="230" customFormat="1" ht="17.399999999999999" x14ac:dyDescent="0.35">
      <c r="G46" s="23"/>
      <c r="L46" s="12"/>
      <c r="T46" s="238"/>
      <c r="U46" s="59" t="s">
        <v>160</v>
      </c>
      <c r="V46" s="299">
        <v>395.37</v>
      </c>
    </row>
    <row r="47" spans="1:24" s="230" customFormat="1" ht="17.399999999999999" x14ac:dyDescent="0.35">
      <c r="B47"/>
      <c r="C47" s="228"/>
      <c r="D47" s="22"/>
      <c r="E47" s="22"/>
      <c r="F47" s="21"/>
      <c r="G47" s="23"/>
      <c r="L47" s="12"/>
      <c r="T47" s="238"/>
      <c r="U47" s="59" t="s">
        <v>155</v>
      </c>
      <c r="V47" s="59">
        <v>474.45</v>
      </c>
    </row>
    <row r="48" spans="1:24" ht="14.4" customHeight="1" x14ac:dyDescent="0.3">
      <c r="L48" s="12"/>
      <c r="U48" s="59"/>
      <c r="V48" s="59"/>
    </row>
    <row r="49" spans="12:20" x14ac:dyDescent="0.3">
      <c r="L49" s="250"/>
    </row>
    <row r="50" spans="12:20" x14ac:dyDescent="0.3">
      <c r="L50" s="250"/>
      <c r="T50" s="270"/>
    </row>
    <row r="51" spans="12:20" x14ac:dyDescent="0.3">
      <c r="L51" s="250"/>
    </row>
    <row r="52" spans="12:20" ht="15" customHeight="1" x14ac:dyDescent="0.3"/>
    <row r="54" spans="12:20" x14ac:dyDescent="0.3">
      <c r="O54">
        <v>40935</v>
      </c>
      <c r="P54" t="s">
        <v>16</v>
      </c>
      <c r="Q54" t="s">
        <v>26</v>
      </c>
    </row>
    <row r="56" spans="12:20" x14ac:dyDescent="0.3">
      <c r="O56" s="54"/>
      <c r="P56" s="54"/>
    </row>
    <row r="57" spans="12:20" x14ac:dyDescent="0.3">
      <c r="S57" s="18"/>
      <c r="T57" s="18"/>
    </row>
    <row r="58" spans="12:20" x14ac:dyDescent="0.3">
      <c r="S58" s="18"/>
      <c r="T58" s="18"/>
    </row>
    <row r="59" spans="12:20" x14ac:dyDescent="0.3">
      <c r="S59" s="18"/>
      <c r="T59" s="18"/>
    </row>
    <row r="60" spans="12:20" x14ac:dyDescent="0.3">
      <c r="S60" s="18"/>
      <c r="T60" s="18"/>
    </row>
    <row r="61" spans="12:20" x14ac:dyDescent="0.3">
      <c r="S61" s="18"/>
      <c r="T61" s="18"/>
    </row>
    <row r="62" spans="12:20" x14ac:dyDescent="0.3">
      <c r="S62" s="18"/>
      <c r="T62" s="18"/>
    </row>
    <row r="63" spans="12:20" x14ac:dyDescent="0.3">
      <c r="S63" s="18"/>
      <c r="T63" s="18"/>
    </row>
    <row r="64" spans="12:20" x14ac:dyDescent="0.3">
      <c r="S64" s="18"/>
      <c r="T64" s="18"/>
    </row>
    <row r="65" spans="3:20" x14ac:dyDescent="0.3">
      <c r="S65" s="18"/>
      <c r="T65" s="18"/>
    </row>
    <row r="68" spans="3:20" x14ac:dyDescent="0.3">
      <c r="O68" s="43"/>
    </row>
    <row r="69" spans="3:20" x14ac:dyDescent="0.3">
      <c r="O69" s="43"/>
    </row>
    <row r="70" spans="3:20" x14ac:dyDescent="0.3">
      <c r="O70" s="6"/>
    </row>
    <row r="71" spans="3:20" x14ac:dyDescent="0.3">
      <c r="O71" s="6"/>
    </row>
    <row r="79" spans="3:20" x14ac:dyDescent="0.3">
      <c r="C79" t="s">
        <v>147</v>
      </c>
    </row>
    <row r="80" spans="3:20" x14ac:dyDescent="0.3">
      <c r="C80" t="s">
        <v>146</v>
      </c>
    </row>
    <row r="83" spans="3:3" x14ac:dyDescent="0.3">
      <c r="C83" t="s">
        <v>146</v>
      </c>
    </row>
    <row r="160" spans="3:3" x14ac:dyDescent="0.3">
      <c r="C160" t="s">
        <v>146</v>
      </c>
    </row>
    <row r="161" spans="3:3" x14ac:dyDescent="0.3">
      <c r="C161" t="s">
        <v>148</v>
      </c>
    </row>
    <row r="162" spans="3:3" x14ac:dyDescent="0.3">
      <c r="C162" t="s">
        <v>149</v>
      </c>
    </row>
    <row r="587" spans="3:3" x14ac:dyDescent="0.3">
      <c r="C587" t="s">
        <v>146</v>
      </c>
    </row>
  </sheetData>
  <mergeCells count="2">
    <mergeCell ref="F17:H17"/>
    <mergeCell ref="B19:H19"/>
  </mergeCells>
  <phoneticPr fontId="34" type="noConversion"/>
  <hyperlinks>
    <hyperlink ref="F40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104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45727</v>
      </c>
    </row>
    <row r="6" spans="2:31" ht="16.2" thickBot="1" x14ac:dyDescent="0.35">
      <c r="B6" s="140" t="s">
        <v>2</v>
      </c>
      <c r="C6" s="139" t="str">
        <f>'2229'!C10</f>
        <v>MUEBLES ME SPA</v>
      </c>
      <c r="D6" s="138"/>
      <c r="E6" s="138"/>
      <c r="F6" s="138"/>
      <c r="N6" s="75" t="s">
        <v>103</v>
      </c>
      <c r="O6" s="75"/>
      <c r="P6" s="142" t="s">
        <v>102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97</v>
      </c>
      <c r="I7" s="340"/>
      <c r="J7" s="340"/>
      <c r="K7" s="341"/>
      <c r="N7" s="75"/>
      <c r="O7" s="338" t="s">
        <v>101</v>
      </c>
      <c r="P7" s="141" t="s">
        <v>100</v>
      </c>
      <c r="Q7" s="141"/>
    </row>
    <row r="8" spans="2:31" ht="16.2" thickBot="1" x14ac:dyDescent="0.35">
      <c r="B8" s="140" t="s">
        <v>99</v>
      </c>
      <c r="C8" s="139" t="str">
        <f>'2229'!D8</f>
        <v>N° 11336</v>
      </c>
      <c r="D8" s="138"/>
      <c r="E8" s="138"/>
      <c r="F8" s="138"/>
      <c r="H8" s="182" t="s">
        <v>116</v>
      </c>
      <c r="I8" s="154" t="s">
        <v>115</v>
      </c>
      <c r="J8" s="227" t="s">
        <v>94</v>
      </c>
      <c r="K8" s="135" t="s">
        <v>6</v>
      </c>
      <c r="L8" s="134" t="s">
        <v>6</v>
      </c>
      <c r="N8" s="75"/>
      <c r="O8" s="338"/>
      <c r="P8" s="75" t="s">
        <v>98</v>
      </c>
      <c r="Q8" s="75"/>
      <c r="X8">
        <f>SUM(Q11:Q16)</f>
        <v>6</v>
      </c>
    </row>
    <row r="9" spans="2:31" ht="15" thickBot="1" x14ac:dyDescent="0.35">
      <c r="H9" s="197" t="s">
        <v>95</v>
      </c>
      <c r="I9" s="198" t="s">
        <v>114</v>
      </c>
      <c r="J9" s="183" t="s">
        <v>91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-125124.48236678744</v>
      </c>
    </row>
    <row r="10" spans="2:31" ht="16.2" thickBot="1" x14ac:dyDescent="0.35">
      <c r="D10" s="218" t="s">
        <v>28</v>
      </c>
      <c r="E10" s="219" t="s">
        <v>50</v>
      </c>
      <c r="F10" s="220" t="s">
        <v>6</v>
      </c>
      <c r="H10" s="190">
        <v>3</v>
      </c>
      <c r="I10" s="204">
        <v>350</v>
      </c>
      <c r="J10" s="201" t="s">
        <v>31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92</v>
      </c>
      <c r="D11" s="133">
        <f>'2229'!H30</f>
        <v>1145405</v>
      </c>
      <c r="E11" s="132">
        <f>D11*0.19</f>
        <v>217626.95</v>
      </c>
      <c r="F11" s="131">
        <f>E11+D11</f>
        <v>1363031.95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34</v>
      </c>
      <c r="S11" s="51">
        <v>2.8</v>
      </c>
      <c r="T11" s="51">
        <v>0.62</v>
      </c>
      <c r="U11" s="7" t="s">
        <v>37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-19134.482366787444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96</v>
      </c>
      <c r="D12" s="136">
        <f>SUM(M43:M45)</f>
        <v>239186.73078743959</v>
      </c>
      <c r="F12" s="61"/>
      <c r="H12" s="191">
        <v>0</v>
      </c>
      <c r="I12" s="174">
        <v>7500</v>
      </c>
      <c r="J12" s="150" t="s">
        <v>110</v>
      </c>
      <c r="K12" s="158">
        <f t="shared" si="0"/>
        <v>0</v>
      </c>
      <c r="L12" s="61"/>
      <c r="Q12" s="7">
        <v>1</v>
      </c>
      <c r="R12" s="7" t="s">
        <v>34</v>
      </c>
      <c r="S12" s="51">
        <v>2.2999999999999998</v>
      </c>
      <c r="T12" s="51">
        <v>0.62</v>
      </c>
      <c r="U12" s="7" t="s">
        <v>37</v>
      </c>
      <c r="V12" s="55">
        <v>87990</v>
      </c>
      <c r="W12" s="49">
        <f t="shared" si="1"/>
        <v>87990</v>
      </c>
      <c r="X12" s="176">
        <f t="shared" si="2"/>
        <v>-37134.482366787444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90</v>
      </c>
      <c r="D13" s="217">
        <f>D11-D12</f>
        <v>906218.26921256038</v>
      </c>
      <c r="E13" s="221">
        <f>(D11/D12)-1</f>
        <v>3.7887480891149359</v>
      </c>
      <c r="H13" s="191">
        <v>0</v>
      </c>
      <c r="I13" s="174">
        <v>50</v>
      </c>
      <c r="J13" s="150" t="s">
        <v>111</v>
      </c>
      <c r="K13" s="158">
        <f t="shared" si="0"/>
        <v>0</v>
      </c>
      <c r="L13" s="61"/>
      <c r="Q13" s="7">
        <v>1</v>
      </c>
      <c r="R13" s="7" t="s">
        <v>34</v>
      </c>
      <c r="S13" s="51">
        <v>2.0299999999999998</v>
      </c>
      <c r="T13" s="51">
        <v>0.62</v>
      </c>
      <c r="U13" s="7" t="s">
        <v>37</v>
      </c>
      <c r="V13" s="55">
        <v>78990</v>
      </c>
      <c r="W13" s="49">
        <f t="shared" si="1"/>
        <v>78990</v>
      </c>
      <c r="X13" s="176">
        <f t="shared" si="2"/>
        <v>-46134.482366787444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121</v>
      </c>
      <c r="E14" s="179" t="s">
        <v>28</v>
      </c>
      <c r="F14" s="178" t="s">
        <v>109</v>
      </c>
      <c r="H14" s="191">
        <v>0</v>
      </c>
      <c r="I14" s="174">
        <v>50</v>
      </c>
      <c r="J14" s="150" t="s">
        <v>112</v>
      </c>
      <c r="K14" s="158">
        <f t="shared" si="0"/>
        <v>0</v>
      </c>
      <c r="L14" s="61"/>
      <c r="P14" s="126"/>
      <c r="Q14" s="7">
        <v>1</v>
      </c>
      <c r="R14" s="7" t="s">
        <v>34</v>
      </c>
      <c r="S14" s="51">
        <v>1.08</v>
      </c>
      <c r="T14" s="51">
        <v>0.62</v>
      </c>
      <c r="U14" s="7" t="s">
        <v>37</v>
      </c>
      <c r="V14" s="55">
        <v>39990</v>
      </c>
      <c r="W14" s="49">
        <f t="shared" si="1"/>
        <v>39990</v>
      </c>
      <c r="X14" s="176">
        <f t="shared" si="2"/>
        <v>-85134.482366787444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120</v>
      </c>
      <c r="D15" s="214">
        <v>0.65</v>
      </c>
      <c r="E15" s="215">
        <f>(100%+D15)*D12</f>
        <v>394658.10579927533</v>
      </c>
      <c r="F15" s="216">
        <f>E15-D12</f>
        <v>155471.37501183574</v>
      </c>
      <c r="H15" s="191">
        <v>0</v>
      </c>
      <c r="I15" s="174">
        <v>10</v>
      </c>
      <c r="J15" s="150" t="s">
        <v>113</v>
      </c>
      <c r="K15" s="158">
        <f t="shared" si="0"/>
        <v>0</v>
      </c>
      <c r="L15" s="61"/>
      <c r="Q15" s="7">
        <v>1</v>
      </c>
      <c r="R15" s="7" t="s">
        <v>34</v>
      </c>
      <c r="S15" s="51">
        <v>1.08</v>
      </c>
      <c r="T15" s="51">
        <v>0.62</v>
      </c>
      <c r="U15" s="7" t="s">
        <v>37</v>
      </c>
      <c r="V15" s="55">
        <v>39990</v>
      </c>
      <c r="W15" s="49">
        <f t="shared" si="1"/>
        <v>39990</v>
      </c>
      <c r="X15" s="176">
        <f t="shared" si="2"/>
        <v>-85134.482366787444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89</v>
      </c>
      <c r="K16" s="158">
        <f t="shared" si="0"/>
        <v>0</v>
      </c>
      <c r="L16" s="61"/>
      <c r="Q16" s="7">
        <v>1</v>
      </c>
      <c r="R16" s="7" t="s">
        <v>34</v>
      </c>
      <c r="S16" s="51">
        <v>2.06</v>
      </c>
      <c r="T16" s="51">
        <v>0.62</v>
      </c>
      <c r="U16" s="7" t="s">
        <v>37</v>
      </c>
      <c r="V16" s="55">
        <v>79990</v>
      </c>
      <c r="W16" s="49">
        <f t="shared" si="1"/>
        <v>79990</v>
      </c>
      <c r="X16" s="176">
        <f t="shared" si="2"/>
        <v>-45134.482366787444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87</v>
      </c>
      <c r="C17" s="129" t="s">
        <v>86</v>
      </c>
      <c r="D17" s="129" t="s">
        <v>28</v>
      </c>
      <c r="E17" s="128" t="s">
        <v>50</v>
      </c>
      <c r="F17" s="127" t="s">
        <v>6</v>
      </c>
      <c r="H17" s="193">
        <v>1</v>
      </c>
      <c r="I17" s="202"/>
      <c r="J17" s="188" t="s">
        <v>88</v>
      </c>
      <c r="K17" s="158">
        <f t="shared" si="0"/>
        <v>0</v>
      </c>
      <c r="L17" s="61"/>
      <c r="Q17" s="7">
        <v>6</v>
      </c>
      <c r="R17" s="7" t="s">
        <v>35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84</v>
      </c>
      <c r="D18" s="122">
        <f>'2229'!O38</f>
        <v>40000</v>
      </c>
      <c r="E18" s="123">
        <f>D18*0.19</f>
        <v>7600</v>
      </c>
      <c r="F18" s="120">
        <f>SUM(D18:E18)</f>
        <v>47600</v>
      </c>
      <c r="H18" s="192">
        <v>1</v>
      </c>
      <c r="I18" s="202"/>
      <c r="J18" s="184" t="s">
        <v>85</v>
      </c>
      <c r="K18" s="158">
        <f t="shared" si="0"/>
        <v>0</v>
      </c>
      <c r="L18" s="61"/>
      <c r="Q18" s="7">
        <v>1</v>
      </c>
      <c r="R18" s="56" t="s">
        <v>36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30</v>
      </c>
      <c r="D19" s="122">
        <f>'2229'!O37</f>
        <v>135000</v>
      </c>
      <c r="E19" s="123">
        <f>D19*0.19</f>
        <v>25650</v>
      </c>
      <c r="F19" s="120">
        <f>SUM(D19:E19)</f>
        <v>160650</v>
      </c>
      <c r="H19" s="192">
        <v>1</v>
      </c>
      <c r="I19" s="202"/>
      <c r="J19" s="184" t="s">
        <v>83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'2229'!O36</f>
        <v>34352.639999999992</v>
      </c>
      <c r="E20" s="121">
        <f>D20*0.19</f>
        <v>6527.0015999999987</v>
      </c>
      <c r="F20" s="120">
        <f>SUM(D20:E20)</f>
        <v>40879.641599999988</v>
      </c>
      <c r="H20" s="192">
        <v>1</v>
      </c>
      <c r="I20" s="202"/>
      <c r="J20" s="184" t="s">
        <v>82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209352.63999999998</v>
      </c>
      <c r="E21" s="116">
        <f>SUM(E18:E20)</f>
        <v>39777.001599999996</v>
      </c>
      <c r="F21" s="115">
        <f>SUM(F18:F20)</f>
        <v>249129.64159999997</v>
      </c>
      <c r="H21" s="192">
        <v>1</v>
      </c>
      <c r="I21" s="202"/>
      <c r="J21" s="184" t="s">
        <v>81</v>
      </c>
      <c r="K21" s="158">
        <f t="shared" si="0"/>
        <v>0</v>
      </c>
      <c r="M21" s="153">
        <f>B32/9</f>
        <v>2318.840579710145</v>
      </c>
      <c r="Q21" s="50" t="s">
        <v>38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79</v>
      </c>
      <c r="C22" s="113" t="s">
        <v>78</v>
      </c>
      <c r="D22" s="112" t="s">
        <v>77</v>
      </c>
      <c r="E22" s="111" t="s">
        <v>76</v>
      </c>
      <c r="F22" s="110" t="s">
        <v>6</v>
      </c>
      <c r="H22" s="192">
        <v>1</v>
      </c>
      <c r="I22" s="202"/>
      <c r="J22" s="148" t="s">
        <v>80</v>
      </c>
      <c r="K22" s="158">
        <f t="shared" si="0"/>
        <v>0</v>
      </c>
      <c r="M22" s="105"/>
      <c r="N22" s="58"/>
      <c r="Q22" s="50" t="s">
        <v>33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75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73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116</v>
      </c>
      <c r="I24" s="155" t="s">
        <v>114</v>
      </c>
      <c r="J24" s="181" t="s">
        <v>74</v>
      </c>
      <c r="K24" s="152" t="s">
        <v>93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72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107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70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71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69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68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67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105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66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117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118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64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119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63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40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39</v>
      </c>
      <c r="K33" s="97">
        <f t="shared" si="5"/>
        <v>0</v>
      </c>
    </row>
    <row r="34" spans="2:16" ht="15" thickBot="1" x14ac:dyDescent="0.35">
      <c r="B34" s="83" t="s">
        <v>62</v>
      </c>
      <c r="C34" s="82" t="s">
        <v>61</v>
      </c>
      <c r="D34" s="81">
        <f>L9</f>
        <v>2550</v>
      </c>
      <c r="H34" s="192">
        <v>1</v>
      </c>
      <c r="I34" s="174"/>
      <c r="J34" s="148" t="s">
        <v>106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60</v>
      </c>
      <c r="D35" s="78">
        <f>L24</f>
        <v>0</v>
      </c>
      <c r="H35" s="194">
        <v>6</v>
      </c>
      <c r="I35" s="206"/>
      <c r="J35" s="180" t="s">
        <v>108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58</v>
      </c>
      <c r="D36" s="78">
        <f>L36</f>
        <v>18467.665666666668</v>
      </c>
      <c r="E36" s="58"/>
      <c r="H36" s="151" t="s">
        <v>95</v>
      </c>
      <c r="I36" s="155" t="s">
        <v>114</v>
      </c>
      <c r="J36" s="189" t="s">
        <v>65</v>
      </c>
      <c r="K36" s="152" t="s">
        <v>93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41</v>
      </c>
      <c r="D37" s="73"/>
      <c r="H37" s="199">
        <f>$E$33</f>
        <v>3.9000000000000004</v>
      </c>
      <c r="I37" s="204">
        <f>32609.69/9</f>
        <v>3623.2988888888885</v>
      </c>
      <c r="J37" s="187" t="s">
        <v>44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42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43</v>
      </c>
      <c r="K39" s="84">
        <f>I39*H39</f>
        <v>565.5</v>
      </c>
    </row>
    <row r="40" spans="2:16" ht="15" thickBot="1" x14ac:dyDescent="0.35">
      <c r="B40" s="68" t="s">
        <v>51</v>
      </c>
      <c r="C40" s="67" t="s">
        <v>50</v>
      </c>
      <c r="D40" s="66">
        <f>E11-E21</f>
        <v>177849.94840000002</v>
      </c>
    </row>
    <row r="41" spans="2:16" ht="15" thickBot="1" x14ac:dyDescent="0.35">
      <c r="H41" s="342" t="s">
        <v>59</v>
      </c>
      <c r="I41" s="343"/>
      <c r="J41" s="343"/>
      <c r="K41" s="343"/>
      <c r="L41" s="343"/>
      <c r="M41" s="344"/>
    </row>
    <row r="42" spans="2:16" ht="15" thickBot="1" x14ac:dyDescent="0.35">
      <c r="B42" s="75" t="s">
        <v>45</v>
      </c>
      <c r="C42" s="75"/>
      <c r="D42" s="207">
        <f>E33</f>
        <v>3.9000000000000004</v>
      </c>
      <c r="H42" s="77" t="s">
        <v>57</v>
      </c>
      <c r="I42" s="159" t="s">
        <v>56</v>
      </c>
      <c r="J42" s="160"/>
      <c r="K42" s="160"/>
      <c r="L42" s="161"/>
      <c r="M42" s="76">
        <f>D11</f>
        <v>1145405</v>
      </c>
    </row>
    <row r="43" spans="2:16" ht="15" thickBot="1" x14ac:dyDescent="0.35">
      <c r="D43" s="57"/>
      <c r="H43" s="72" t="s">
        <v>55</v>
      </c>
      <c r="I43" s="162" t="s">
        <v>54</v>
      </c>
      <c r="J43" s="163"/>
      <c r="K43" s="163"/>
      <c r="L43" s="164"/>
      <c r="M43" s="64">
        <f>D21</f>
        <v>209352.63999999998</v>
      </c>
    </row>
    <row r="44" spans="2:16" x14ac:dyDescent="0.3">
      <c r="D44" s="57"/>
      <c r="I44" s="165" t="s">
        <v>53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52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49</v>
      </c>
      <c r="J46" s="172"/>
      <c r="K46" s="172"/>
      <c r="L46" s="173"/>
      <c r="M46" s="62">
        <f>M42-(SUM(M43:M45))</f>
        <v>906218.26921256038</v>
      </c>
    </row>
    <row r="47" spans="2:16" x14ac:dyDescent="0.3">
      <c r="I47" s="162" t="s">
        <v>48</v>
      </c>
      <c r="J47" s="163"/>
      <c r="K47" s="163"/>
      <c r="L47" s="164"/>
      <c r="M47" s="64"/>
    </row>
    <row r="48" spans="2:16" ht="15" thickBot="1" x14ac:dyDescent="0.35">
      <c r="D48" s="60"/>
      <c r="I48" s="168" t="s">
        <v>47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46</v>
      </c>
      <c r="J49" s="172"/>
      <c r="K49" s="172"/>
      <c r="L49" s="173"/>
      <c r="M49" s="62">
        <f>M46-SUM(M47:M48)</f>
        <v>906218.26921256038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2025-03-11T20:00:18Z</cp:lastPrinted>
  <dcterms:created xsi:type="dcterms:W3CDTF">2013-03-18T13:35:42Z</dcterms:created>
  <dcterms:modified xsi:type="dcterms:W3CDTF">2025-03-14T04:29:29Z</dcterms:modified>
</cp:coreProperties>
</file>