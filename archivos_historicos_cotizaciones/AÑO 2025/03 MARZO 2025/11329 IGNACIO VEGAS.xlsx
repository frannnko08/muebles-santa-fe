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60760CEF-0F4D-4D41-ABFE-18DEAC1EF8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L22" i="1"/>
  <c r="M22" i="1"/>
  <c r="N22" i="1"/>
  <c r="H22" i="1"/>
  <c r="L21" i="1"/>
  <c r="N21" i="1"/>
  <c r="T21" i="1" s="1"/>
  <c r="S22" i="1" l="1"/>
  <c r="T22" i="1"/>
  <c r="T25" i="1" s="1"/>
  <c r="O22" i="1"/>
  <c r="P22" i="1" s="1"/>
  <c r="M21" i="1"/>
  <c r="M26" i="1" l="1"/>
  <c r="S21" i="1"/>
  <c r="S26" i="1" s="1"/>
  <c r="S28" i="1" s="1"/>
  <c r="O21" i="1"/>
  <c r="P21" i="1" s="1"/>
  <c r="P26" i="1" s="1"/>
  <c r="K40" i="1"/>
  <c r="S29" i="1" l="1"/>
  <c r="S30" i="1" s="1"/>
  <c r="V33" i="1"/>
  <c r="V34" i="1" s="1"/>
  <c r="O32" i="1" l="1"/>
  <c r="P27" i="1" l="1"/>
  <c r="N20" i="1"/>
  <c r="L20" i="1"/>
  <c r="P28" i="1" l="1"/>
  <c r="P29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s="1"/>
  <c r="D20" i="3" l="1"/>
  <c r="E20" i="3" s="1"/>
  <c r="E21" i="3" s="1"/>
  <c r="Q20" i="1" l="1"/>
  <c r="D21" i="3"/>
  <c r="M43" i="3" s="1"/>
  <c r="D12" i="3" s="1"/>
  <c r="F20" i="3"/>
  <c r="F21" i="3" s="1"/>
  <c r="Q22" i="1" l="1"/>
  <c r="R22" i="1" s="1"/>
  <c r="O40" i="1"/>
  <c r="E15" i="3"/>
  <c r="Q21" i="1" l="1"/>
  <c r="F15" i="3"/>
  <c r="R21" i="1" l="1"/>
  <c r="H21" i="1" l="1"/>
  <c r="H25" i="1" s="1"/>
  <c r="H26" i="1" l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<sst xmlns="http://schemas.openxmlformats.org/spreadsheetml/2006/main" count="231" uniqueCount="173">
  <si>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</si>
  <si>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</si>
  <si>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</si>
  <si>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</si>
  <si>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</si>
  <si>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</si>
  <si>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</si>
  <si>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</si>
  <si>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</si>
  <si>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</si>
  <si>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</si>
  <si>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</si>
  <si>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</si>
  <si>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</si>
  <si>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</si>
  <si>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</si>
  <si>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</si>
  <si>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</si>
  <si>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</si>
  <si>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</si>
  <si>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</si>
  <si>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</si>
  <si>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</si>
  <si>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</si>
  <si>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</si>
  <si>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</si>
  <si>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</si>
  <si>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</si>
  <si>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</si>
  <si>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</si>
  <si>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</si>
  <si>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</si>
  <si>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</si>
  <si>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</si>
  <si>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</si>
  <si>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</si>
  <si>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</si>
  <si>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</si>
  <si>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</si>
  <si>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</si>
  <si>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</si>
  <si>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</si>
  <si>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</si>
  <si>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</si>
  <si>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</si>
  <si>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</si>
  <si>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</si>
  <si>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</si>
  <si>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</si>
  <si>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</si>
  <si>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</si>
  <si>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</si>
  <si>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</si>
  <si>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</si>
  <si>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</si>
  <si>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</si>
  <si>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</si>
  <si>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</si>
  <si>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</si>
  <si>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</si>
  <si>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</si>
  <si>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</si>
  <si>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</si>
  <si>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</si>
  <si>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</si>
  <si>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</si>
  <si>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</si>
  <si>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</si>
  <si>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</si>
  <si>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</si>
  <si>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</si>
  <si>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</si>
  <si>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</si>
  <si>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</si>
  <si>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</si>
  <si>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</si>
  <si>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</si>
  <si>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</si>
  <si>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</si>
  <si>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</si>
  <si>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</si>
  <si>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</si>
  <si>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</si>
  <si>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</si>
  <si>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</si>
  <si>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</si>
  <si>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</si>
  <si>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</si>
  <si>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</si>
  <si>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</si>
  <si>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</si>
  <si>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</si>
  <si>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</si>
  <si>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</si>
  <si>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</si>
  <si>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</si>
  <si>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</si>
  <si>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</si>
  <si>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</si>
  <si>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</si>
  <si>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</si>
  <si>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</si>
  <si>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</si>
  <si>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</si>
  <si>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</si>
  <si>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</si>
  <si>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</si>
  <si>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</si>
  <si>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</si>
  <si>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</si>
  <si>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</si>
  <si>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</si>
  <si>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</si>
  <si>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</si>
  <si>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</si>
  <si>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</si>
  <si>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</si>
  <si>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</si>
  <si>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</si>
  <si>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</si>
  <si>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</si>
  <si>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</si>
  <si>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</si>
  <si>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</si>
  <si>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</si>
  <si>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</si>
  <si>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</si>
  <si>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</si>
  <si>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</si>
  <si>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</si>
  <si>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</si>
  <si>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</si>
  <si>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</si>
  <si>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</si>
  <si>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</si>
  <si>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</si>
  <si>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</si>
  <si>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</si>
  <si>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</si>
  <si>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</si>
  <si>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</si>
  <si>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</si>
  <si>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</si>
  <si>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</si>
  <si>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</si>
  <si>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</si>
  <si>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</si>
  <si>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</si>
  <si>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</si>
  <si>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</si>
  <si>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</si>
  <si>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</si>
  <si>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</si>
  <si>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</si>
  <si>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</si>
  <si>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</si>
  <si>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</si>
  <si>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</si>
  <si>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</si>
  <si>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</si>
  <si>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</si>
  <si>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</si>
  <si>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</si>
  <si>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</si>
  <si>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</si>
  <si>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</si>
  <si>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</si>
  <si>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11329</t>
  </si>
  <si>
    <t>IGNACIO VEGAS</t>
  </si>
  <si>
    <t>+569 3079 6218</t>
  </si>
  <si>
    <t>5 DIAS HABILES</t>
  </si>
  <si>
    <t>BLANCO OPACO</t>
  </si>
  <si>
    <t>CUB S/R FRENTE 180° 2 CARAS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</si>
</sst>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1" fillId="19" borderId="40" xfId="0" applyFont="1" applyFill="1" applyBorder="1" applyAlignment="1">
      <alignment horizontal="center" vertical="center"/>
    </xf>
    <xf numFmtId="0" fontId="21" fillId="19" borderId="39" xfId="0" applyFont="1" applyFill="1" applyBorder="1" applyAlignment="1">
      <alignment horizontal="center" vertical="center"/>
    </xf>
    <xf numFmtId="0" fontId="21" fillId="19" borderId="43" xfId="0" applyFont="1" applyFill="1" applyBorder="1" applyAlignment="1">
      <alignment horizontal="center" vertical="center"/>
    </xf>
    <xf numFmtId="0" fontId="24" fillId="19" borderId="2" xfId="0" applyFont="1" applyFill="1" applyBorder="1" applyAlignment="1">
      <alignment horizontal="left" indent="1"/>
    </xf>
    <xf numFmtId="0" fontId="23" fillId="19" borderId="9" xfId="0" applyFont="1" applyFill="1" applyBorder="1"/>
    <xf numFmtId="0" fontId="24" fillId="19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9" borderId="40" xfId="0" applyFont="1" applyFill="1" applyBorder="1" applyAlignment="1">
      <alignment horizontal="center" vertical="center"/>
    </xf>
    <xf numFmtId="0" fontId="5" fillId="19" borderId="39" xfId="0" applyFont="1" applyFill="1" applyBorder="1" applyAlignment="1">
      <alignment horizontal="center" vertical="center"/>
    </xf>
    <xf numFmtId="0" fontId="5" fillId="19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solidFill>
          <a:schemeClr val="bg2">
            <a:lumMod val="9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</a:t>
          </a:r>
          <a:r>
            <a:rPr lang="es-CL" sz="1200" b="1" baseline="0"/>
            <a:t> ENTREGAN CORTADAS A LA MEDIDA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SUSTRATO. mdf 30mm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C22" sqref="C22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1.109375" customWidth="1"/>
    <col min="5" max="5" width="10.5546875" customWidth="1"/>
    <col min="6" max="6" width="30.441406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8.10937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0" t="s">
        <v>126</v>
      </c>
      <c r="C8" s="331"/>
      <c r="D8" s="332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162</v>
      </c>
      <c r="C10" s="278" t="s">
        <v>168</v>
      </c>
      <c r="D10" s="243"/>
      <c r="E10" s="243"/>
      <c r="F10" s="244" t="s">
        <v>0</v>
      </c>
      <c r="G10" s="276">
        <v>45727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123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4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5"/>
      <c r="H13" s="289"/>
      <c r="Q13" s="19"/>
      <c r="R13" s="25"/>
      <c r="S13" s="19"/>
    </row>
    <row r="14" spans="2:24" x14ac:dyDescent="0.3">
      <c r="B14" s="246" t="s">
        <v>139</v>
      </c>
      <c r="C14" s="312"/>
      <c r="D14" s="247"/>
      <c r="E14" s="247"/>
      <c r="F14" s="313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169</v>
      </c>
      <c r="D15" s="308"/>
      <c r="F15" t="s">
        <v>134</v>
      </c>
      <c r="G15" s="306" t="s">
        <v>135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129</v>
      </c>
      <c r="G16" s="316" t="s">
        <v>163</v>
      </c>
      <c r="H16" s="248"/>
    </row>
    <row r="17" spans="1:25" ht="15" thickBot="1" x14ac:dyDescent="0.35">
      <c r="B17" s="309" t="s">
        <v>13</v>
      </c>
      <c r="C17" s="310" t="s">
        <v>166</v>
      </c>
      <c r="D17" s="311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7" t="s">
        <v>7</v>
      </c>
      <c r="C20" s="328" t="s">
        <v>1</v>
      </c>
      <c r="D20" s="328" t="s">
        <v>10</v>
      </c>
      <c r="E20" s="328" t="s">
        <v>11</v>
      </c>
      <c r="F20" s="328" t="s">
        <v>8</v>
      </c>
      <c r="G20" s="328" t="s">
        <v>5</v>
      </c>
      <c r="H20" s="329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>E20</f>
        <v>ANCHO</v>
      </c>
      <c r="O20" s="261" t="s">
        <v>132</v>
      </c>
      <c r="P20" s="259" t="s">
        <v>16</v>
      </c>
      <c r="Q20" s="252">
        <f>O39</f>
        <v>105524.63208685165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24">
        <v>1</v>
      </c>
      <c r="C21" s="324" t="s">
        <v>172</v>
      </c>
      <c r="D21" s="325">
        <v>1.99</v>
      </c>
      <c r="E21" s="325">
        <v>0.5</v>
      </c>
      <c r="F21" s="324" t="s">
        <v>171</v>
      </c>
      <c r="G21" s="326">
        <v>114218</v>
      </c>
      <c r="H21" s="326">
        <f>G21*B21</f>
        <v>114218</v>
      </c>
      <c r="I21" s="318"/>
      <c r="J21" s="265"/>
      <c r="K21" s="47"/>
      <c r="L21" s="47">
        <f>B21</f>
        <v>1</v>
      </c>
      <c r="M21" s="267">
        <f>D21+M$19</f>
        <v>2.0699999999999998</v>
      </c>
      <c r="N21" s="267">
        <f>E21+$N$19</f>
        <v>0.5</v>
      </c>
      <c r="O21" s="261">
        <f t="shared" ref="O21" si="0">M21*N21</f>
        <v>1.0349999999999999</v>
      </c>
      <c r="P21" s="259">
        <f t="shared" ref="P21" si="1">O21*L21</f>
        <v>1.0349999999999999</v>
      </c>
      <c r="Q21" s="252">
        <f t="shared" ref="Q21" si="2">Q$20*O21</f>
        <v>109217.99420989145</v>
      </c>
      <c r="R21" s="317">
        <f t="shared" ref="R21" si="3">Q21+R$20</f>
        <v>114217.99420989145</v>
      </c>
      <c r="S21" s="295">
        <f>M21*2*L21</f>
        <v>4.1399999999999997</v>
      </c>
      <c r="T21" s="46">
        <f>N21*2*L21</f>
        <v>1</v>
      </c>
      <c r="U21" s="9"/>
      <c r="X21" s="4"/>
    </row>
    <row r="22" spans="1:25" ht="17.399999999999999" x14ac:dyDescent="0.3">
      <c r="B22" s="324">
        <v>1</v>
      </c>
      <c r="C22" s="324" t="s">
        <v>172</v>
      </c>
      <c r="D22" s="325">
        <v>1.9950000000000001</v>
      </c>
      <c r="E22" s="325">
        <v>0.5</v>
      </c>
      <c r="F22" s="324" t="s">
        <v>171</v>
      </c>
      <c r="G22" s="326">
        <v>114482</v>
      </c>
      <c r="H22" s="326">
        <f>G22*B22</f>
        <v>114482</v>
      </c>
      <c r="I22" s="318"/>
      <c r="J22" s="265"/>
      <c r="K22" s="47"/>
      <c r="L22" s="47">
        <f>B22</f>
        <v>1</v>
      </c>
      <c r="M22" s="267">
        <f>D22+M$19</f>
        <v>2.0750000000000002</v>
      </c>
      <c r="N22" s="267">
        <f>E22+$N$19</f>
        <v>0.5</v>
      </c>
      <c r="O22" s="261">
        <f t="shared" ref="O22" si="4">M22*N22</f>
        <v>1.0375000000000001</v>
      </c>
      <c r="P22" s="259">
        <f t="shared" ref="P22" si="5">O22*L22</f>
        <v>1.0375000000000001</v>
      </c>
      <c r="Q22" s="252">
        <f t="shared" ref="Q22" si="6">Q$20*O22</f>
        <v>109481.8057901086</v>
      </c>
      <c r="R22" s="317">
        <f t="shared" ref="R22" si="7">Q22+R$20</f>
        <v>114481.8057901086</v>
      </c>
      <c r="S22" s="295">
        <f t="shared" ref="S22" si="8">M22*2*L22</f>
        <v>4.1500000000000004</v>
      </c>
      <c r="T22" s="46">
        <f t="shared" ref="T22" si="9">N22*2*L22</f>
        <v>1</v>
      </c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8"/>
      <c r="H23" s="318"/>
      <c r="I23" s="318"/>
      <c r="J23" s="265"/>
      <c r="K23" s="47"/>
      <c r="L23" s="47"/>
      <c r="M23" s="39"/>
      <c r="N23" s="39"/>
      <c r="O23" s="261"/>
      <c r="P23" s="259"/>
      <c r="Q23" s="252"/>
      <c r="R23" s="317"/>
      <c r="S23" s="295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19"/>
      <c r="I24" s="321"/>
      <c r="J24" s="233"/>
      <c r="K24" s="47"/>
      <c r="L24" s="47"/>
      <c r="M24" s="39"/>
      <c r="N24" s="39"/>
      <c r="O24" s="261"/>
      <c r="P24" s="259"/>
      <c r="Q24" s="252"/>
      <c r="R24" s="258"/>
      <c r="S24" s="295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2" t="s">
        <v>28</v>
      </c>
      <c r="H25" s="323">
        <f>SUM(H21:H24)</f>
        <v>228700</v>
      </c>
      <c r="I25" s="320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5"/>
      <c r="T25" s="46">
        <f>SUM(T21:T24)</f>
        <v>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4" t="s">
        <v>51</v>
      </c>
      <c r="H26" s="292">
        <f>H25*19%</f>
        <v>43453</v>
      </c>
      <c r="I26" s="320"/>
      <c r="J26" s="265"/>
      <c r="K26" s="47"/>
      <c r="L26" s="47"/>
      <c r="M26" s="39">
        <f>SUM(M21:M22)</f>
        <v>4.1449999999999996</v>
      </c>
      <c r="N26" s="12"/>
      <c r="O26" s="12"/>
      <c r="P26" s="253">
        <f>SUM(P21:P24)</f>
        <v>2.0724999999999998</v>
      </c>
      <c r="Q26" s="14"/>
      <c r="R26" s="12"/>
      <c r="S26" s="239">
        <f>SUM(S21:S25)</f>
        <v>8.2899999999999991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3">
        <f>H25+H26</f>
        <v>272153</v>
      </c>
      <c r="I27" s="320"/>
      <c r="J27" s="265"/>
      <c r="K27" s="47"/>
      <c r="L27" s="47"/>
      <c r="M27" s="39"/>
      <c r="N27" s="12"/>
      <c r="O27" s="12"/>
      <c r="P27" s="253">
        <f>P26</f>
        <v>2.0724999999999998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0.41449999999999998</v>
      </c>
      <c r="Q28" s="39" t="s">
        <v>130</v>
      </c>
      <c r="R28" s="42"/>
      <c r="S28" s="240">
        <f>S26+T25</f>
        <v>10.29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2.4869999999999997</v>
      </c>
      <c r="Q29" s="14"/>
      <c r="R29" s="14"/>
      <c r="S29" s="238">
        <f>S28*20%</f>
        <v>2.0579999999999998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12.347999999999999</v>
      </c>
      <c r="T30" s="14"/>
      <c r="U30" s="300" t="s">
        <v>21</v>
      </c>
      <c r="V30" s="297" t="s">
        <v>152</v>
      </c>
      <c r="W30" s="301">
        <v>44971</v>
      </c>
      <c r="X30" s="302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P29*2</f>
        <v>4.9739999999999993</v>
      </c>
      <c r="N31" s="12">
        <v>3500</v>
      </c>
      <c r="O31" s="12">
        <f t="shared" ref="O31:O36" si="10">M31*N31</f>
        <v>17408.999999999996</v>
      </c>
      <c r="P31" s="14" t="s">
        <v>21</v>
      </c>
      <c r="Q31" s="14"/>
      <c r="R31" s="14"/>
      <c r="S31" s="241"/>
      <c r="T31" s="14"/>
      <c r="U31" s="300" t="s">
        <v>153</v>
      </c>
      <c r="V31" s="297">
        <v>3625</v>
      </c>
      <c r="W31" s="59" t="s">
        <v>154</v>
      </c>
      <c r="X31" s="302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45000</v>
      </c>
      <c r="O32" s="12">
        <f t="shared" si="10"/>
        <v>45000</v>
      </c>
      <c r="P32" s="39" t="s">
        <v>31</v>
      </c>
      <c r="Q32" s="42"/>
      <c r="R32" s="14"/>
      <c r="S32" s="240"/>
      <c r="T32" s="14"/>
      <c r="U32" s="300"/>
      <c r="V32" s="59">
        <v>906.25</v>
      </c>
      <c r="W32" s="59" t="s">
        <v>155</v>
      </c>
      <c r="X32" s="302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36000</v>
      </c>
      <c r="O33" s="12">
        <f t="shared" si="10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2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2</v>
      </c>
      <c r="N34" s="250">
        <v>18500</v>
      </c>
      <c r="O34" s="12">
        <f t="shared" si="10"/>
        <v>37000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2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0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1"/>
      <c r="K36" s="260"/>
      <c r="L36" s="250"/>
      <c r="M36" s="266"/>
      <c r="N36" s="12">
        <v>1500</v>
      </c>
      <c r="O36" s="12">
        <f t="shared" si="10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99409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218699.80000000002</v>
      </c>
      <c r="P38" s="14" t="s">
        <v>140</v>
      </c>
      <c r="Q38" s="14"/>
      <c r="R38" s="40">
        <f>P29/R37</f>
        <v>0.67056729939603099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48270</v>
      </c>
      <c r="L39" s="250"/>
      <c r="M39" s="14"/>
      <c r="N39" s="12"/>
      <c r="O39" s="12">
        <f>O38/P27</f>
        <v>105524.63208685165</v>
      </c>
      <c r="P39" s="45" t="s">
        <v>24</v>
      </c>
      <c r="Q39" s="14"/>
      <c r="R39" s="14"/>
      <c r="S39"/>
      <c r="T39" s="238"/>
      <c r="U39" s="59" t="s">
        <v>158</v>
      </c>
      <c r="V39" s="297">
        <v>43650</v>
      </c>
    </row>
    <row r="40" spans="2:24" s="230" customFormat="1" ht="17.399999999999999" x14ac:dyDescent="0.35">
      <c r="G40"/>
      <c r="K40" s="230">
        <f>K39/1.19</f>
        <v>40563.025210084037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298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299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45727</v>
      </c>
    </row>
    <row r="6" spans="2:31" ht="16.2" thickBot="1" x14ac:dyDescent="0.35">
      <c r="B6" s="140" t="s">
        <v>2</v>
      </c>
      <c r="C6" s="139" t="str">
        <f>'2229'!C10</f>
        <v>IGNACIO VEGAS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11329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-12749.816700120777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228700</v>
      </c>
      <c r="E11" s="132">
        <f>D11*0.19</f>
        <v>43453</v>
      </c>
      <c r="F11" s="131">
        <f>E11+D11</f>
        <v>272153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93240.183299879223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92243.090787439607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75240.183299879223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136456.90921256039</v>
      </c>
      <c r="E13" s="221">
        <f>(D11/D12)-1</f>
        <v>1.479318483885204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66240.183299879223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27240.183299879223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152201.09979927534</v>
      </c>
      <c r="F15" s="216">
        <f>E15-D12</f>
        <v>59958.009011835733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27240.183299879223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67240.183299879223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17408.999999999996</v>
      </c>
      <c r="E20" s="121">
        <f>D20*0.19</f>
        <v>3307.7099999999991</v>
      </c>
      <c r="F20" s="120">
        <f>SUM(D20:E20)</f>
        <v>20716.709999999995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62409</v>
      </c>
      <c r="E21" s="116">
        <f>SUM(E18:E20)</f>
        <v>11857.71</v>
      </c>
      <c r="F21" s="115">
        <f>SUM(F18:F20)</f>
        <v>74266.709999999992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31595.29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228700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62409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136456.90921256039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136456.90921256039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2025-03-11T19:23:13Z</dcterms:modified>
</cp:coreProperties>
</file>