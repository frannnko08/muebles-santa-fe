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4E51E75D-BC89-4782-BC90-116FEE325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O27" i="1"/>
  <c r="K21" i="1"/>
  <c r="K22" i="1"/>
  <c r="I48" i="1"/>
  <c r="L22" i="1"/>
  <c r="M22" i="1"/>
  <c r="H22" i="1"/>
  <c r="J37" i="1"/>
  <c r="J38" i="1" s="1"/>
  <c r="N35" i="1"/>
  <c r="N22" i="1" l="1"/>
  <c r="O22" i="1" s="1"/>
  <c r="N34" i="1"/>
  <c r="N36" i="1"/>
  <c r="N37" i="1"/>
  <c r="J41" i="1" l="1"/>
  <c r="L21" i="1"/>
  <c r="L26" i="1" s="1"/>
  <c r="M21" i="1"/>
  <c r="S21" i="1" l="1"/>
  <c r="S26" i="1" s="1"/>
  <c r="S27" i="1" s="1"/>
  <c r="S28" i="1" s="1"/>
  <c r="R21" i="1"/>
  <c r="R28" i="1" s="1"/>
  <c r="N21" i="1"/>
  <c r="O21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2" i="1" l="1"/>
  <c r="Q22" i="1" s="1"/>
  <c r="P21" i="1"/>
  <c r="F15" i="3"/>
  <c r="Q21" i="1" l="1"/>
  <c r="H21" i="1" l="1"/>
  <c r="H26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<sst xmlns="http://schemas.openxmlformats.org/spreadsheetml/2006/main" count="234" uniqueCount="178">
  <si>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</si>
  <si>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</si>
  <si>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</si>
  <si>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</si>
  <si>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</si>
  <si>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</si>
  <si>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</si>
  <si>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</si>
  <si>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</si>
  <si>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</si>
  <si>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</si>
  <si>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</si>
  <si>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</si>
  <si>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</si>
  <si>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</si>
  <si>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</si>
  <si>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</si>
  <si>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</si>
  <si>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</si>
  <si>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</si>
  <si>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</si>
  <si>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</si>
  <si>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</si>
  <si>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</si>
  <si>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</si>
  <si>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</si>
  <si>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</si>
  <si>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</si>
  <si>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</si>
  <si>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</si>
  <si>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</si>
  <si>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</si>
  <si>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</si>
  <si>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</si>
  <si>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</si>
  <si>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</si>
  <si>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</si>
  <si>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</si>
  <si>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</si>
  <si>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</si>
  <si>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</si>
  <si>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</si>
  <si>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</si>
  <si>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</si>
  <si>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</si>
  <si>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</si>
  <si>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</si>
  <si>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</si>
  <si>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</si>
  <si>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</si>
  <si>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</si>
  <si>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</si>
  <si>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</si>
  <si>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</si>
  <si>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</si>
  <si>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</si>
  <si>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</si>
  <si>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</si>
  <si>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</si>
  <si>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</si>
  <si>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</si>
  <si>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</si>
  <si>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</si>
  <si>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</si>
  <si>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</si>
  <si>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</si>
  <si>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</si>
  <si>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</si>
  <si>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</si>
  <si>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</si>
  <si>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</si>
  <si>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</si>
  <si>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</si>
  <si>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</si>
  <si>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</si>
  <si>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</si>
  <si>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</si>
  <si>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</si>
  <si>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</si>
  <si>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</si>
  <si>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</si>
  <si>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</si>
  <si>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</si>
  <si>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</si>
  <si>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</si>
  <si>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</si>
  <si>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</si>
  <si>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</si>
  <si>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</si>
  <si>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</si>
  <si>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</si>
  <si>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</si>
  <si>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</si>
  <si>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</si>
  <si>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</si>
  <si>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</si>
  <si>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</si>
  <si>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</si>
  <si>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</si>
  <si>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</si>
  <si>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</si>
  <si>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</si>
  <si>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</si>
  <si>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</si>
  <si>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</si>
  <si>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</si>
  <si>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</si>
  <si>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</si>
  <si>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</si>
  <si>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</si>
  <si>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</si>
  <si>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</si>
  <si>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</si>
  <si>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</si>
  <si>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</si>
  <si>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</si>
  <si>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</si>
  <si>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</si>
  <si>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</si>
  <si>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</si>
  <si>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</si>
  <si>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</si>
  <si>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</si>
  <si>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</si>
  <si>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</si>
  <si>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</si>
  <si>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</si>
  <si>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</si>
  <si>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</si>
  <si>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</si>
  <si>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</si>
  <si>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</si>
  <si>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</si>
  <si>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</si>
  <si>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</si>
  <si>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</si>
  <si>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</si>
  <si>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</si>
  <si>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</si>
  <si>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</si>
  <si>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</si>
  <si>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</si>
  <si>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</si>
  <si>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</si>
  <si>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</si>
  <si>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</si>
  <si>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</si>
  <si>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</si>
  <si>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</si>
  <si>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</si>
  <si>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</si>
  <si>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</si>
  <si>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</si>
  <si>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</si>
  <si>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</si>
  <si>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</si>
  <si>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</si>
  <si>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</si>
  <si>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</si>
  <si>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</si>
  <si>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</si>
  <si>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</si>
  <si>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</si>
  <si>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</si>
  <si>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</si>
  <si>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</si>
  <si>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</si>
  <si>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</si>
  <si>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</si>
  <si>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</si>
  <si>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</si>
  <si>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10 DIAS HABILES</t>
  </si>
  <si>
    <t>N° 11358</t>
  </si>
  <si>
    <t>RODRIGO COPIA</t>
  </si>
  <si>
    <t>CUB MESA 90° 2L R8</t>
  </si>
  <si>
    <t>CUB S/R 90° R8</t>
  </si>
  <si>
    <t>BLANCO 22191 SF (MATE)</t>
  </si>
  <si>
    <t>+569 5719 8441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</si>
</sst>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baseline="0"/>
            <a:t>SUSTRATO: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173</v>
      </c>
      <c r="D10" s="243"/>
      <c r="E10" s="243"/>
      <c r="F10" s="244" t="s">
        <v>0</v>
      </c>
      <c r="G10" s="277">
        <v>45734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177</v>
      </c>
      <c r="D15" s="316"/>
      <c r="F15" t="s">
        <v>135</v>
      </c>
      <c r="G15" s="314" t="s">
        <v>166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44032.671166827393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174</v>
      </c>
      <c r="D21" s="327">
        <v>3</v>
      </c>
      <c r="E21" s="327">
        <v>0.3</v>
      </c>
      <c r="F21" s="326" t="s">
        <v>176</v>
      </c>
      <c r="G21" s="328">
        <v>40290</v>
      </c>
      <c r="H21" s="328">
        <f>G21*B21</f>
        <v>40290</v>
      </c>
      <c r="I21" s="265"/>
      <c r="J21" s="47"/>
      <c r="K21" s="330">
        <f>B21</f>
        <v>1</v>
      </c>
      <c r="L21" s="39">
        <f>D21+L$19</f>
        <v>3.05</v>
      </c>
      <c r="M21" s="39">
        <f>E21+M$19</f>
        <v>0.3</v>
      </c>
      <c r="N21" s="261">
        <f t="shared" ref="N21" si="0">L21*M21</f>
        <v>0.91499999999999992</v>
      </c>
      <c r="O21" s="259">
        <f t="shared" ref="O21" si="1">N21*K21</f>
        <v>0.91499999999999992</v>
      </c>
      <c r="P21" s="252">
        <f t="shared" ref="P21" si="2">P$20*N21</f>
        <v>40289.894117647062</v>
      </c>
      <c r="Q21" s="329">
        <f t="shared" ref="Q21" si="3">P21+Q$20</f>
        <v>45289.894117647062</v>
      </c>
      <c r="R21" s="298">
        <f>L21*K21*2</f>
        <v>6.1</v>
      </c>
      <c r="S21" s="46">
        <f>M21*2*K21</f>
        <v>0.6</v>
      </c>
      <c r="T21" s="9"/>
      <c r="W21" s="4"/>
    </row>
    <row r="22" spans="2:24" ht="17.399999999999999" x14ac:dyDescent="0.3">
      <c r="B22" s="326">
        <v>1</v>
      </c>
      <c r="C22" s="326" t="s">
        <v>175</v>
      </c>
      <c r="D22" s="327">
        <v>3</v>
      </c>
      <c r="E22" s="327">
        <v>0.55000000000000004</v>
      </c>
      <c r="F22" s="326" t="s">
        <v>176</v>
      </c>
      <c r="G22" s="328">
        <v>73865</v>
      </c>
      <c r="H22" s="328">
        <f>G22*B22</f>
        <v>73865</v>
      </c>
      <c r="I22" s="265"/>
      <c r="J22" s="47"/>
      <c r="K22" s="330">
        <f>B22</f>
        <v>1</v>
      </c>
      <c r="L22" s="39">
        <f>D22+L$19</f>
        <v>3.05</v>
      </c>
      <c r="M22" s="39">
        <f>E22+M$19</f>
        <v>0.55000000000000004</v>
      </c>
      <c r="N22" s="261">
        <f t="shared" ref="N22" si="4">L22*M22</f>
        <v>1.6775</v>
      </c>
      <c r="O22" s="259">
        <f t="shared" ref="O22" si="5">N22*K22</f>
        <v>1.6775</v>
      </c>
      <c r="P22" s="252">
        <f t="shared" ref="P22" si="6">P$20*N22</f>
        <v>73864.805882352957</v>
      </c>
      <c r="Q22" s="329">
        <f t="shared" ref="Q22" si="7">P22+Q$20</f>
        <v>78864.805882352957</v>
      </c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1"/>
      <c r="H23" s="331"/>
      <c r="I23" s="265"/>
      <c r="J23" s="47"/>
      <c r="K23" s="330"/>
      <c r="L23" s="39"/>
      <c r="M23" s="39"/>
      <c r="N23" s="261"/>
      <c r="O23" s="259"/>
      <c r="P23" s="252"/>
      <c r="Q23" s="329"/>
      <c r="R23" s="298"/>
      <c r="S23" s="46"/>
      <c r="T23" s="9"/>
      <c r="W23" s="4"/>
    </row>
    <row r="24" spans="2:24" ht="17.399999999999999" x14ac:dyDescent="0.3">
      <c r="B24" s="286"/>
      <c r="C24" s="332"/>
      <c r="D24" s="287"/>
      <c r="E24" s="287"/>
      <c r="F24" s="286"/>
      <c r="G24" s="331"/>
      <c r="H24" s="331"/>
      <c r="I24" s="265"/>
      <c r="J24" s="47"/>
      <c r="K24" s="330"/>
      <c r="L24" s="39"/>
      <c r="M24" s="39"/>
      <c r="N24" s="261"/>
      <c r="O24" s="259"/>
      <c r="P24" s="252"/>
      <c r="Q24" s="329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>
        <v>0</v>
      </c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114155</v>
      </c>
      <c r="I26" s="265"/>
      <c r="J26" s="47"/>
      <c r="K26" s="47"/>
      <c r="L26" s="39">
        <f>SUM(L21:L22)</f>
        <v>6.1</v>
      </c>
      <c r="M26" s="39"/>
      <c r="N26" s="261"/>
      <c r="O26" s="259"/>
      <c r="P26" s="252"/>
      <c r="Q26" s="258"/>
      <c r="R26" s="298"/>
      <c r="S26" s="46">
        <f>SUM(S21:S25)</f>
        <v>0.6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21689.45</v>
      </c>
      <c r="I27" s="265"/>
      <c r="J27" s="47"/>
      <c r="K27" s="47"/>
      <c r="L27" s="39"/>
      <c r="M27" s="12"/>
      <c r="N27" s="12"/>
      <c r="O27" s="253">
        <f>SUM(O21:O22)</f>
        <v>2.5924999999999998</v>
      </c>
      <c r="P27" s="14"/>
      <c r="Q27" s="12"/>
      <c r="R27" s="239"/>
      <c r="S27" s="46">
        <f>S26*20%</f>
        <v>0.12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135844.45000000001</v>
      </c>
      <c r="I28" s="265"/>
      <c r="J28" s="47"/>
      <c r="K28" s="47"/>
      <c r="L28" s="39"/>
      <c r="M28" s="12"/>
      <c r="N28" s="12"/>
      <c r="O28" s="253">
        <f>O27</f>
        <v>2.5924999999999998</v>
      </c>
      <c r="P28" s="14"/>
      <c r="Q28" s="12"/>
      <c r="R28" s="239">
        <f>SUM(R21:R27)</f>
        <v>6.1</v>
      </c>
      <c r="S28" s="46">
        <f>S26+S27</f>
        <v>0.72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0.51849999999999996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3.1109999999999998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152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3.1109999999999998</v>
      </c>
      <c r="M32" s="12">
        <v>3500</v>
      </c>
      <c r="N32" s="12">
        <f t="shared" ref="N32:N37" si="8">L32*M32</f>
        <v>10888.5</v>
      </c>
      <c r="O32" s="14" t="s">
        <v>22</v>
      </c>
      <c r="P32" s="14"/>
      <c r="Q32" s="14"/>
      <c r="R32" s="241"/>
      <c r="S32" s="14"/>
      <c r="T32" s="305" t="s">
        <v>153</v>
      </c>
      <c r="U32" s="302">
        <v>3625</v>
      </c>
      <c r="V32" s="59" t="s">
        <v>154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0.7</v>
      </c>
      <c r="M33" s="12">
        <v>25000</v>
      </c>
      <c r="N33" s="12">
        <f t="shared" si="8"/>
        <v>17500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155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90076</v>
      </c>
      <c r="N34" s="12">
        <f t="shared" si="8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1</v>
      </c>
      <c r="M35" s="250">
        <v>23500</v>
      </c>
      <c r="N35" s="12">
        <f t="shared" si="8"/>
        <v>23500</v>
      </c>
      <c r="O35" s="14"/>
      <c r="P35" s="17"/>
      <c r="R35" s="238"/>
      <c r="S35" s="256"/>
      <c r="T35" s="59"/>
      <c r="U35" s="59">
        <f>U33+U34</f>
        <v>1087.5</v>
      </c>
      <c r="V35" s="307" t="s">
        <v>157</v>
      </c>
      <c r="W35" s="59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J36" s="230">
        <v>27000</v>
      </c>
      <c r="K36" s="250"/>
      <c r="L36" s="249"/>
      <c r="M36" s="250">
        <v>300</v>
      </c>
      <c r="N36" s="12">
        <f t="shared" si="8"/>
        <v>0</v>
      </c>
      <c r="O36" s="14" t="s">
        <v>33</v>
      </c>
      <c r="P36" s="14"/>
      <c r="Q36" s="230">
        <v>1.83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J37" s="230">
        <f>J36*19%</f>
        <v>5130</v>
      </c>
      <c r="K37" s="250"/>
      <c r="L37" s="266"/>
      <c r="M37" s="12">
        <v>1500</v>
      </c>
      <c r="N37" s="12">
        <f t="shared" si="8"/>
        <v>0</v>
      </c>
      <c r="O37" s="14" t="s">
        <v>23</v>
      </c>
      <c r="P37" s="14"/>
      <c r="Q37">
        <v>2.5</v>
      </c>
      <c r="R37"/>
      <c r="S37" s="238"/>
      <c r="W37" s="231"/>
    </row>
    <row r="38" spans="2:23" s="230" customFormat="1" ht="17.399999999999999" x14ac:dyDescent="0.35">
      <c r="I38" s="230" t="s">
        <v>168</v>
      </c>
      <c r="J38" s="230">
        <f>J36+J37</f>
        <v>32130</v>
      </c>
      <c r="K38" s="250"/>
      <c r="L38" s="14"/>
      <c r="M38" s="12"/>
      <c r="N38" s="12">
        <f>SUM(N32:N37)</f>
        <v>51888.5</v>
      </c>
      <c r="O38" s="39" t="s">
        <v>24</v>
      </c>
      <c r="P38" s="14"/>
      <c r="Q38">
        <f>Q36*Q37</f>
        <v>4.5750000000000002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114154.70000000001</v>
      </c>
      <c r="O39" s="14" t="s">
        <v>141</v>
      </c>
      <c r="P39" s="14"/>
      <c r="Q39" s="40">
        <f>O30/Q38</f>
        <v>0.67999999999999994</v>
      </c>
      <c r="R39"/>
      <c r="S39" s="257"/>
    </row>
    <row r="40" spans="2:23" s="230" customFormat="1" ht="17.399999999999999" x14ac:dyDescent="0.35">
      <c r="G40"/>
      <c r="H40" s="260"/>
      <c r="I40" s="230" t="s">
        <v>167</v>
      </c>
      <c r="J40" s="230">
        <v>68520</v>
      </c>
      <c r="K40" s="250">
        <v>0</v>
      </c>
      <c r="L40" s="14"/>
      <c r="M40" s="12"/>
      <c r="N40" s="12">
        <f>N39/O28</f>
        <v>44032.671166827393</v>
      </c>
      <c r="O40" s="45" t="s">
        <v>25</v>
      </c>
      <c r="P40" s="14"/>
      <c r="Q40" s="14"/>
      <c r="R40"/>
      <c r="S40" s="238"/>
      <c r="T40" s="59" t="s">
        <v>158</v>
      </c>
      <c r="U40" s="302">
        <v>43650</v>
      </c>
    </row>
    <row r="41" spans="2:23" s="230" customFormat="1" ht="17.399999999999999" x14ac:dyDescent="0.35">
      <c r="G41"/>
      <c r="J41" s="230">
        <f>J40/1.19</f>
        <v>57579.831932773115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160</v>
      </c>
      <c r="U41" s="30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I43" s="230" t="s">
        <v>169</v>
      </c>
      <c r="K43" s="12"/>
      <c r="S43" s="238"/>
      <c r="T43" s="59" t="s">
        <v>156</v>
      </c>
      <c r="U43" s="59">
        <v>474.45</v>
      </c>
    </row>
    <row r="44" spans="2:23" ht="14.4" customHeight="1" x14ac:dyDescent="0.3">
      <c r="I44" t="s">
        <v>170</v>
      </c>
      <c r="J44">
        <v>8990</v>
      </c>
      <c r="K44" s="12"/>
      <c r="T44" s="59"/>
      <c r="U44" s="59"/>
    </row>
    <row r="45" spans="2:23" x14ac:dyDescent="0.3">
      <c r="K45" s="250"/>
    </row>
    <row r="46" spans="2:23" x14ac:dyDescent="0.3">
      <c r="I46">
        <v>1230</v>
      </c>
      <c r="K46" s="250"/>
      <c r="S46" s="270"/>
    </row>
    <row r="47" spans="2:23" x14ac:dyDescent="0.3">
      <c r="I47">
        <v>1080</v>
      </c>
      <c r="K47" s="250"/>
    </row>
    <row r="48" spans="2:23" ht="15" customHeight="1" x14ac:dyDescent="0.3">
      <c r="I48">
        <f>I46-I47</f>
        <v>150</v>
      </c>
    </row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45734</v>
      </c>
    </row>
    <row r="6" spans="2:31" ht="16.2" thickBot="1" x14ac:dyDescent="0.35">
      <c r="B6" s="140" t="s">
        <v>2</v>
      </c>
      <c r="C6" s="139" t="str">
        <f>'2229'!C10</f>
        <v>RODRIGO COPIA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11358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-3014.6208667874403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114155</v>
      </c>
      <c r="E11" s="132">
        <f>D11*0.19</f>
        <v>21689.45</v>
      </c>
      <c r="F11" s="131">
        <f>E11+D11</f>
        <v>135844.45000000001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102975.37913321255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58222.590787439614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84975.379133212555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55932.409212560386</v>
      </c>
      <c r="E13" s="221">
        <f>(D11/D12)-1</f>
        <v>0.96066506928143625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75975.379133212555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36975.379133212562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96067.274799275358</v>
      </c>
      <c r="F15" s="216">
        <f>E15-D12</f>
        <v>37844.684011835743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36975.379133212562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76975.379133212555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10888.5</v>
      </c>
      <c r="E20" s="121">
        <f>D20*0.19</f>
        <v>2068.8150000000001</v>
      </c>
      <c r="F20" s="120">
        <f>SUM(D20:E20)</f>
        <v>12957.315000000001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28388.5</v>
      </c>
      <c r="E21" s="116">
        <f>SUM(E18:E20)</f>
        <v>5393.8150000000005</v>
      </c>
      <c r="F21" s="115">
        <f>SUM(F18:F20)</f>
        <v>33782.315000000002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16295.635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114155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28388.5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55932.409212560386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55932.409212560386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2025-03-19T16:12:07Z</cp:lastPrinted>
  <dcterms:created xsi:type="dcterms:W3CDTF">2013-03-18T13:35:42Z</dcterms:created>
  <dcterms:modified xsi:type="dcterms:W3CDTF">2025-03-19T16:12:54Z</dcterms:modified>
</cp:coreProperties>
</file>