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5F7DD7C7-0776-43A5-9841-F10E9767C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s="1"/>
  <c r="D20" i="3" l="1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<sst xmlns="http://schemas.openxmlformats.org/spreadsheetml/2006/main" count="229" uniqueCount="173">
  <si>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</si>
  <si>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</si>
  <si>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</si>
  <si>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</si>
  <si>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</si>
  <si>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</si>
  <si>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</si>
  <si>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</si>
  <si>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</si>
  <si>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</si>
  <si>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</si>
  <si>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</si>
  <si>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</si>
  <si>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</si>
  <si>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</si>
  <si>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</si>
  <si>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</si>
  <si>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</si>
  <si>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</si>
  <si>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</si>
  <si>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</si>
  <si>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</si>
  <si>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</si>
  <si>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</si>
  <si>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</si>
  <si>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</si>
  <si>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</si>
  <si>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</si>
  <si>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</si>
  <si>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</si>
  <si>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</si>
  <si>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</si>
  <si>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</si>
  <si>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</si>
  <si>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</si>
  <si>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</si>
  <si>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</si>
  <si>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</si>
  <si>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</si>
  <si>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</si>
  <si>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</si>
  <si>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</si>
  <si>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</si>
  <si>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</si>
  <si>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</si>
  <si>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</si>
  <si>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</si>
  <si>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</si>
  <si>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</si>
  <si>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</si>
  <si>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</si>
  <si>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</si>
  <si>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</si>
  <si>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</si>
  <si>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</si>
  <si>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</si>
  <si>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</si>
  <si>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</si>
  <si>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</si>
  <si>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</si>
  <si>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</si>
  <si>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</si>
  <si>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</si>
  <si>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</si>
  <si>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</si>
  <si>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</si>
  <si>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</si>
  <si>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</si>
  <si>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</si>
  <si>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</si>
  <si>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</si>
  <si>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</si>
  <si>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</si>
  <si>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</si>
  <si>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</si>
  <si>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</si>
  <si>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</si>
  <si>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</si>
  <si>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</si>
  <si>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</si>
  <si>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</si>
  <si>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</si>
  <si>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</si>
  <si>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</si>
  <si>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</si>
  <si>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</si>
  <si>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</si>
  <si>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</si>
  <si>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</si>
  <si>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</si>
  <si>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</si>
  <si>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</si>
  <si>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</si>
  <si>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</si>
  <si>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</si>
  <si>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</si>
  <si>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</si>
  <si>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</si>
  <si>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</si>
  <si>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</si>
  <si>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</si>
  <si>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</si>
  <si>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</si>
  <si>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</si>
  <si>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</si>
  <si>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</si>
  <si>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</si>
  <si>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</si>
  <si>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</si>
  <si>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</si>
  <si>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</si>
  <si>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</si>
  <si>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</si>
  <si>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</si>
  <si>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</si>
  <si>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</si>
  <si>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</si>
  <si>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</si>
  <si>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</si>
  <si>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</si>
  <si>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</si>
  <si>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</si>
  <si>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</si>
  <si>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</si>
  <si>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</si>
  <si>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</si>
  <si>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</si>
  <si>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</si>
  <si>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</si>
  <si>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</si>
  <si>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</si>
  <si>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</si>
  <si>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</si>
  <si>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</si>
  <si>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</si>
  <si>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</si>
  <si>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</si>
  <si>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</si>
  <si>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</si>
  <si>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</si>
  <si>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</si>
  <si>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</si>
  <si>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</si>
  <si>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</si>
  <si>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</si>
  <si>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</si>
  <si>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</si>
  <si>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</si>
  <si>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</si>
  <si>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</si>
  <si>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</si>
  <si>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</si>
  <si>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</si>
  <si>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</si>
  <si>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</si>
  <si>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</si>
  <si>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</si>
  <si>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</si>
  <si>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</si>
  <si>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</si>
  <si>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</si>
  <si>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</si>
  <si>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</si>
  <si>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</si>
  <si>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</si>
  <si>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</si>
  <si>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</si>
  <si>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 xml:space="preserve">EDUARDO PARADA </t>
  </si>
  <si>
    <t>77.154.719-2</t>
  </si>
  <si>
    <t>BLANCO MERINO 22191 SF</t>
  </si>
  <si>
    <t>CUB MESA 180° 2 LADOS</t>
  </si>
  <si>
    <t>RANCAGUA</t>
  </si>
  <si>
    <t>N° 11313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</si>
</sst>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UN LARGO</a:t>
          </a:r>
          <a:r>
            <a:rPr lang="es-CL" sz="1200" b="1" baseline="0"/>
            <a:t> EN 180° MAS LADO IZQUIERDO 180°</a:t>
          </a:r>
        </a:p>
        <a:p>
          <a:pPr algn="l"/>
          <a:r>
            <a:rPr lang="es-CL" sz="1200" b="1" baseline="0"/>
            <a:t>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8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45719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168</v>
      </c>
      <c r="F11" t="s">
        <v>123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171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83583.454633672984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0.83599999999999997</v>
      </c>
      <c r="E21" s="331">
        <v>0.45</v>
      </c>
      <c r="F21" s="330" t="s">
        <v>169</v>
      </c>
      <c r="G21" s="332">
        <v>39453</v>
      </c>
      <c r="H21" s="332">
        <f>G21*B21</f>
        <v>39453</v>
      </c>
      <c r="I21" s="320"/>
      <c r="J21" s="265"/>
      <c r="K21" s="47"/>
      <c r="L21" s="47">
        <f>B21</f>
        <v>1</v>
      </c>
      <c r="M21" s="39">
        <f>D21+M$19</f>
        <v>0.91599999999999993</v>
      </c>
      <c r="N21" s="39">
        <f>E21+$N$19</f>
        <v>0.45</v>
      </c>
      <c r="O21" s="261">
        <f t="shared" ref="O21" si="1">M21*N21</f>
        <v>0.41219999999999996</v>
      </c>
      <c r="P21" s="259">
        <f t="shared" ref="P21" si="2">O21*L21</f>
        <v>0.41219999999999996</v>
      </c>
      <c r="Q21" s="252">
        <f t="shared" ref="Q21" si="3">Q$20*O21</f>
        <v>34453.1</v>
      </c>
      <c r="R21" s="319">
        <f t="shared" ref="R21" si="4">Q21+R$20</f>
        <v>39453.1</v>
      </c>
      <c r="S21" s="297">
        <f>M21*L21</f>
        <v>0.91599999999999993</v>
      </c>
      <c r="T21" s="46">
        <f>N21*2*L21*2</f>
        <v>1.8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39453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1.8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7496.07</v>
      </c>
      <c r="I25" s="322"/>
      <c r="J25" s="265"/>
      <c r="K25" s="47"/>
      <c r="L25" s="47"/>
      <c r="M25" s="39">
        <f>SUM(M21:M21)</f>
        <v>0.91599999999999993</v>
      </c>
      <c r="N25" s="12"/>
      <c r="O25" s="12"/>
      <c r="P25" s="253">
        <f>SUM(P21:P23)</f>
        <v>0.41219999999999996</v>
      </c>
      <c r="Q25" s="14"/>
      <c r="R25" s="12"/>
      <c r="S25" s="239">
        <f>SUM(S21:S24)</f>
        <v>0.91599999999999993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46949.07</v>
      </c>
      <c r="I26" s="322"/>
      <c r="J26" s="265"/>
      <c r="K26" s="47"/>
      <c r="L26" s="47"/>
      <c r="M26" s="39"/>
      <c r="N26" s="12"/>
      <c r="O26" s="12"/>
      <c r="P26" s="253">
        <f>P25</f>
        <v>0.41219999999999996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8.2439999999999999E-2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0.49463999999999997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0.49463999999999997</v>
      </c>
      <c r="N30" s="12">
        <v>3500</v>
      </c>
      <c r="O30" s="12">
        <f t="shared" ref="O30:O35" si="5">M30*N30</f>
        <v>1731.2399999999998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0.2</v>
      </c>
      <c r="N31" s="12">
        <v>25000</v>
      </c>
      <c r="O31" s="12">
        <f t="shared" si="5"/>
        <v>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0.3</v>
      </c>
      <c r="N33" s="250">
        <v>23500</v>
      </c>
      <c r="O33" s="12">
        <f t="shared" si="5"/>
        <v>7050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13781.24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O36*2.5</f>
        <v>34453.1</v>
      </c>
      <c r="P37" s="14" t="s">
        <v>140</v>
      </c>
      <c r="Q37" s="14"/>
      <c r="R37" s="40">
        <f>P28/R36</f>
        <v>0.1333692838654012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83583.454633672984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45719</v>
      </c>
    </row>
    <row r="6" spans="2:31" ht="16.2" thickBot="1" x14ac:dyDescent="0.35">
      <c r="B6" s="140" t="s">
        <v>2</v>
      </c>
      <c r="C6" s="139" t="str">
        <f>'2229'!C10</f>
        <v xml:space="preserve">EDUARDO PARADA 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11313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3479.965966545893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39453</v>
      </c>
      <c r="E11" s="132">
        <f>D11*0.19</f>
        <v>7496.07</v>
      </c>
      <c r="F11" s="131">
        <f>E11+D11</f>
        <v>46949.07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109469.96596654589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36565.330787439612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91469.965966545889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2887.6692125603877</v>
      </c>
      <c r="E13" s="221">
        <f>(D11/D12)-1</f>
        <v>7.8972872674033523E-2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82469.965966545889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43469.965966545889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60332.795799275358</v>
      </c>
      <c r="F15" s="216">
        <f>E15-D12</f>
        <v>23767.465011835746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43469.965966545889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83469.965966545889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1731.2399999999998</v>
      </c>
      <c r="E20" s="121">
        <f>D20*0.19</f>
        <v>328.93559999999997</v>
      </c>
      <c r="F20" s="120">
        <f>SUM(D20:E20)</f>
        <v>2060.1755999999996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6731.24</v>
      </c>
      <c r="E21" s="116">
        <f>SUM(E18:E20)</f>
        <v>1278.9356</v>
      </c>
      <c r="F21" s="115">
        <f>SUM(F18:F20)</f>
        <v>8010.1755999999996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6217.1343999999999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39453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6731.24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2887.6692125603877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2887.6692125603877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2025-03-03T20:35:17Z</dcterms:modified>
</cp:coreProperties>
</file>