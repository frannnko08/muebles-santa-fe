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360B6025-C55D-458E-86BF-DAA54E31EC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H34" i="1"/>
  <c r="H22" i="1"/>
  <c r="H23" i="1"/>
  <c r="H24" i="1"/>
  <c r="H25" i="1"/>
  <c r="H26" i="1"/>
  <c r="H27" i="1"/>
  <c r="H28" i="1"/>
  <c r="H29" i="1"/>
  <c r="H30" i="1"/>
  <c r="H31" i="1"/>
  <c r="H32" i="1"/>
  <c r="H33" i="1"/>
  <c r="N34" i="1" l="1"/>
  <c r="N30" i="1"/>
  <c r="O30" i="1" s="1"/>
  <c r="N26" i="1"/>
  <c r="N31" i="1"/>
  <c r="O31" i="1" s="1"/>
  <c r="N33" i="1"/>
  <c r="N29" i="1"/>
  <c r="N28" i="1"/>
  <c r="O28" i="1" s="1"/>
  <c r="N32" i="1"/>
  <c r="O32" i="1" s="1"/>
  <c r="N23" i="1"/>
  <c r="O23" i="1"/>
  <c r="N27" i="1"/>
  <c r="O27" i="1" s="1"/>
  <c r="O26" i="1"/>
  <c r="N24" i="1"/>
  <c r="O24" i="1" s="1"/>
  <c r="N25" i="1"/>
  <c r="O25" i="1" s="1"/>
  <c r="O33" i="1"/>
  <c r="O29" i="1"/>
  <c r="O34" i="1"/>
  <c r="K22" i="1" l="1"/>
  <c r="L22" i="1"/>
  <c r="R22" i="1" s="1"/>
  <c r="M22" i="1"/>
  <c r="H21" i="1"/>
  <c r="H37" i="1" s="1"/>
  <c r="K21" i="1"/>
  <c r="N22" i="1" l="1"/>
  <c r="O22" i="1" s="1"/>
  <c r="J52" i="1"/>
  <c r="L21" i="1"/>
  <c r="R21" i="1" s="1"/>
  <c r="M21" i="1"/>
  <c r="L37" i="1" l="1"/>
  <c r="S21" i="1"/>
  <c r="N21" i="1"/>
  <c r="O21" i="1" s="1"/>
  <c r="O38" i="1" s="1"/>
  <c r="U45" i="1"/>
  <c r="U46" i="1" s="1"/>
  <c r="R39" i="1" l="1"/>
  <c r="N44" i="1"/>
  <c r="O39" i="1" l="1"/>
  <c r="O40" i="1" s="1"/>
  <c r="O41" i="1" s="1"/>
  <c r="L43" i="1" s="1"/>
  <c r="M20" i="1"/>
  <c r="K20" i="1"/>
  <c r="N45" i="1" l="1"/>
  <c r="Q49" i="1"/>
  <c r="N4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8" i="1"/>
  <c r="N47" i="1"/>
  <c r="F18" i="3" l="1"/>
  <c r="N43" i="1" l="1"/>
  <c r="Q50" i="1"/>
  <c r="N49" i="1" l="1"/>
  <c r="N50" i="1" s="1"/>
  <c r="D20" i="3"/>
  <c r="E20" i="3" s="1"/>
  <c r="E21" i="3" s="1"/>
  <c r="N52" i="1" l="1"/>
  <c r="D21" i="3"/>
  <c r="M43" i="3" s="1"/>
  <c r="D12" i="3" s="1"/>
  <c r="F20" i="3"/>
  <c r="F21" i="3" s="1"/>
  <c r="N51" i="1" l="1"/>
  <c r="P20" i="1" s="1"/>
  <c r="E15" i="3"/>
  <c r="P32" i="1" l="1"/>
  <c r="Q32" i="1" s="1"/>
  <c r="P31" i="1"/>
  <c r="Q31" i="1" s="1"/>
  <c r="P28" i="1"/>
  <c r="Q28" i="1" s="1"/>
  <c r="P29" i="1"/>
  <c r="Q29" i="1" s="1"/>
  <c r="P25" i="1"/>
  <c r="Q25" i="1" s="1"/>
  <c r="P30" i="1"/>
  <c r="Q30" i="1" s="1"/>
  <c r="P27" i="1"/>
  <c r="Q27" i="1" s="1"/>
  <c r="P24" i="1"/>
  <c r="Q24" i="1" s="1"/>
  <c r="P34" i="1"/>
  <c r="Q34" i="1" s="1"/>
  <c r="P26" i="1"/>
  <c r="Q26" i="1" s="1"/>
  <c r="P33" i="1"/>
  <c r="Q33" i="1" s="1"/>
  <c r="P23" i="1"/>
  <c r="Q23" i="1" s="1"/>
  <c r="P22" i="1"/>
  <c r="Q22" i="1" s="1"/>
  <c r="P21" i="1"/>
  <c r="F15" i="3"/>
  <c r="Q21" i="1" l="1"/>
  <c r="D11" i="3" l="1"/>
  <c r="X9" i="3" s="1"/>
  <c r="X15" i="3" s="1"/>
  <c r="H39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<sst xmlns="http://schemas.openxmlformats.org/spreadsheetml/2006/main" count="257" uniqueCount="176">
  <si>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</si>
  <si>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</si>
  <si>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</si>
  <si>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</si>
  <si>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</si>
  <si>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</si>
  <si>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</si>
  <si>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</si>
  <si>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</si>
  <si>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</si>
  <si>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</si>
  <si>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</si>
  <si>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</si>
  <si>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</si>
  <si>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</si>
  <si>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</si>
  <si>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</si>
  <si>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</si>
  <si>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</si>
  <si>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</si>
  <si>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</si>
  <si>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</si>
  <si>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</si>
  <si>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</si>
  <si>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</si>
  <si>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</si>
  <si>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</si>
  <si>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</si>
  <si>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</si>
  <si>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</si>
  <si>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</si>
  <si>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</si>
  <si>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</si>
  <si>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</si>
  <si>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</si>
  <si>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</si>
  <si>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</si>
  <si>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</si>
  <si>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</si>
  <si>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</si>
  <si>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</si>
  <si>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</si>
  <si>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</si>
  <si>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</si>
  <si>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</si>
  <si>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</si>
  <si>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</si>
  <si>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</si>
  <si>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</si>
  <si>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</si>
  <si>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</si>
  <si>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</si>
  <si>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</si>
  <si>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</si>
  <si>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</si>
  <si>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</si>
  <si>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</si>
  <si>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</si>
  <si>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</si>
  <si>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</si>
  <si>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</si>
  <si>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</si>
  <si>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</si>
  <si>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</si>
  <si>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</si>
  <si>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</si>
  <si>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</si>
  <si>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</si>
  <si>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</si>
  <si>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</si>
  <si>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</si>
  <si>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</si>
  <si>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</si>
  <si>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</si>
  <si>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</si>
  <si>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</si>
  <si>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</si>
  <si>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</si>
  <si>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</si>
  <si>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</si>
  <si>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</si>
  <si>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</si>
  <si>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</si>
  <si>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</si>
  <si>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</si>
  <si>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</si>
  <si>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</si>
  <si>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</si>
  <si>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</si>
  <si>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</si>
  <si>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</si>
  <si>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</si>
  <si>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</si>
  <si>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</si>
  <si>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</si>
  <si>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</si>
  <si>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</si>
  <si>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</si>
  <si>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</si>
  <si>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</si>
  <si>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</si>
  <si>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</si>
  <si>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</si>
  <si>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</si>
  <si>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</si>
  <si>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</si>
  <si>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</si>
  <si>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</si>
  <si>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</si>
  <si>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</si>
  <si>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</si>
  <si>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</si>
  <si>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</si>
  <si>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</si>
  <si>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</si>
  <si>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</si>
  <si>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</si>
  <si>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</si>
  <si>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</si>
  <si>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</si>
  <si>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</si>
  <si>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</si>
  <si>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</si>
  <si>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</si>
  <si>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</si>
  <si>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</si>
  <si>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</si>
  <si>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</si>
  <si>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</si>
  <si>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</si>
  <si>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</si>
  <si>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</si>
  <si>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</si>
  <si>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</si>
  <si>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</si>
  <si>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</si>
  <si>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</si>
  <si>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</si>
  <si>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</si>
  <si>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</si>
  <si>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</si>
  <si>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</si>
  <si>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</si>
  <si>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</si>
  <si>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</si>
  <si>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</si>
  <si>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</si>
  <si>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</si>
  <si>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</si>
  <si>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</si>
  <si>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</si>
  <si>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</si>
  <si>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</si>
  <si>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</si>
  <si>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</si>
  <si>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</si>
  <si>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</si>
  <si>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</si>
  <si>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</si>
  <si>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</si>
  <si>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</si>
  <si>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</si>
  <si>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</si>
  <si>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</si>
  <si>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</si>
  <si>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</si>
  <si>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</si>
  <si>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</si>
  <si>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N° 11378</t>
  </si>
  <si>
    <t>ALICIA ROCHA</t>
  </si>
  <si>
    <t>569 9537 9899</t>
  </si>
  <si>
    <t>PJE NIDO DE AGUILA 1294 MAIPU</t>
  </si>
  <si>
    <t>10 DIAS HABILES</t>
  </si>
  <si>
    <t>SI</t>
  </si>
  <si>
    <t>PR6</t>
  </si>
  <si>
    <t>BLANCO BRILLO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</si>
</sst>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40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166" fontId="32" fillId="0" borderId="39" xfId="0" applyNumberFormat="1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40" xfId="0" applyFont="1" applyFill="1" applyBorder="1" applyAlignment="1">
      <alignment horizontal="center" vertical="center"/>
    </xf>
    <xf numFmtId="0" fontId="32" fillId="0" borderId="39" xfId="0" applyFont="1" applyFill="1" applyBorder="1" applyAlignment="1">
      <alignment horizontal="center" vertical="center"/>
    </xf>
    <xf numFmtId="166" fontId="32" fillId="0" borderId="39" xfId="0" applyNumberFormat="1" applyFont="1" applyFill="1" applyBorder="1" applyAlignment="1">
      <alignment horizontal="center" vertical="center"/>
    </xf>
    <xf numFmtId="167" fontId="0" fillId="0" borderId="0" xfId="0" applyNumberFormat="1" applyFill="1"/>
    <xf numFmtId="166" fontId="3" fillId="0" borderId="0" xfId="0" applyNumberFormat="1" applyFont="1" applyFill="1"/>
    <xf numFmtId="167" fontId="0" fillId="10" borderId="0" xfId="0" applyNumberFormat="1" applyFill="1"/>
    <xf numFmtId="166" fontId="3" fillId="10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41</xdr:row>
      <xdr:rowOff>26670</xdr:rowOff>
    </xdr:from>
    <xdr:to>
      <xdr:col>7</xdr:col>
      <xdr:colOff>1034435</xdr:colOff>
      <xdr:row>44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43</xdr:row>
      <xdr:rowOff>154305</xdr:rowOff>
    </xdr:from>
    <xdr:to>
      <xdr:col>7</xdr:col>
      <xdr:colOff>853440</xdr:colOff>
      <xdr:row>43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41</xdr:row>
      <xdr:rowOff>9525</xdr:rowOff>
    </xdr:from>
    <xdr:to>
      <xdr:col>5</xdr:col>
      <xdr:colOff>1714500</xdr:colOff>
      <xdr:row>44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35</xdr:row>
      <xdr:rowOff>222558</xdr:rowOff>
    </xdr:from>
    <xdr:to>
      <xdr:col>5</xdr:col>
      <xdr:colOff>1659644</xdr:colOff>
      <xdr:row>39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RESPALDO DE 6 CMS DE ALTURA, INCLUYE DESFONDADO LAVAPLATOS E INCIMERA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4"/>
  <sheetViews>
    <sheetView tabSelected="1" topLeftCell="A17" zoomScale="93" zoomScaleNormal="93" workbookViewId="0">
      <selection activeCell="G35" sqref="G35"/>
    </sheetView>
  </sheetViews>
  <sheetFormatPr baseColWidth="10" defaultRowHeight="14.4" x14ac:dyDescent="0.3"/>
  <cols>
    <col min="1" max="1" width="6" customWidth="1"/>
    <col min="2" max="2" width="10.5546875" customWidth="1"/>
    <col min="3" max="3" width="22.88671875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45747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173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170</v>
      </c>
      <c r="D15" s="295"/>
      <c r="E15" s="247"/>
      <c r="F15" s="247" t="s">
        <v>135</v>
      </c>
      <c r="G15" s="296" t="s">
        <v>173</v>
      </c>
      <c r="H15" s="248"/>
      <c r="K15" s="18" t="s">
        <v>165</v>
      </c>
    </row>
    <row r="16" spans="2:23" ht="16.8" x14ac:dyDescent="0.4">
      <c r="B16" s="292" t="s">
        <v>3</v>
      </c>
      <c r="C16" s="311" t="s">
        <v>171</v>
      </c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4" t="s">
        <v>167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N51</f>
        <v>62559.510556451634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46">
        <v>2</v>
      </c>
      <c r="C21" s="347" t="s">
        <v>174</v>
      </c>
      <c r="D21" s="348">
        <v>0.7</v>
      </c>
      <c r="E21" s="348">
        <v>0.40100000000000002</v>
      </c>
      <c r="F21" s="327" t="s">
        <v>175</v>
      </c>
      <c r="G21" s="329">
        <v>24161</v>
      </c>
      <c r="H21" s="330">
        <f t="shared" ref="H21" si="1">G21*B21</f>
        <v>48322</v>
      </c>
      <c r="I21" s="265"/>
      <c r="J21" s="47"/>
      <c r="K21" s="353">
        <f t="shared" ref="K21" si="2">B21</f>
        <v>2</v>
      </c>
      <c r="L21" s="354">
        <f t="shared" ref="L21" si="3">D21+L$19</f>
        <v>0.75</v>
      </c>
      <c r="M21" s="354">
        <f t="shared" ref="M21" si="4">E21+M$19</f>
        <v>0.45100000000000001</v>
      </c>
      <c r="N21" s="261">
        <f t="shared" ref="N21" si="5">L21*M21</f>
        <v>0.33825</v>
      </c>
      <c r="O21" s="259">
        <f t="shared" ref="O21" si="6">N21*K21</f>
        <v>0.67649999999999999</v>
      </c>
      <c r="P21" s="252">
        <f>P$20*N21</f>
        <v>21160.754445719765</v>
      </c>
      <c r="Q21" s="258">
        <f t="shared" ref="Q21" si="7">P21+Q$20</f>
        <v>24160.754445719765</v>
      </c>
      <c r="R21" s="308">
        <f>L21*K21</f>
        <v>1.5</v>
      </c>
      <c r="S21" s="46">
        <f>M21*K21*2</f>
        <v>1.804</v>
      </c>
      <c r="T21" s="9"/>
      <c r="W21" s="4"/>
    </row>
    <row r="22" spans="2:24" ht="18" thickBot="1" x14ac:dyDescent="0.35">
      <c r="B22" s="346">
        <v>2</v>
      </c>
      <c r="C22" s="347" t="s">
        <v>174</v>
      </c>
      <c r="D22" s="348">
        <v>0.40500000000000003</v>
      </c>
      <c r="E22" s="348">
        <v>0.33100000000000002</v>
      </c>
      <c r="F22" s="327" t="s">
        <v>175</v>
      </c>
      <c r="G22" s="329">
        <v>13845</v>
      </c>
      <c r="H22" s="330">
        <f t="shared" ref="H22:H33" si="8">G22*B22</f>
        <v>27690</v>
      </c>
      <c r="I22" s="265"/>
      <c r="J22" s="47"/>
      <c r="K22" s="349">
        <f t="shared" ref="K22" si="9">B22</f>
        <v>2</v>
      </c>
      <c r="L22" s="350">
        <f t="shared" ref="L22" si="10">D22+L$19</f>
        <v>0.45500000000000002</v>
      </c>
      <c r="M22" s="350">
        <f t="shared" ref="M22" si="11">E22+M$19</f>
        <v>0.38100000000000001</v>
      </c>
      <c r="N22" s="261">
        <f t="shared" ref="N22" si="12">L22*M22</f>
        <v>0.17335500000000001</v>
      </c>
      <c r="O22" s="259">
        <f t="shared" ref="O22" si="13">N22*K22</f>
        <v>0.34671000000000002</v>
      </c>
      <c r="P22" s="252">
        <f>P$20*N22</f>
        <v>10845.003952513674</v>
      </c>
      <c r="Q22" s="258">
        <f t="shared" ref="Q22" si="14">P22+Q$20</f>
        <v>13845.003952513674</v>
      </c>
      <c r="R22" s="308">
        <f>L22*K22</f>
        <v>0.91</v>
      </c>
      <c r="S22" s="46"/>
      <c r="T22" s="9"/>
      <c r="W22" s="4"/>
    </row>
    <row r="23" spans="2:24" ht="18" thickBot="1" x14ac:dyDescent="0.35">
      <c r="B23" s="346">
        <v>3</v>
      </c>
      <c r="C23" s="347" t="s">
        <v>174</v>
      </c>
      <c r="D23" s="348">
        <v>0.7</v>
      </c>
      <c r="E23" s="348">
        <v>0.40699999999999997</v>
      </c>
      <c r="F23" s="327" t="s">
        <v>175</v>
      </c>
      <c r="G23" s="329">
        <v>24442</v>
      </c>
      <c r="H23" s="330">
        <f t="shared" si="8"/>
        <v>73326</v>
      </c>
      <c r="I23" s="265"/>
      <c r="J23" s="47"/>
      <c r="K23" s="353">
        <f t="shared" ref="K23:K34" si="15">B23</f>
        <v>3</v>
      </c>
      <c r="L23" s="354">
        <f t="shared" ref="L23:L34" si="16">D23+L$19</f>
        <v>0.75</v>
      </c>
      <c r="M23" s="354">
        <f t="shared" ref="M23:M34" si="17">E23+M$19</f>
        <v>0.45699999999999996</v>
      </c>
      <c r="N23" s="261">
        <f t="shared" ref="N23:N34" si="18">L23*M23</f>
        <v>0.34275</v>
      </c>
      <c r="O23" s="259">
        <f t="shared" ref="O23:O34" si="19">N23*K23</f>
        <v>1.0282499999999999</v>
      </c>
      <c r="P23" s="252">
        <f t="shared" ref="P23:P34" si="20">P$20*N23</f>
        <v>21442.272243223797</v>
      </c>
      <c r="Q23" s="258">
        <f t="shared" ref="Q23:Q34" si="21">P23+Q$20</f>
        <v>24442.272243223797</v>
      </c>
      <c r="R23" s="308"/>
      <c r="S23" s="46"/>
      <c r="T23" s="9"/>
      <c r="W23" s="4"/>
    </row>
    <row r="24" spans="2:24" ht="18" thickBot="1" x14ac:dyDescent="0.35">
      <c r="B24" s="346">
        <v>1</v>
      </c>
      <c r="C24" s="347" t="s">
        <v>174</v>
      </c>
      <c r="D24" s="348">
        <v>0.7</v>
      </c>
      <c r="E24" s="348">
        <v>0.14699999999999999</v>
      </c>
      <c r="F24" s="327" t="s">
        <v>175</v>
      </c>
      <c r="G24" s="329">
        <v>12243</v>
      </c>
      <c r="H24" s="330">
        <f t="shared" si="8"/>
        <v>12243</v>
      </c>
      <c r="I24" s="265"/>
      <c r="J24" s="47"/>
      <c r="K24" s="353">
        <f t="shared" si="15"/>
        <v>1</v>
      </c>
      <c r="L24" s="354">
        <f t="shared" si="16"/>
        <v>0.75</v>
      </c>
      <c r="M24" s="354">
        <f t="shared" si="17"/>
        <v>0.19700000000000001</v>
      </c>
      <c r="N24" s="261">
        <f t="shared" si="18"/>
        <v>0.14774999999999999</v>
      </c>
      <c r="O24" s="259">
        <f t="shared" si="19"/>
        <v>0.14774999999999999</v>
      </c>
      <c r="P24" s="252">
        <f t="shared" si="20"/>
        <v>9243.1676847157287</v>
      </c>
      <c r="Q24" s="258">
        <f t="shared" si="21"/>
        <v>12243.167684715729</v>
      </c>
      <c r="R24" s="308"/>
      <c r="S24" s="46"/>
      <c r="T24" s="9"/>
      <c r="W24" s="4"/>
    </row>
    <row r="25" spans="2:24" ht="18" thickBot="1" x14ac:dyDescent="0.35">
      <c r="B25" s="346">
        <v>1</v>
      </c>
      <c r="C25" s="347" t="s">
        <v>174</v>
      </c>
      <c r="D25" s="348">
        <v>8.5000000000000006E-2</v>
      </c>
      <c r="E25" s="348">
        <v>0.59699999999999998</v>
      </c>
      <c r="F25" s="327" t="s">
        <v>175</v>
      </c>
      <c r="G25" s="329">
        <v>8464</v>
      </c>
      <c r="H25" s="330">
        <f t="shared" si="8"/>
        <v>8464</v>
      </c>
      <c r="I25" s="265"/>
      <c r="J25" s="47"/>
      <c r="K25" s="349">
        <f t="shared" si="15"/>
        <v>1</v>
      </c>
      <c r="L25" s="350">
        <f t="shared" si="16"/>
        <v>0.13500000000000001</v>
      </c>
      <c r="M25" s="350">
        <f t="shared" si="17"/>
        <v>0.64700000000000002</v>
      </c>
      <c r="N25" s="261">
        <f t="shared" si="18"/>
        <v>8.7345000000000006E-2</v>
      </c>
      <c r="O25" s="259">
        <f t="shared" si="19"/>
        <v>8.7345000000000006E-2</v>
      </c>
      <c r="P25" s="252">
        <f t="shared" si="20"/>
        <v>5464.2604495532687</v>
      </c>
      <c r="Q25" s="258">
        <f t="shared" si="21"/>
        <v>8464.2604495532687</v>
      </c>
      <c r="R25" s="308"/>
      <c r="S25" s="46"/>
      <c r="T25" s="9"/>
      <c r="W25" s="4"/>
    </row>
    <row r="26" spans="2:24" ht="18" thickBot="1" x14ac:dyDescent="0.35">
      <c r="B26" s="346">
        <v>2</v>
      </c>
      <c r="C26" s="347" t="s">
        <v>174</v>
      </c>
      <c r="D26" s="348">
        <v>0.6</v>
      </c>
      <c r="E26" s="348">
        <v>0.29799999999999999</v>
      </c>
      <c r="F26" s="327" t="s">
        <v>175</v>
      </c>
      <c r="G26" s="329">
        <v>17151</v>
      </c>
      <c r="H26" s="330">
        <f t="shared" si="8"/>
        <v>34302</v>
      </c>
      <c r="I26" s="265"/>
      <c r="J26" s="47"/>
      <c r="K26" s="349">
        <f t="shared" si="15"/>
        <v>2</v>
      </c>
      <c r="L26" s="350">
        <f t="shared" si="16"/>
        <v>0.65</v>
      </c>
      <c r="M26" s="350">
        <f t="shared" si="17"/>
        <v>0.34799999999999998</v>
      </c>
      <c r="N26" s="261">
        <f t="shared" si="18"/>
        <v>0.22619999999999998</v>
      </c>
      <c r="O26" s="259">
        <f t="shared" si="19"/>
        <v>0.45239999999999997</v>
      </c>
      <c r="P26" s="252">
        <f t="shared" si="20"/>
        <v>14150.961287869359</v>
      </c>
      <c r="Q26" s="258">
        <f t="shared" si="21"/>
        <v>17150.961287869359</v>
      </c>
      <c r="R26" s="308"/>
      <c r="S26" s="46"/>
      <c r="T26" s="9"/>
      <c r="W26" s="4"/>
    </row>
    <row r="27" spans="2:24" ht="18" thickBot="1" x14ac:dyDescent="0.35">
      <c r="B27" s="346">
        <v>2</v>
      </c>
      <c r="C27" s="347" t="s">
        <v>174</v>
      </c>
      <c r="D27" s="348">
        <v>0.7</v>
      </c>
      <c r="E27" s="348">
        <v>0.40100000000000002</v>
      </c>
      <c r="F27" s="327" t="s">
        <v>175</v>
      </c>
      <c r="G27" s="329">
        <v>24161</v>
      </c>
      <c r="H27" s="330">
        <f t="shared" si="8"/>
        <v>48322</v>
      </c>
      <c r="I27" s="265"/>
      <c r="J27" s="47"/>
      <c r="K27" s="353">
        <f t="shared" si="15"/>
        <v>2</v>
      </c>
      <c r="L27" s="354">
        <f t="shared" si="16"/>
        <v>0.75</v>
      </c>
      <c r="M27" s="354">
        <f t="shared" si="17"/>
        <v>0.45100000000000001</v>
      </c>
      <c r="N27" s="261">
        <f t="shared" si="18"/>
        <v>0.33825</v>
      </c>
      <c r="O27" s="259">
        <f t="shared" si="19"/>
        <v>0.67649999999999999</v>
      </c>
      <c r="P27" s="252">
        <f t="shared" si="20"/>
        <v>21160.754445719765</v>
      </c>
      <c r="Q27" s="258">
        <f t="shared" si="21"/>
        <v>24160.754445719765</v>
      </c>
      <c r="R27" s="308"/>
      <c r="S27" s="46"/>
      <c r="T27" s="9"/>
      <c r="W27" s="4"/>
    </row>
    <row r="28" spans="2:24" ht="18" thickBot="1" x14ac:dyDescent="0.35">
      <c r="B28" s="346">
        <v>1</v>
      </c>
      <c r="C28" s="347" t="s">
        <v>174</v>
      </c>
      <c r="D28" s="348">
        <v>0.4</v>
      </c>
      <c r="E28" s="348">
        <v>0.59799999999999998</v>
      </c>
      <c r="F28" s="327" t="s">
        <v>175</v>
      </c>
      <c r="G28" s="329">
        <v>21242</v>
      </c>
      <c r="H28" s="330">
        <f t="shared" si="8"/>
        <v>21242</v>
      </c>
      <c r="I28" s="265"/>
      <c r="J28" s="47"/>
      <c r="K28" s="349">
        <f t="shared" si="15"/>
        <v>1</v>
      </c>
      <c r="L28" s="350">
        <f t="shared" si="16"/>
        <v>0.45</v>
      </c>
      <c r="M28" s="350">
        <f t="shared" si="17"/>
        <v>0.64800000000000002</v>
      </c>
      <c r="N28" s="261">
        <f t="shared" si="18"/>
        <v>0.29160000000000003</v>
      </c>
      <c r="O28" s="259">
        <f t="shared" si="19"/>
        <v>0.29160000000000003</v>
      </c>
      <c r="P28" s="252">
        <f t="shared" si="20"/>
        <v>18242.353278261297</v>
      </c>
      <c r="Q28" s="258">
        <f t="shared" si="21"/>
        <v>21242.353278261297</v>
      </c>
      <c r="R28" s="308"/>
      <c r="S28" s="46"/>
      <c r="T28" s="9"/>
      <c r="W28" s="4"/>
    </row>
    <row r="29" spans="2:24" ht="18" thickBot="1" x14ac:dyDescent="0.35">
      <c r="B29" s="326">
        <v>1</v>
      </c>
      <c r="C29" s="327" t="s">
        <v>174</v>
      </c>
      <c r="D29" s="328">
        <v>0.7</v>
      </c>
      <c r="E29" s="328">
        <v>0.5</v>
      </c>
      <c r="F29" s="327" t="s">
        <v>175</v>
      </c>
      <c r="G29" s="329">
        <v>28806</v>
      </c>
      <c r="H29" s="330">
        <f t="shared" si="8"/>
        <v>28806</v>
      </c>
      <c r="I29" s="265"/>
      <c r="J29" s="47"/>
      <c r="K29" s="351">
        <f t="shared" si="15"/>
        <v>1</v>
      </c>
      <c r="L29" s="352">
        <f t="shared" si="16"/>
        <v>0.75</v>
      </c>
      <c r="M29" s="352">
        <f t="shared" si="17"/>
        <v>0.55000000000000004</v>
      </c>
      <c r="N29" s="261">
        <f t="shared" si="18"/>
        <v>0.41250000000000003</v>
      </c>
      <c r="O29" s="259">
        <f t="shared" si="19"/>
        <v>0.41250000000000003</v>
      </c>
      <c r="P29" s="252">
        <f t="shared" si="20"/>
        <v>25805.798104536301</v>
      </c>
      <c r="Q29" s="258">
        <f t="shared" si="21"/>
        <v>28805.798104536301</v>
      </c>
      <c r="R29" s="308"/>
      <c r="S29" s="46"/>
      <c r="T29" s="9"/>
      <c r="W29" s="4"/>
    </row>
    <row r="30" spans="2:24" ht="18" thickBot="1" x14ac:dyDescent="0.35">
      <c r="B30" s="326">
        <v>1</v>
      </c>
      <c r="C30" s="327" t="s">
        <v>174</v>
      </c>
      <c r="D30" s="328">
        <v>0.7</v>
      </c>
      <c r="E30" s="328">
        <v>0.35</v>
      </c>
      <c r="F30" s="327" t="s">
        <v>175</v>
      </c>
      <c r="G30" s="329">
        <v>21768</v>
      </c>
      <c r="H30" s="330">
        <f t="shared" si="8"/>
        <v>21768</v>
      </c>
      <c r="I30" s="265"/>
      <c r="J30" s="47"/>
      <c r="K30" s="351">
        <f t="shared" si="15"/>
        <v>1</v>
      </c>
      <c r="L30" s="352">
        <f t="shared" si="16"/>
        <v>0.75</v>
      </c>
      <c r="M30" s="352">
        <f t="shared" si="17"/>
        <v>0.39999999999999997</v>
      </c>
      <c r="N30" s="261">
        <f t="shared" si="18"/>
        <v>0.3</v>
      </c>
      <c r="O30" s="259">
        <f t="shared" si="19"/>
        <v>0.3</v>
      </c>
      <c r="P30" s="252">
        <f t="shared" si="20"/>
        <v>18767.853166935489</v>
      </c>
      <c r="Q30" s="258">
        <f t="shared" si="21"/>
        <v>21767.853166935489</v>
      </c>
      <c r="R30" s="308"/>
      <c r="S30" s="46"/>
      <c r="T30" s="9"/>
      <c r="W30" s="4"/>
    </row>
    <row r="31" spans="2:24" ht="18" thickBot="1" x14ac:dyDescent="0.35">
      <c r="B31" s="326">
        <v>2</v>
      </c>
      <c r="C31" s="327" t="s">
        <v>174</v>
      </c>
      <c r="D31" s="328">
        <v>0.7</v>
      </c>
      <c r="E31" s="328">
        <v>0.4</v>
      </c>
      <c r="F31" s="327" t="s">
        <v>175</v>
      </c>
      <c r="G31" s="329">
        <v>24114</v>
      </c>
      <c r="H31" s="330">
        <f t="shared" si="8"/>
        <v>48228</v>
      </c>
      <c r="I31" s="265"/>
      <c r="J31" s="47"/>
      <c r="K31" s="351">
        <f t="shared" si="15"/>
        <v>2</v>
      </c>
      <c r="L31" s="352">
        <f t="shared" si="16"/>
        <v>0.75</v>
      </c>
      <c r="M31" s="352">
        <f t="shared" si="17"/>
        <v>0.45</v>
      </c>
      <c r="N31" s="261">
        <f t="shared" si="18"/>
        <v>0.33750000000000002</v>
      </c>
      <c r="O31" s="259">
        <f t="shared" si="19"/>
        <v>0.67500000000000004</v>
      </c>
      <c r="P31" s="252">
        <f t="shared" si="20"/>
        <v>21113.834812802426</v>
      </c>
      <c r="Q31" s="258">
        <f t="shared" si="21"/>
        <v>24113.834812802426</v>
      </c>
      <c r="R31" s="308"/>
      <c r="S31" s="46"/>
      <c r="T31" s="9"/>
      <c r="W31" s="4"/>
    </row>
    <row r="32" spans="2:24" ht="18" thickBot="1" x14ac:dyDescent="0.35">
      <c r="B32" s="326">
        <v>3</v>
      </c>
      <c r="C32" s="327" t="s">
        <v>174</v>
      </c>
      <c r="D32" s="328">
        <v>0.7</v>
      </c>
      <c r="E32" s="328">
        <v>0.35</v>
      </c>
      <c r="F32" s="327" t="s">
        <v>175</v>
      </c>
      <c r="G32" s="329">
        <v>21768</v>
      </c>
      <c r="H32" s="330">
        <f t="shared" si="8"/>
        <v>65304</v>
      </c>
      <c r="I32" s="265"/>
      <c r="J32" s="47"/>
      <c r="K32" s="351">
        <f t="shared" si="15"/>
        <v>3</v>
      </c>
      <c r="L32" s="352">
        <f t="shared" si="16"/>
        <v>0.75</v>
      </c>
      <c r="M32" s="352">
        <f t="shared" si="17"/>
        <v>0.39999999999999997</v>
      </c>
      <c r="N32" s="261">
        <f t="shared" si="18"/>
        <v>0.3</v>
      </c>
      <c r="O32" s="259">
        <f t="shared" si="19"/>
        <v>0.89999999999999991</v>
      </c>
      <c r="P32" s="252">
        <f t="shared" si="20"/>
        <v>18767.853166935489</v>
      </c>
      <c r="Q32" s="258">
        <f t="shared" si="21"/>
        <v>21767.853166935489</v>
      </c>
      <c r="R32" s="308"/>
      <c r="S32" s="46"/>
      <c r="T32" s="9"/>
      <c r="W32" s="4"/>
    </row>
    <row r="33" spans="2:23" ht="17.399999999999999" x14ac:dyDescent="0.3">
      <c r="B33" s="326">
        <v>1</v>
      </c>
      <c r="C33" s="327" t="s">
        <v>174</v>
      </c>
      <c r="D33" s="328">
        <v>0.7</v>
      </c>
      <c r="E33" s="328">
        <v>0.34</v>
      </c>
      <c r="F33" s="327" t="s">
        <v>175</v>
      </c>
      <c r="G33" s="329">
        <v>21299</v>
      </c>
      <c r="H33" s="330">
        <f t="shared" si="8"/>
        <v>21299</v>
      </c>
      <c r="I33" s="265"/>
      <c r="J33" s="47"/>
      <c r="K33" s="351">
        <f t="shared" si="15"/>
        <v>1</v>
      </c>
      <c r="L33" s="352">
        <f t="shared" si="16"/>
        <v>0.75</v>
      </c>
      <c r="M33" s="352">
        <f t="shared" si="17"/>
        <v>0.39</v>
      </c>
      <c r="N33" s="261">
        <f t="shared" si="18"/>
        <v>0.29249999999999998</v>
      </c>
      <c r="O33" s="259">
        <f t="shared" si="19"/>
        <v>0.29249999999999998</v>
      </c>
      <c r="P33" s="252">
        <f t="shared" si="20"/>
        <v>18298.656837762101</v>
      </c>
      <c r="Q33" s="258">
        <f t="shared" si="21"/>
        <v>21298.656837762101</v>
      </c>
      <c r="R33" s="308"/>
      <c r="S33" s="46"/>
      <c r="T33" s="9"/>
      <c r="W33" s="4"/>
    </row>
    <row r="34" spans="2:23" ht="17.399999999999999" x14ac:dyDescent="0.3">
      <c r="B34" s="331">
        <v>1</v>
      </c>
      <c r="C34" s="331" t="s">
        <v>174</v>
      </c>
      <c r="D34" s="332">
        <v>0.7</v>
      </c>
      <c r="E34" s="332">
        <v>0.21</v>
      </c>
      <c r="F34" s="331" t="s">
        <v>175</v>
      </c>
      <c r="G34" s="333">
        <v>15199</v>
      </c>
      <c r="H34" s="333">
        <f t="shared" ref="H34" si="22">G34*B34</f>
        <v>15199</v>
      </c>
      <c r="I34" s="265"/>
      <c r="J34" s="47"/>
      <c r="K34" s="353">
        <f t="shared" si="15"/>
        <v>1</v>
      </c>
      <c r="L34" s="354">
        <f t="shared" si="16"/>
        <v>0.75</v>
      </c>
      <c r="M34" s="354">
        <f t="shared" si="17"/>
        <v>0.26</v>
      </c>
      <c r="N34" s="261">
        <f t="shared" si="18"/>
        <v>0.19500000000000001</v>
      </c>
      <c r="O34" s="259">
        <f t="shared" si="19"/>
        <v>0.19500000000000001</v>
      </c>
      <c r="P34" s="252">
        <f t="shared" si="20"/>
        <v>12199.104558508068</v>
      </c>
      <c r="Q34" s="258">
        <f t="shared" si="21"/>
        <v>15199.104558508068</v>
      </c>
      <c r="R34" s="308"/>
      <c r="S34" s="46"/>
      <c r="T34" s="9"/>
      <c r="W34" s="4"/>
    </row>
    <row r="35" spans="2:23" ht="17.399999999999999" x14ac:dyDescent="0.3">
      <c r="B35" s="286"/>
      <c r="C35" s="286"/>
      <c r="D35" s="287"/>
      <c r="E35" s="287"/>
      <c r="F35" s="325"/>
      <c r="G35" s="325"/>
      <c r="H35" s="325"/>
      <c r="I35" s="265"/>
      <c r="J35" s="47"/>
      <c r="K35" s="47"/>
      <c r="L35" s="39"/>
      <c r="M35" s="39"/>
      <c r="N35" s="261"/>
      <c r="O35" s="259"/>
      <c r="P35" s="252"/>
      <c r="Q35" s="258"/>
      <c r="R35" s="308"/>
      <c r="S35" s="46"/>
      <c r="T35" s="9"/>
      <c r="W35" s="4"/>
    </row>
    <row r="36" spans="2:23" ht="18" thickBot="1" x14ac:dyDescent="0.35">
      <c r="B36" s="286"/>
      <c r="C36" s="286"/>
      <c r="D36" s="287"/>
      <c r="E36" s="287"/>
      <c r="F36" s="286"/>
      <c r="G36" s="265"/>
      <c r="H36" s="233"/>
      <c r="I36" s="233"/>
      <c r="J36" s="47"/>
      <c r="K36" s="47"/>
      <c r="L36" s="39"/>
      <c r="M36" s="39"/>
      <c r="N36" s="261"/>
      <c r="O36" s="259"/>
      <c r="P36" s="252"/>
      <c r="Q36" s="258"/>
      <c r="R36" s="308"/>
      <c r="S36" s="14"/>
      <c r="T36" s="9"/>
      <c r="W36" s="4"/>
    </row>
    <row r="37" spans="2:23" ht="17.399999999999999" x14ac:dyDescent="0.3">
      <c r="B37" s="286"/>
      <c r="C37" s="286"/>
      <c r="D37" s="287"/>
      <c r="E37" s="287"/>
      <c r="F37" s="286"/>
      <c r="G37" s="309" t="s">
        <v>29</v>
      </c>
      <c r="H37" s="310">
        <f>SUM(H21:H36)</f>
        <v>474515</v>
      </c>
      <c r="I37" s="265"/>
      <c r="J37" s="47"/>
      <c r="K37" s="47"/>
      <c r="L37" s="39">
        <f>SUM(L21:L36)</f>
        <v>9.1900000000000013</v>
      </c>
      <c r="M37" s="39"/>
      <c r="N37" s="261"/>
      <c r="O37" s="259"/>
      <c r="P37" s="252"/>
      <c r="Q37" s="258"/>
      <c r="R37" s="308"/>
      <c r="S37" s="14"/>
      <c r="T37" s="9"/>
      <c r="W37" s="4"/>
    </row>
    <row r="38" spans="2:23" ht="17.399999999999999" x14ac:dyDescent="0.3">
      <c r="B38" s="280"/>
      <c r="C38" s="283"/>
      <c r="D38" s="284"/>
      <c r="E38" s="284"/>
      <c r="F38" s="285"/>
      <c r="G38" s="307" t="s">
        <v>52</v>
      </c>
      <c r="H38" s="304"/>
      <c r="I38" s="265"/>
      <c r="J38" s="47"/>
      <c r="K38" s="47"/>
      <c r="L38" s="39"/>
      <c r="M38" s="12"/>
      <c r="N38" s="12"/>
      <c r="O38" s="253">
        <f>SUM(O21:O34)</f>
        <v>6.482054999999999</v>
      </c>
      <c r="P38" s="14"/>
      <c r="Q38" s="12"/>
      <c r="R38" s="239"/>
      <c r="S38" s="14"/>
      <c r="T38" s="9"/>
      <c r="W38" s="4"/>
    </row>
    <row r="39" spans="2:23" ht="18" thickBot="1" x14ac:dyDescent="0.35">
      <c r="B39" s="276"/>
      <c r="C39" s="282"/>
      <c r="D39" s="272"/>
      <c r="E39" s="272"/>
      <c r="F39" s="273"/>
      <c r="G39" s="281" t="s">
        <v>6</v>
      </c>
      <c r="H39" s="305">
        <f>H37+H38</f>
        <v>474515</v>
      </c>
      <c r="I39" s="265"/>
      <c r="J39" s="47"/>
      <c r="K39" s="47"/>
      <c r="L39" s="39"/>
      <c r="M39" s="12"/>
      <c r="N39" s="12"/>
      <c r="O39" s="253">
        <f>O38</f>
        <v>6.482054999999999</v>
      </c>
      <c r="P39" s="14"/>
      <c r="Q39" s="12"/>
      <c r="R39" s="239">
        <f>SUM(R21:R38)</f>
        <v>2.41</v>
      </c>
      <c r="S39" s="14"/>
      <c r="T39" s="9"/>
      <c r="W39" s="4"/>
    </row>
    <row r="40" spans="2:23" ht="17.399999999999999" x14ac:dyDescent="0.3">
      <c r="B40" s="276"/>
      <c r="C40" s="271"/>
      <c r="D40" s="272"/>
      <c r="E40" s="272"/>
      <c r="F40" s="273"/>
      <c r="I40" s="265"/>
      <c r="J40" s="47"/>
      <c r="K40" s="47"/>
      <c r="L40" s="14"/>
      <c r="M40" s="12"/>
      <c r="N40" s="12"/>
      <c r="O40" s="39">
        <f>O39*20%</f>
        <v>1.296411</v>
      </c>
      <c r="P40" s="39" t="s">
        <v>131</v>
      </c>
      <c r="Q40" s="42"/>
      <c r="R40" s="240"/>
      <c r="S40" s="14"/>
      <c r="T40" s="9"/>
      <c r="W40" s="4"/>
    </row>
    <row r="41" spans="2:23" ht="17.399999999999999" x14ac:dyDescent="0.3">
      <c r="B41" s="271"/>
      <c r="C41" s="271"/>
      <c r="D41" s="272"/>
      <c r="E41" s="272"/>
      <c r="F41" s="273"/>
      <c r="G41" s="274"/>
      <c r="H41" s="275"/>
      <c r="I41" s="265"/>
      <c r="J41" s="47"/>
      <c r="K41" s="47"/>
      <c r="L41" s="14"/>
      <c r="M41" s="12"/>
      <c r="N41" s="12"/>
      <c r="O41" s="46">
        <f>O39+O40</f>
        <v>7.778465999999999</v>
      </c>
      <c r="P41" s="14"/>
      <c r="Q41" s="14"/>
      <c r="R41" s="238">
        <v>40</v>
      </c>
      <c r="S41" s="14"/>
      <c r="T41" s="9"/>
      <c r="W41" s="4"/>
    </row>
    <row r="42" spans="2:23" ht="17.399999999999999" x14ac:dyDescent="0.35">
      <c r="B42" s="269"/>
      <c r="C42" s="230"/>
      <c r="D42" s="230"/>
      <c r="E42" s="233"/>
      <c r="F42" s="234"/>
      <c r="G42" s="230"/>
      <c r="H42" s="275"/>
      <c r="I42" s="265"/>
      <c r="J42" s="47"/>
      <c r="K42" s="47"/>
      <c r="L42" s="14"/>
      <c r="M42" s="14"/>
      <c r="N42" s="14"/>
      <c r="O42" s="14"/>
      <c r="P42" s="14"/>
      <c r="Q42" s="14"/>
      <c r="R42" s="238"/>
      <c r="S42" s="14"/>
      <c r="T42" s="315" t="s">
        <v>22</v>
      </c>
      <c r="U42" s="312" t="s">
        <v>153</v>
      </c>
      <c r="V42" s="316">
        <v>44971</v>
      </c>
      <c r="W42" s="317"/>
    </row>
    <row r="43" spans="2:23" ht="17.399999999999999" x14ac:dyDescent="0.35">
      <c r="B43" s="235"/>
      <c r="C43" s="236"/>
      <c r="D43" s="237"/>
      <c r="E43" s="235"/>
      <c r="F43" s="230"/>
      <c r="G43" s="230"/>
      <c r="I43" s="265"/>
      <c r="J43" s="47"/>
      <c r="K43" s="47"/>
      <c r="L43" s="39">
        <f>O41</f>
        <v>7.778465999999999</v>
      </c>
      <c r="M43" s="12">
        <v>3500</v>
      </c>
      <c r="N43" s="12">
        <f t="shared" ref="N43:N48" si="23">L43*M43</f>
        <v>27224.630999999998</v>
      </c>
      <c r="O43" s="14" t="s">
        <v>22</v>
      </c>
      <c r="P43" s="14"/>
      <c r="Q43" s="14"/>
      <c r="R43" s="241"/>
      <c r="S43" s="14"/>
      <c r="T43" s="315" t="s">
        <v>154</v>
      </c>
      <c r="U43" s="312">
        <v>3625</v>
      </c>
      <c r="V43" s="59" t="s">
        <v>155</v>
      </c>
      <c r="W43" s="317"/>
    </row>
    <row r="44" spans="2:23" ht="17.399999999999999" x14ac:dyDescent="0.35">
      <c r="B44" s="230"/>
      <c r="C44" s="230"/>
      <c r="D44" s="230"/>
      <c r="E44" s="230"/>
      <c r="F44" s="230"/>
      <c r="G44" s="230"/>
      <c r="I44" s="265"/>
      <c r="J44" s="47"/>
      <c r="K44" s="47"/>
      <c r="L44" s="249">
        <v>2.2000000000000002</v>
      </c>
      <c r="M44" s="12">
        <v>43000</v>
      </c>
      <c r="N44" s="12">
        <f t="shared" si="23"/>
        <v>94600.000000000015</v>
      </c>
      <c r="O44" s="39" t="s">
        <v>32</v>
      </c>
      <c r="P44" s="42"/>
      <c r="Q44" s="14"/>
      <c r="R44" s="240"/>
      <c r="S44" s="14"/>
      <c r="T44" s="315"/>
      <c r="U44" s="59">
        <v>906.25</v>
      </c>
      <c r="V44" s="59" t="s">
        <v>156</v>
      </c>
      <c r="W44" s="317"/>
    </row>
    <row r="45" spans="2:23" s="230" customFormat="1" ht="17.399999999999999" x14ac:dyDescent="0.35">
      <c r="I45" s="262"/>
      <c r="J45" s="232"/>
      <c r="K45" s="250"/>
      <c r="L45" s="14"/>
      <c r="M45" s="250">
        <v>573002</v>
      </c>
      <c r="N45" s="12">
        <f t="shared" si="23"/>
        <v>0</v>
      </c>
      <c r="O45" s="39" t="s">
        <v>31</v>
      </c>
      <c r="P45" s="42"/>
      <c r="R45" s="240"/>
      <c r="S45" s="256"/>
      <c r="T45" s="59"/>
      <c r="U45" s="59">
        <f>U44*20%</f>
        <v>181.25</v>
      </c>
      <c r="V45" s="317" t="s">
        <v>157</v>
      </c>
      <c r="W45" s="59"/>
    </row>
    <row r="46" spans="2:23" s="230" customFormat="1" ht="17.399999999999999" x14ac:dyDescent="0.35">
      <c r="B46" s="24" t="s">
        <v>152</v>
      </c>
      <c r="I46" s="262"/>
      <c r="J46" s="232"/>
      <c r="K46" s="250"/>
      <c r="L46" s="14">
        <v>2.5</v>
      </c>
      <c r="M46" s="250">
        <v>25000</v>
      </c>
      <c r="N46" s="12">
        <f t="shared" si="23"/>
        <v>62500</v>
      </c>
      <c r="O46" s="14" t="s">
        <v>142</v>
      </c>
      <c r="P46" s="17"/>
      <c r="R46" s="238"/>
      <c r="S46" s="256"/>
      <c r="T46" s="59"/>
      <c r="U46" s="59">
        <f>U44+U45</f>
        <v>1087.5</v>
      </c>
      <c r="V46" s="317" t="s">
        <v>158</v>
      </c>
      <c r="W46" s="59"/>
    </row>
    <row r="47" spans="2:23" s="230" customFormat="1" ht="17.399999999999999" x14ac:dyDescent="0.35">
      <c r="B47" s="24" t="s">
        <v>145</v>
      </c>
      <c r="C47"/>
      <c r="D47"/>
      <c r="E47"/>
      <c r="F47"/>
      <c r="I47" s="262"/>
      <c r="K47" s="250"/>
      <c r="L47" s="249"/>
      <c r="M47" s="250">
        <v>300</v>
      </c>
      <c r="N47" s="12">
        <f t="shared" si="23"/>
        <v>0</v>
      </c>
      <c r="O47" s="14" t="s">
        <v>33</v>
      </c>
      <c r="P47" s="14"/>
      <c r="Q47" s="230">
        <v>1.52</v>
      </c>
      <c r="R47" s="238"/>
      <c r="S47" s="238"/>
    </row>
    <row r="48" spans="2:23" s="230" customFormat="1" ht="17.399999999999999" x14ac:dyDescent="0.35">
      <c r="B48" s="29" t="s">
        <v>126</v>
      </c>
      <c r="C48"/>
      <c r="D48"/>
      <c r="E48"/>
      <c r="F48" s="229" t="s">
        <v>16</v>
      </c>
      <c r="I48" s="303"/>
      <c r="K48" s="250"/>
      <c r="L48" s="266"/>
      <c r="M48" s="12">
        <v>1500</v>
      </c>
      <c r="N48" s="12">
        <f t="shared" si="23"/>
        <v>0</v>
      </c>
      <c r="O48" s="14" t="s">
        <v>23</v>
      </c>
      <c r="P48" s="14"/>
      <c r="Q48">
        <v>2.44</v>
      </c>
      <c r="R48"/>
      <c r="S48" s="238"/>
      <c r="W48" s="231"/>
    </row>
    <row r="49" spans="2:23" s="230" customFormat="1" ht="17.399999999999999" x14ac:dyDescent="0.35">
      <c r="K49" s="250"/>
      <c r="L49" s="14"/>
      <c r="M49" s="12"/>
      <c r="N49" s="12">
        <f>SUM(N43:N48)</f>
        <v>184324.63099999999</v>
      </c>
      <c r="O49" s="39" t="s">
        <v>24</v>
      </c>
      <c r="P49" s="14"/>
      <c r="Q49">
        <f>Q47*Q48</f>
        <v>3.7088000000000001</v>
      </c>
      <c r="R49"/>
      <c r="S49" s="238"/>
      <c r="W49" s="231"/>
    </row>
    <row r="50" spans="2:23" s="230" customFormat="1" ht="17.399999999999999" x14ac:dyDescent="0.35">
      <c r="K50" s="250"/>
      <c r="L50" s="254" t="s">
        <v>34</v>
      </c>
      <c r="M50" s="12"/>
      <c r="N50" s="255">
        <f>N49*2.2</f>
        <v>405514.18820000003</v>
      </c>
      <c r="O50" s="14" t="s">
        <v>141</v>
      </c>
      <c r="P50" s="14"/>
      <c r="Q50" s="40">
        <f>O41/Q49</f>
        <v>2.0972999352890418</v>
      </c>
      <c r="R50"/>
      <c r="S50" s="257"/>
    </row>
    <row r="51" spans="2:23" s="230" customFormat="1" ht="17.399999999999999" x14ac:dyDescent="0.35">
      <c r="G51"/>
      <c r="H51" s="260"/>
      <c r="I51" s="260"/>
      <c r="J51" s="230">
        <v>60910</v>
      </c>
      <c r="K51" s="250"/>
      <c r="L51" s="14"/>
      <c r="M51" s="12"/>
      <c r="N51" s="12">
        <f>N50/O39</f>
        <v>62559.510556451634</v>
      </c>
      <c r="O51" s="45" t="s">
        <v>25</v>
      </c>
      <c r="P51" s="14"/>
      <c r="Q51" s="14"/>
      <c r="R51"/>
      <c r="S51" s="238"/>
      <c r="T51" s="59" t="s">
        <v>159</v>
      </c>
      <c r="U51" s="312">
        <v>43650</v>
      </c>
    </row>
    <row r="52" spans="2:23" s="230" customFormat="1" ht="17.399999999999999" x14ac:dyDescent="0.35">
      <c r="G52"/>
      <c r="J52" s="230">
        <f>J51/1.19</f>
        <v>51184.873949579836</v>
      </c>
      <c r="K52" s="250"/>
      <c r="L52" s="13"/>
      <c r="M52" s="14"/>
      <c r="N52" s="17">
        <f>N50/N49</f>
        <v>2.2000000000000002</v>
      </c>
      <c r="O52" s="15"/>
      <c r="P52"/>
      <c r="Q52"/>
      <c r="R52"/>
      <c r="S52" s="238"/>
      <c r="T52" s="59" t="s">
        <v>161</v>
      </c>
      <c r="U52" s="313" t="s">
        <v>160</v>
      </c>
      <c r="V52" s="59">
        <v>2.4</v>
      </c>
    </row>
    <row r="53" spans="2:23" s="230" customFormat="1" ht="17.399999999999999" x14ac:dyDescent="0.35">
      <c r="G53" s="23"/>
      <c r="K53" s="12"/>
      <c r="S53" s="238"/>
      <c r="T53" s="59" t="s">
        <v>162</v>
      </c>
      <c r="U53" s="314">
        <v>395.37</v>
      </c>
    </row>
    <row r="54" spans="2:23" s="230" customFormat="1" ht="17.399999999999999" x14ac:dyDescent="0.35">
      <c r="B54"/>
      <c r="C54" s="228"/>
      <c r="D54" s="22"/>
      <c r="E54" s="22"/>
      <c r="F54" s="21"/>
      <c r="G54" s="23"/>
      <c r="K54" s="12"/>
      <c r="S54" s="238"/>
      <c r="T54" s="59" t="s">
        <v>157</v>
      </c>
      <c r="U54" s="59">
        <v>474.45</v>
      </c>
    </row>
    <row r="55" spans="2:23" ht="14.4" customHeight="1" x14ac:dyDescent="0.3">
      <c r="K55" s="12"/>
      <c r="T55" s="59"/>
      <c r="U55" s="59"/>
    </row>
    <row r="56" spans="2:23" x14ac:dyDescent="0.3">
      <c r="K56" s="250"/>
    </row>
    <row r="57" spans="2:23" x14ac:dyDescent="0.3">
      <c r="K57" s="250"/>
      <c r="S57" s="270"/>
    </row>
    <row r="58" spans="2:23" x14ac:dyDescent="0.3">
      <c r="K58" s="250"/>
    </row>
    <row r="59" spans="2:23" ht="15" customHeight="1" x14ac:dyDescent="0.3"/>
    <row r="61" spans="2:23" x14ac:dyDescent="0.3">
      <c r="N61">
        <v>40935</v>
      </c>
      <c r="O61" t="s">
        <v>17</v>
      </c>
      <c r="P61" t="s">
        <v>27</v>
      </c>
    </row>
    <row r="63" spans="2:23" x14ac:dyDescent="0.3">
      <c r="N63" s="54"/>
      <c r="O63" s="54"/>
    </row>
    <row r="64" spans="2:23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0" spans="14:19" x14ac:dyDescent="0.3">
      <c r="R70" s="18"/>
      <c r="S70" s="18"/>
    </row>
    <row r="71" spans="14:19" x14ac:dyDescent="0.3">
      <c r="R71" s="18"/>
      <c r="S71" s="18"/>
    </row>
    <row r="72" spans="14:19" x14ac:dyDescent="0.3">
      <c r="R72" s="18"/>
      <c r="S72" s="18"/>
    </row>
    <row r="75" spans="14:19" x14ac:dyDescent="0.3">
      <c r="N75" s="43"/>
    </row>
    <row r="76" spans="14:19" x14ac:dyDescent="0.3">
      <c r="N76" s="43"/>
    </row>
    <row r="77" spans="14:19" x14ac:dyDescent="0.3">
      <c r="N77" s="6"/>
    </row>
    <row r="78" spans="14:19" x14ac:dyDescent="0.3">
      <c r="N78" s="6"/>
    </row>
    <row r="86" spans="3:3" x14ac:dyDescent="0.3">
      <c r="C86" t="s">
        <v>149</v>
      </c>
    </row>
    <row r="87" spans="3:3" x14ac:dyDescent="0.3">
      <c r="C87" t="s">
        <v>148</v>
      </c>
    </row>
    <row r="90" spans="3:3" x14ac:dyDescent="0.3">
      <c r="C90" t="s">
        <v>148</v>
      </c>
    </row>
    <row r="167" spans="3:3" x14ac:dyDescent="0.3">
      <c r="C167" t="s">
        <v>148</v>
      </c>
    </row>
    <row r="168" spans="3:3" x14ac:dyDescent="0.3">
      <c r="C168" t="s">
        <v>150</v>
      </c>
    </row>
    <row r="169" spans="3:3" x14ac:dyDescent="0.3">
      <c r="C169" t="s">
        <v>151</v>
      </c>
    </row>
    <row r="594" spans="3:3" x14ac:dyDescent="0.3">
      <c r="C594" t="s">
        <v>148</v>
      </c>
    </row>
  </sheetData>
  <mergeCells count="2">
    <mergeCell ref="F17:H17"/>
    <mergeCell ref="B19:H19"/>
  </mergeCells>
  <phoneticPr fontId="34" type="noConversion"/>
  <hyperlinks>
    <hyperlink ref="F4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45747</v>
      </c>
    </row>
    <row r="6" spans="2:31" ht="16.2" thickBot="1" x14ac:dyDescent="0.35">
      <c r="B6" s="140" t="s">
        <v>2</v>
      </c>
      <c r="C6" s="139" t="str">
        <f>'2229'!C10</f>
        <v>ALICIA ROCHA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11378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-37379.684841787435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'2229'!H37</f>
        <v>474515</v>
      </c>
      <c r="E11" s="132">
        <f>D11*0.19</f>
        <v>90157.85</v>
      </c>
      <c r="F11" s="131">
        <f>E11+D11</f>
        <v>564672.85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68610.315158212557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151658.72178743963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50610.315158212565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322856.27821256034</v>
      </c>
      <c r="E13" s="221">
        <f>(D11/D12)-1</f>
        <v>2.1288342299565612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41610.315158212565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2610.3151582125647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250236.89094927537</v>
      </c>
      <c r="F15" s="216">
        <f>E15-D12</f>
        <v>98578.169161835744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2610.3151582125647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42610.315158212565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'2229'!N44</f>
        <v>94600.000000000015</v>
      </c>
      <c r="E19" s="123">
        <f>D19*0.19</f>
        <v>17974.000000000004</v>
      </c>
      <c r="F19" s="120">
        <f>SUM(D19:E19)</f>
        <v>112574.00000000001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'2229'!N43</f>
        <v>27224.630999999998</v>
      </c>
      <c r="E20" s="121">
        <f>D20*0.19</f>
        <v>5172.6798899999994</v>
      </c>
      <c r="F20" s="120">
        <f>SUM(D20:E20)</f>
        <v>32397.310889999997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121824.63100000001</v>
      </c>
      <c r="E21" s="116">
        <f>SUM(E18:E20)</f>
        <v>23146.679890000003</v>
      </c>
      <c r="F21" s="115">
        <f>SUM(F18:F20)</f>
        <v>144971.31089000002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67011.170110000006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474515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121824.63100000001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322856.27821256034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322856.27821256034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2025-04-07T21:20:47Z</dcterms:modified>
</cp:coreProperties>
</file>