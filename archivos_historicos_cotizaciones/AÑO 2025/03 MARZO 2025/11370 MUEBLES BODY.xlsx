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29A4B03D-3084-4594-B3A8-91E959787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J37" i="1" l="1"/>
  <c r="K21" i="1"/>
  <c r="N32" i="1"/>
  <c r="N31" i="1" l="1"/>
  <c r="N33" i="1"/>
  <c r="N34" i="1"/>
  <c r="L21" i="1" l="1"/>
  <c r="L23" i="1" s="1"/>
  <c r="M21" i="1"/>
  <c r="S21" i="1" l="1"/>
  <c r="S23" i="1" s="1"/>
  <c r="S24" i="1" s="1"/>
  <c r="S25" i="1" s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Q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29" i="1" l="1"/>
  <c r="N35" i="1" s="1"/>
  <c r="N36" i="1" s="1"/>
  <c r="Q36" i="1"/>
  <c r="D20" i="3" l="1"/>
  <c r="E20" i="3" s="1"/>
  <c r="E21" i="3" s="1"/>
  <c r="N37" i="1" l="1"/>
  <c r="D21" i="3"/>
  <c r="M43" i="3" s="1"/>
  <c r="D12" i="3" s="1"/>
  <c r="F20" i="3"/>
  <c r="F21" i="3" s="1"/>
  <c r="N38" i="1" l="1"/>
  <c r="E15" i="3"/>
  <c r="P21" i="1" l="1"/>
  <c r="F15" i="3"/>
  <c r="Q21" i="1" l="1"/>
  <c r="H2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<sst xmlns="http://schemas.openxmlformats.org/spreadsheetml/2006/main" count="231" uniqueCount="176">
  <si>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</si>
  <si>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</si>
  <si>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</si>
  <si>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</si>
  <si>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</si>
  <si>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</si>
  <si>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</si>
  <si>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</si>
  <si>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</si>
  <si>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</si>
  <si>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</si>
  <si>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</si>
  <si>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</si>
  <si>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</si>
  <si>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</si>
  <si>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</si>
  <si>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</si>
  <si>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</si>
  <si>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</si>
  <si>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</si>
  <si>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</si>
  <si>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</si>
  <si>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</si>
  <si>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</si>
  <si>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</si>
  <si>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</si>
  <si>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</si>
  <si>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</si>
  <si>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</si>
  <si>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</si>
  <si>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</si>
  <si>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</si>
  <si>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</si>
  <si>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</si>
  <si>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</si>
  <si>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</si>
  <si>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</si>
  <si>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</si>
  <si>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</si>
  <si>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</si>
  <si>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</si>
  <si>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</si>
  <si>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</si>
  <si>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</si>
  <si>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</si>
  <si>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</si>
  <si>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</si>
  <si>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</si>
  <si>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</si>
  <si>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</si>
  <si>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</si>
  <si>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</si>
  <si>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</si>
  <si>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</si>
  <si>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</si>
  <si>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</si>
  <si>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</si>
  <si>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</si>
  <si>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</si>
  <si>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</si>
  <si>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</si>
  <si>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</si>
  <si>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</si>
  <si>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</si>
  <si>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</si>
  <si>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</si>
  <si>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</si>
  <si>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</si>
  <si>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</si>
  <si>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</si>
  <si>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</si>
  <si>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</si>
  <si>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</si>
  <si>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</si>
  <si>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</si>
  <si>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</si>
  <si>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</si>
  <si>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</si>
  <si>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</si>
  <si>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</si>
  <si>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</si>
  <si>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</si>
  <si>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</si>
  <si>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</si>
  <si>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</si>
  <si>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</si>
  <si>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</si>
  <si>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</si>
  <si>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</si>
  <si>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</si>
  <si>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</si>
  <si>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</si>
  <si>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</si>
  <si>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</si>
  <si>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</si>
  <si>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</si>
  <si>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</si>
  <si>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</si>
  <si>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</si>
  <si>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</si>
  <si>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</si>
  <si>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</si>
  <si>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</si>
  <si>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</si>
  <si>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</si>
  <si>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</si>
  <si>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</si>
  <si>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</si>
  <si>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</si>
  <si>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</si>
  <si>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</si>
  <si>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</si>
  <si>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</si>
  <si>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</si>
  <si>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</si>
  <si>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</si>
  <si>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</si>
  <si>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</si>
  <si>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</si>
  <si>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</si>
  <si>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</si>
  <si>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</si>
  <si>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</si>
  <si>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</si>
  <si>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</si>
  <si>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</si>
  <si>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</si>
  <si>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</si>
  <si>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</si>
  <si>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</si>
  <si>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</si>
  <si>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</si>
  <si>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</si>
  <si>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</si>
  <si>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</si>
  <si>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</si>
  <si>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</si>
  <si>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</si>
  <si>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</si>
  <si>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</si>
  <si>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</si>
  <si>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</si>
  <si>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</si>
  <si>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</si>
  <si>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</si>
  <si>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</si>
  <si>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</si>
  <si>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</si>
  <si>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</si>
  <si>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</si>
  <si>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</si>
  <si>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</si>
  <si>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</si>
  <si>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</si>
  <si>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</si>
  <si>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</si>
  <si>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</si>
  <si>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</si>
  <si>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</si>
  <si>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</si>
  <si>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</si>
  <si>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</si>
  <si>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</si>
  <si>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</si>
  <si>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</si>
  <si>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</si>
  <si>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MUEBLES BODY</t>
  </si>
  <si>
    <t>PAOLA BODY</t>
  </si>
  <si>
    <t>NOCE 1841 MT</t>
  </si>
  <si>
    <t>CUB MESA FRENTE 90° R8 MAQUILA</t>
  </si>
  <si>
    <t>N° 11370</t>
  </si>
  <si>
    <t>56-9-89052682</t>
  </si>
  <si>
    <t>15 DIAS HABILES</t>
  </si>
  <si>
    <t>SI</t>
  </si>
  <si>
    <t>IVA COMPRA</t>
  </si>
  <si>
    <t>IVA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</si>
</sst>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0"/>
      <color rgb="FF00277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0" fontId="36" fillId="0" borderId="0" xfId="0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21</xdr:row>
      <xdr:rowOff>206170</xdr:rowOff>
    </xdr:from>
    <xdr:to>
      <xdr:col>5</xdr:col>
      <xdr:colOff>1643259</xdr:colOff>
      <xdr:row>25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7.109375" customWidth="1"/>
    <col min="7" max="7" width="14" customWidth="1"/>
    <col min="8" max="8" width="15.44140625" customWidth="1"/>
    <col min="9" max="9" width="13.44140625" customWidth="1"/>
    <col min="10" max="10" width="14.2187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166</v>
      </c>
      <c r="D10" s="243"/>
      <c r="E10" s="243"/>
      <c r="F10" s="244" t="s">
        <v>0</v>
      </c>
      <c r="G10" s="277">
        <v>45741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167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0" t="s">
        <v>171</v>
      </c>
      <c r="D15" s="315"/>
      <c r="F15" t="s">
        <v>135</v>
      </c>
      <c r="G15" s="314" t="s">
        <v>173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1" t="s">
        <v>164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147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v>26851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136</v>
      </c>
      <c r="C21" s="325" t="s">
        <v>169</v>
      </c>
      <c r="D21" s="326">
        <v>2.4</v>
      </c>
      <c r="E21" s="326">
        <v>0.5</v>
      </c>
      <c r="F21" s="325" t="s">
        <v>168</v>
      </c>
      <c r="G21" s="327">
        <v>33295</v>
      </c>
      <c r="H21" s="327">
        <f>G21*B21</f>
        <v>4528120</v>
      </c>
      <c r="I21" s="265"/>
      <c r="J21" s="47"/>
      <c r="K21" s="329">
        <f>B21</f>
        <v>136</v>
      </c>
      <c r="L21" s="39">
        <f>D21+L$19</f>
        <v>2.48</v>
      </c>
      <c r="M21" s="39">
        <f>E21+M$19</f>
        <v>0.5</v>
      </c>
      <c r="N21" s="261">
        <f t="shared" ref="N21" si="0">L21*M21</f>
        <v>1.24</v>
      </c>
      <c r="O21" s="259">
        <f t="shared" ref="O21" si="1">N21*K21</f>
        <v>168.64</v>
      </c>
      <c r="P21" s="252">
        <f t="shared" ref="P21" si="2">P$20*N21</f>
        <v>33295.24</v>
      </c>
      <c r="Q21" s="328">
        <f t="shared" ref="Q21" si="3">P21+Q$20</f>
        <v>36295.24</v>
      </c>
      <c r="R21" s="298">
        <f>L21*K21*2</f>
        <v>674.56</v>
      </c>
      <c r="S21" s="46">
        <f>M21*2*K21</f>
        <v>136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>
        <v>0</v>
      </c>
      <c r="O22" s="259"/>
      <c r="P22" s="252"/>
      <c r="Q22" s="258"/>
      <c r="R22" s="29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299" t="s">
        <v>29</v>
      </c>
      <c r="H23" s="300">
        <f>H21</f>
        <v>4528120</v>
      </c>
      <c r="I23" s="265"/>
      <c r="J23" s="47"/>
      <c r="K23" s="47"/>
      <c r="L23" s="39">
        <f>SUM(L21:L21)</f>
        <v>2.48</v>
      </c>
      <c r="M23" s="39"/>
      <c r="N23" s="261"/>
      <c r="O23" s="259"/>
      <c r="P23" s="252"/>
      <c r="Q23" s="258"/>
      <c r="R23" s="298"/>
      <c r="S23" s="46">
        <f>SUM(S21:S22)</f>
        <v>136</v>
      </c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7" t="s">
        <v>52</v>
      </c>
      <c r="H24" s="295">
        <f>H23*19%</f>
        <v>860342.8</v>
      </c>
      <c r="I24" s="265"/>
      <c r="J24" s="47"/>
      <c r="K24" s="47"/>
      <c r="L24" s="39"/>
      <c r="M24" s="12"/>
      <c r="N24" s="12"/>
      <c r="O24" s="253">
        <f>SUM(O21:O21)</f>
        <v>168.64</v>
      </c>
      <c r="P24" s="14"/>
      <c r="Q24" s="12"/>
      <c r="R24" s="239"/>
      <c r="S24" s="46">
        <f>S23*20%</f>
        <v>27.200000000000003</v>
      </c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5388462.7999999998</v>
      </c>
      <c r="I25" s="265"/>
      <c r="J25" s="47"/>
      <c r="K25" s="47"/>
      <c r="L25" s="39"/>
      <c r="M25" s="12"/>
      <c r="N25" s="12"/>
      <c r="O25" s="253">
        <f>O24</f>
        <v>168.64</v>
      </c>
      <c r="P25" s="14"/>
      <c r="Q25" s="12"/>
      <c r="R25" s="239">
        <f>SUM(R21:R24)</f>
        <v>674.56</v>
      </c>
      <c r="S25" s="46">
        <f>S23+S24</f>
        <v>163.19999999999999</v>
      </c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33.728000000000002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202.36799999999999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5" t="s">
        <v>22</v>
      </c>
      <c r="U28" s="302" t="s">
        <v>152</v>
      </c>
      <c r="V28" s="306">
        <v>44971</v>
      </c>
      <c r="W28" s="307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202.36799999999999</v>
      </c>
      <c r="M29" s="12">
        <v>3500</v>
      </c>
      <c r="N29" s="12">
        <f t="shared" ref="N29:N34" si="4">L29*M29</f>
        <v>708288</v>
      </c>
      <c r="O29" s="14" t="s">
        <v>22</v>
      </c>
      <c r="P29" s="14"/>
      <c r="Q29" s="14"/>
      <c r="R29" s="241"/>
      <c r="S29" s="14"/>
      <c r="T29" s="305" t="s">
        <v>153</v>
      </c>
      <c r="U29" s="302">
        <v>3625</v>
      </c>
      <c r="V29" s="59" t="s">
        <v>154</v>
      </c>
      <c r="W29" s="307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52</v>
      </c>
      <c r="M30" s="12">
        <v>23500</v>
      </c>
      <c r="N30" s="12">
        <f t="shared" si="4"/>
        <v>1222000</v>
      </c>
      <c r="O30" s="39" t="s">
        <v>32</v>
      </c>
      <c r="P30" s="42"/>
      <c r="Q30" s="14"/>
      <c r="R30" s="240"/>
      <c r="S30" s="14"/>
      <c r="T30" s="305"/>
      <c r="U30" s="59">
        <v>906.25</v>
      </c>
      <c r="V30" s="59" t="s">
        <v>155</v>
      </c>
      <c r="W30" s="307"/>
    </row>
    <row r="31" spans="2:24" s="230" customFormat="1" ht="17.399999999999999" x14ac:dyDescent="0.35">
      <c r="I31" s="262"/>
      <c r="J31" s="232"/>
      <c r="K31" s="250"/>
      <c r="L31" s="14"/>
      <c r="M31" s="250">
        <v>61500</v>
      </c>
      <c r="N31" s="12">
        <f t="shared" si="4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7" t="s">
        <v>156</v>
      </c>
      <c r="W31" s="59"/>
    </row>
    <row r="32" spans="2:24" s="230" customFormat="1" ht="17.399999999999999" x14ac:dyDescent="0.35">
      <c r="B32" s="24" t="s">
        <v>151</v>
      </c>
      <c r="I32" s="262"/>
      <c r="J32" s="232"/>
      <c r="K32" s="250"/>
      <c r="L32" s="14">
        <v>68</v>
      </c>
      <c r="M32" s="250">
        <v>48866</v>
      </c>
      <c r="N32" s="12">
        <f t="shared" si="4"/>
        <v>3322888</v>
      </c>
      <c r="O32" s="14"/>
      <c r="P32" s="17"/>
      <c r="R32" s="238"/>
      <c r="S32" s="256"/>
      <c r="T32" s="59"/>
      <c r="U32" s="59">
        <f>U30+U31</f>
        <v>1087.5</v>
      </c>
      <c r="V32" s="307" t="s">
        <v>157</v>
      </c>
      <c r="W32" s="59"/>
    </row>
    <row r="33" spans="2:23" s="230" customFormat="1" ht="17.399999999999999" x14ac:dyDescent="0.35">
      <c r="B33" s="24" t="s">
        <v>144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4"/>
        <v>0</v>
      </c>
      <c r="O33" s="14" t="s">
        <v>33</v>
      </c>
      <c r="P33" s="14"/>
      <c r="Q33" s="230">
        <v>1.83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4"/>
      <c r="K34" s="250"/>
      <c r="L34" s="266"/>
      <c r="M34" s="12">
        <v>1500</v>
      </c>
      <c r="N34" s="12">
        <f t="shared" si="4"/>
        <v>0</v>
      </c>
      <c r="O34" s="14" t="s">
        <v>23</v>
      </c>
      <c r="P34" s="14"/>
      <c r="Q34">
        <v>2.5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5253176</v>
      </c>
      <c r="O35" s="39" t="s">
        <v>24</v>
      </c>
      <c r="P35" s="14"/>
      <c r="Q35">
        <f>Q33*Q34</f>
        <v>4.5750000000000002</v>
      </c>
      <c r="R35"/>
      <c r="S35" s="238"/>
      <c r="W35" s="231"/>
    </row>
    <row r="36" spans="2:23" s="230" customFormat="1" ht="17.399999999999999" x14ac:dyDescent="0.35">
      <c r="J36" s="230">
        <v>58150</v>
      </c>
      <c r="K36" s="250"/>
      <c r="L36" s="254" t="s">
        <v>34</v>
      </c>
      <c r="M36" s="12"/>
      <c r="N36" s="255">
        <f>N35*2.2</f>
        <v>11556987.200000001</v>
      </c>
      <c r="O36" s="14" t="s">
        <v>141</v>
      </c>
      <c r="P36" s="14"/>
      <c r="Q36" s="40">
        <f>O27/Q35</f>
        <v>44.233442622950818</v>
      </c>
      <c r="R36"/>
      <c r="S36" s="257"/>
    </row>
    <row r="37" spans="2:23" s="230" customFormat="1" ht="17.399999999999999" x14ac:dyDescent="0.35">
      <c r="G37"/>
      <c r="H37" s="260"/>
      <c r="J37" s="230">
        <f>J36/1.19</f>
        <v>48865.546218487398</v>
      </c>
      <c r="K37" s="250">
        <v>0</v>
      </c>
      <c r="L37" s="14"/>
      <c r="M37" s="12"/>
      <c r="N37" s="12">
        <f>N36/O25</f>
        <v>68530.52182163189</v>
      </c>
      <c r="O37" s="45" t="s">
        <v>25</v>
      </c>
      <c r="P37" s="14"/>
      <c r="Q37" s="14"/>
      <c r="R37"/>
      <c r="S37" s="238"/>
      <c r="T37" s="59" t="s">
        <v>158</v>
      </c>
      <c r="U37" s="302">
        <v>43650</v>
      </c>
    </row>
    <row r="38" spans="2:23" s="230" customFormat="1" ht="17.399999999999999" x14ac:dyDescent="0.35">
      <c r="G38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160</v>
      </c>
      <c r="U38" s="303" t="s">
        <v>159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161</v>
      </c>
      <c r="U39" s="30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230" t="s">
        <v>174</v>
      </c>
      <c r="K40" s="12">
        <v>134575</v>
      </c>
      <c r="S40" s="238"/>
      <c r="T40" s="59" t="s">
        <v>156</v>
      </c>
      <c r="U40" s="59">
        <v>474.45</v>
      </c>
    </row>
    <row r="41" spans="2:23" ht="14.4" customHeight="1" x14ac:dyDescent="0.3">
      <c r="J41" t="s">
        <v>175</v>
      </c>
      <c r="K41" s="12">
        <v>865223</v>
      </c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45741</v>
      </c>
    </row>
    <row r="6" spans="2:31" ht="16.2" thickBot="1" x14ac:dyDescent="0.35">
      <c r="B6" s="140" t="s">
        <v>2</v>
      </c>
      <c r="C6" s="139" t="str">
        <f>'2229'!C10</f>
        <v>MUEBLES BODY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-215653.09170012083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4528120</v>
      </c>
      <c r="E11" s="132">
        <f>D11*0.19</f>
        <v>860342.8</v>
      </c>
      <c r="F11" s="131">
        <f>E11+D11</f>
        <v>5388462.7999999998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-109663.09170012083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1960122.0907874396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-127663.09170012083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2567997.9092125604</v>
      </c>
      <c r="E13" s="221">
        <f>(D11/D12)-1</f>
        <v>1.310121405846163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-136663.09170012083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-175663.09170012083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3234201.449799275</v>
      </c>
      <c r="F15" s="216">
        <f>E15-D12</f>
        <v>1274079.3590118354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-175663.09170012083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-135663.09170012083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1222000</v>
      </c>
      <c r="E19" s="123">
        <f>D19*0.19</f>
        <v>232180</v>
      </c>
      <c r="F19" s="120">
        <f>SUM(D19:E19)</f>
        <v>1454180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708288</v>
      </c>
      <c r="E20" s="121">
        <f>D20*0.19</f>
        <v>134574.72</v>
      </c>
      <c r="F20" s="120">
        <f>SUM(D20:E20)</f>
        <v>842862.72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1930288</v>
      </c>
      <c r="E21" s="116">
        <f>SUM(E18:E20)</f>
        <v>366754.72</v>
      </c>
      <c r="F21" s="115">
        <f>SUM(F18:F20)</f>
        <v>2297042.7199999997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493588.08000000007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4528120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1930288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2567997.9092125604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2567997.9092125604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2025-03-25T20:40:20Z</dcterms:modified>
</cp:coreProperties>
</file>