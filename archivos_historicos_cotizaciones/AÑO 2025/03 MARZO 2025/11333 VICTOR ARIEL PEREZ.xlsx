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465A85C9-C3D3-45B5-9967-1132887C48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M34" i="1"/>
  <c r="P29" i="1"/>
  <c r="L22" i="1"/>
  <c r="M22" i="1"/>
  <c r="S22" i="1" s="1"/>
  <c r="N22" i="1"/>
  <c r="O22" i="1"/>
  <c r="P22" i="1" s="1"/>
  <c r="L23" i="1"/>
  <c r="M23" i="1"/>
  <c r="N23" i="1"/>
  <c r="O23" i="1"/>
  <c r="P23" i="1" s="1"/>
  <c r="S23" i="1"/>
  <c r="L24" i="1"/>
  <c r="M24" i="1"/>
  <c r="N24" i="1"/>
  <c r="L25" i="1"/>
  <c r="M25" i="1"/>
  <c r="N25" i="1"/>
  <c r="H22" i="1"/>
  <c r="H23" i="1"/>
  <c r="H24" i="1"/>
  <c r="H25" i="1"/>
  <c r="O24" i="1" l="1"/>
  <c r="P24" i="1" s="1"/>
  <c r="O25" i="1"/>
  <c r="P25" i="1" s="1"/>
  <c r="S25" i="1"/>
  <c r="S24" i="1"/>
  <c r="L21" i="1"/>
  <c r="N21" i="1"/>
  <c r="M21" i="1" l="1"/>
  <c r="M29" i="1" s="1"/>
  <c r="S21" i="1" l="1"/>
  <c r="S29" i="1" s="1"/>
  <c r="T21" i="1"/>
  <c r="T28" i="1" s="1"/>
  <c r="O21" i="1"/>
  <c r="P21" i="1" s="1"/>
  <c r="K43" i="1"/>
  <c r="V36" i="1" l="1"/>
  <c r="V37" i="1" s="1"/>
  <c r="O35" i="1" l="1"/>
  <c r="P30" i="1" l="1"/>
  <c r="N20" i="1"/>
  <c r="L20" i="1"/>
  <c r="P31" i="1" l="1"/>
  <c r="P32" i="1" s="1"/>
  <c r="O36" i="1"/>
  <c r="R40" i="1"/>
  <c r="R41" i="1" l="1"/>
  <c r="O3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9" i="1"/>
  <c r="O38" i="1"/>
  <c r="F18" i="3" l="1"/>
  <c r="O34" i="1" l="1"/>
  <c r="O40" i="1" s="1"/>
  <c r="O41" i="1" s="1"/>
  <c r="O42" i="1" l="1"/>
  <c r="D20" i="3"/>
  <c r="E20" i="3" s="1"/>
  <c r="E21" i="3" s="1"/>
  <c r="Q20" i="1" l="1"/>
  <c r="D21" i="3"/>
  <c r="M43" i="3" s="1"/>
  <c r="D12" i="3" s="1"/>
  <c r="F20" i="3"/>
  <c r="F21" i="3" s="1"/>
  <c r="Q23" i="1" l="1"/>
  <c r="R23" i="1" s="1"/>
  <c r="Q24" i="1"/>
  <c r="R24" i="1" s="1"/>
  <c r="Q25" i="1"/>
  <c r="R25" i="1" s="1"/>
  <c r="Q22" i="1"/>
  <c r="R22" i="1" s="1"/>
  <c r="O43" i="1"/>
  <c r="E15" i="3"/>
  <c r="Q21" i="1" l="1"/>
  <c r="F15" i="3"/>
  <c r="R21" i="1" l="1"/>
  <c r="H21" i="1" l="1"/>
  <c r="H28" i="1" s="1"/>
  <c r="D11" i="3" l="1"/>
  <c r="X9" i="3" s="1"/>
  <c r="X15" i="3" s="1"/>
  <c r="H30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<sst xmlns="http://schemas.openxmlformats.org/spreadsheetml/2006/main" count="238" uniqueCount="175">
  <si>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</si>
  <si>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</si>
  <si>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</si>
  <si>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</si>
  <si>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</si>
  <si>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</si>
  <si>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</si>
  <si>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</si>
  <si>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</si>
  <si>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</si>
  <si>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</si>
  <si>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</si>
  <si>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</si>
  <si>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</si>
  <si>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</si>
  <si>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</si>
  <si>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</si>
  <si>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</si>
  <si>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</si>
  <si>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</si>
  <si>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</si>
  <si>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</si>
  <si>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</si>
  <si>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</si>
  <si>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</si>
  <si>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</si>
  <si>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</si>
  <si>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</si>
  <si>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</si>
  <si>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</si>
  <si>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</si>
  <si>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</si>
  <si>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</si>
  <si>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</si>
  <si>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</si>
  <si>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</si>
  <si>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</si>
  <si>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</si>
  <si>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</si>
  <si>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</si>
  <si>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</si>
  <si>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</si>
  <si>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</si>
  <si>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</si>
  <si>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</si>
  <si>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</si>
  <si>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</si>
  <si>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</si>
  <si>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</si>
  <si>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</si>
  <si>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</si>
  <si>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</si>
  <si>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</si>
  <si>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</si>
  <si>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</si>
  <si>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</si>
  <si>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</si>
  <si>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</si>
  <si>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</si>
  <si>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</si>
  <si>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</si>
  <si>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</si>
  <si>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</si>
  <si>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</si>
  <si>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</si>
  <si>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</si>
  <si>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</si>
  <si>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</si>
  <si>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</si>
  <si>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</si>
  <si>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</si>
  <si>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</si>
  <si>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</si>
  <si>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</si>
  <si>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</si>
  <si>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</si>
  <si>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</si>
  <si>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</si>
  <si>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</si>
  <si>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</si>
  <si>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</si>
  <si>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</si>
  <si>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</si>
  <si>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</si>
  <si>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</si>
  <si>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</si>
  <si>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</si>
  <si>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</si>
  <si>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</si>
  <si>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</si>
  <si>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</si>
  <si>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</si>
  <si>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</si>
  <si>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</si>
  <si>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</si>
  <si>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</si>
  <si>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</si>
  <si>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</si>
  <si>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</si>
  <si>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</si>
  <si>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</si>
  <si>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</si>
  <si>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</si>
  <si>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</si>
  <si>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</si>
  <si>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</si>
  <si>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</si>
  <si>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</si>
  <si>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</si>
  <si>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</si>
  <si>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</si>
  <si>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</si>
  <si>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</si>
  <si>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</si>
  <si>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</si>
  <si>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</si>
  <si>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</si>
  <si>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</si>
  <si>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</si>
  <si>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</si>
  <si>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</si>
  <si>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</si>
  <si>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</si>
  <si>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</si>
  <si>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</si>
  <si>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</si>
  <si>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</si>
  <si>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</si>
  <si>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</si>
  <si>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</si>
  <si>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</si>
  <si>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</si>
  <si>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</si>
  <si>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</si>
  <si>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</si>
  <si>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</si>
  <si>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</si>
  <si>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</si>
  <si>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</si>
  <si>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</si>
  <si>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</si>
  <si>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</si>
  <si>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</si>
  <si>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</si>
  <si>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</si>
  <si>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</si>
  <si>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</si>
  <si>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</si>
  <si>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</si>
  <si>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</si>
  <si>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</si>
  <si>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</si>
  <si>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</si>
  <si>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</si>
  <si>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</si>
  <si>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</si>
  <si>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</si>
  <si>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</si>
  <si>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</si>
  <si>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</si>
  <si>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</si>
  <si>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</si>
  <si>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</si>
  <si>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</si>
  <si>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</si>
  <si>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7 DIAS HABILES</t>
  </si>
  <si>
    <t>SANTIAGO</t>
  </si>
  <si>
    <t>SI</t>
  </si>
  <si>
    <t>RUT : 77.054.606-0 CORREO: FRANCODONOSO@TOPMOBILI.CL</t>
  </si>
  <si>
    <t>VIVIANNE</t>
  </si>
  <si>
    <t>5698228 9376</t>
  </si>
  <si>
    <t>PR6</t>
  </si>
  <si>
    <t>VICTOR ARIEL PEREZ</t>
  </si>
  <si>
    <t>INK 21032 SF</t>
  </si>
  <si>
    <t>N° 11333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</si>
</sst>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9525</xdr:rowOff>
    </xdr:from>
    <xdr:to>
      <xdr:col>5</xdr:col>
      <xdr:colOff>1728839</xdr:colOff>
      <xdr:row>30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PUERTAS</a:t>
          </a:r>
          <a:r>
            <a:rPr lang="es-CL" sz="1200" b="1" baseline="0"/>
            <a:t> ENCHAPADAS CON TAPACANTO PVC 0,4MM LO MAS PARECIDO AL TONO, EN CASO DE NO ENCONTRAR SE DEBE ENCHAPAR CON LA MISMA LAMINA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5"/>
  <sheetViews>
    <sheetView tabSelected="1" zoomScale="91" zoomScaleNormal="91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22.33203125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172</v>
      </c>
      <c r="D10" s="243"/>
      <c r="E10" s="243"/>
      <c r="F10" s="244" t="s">
        <v>0</v>
      </c>
      <c r="G10" s="276">
        <v>45729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165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C13" t="s">
        <v>169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167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170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2:25" ht="15" thickBot="1" x14ac:dyDescent="0.35">
      <c r="B17" s="311" t="s">
        <v>13</v>
      </c>
      <c r="C17" s="312" t="s">
        <v>166</v>
      </c>
      <c r="D17" s="313"/>
      <c r="E17" s="119"/>
      <c r="F17" s="333" t="s">
        <v>164</v>
      </c>
      <c r="G17" s="333"/>
      <c r="H17" s="33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0.05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131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>E20</f>
        <v>ANCHO</v>
      </c>
      <c r="O20" s="261" t="s">
        <v>132</v>
      </c>
      <c r="P20" s="259" t="s">
        <v>16</v>
      </c>
      <c r="Q20" s="252">
        <f>O42</f>
        <v>85760.173500286444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1</v>
      </c>
      <c r="C21" s="330" t="s">
        <v>171</v>
      </c>
      <c r="D21" s="331">
        <v>0.13600000000000001</v>
      </c>
      <c r="E21" s="331">
        <v>0.46300000000000002</v>
      </c>
      <c r="F21" s="330" t="s">
        <v>173</v>
      </c>
      <c r="G21" s="332">
        <v>10385</v>
      </c>
      <c r="H21" s="332">
        <f>G21*B21</f>
        <v>10385</v>
      </c>
      <c r="I21" s="320"/>
      <c r="J21" s="265"/>
      <c r="K21" s="47"/>
      <c r="L21" s="47">
        <f>B21</f>
        <v>1</v>
      </c>
      <c r="M21" s="39">
        <f>D21+M$19</f>
        <v>0.186</v>
      </c>
      <c r="N21" s="39">
        <f>E21+$N$19</f>
        <v>0.46300000000000002</v>
      </c>
      <c r="O21" s="261">
        <f t="shared" ref="O21" si="0">M21*N21</f>
        <v>8.6118E-2</v>
      </c>
      <c r="P21" s="259">
        <f t="shared" ref="P21" si="1">O21*L21</f>
        <v>8.6118E-2</v>
      </c>
      <c r="Q21" s="252">
        <f t="shared" ref="Q21" si="2">Q$20*O21</f>
        <v>7385.494621497668</v>
      </c>
      <c r="R21" s="319">
        <f t="shared" ref="R21" si="3">Q21+R$20</f>
        <v>10385.494621497668</v>
      </c>
      <c r="S21" s="297">
        <f>M21*L21</f>
        <v>0.186</v>
      </c>
      <c r="T21" s="46">
        <f>N21*2*L21*2</f>
        <v>1.8520000000000001</v>
      </c>
      <c r="U21" s="9"/>
      <c r="X21" s="4"/>
    </row>
    <row r="22" spans="2:25" ht="17.399999999999999" x14ac:dyDescent="0.3">
      <c r="B22" s="330">
        <v>1</v>
      </c>
      <c r="C22" s="330" t="s">
        <v>171</v>
      </c>
      <c r="D22" s="331">
        <v>0.19</v>
      </c>
      <c r="E22" s="331">
        <v>0.46300000000000002</v>
      </c>
      <c r="F22" s="330" t="s">
        <v>173</v>
      </c>
      <c r="G22" s="332">
        <v>12530</v>
      </c>
      <c r="H22" s="332">
        <f>G22*B22</f>
        <v>12530</v>
      </c>
      <c r="I22" s="320"/>
      <c r="J22" s="265"/>
      <c r="K22" s="47"/>
      <c r="L22" s="47">
        <f t="shared" ref="L22:L25" si="4">B22</f>
        <v>1</v>
      </c>
      <c r="M22" s="39">
        <f t="shared" ref="M22:M25" si="5">D22+M$19</f>
        <v>0.24</v>
      </c>
      <c r="N22" s="39">
        <f t="shared" ref="N22:N25" si="6">E22+$N$19</f>
        <v>0.46300000000000002</v>
      </c>
      <c r="O22" s="261">
        <f t="shared" ref="O22:O25" si="7">M22*N22</f>
        <v>0.11112</v>
      </c>
      <c r="P22" s="259">
        <f t="shared" ref="P22:P25" si="8">O22*L22</f>
        <v>0.11112</v>
      </c>
      <c r="Q22" s="252">
        <f t="shared" ref="Q22:Q25" si="9">Q$20*O22</f>
        <v>9529.6704793518293</v>
      </c>
      <c r="R22" s="319">
        <f t="shared" ref="R22:R25" si="10">Q22+R$20</f>
        <v>12529.670479351829</v>
      </c>
      <c r="S22" s="297">
        <f t="shared" ref="S22:S25" si="11">M22*L22</f>
        <v>0.24</v>
      </c>
      <c r="T22" s="46"/>
      <c r="U22" s="9"/>
      <c r="X22" s="4"/>
    </row>
    <row r="23" spans="2:25" ht="17.399999999999999" x14ac:dyDescent="0.3">
      <c r="B23" s="330">
        <v>2</v>
      </c>
      <c r="C23" s="330" t="s">
        <v>171</v>
      </c>
      <c r="D23" s="331">
        <v>0.41</v>
      </c>
      <c r="E23" s="331">
        <v>0.46300000000000002</v>
      </c>
      <c r="F23" s="330" t="s">
        <v>173</v>
      </c>
      <c r="G23" s="332">
        <v>21265</v>
      </c>
      <c r="H23" s="332">
        <f>G23*B23</f>
        <v>42530</v>
      </c>
      <c r="I23" s="320"/>
      <c r="J23" s="265"/>
      <c r="K23" s="47"/>
      <c r="L23" s="47">
        <f t="shared" si="4"/>
        <v>2</v>
      </c>
      <c r="M23" s="39">
        <f t="shared" si="5"/>
        <v>0.45999999999999996</v>
      </c>
      <c r="N23" s="39">
        <f t="shared" si="6"/>
        <v>0.46300000000000002</v>
      </c>
      <c r="O23" s="261">
        <f t="shared" si="7"/>
        <v>0.21298</v>
      </c>
      <c r="P23" s="259">
        <f t="shared" si="8"/>
        <v>0.42596000000000001</v>
      </c>
      <c r="Q23" s="252">
        <f t="shared" si="9"/>
        <v>18265.201752091009</v>
      </c>
      <c r="R23" s="319">
        <f t="shared" si="10"/>
        <v>21265.201752091009</v>
      </c>
      <c r="S23" s="297">
        <f t="shared" si="11"/>
        <v>0.91999999999999993</v>
      </c>
      <c r="T23" s="46"/>
      <c r="U23" s="9"/>
      <c r="X23" s="4"/>
    </row>
    <row r="24" spans="2:25" ht="17.399999999999999" x14ac:dyDescent="0.3">
      <c r="B24" s="330">
        <v>1</v>
      </c>
      <c r="C24" s="330" t="s">
        <v>171</v>
      </c>
      <c r="D24" s="331">
        <v>0.32400000000000001</v>
      </c>
      <c r="E24" s="331">
        <v>0.46300000000000002</v>
      </c>
      <c r="F24" s="330" t="s">
        <v>173</v>
      </c>
      <c r="G24" s="332">
        <v>17850</v>
      </c>
      <c r="H24" s="332">
        <f>G24*B24</f>
        <v>17850</v>
      </c>
      <c r="I24" s="320"/>
      <c r="J24" s="265"/>
      <c r="K24" s="47"/>
      <c r="L24" s="47">
        <f t="shared" si="4"/>
        <v>1</v>
      </c>
      <c r="M24" s="39">
        <f t="shared" si="5"/>
        <v>0.374</v>
      </c>
      <c r="N24" s="39">
        <f t="shared" si="6"/>
        <v>0.46300000000000002</v>
      </c>
      <c r="O24" s="261">
        <f t="shared" si="7"/>
        <v>0.17316200000000001</v>
      </c>
      <c r="P24" s="259">
        <f t="shared" si="8"/>
        <v>0.17316200000000001</v>
      </c>
      <c r="Q24" s="252">
        <f t="shared" si="9"/>
        <v>14850.403163656601</v>
      </c>
      <c r="R24" s="319">
        <f t="shared" si="10"/>
        <v>17850.4031636566</v>
      </c>
      <c r="S24" s="297">
        <f t="shared" si="11"/>
        <v>0.374</v>
      </c>
      <c r="T24" s="46"/>
      <c r="U24" s="9"/>
      <c r="X24" s="4"/>
    </row>
    <row r="25" spans="2:25" ht="17.399999999999999" x14ac:dyDescent="0.3">
      <c r="B25" s="330">
        <v>2</v>
      </c>
      <c r="C25" s="330" t="s">
        <v>171</v>
      </c>
      <c r="D25" s="331">
        <v>0.74</v>
      </c>
      <c r="E25" s="331">
        <v>0.42399999999999999</v>
      </c>
      <c r="F25" s="330" t="s">
        <v>173</v>
      </c>
      <c r="G25" s="332">
        <v>31726</v>
      </c>
      <c r="H25" s="332">
        <f>G25*B25</f>
        <v>63452</v>
      </c>
      <c r="I25" s="320"/>
      <c r="J25" s="265"/>
      <c r="K25" s="47"/>
      <c r="L25" s="47">
        <f t="shared" si="4"/>
        <v>2</v>
      </c>
      <c r="M25" s="39">
        <f t="shared" si="5"/>
        <v>0.79</v>
      </c>
      <c r="N25" s="39">
        <f t="shared" si="6"/>
        <v>0.42399999999999999</v>
      </c>
      <c r="O25" s="261">
        <f t="shared" si="7"/>
        <v>0.33495999999999998</v>
      </c>
      <c r="P25" s="259">
        <f t="shared" si="8"/>
        <v>0.66991999999999996</v>
      </c>
      <c r="Q25" s="252">
        <f t="shared" si="9"/>
        <v>28726.227715655947</v>
      </c>
      <c r="R25" s="319">
        <f t="shared" si="10"/>
        <v>31726.227715655947</v>
      </c>
      <c r="S25" s="297">
        <f t="shared" si="11"/>
        <v>1.58</v>
      </c>
      <c r="T25" s="46"/>
      <c r="U25" s="9"/>
      <c r="X25" s="4"/>
    </row>
    <row r="26" spans="2:25" ht="17.399999999999999" x14ac:dyDescent="0.3">
      <c r="B26" s="345"/>
      <c r="C26" s="345"/>
      <c r="D26" s="346"/>
      <c r="E26" s="346"/>
      <c r="F26" s="345"/>
      <c r="G26" s="320"/>
      <c r="H26" s="320"/>
      <c r="I26" s="320"/>
      <c r="J26" s="265"/>
      <c r="K26" s="47"/>
      <c r="L26" s="47"/>
      <c r="M26" s="39"/>
      <c r="N26" s="39"/>
      <c r="O26" s="261"/>
      <c r="P26" s="259"/>
      <c r="Q26" s="252"/>
      <c r="R26" s="319"/>
      <c r="S26" s="297"/>
      <c r="T26" s="46"/>
      <c r="U26" s="9"/>
      <c r="X26" s="4"/>
    </row>
    <row r="27" spans="2:25" ht="18" thickBot="1" x14ac:dyDescent="0.35">
      <c r="B27" s="285"/>
      <c r="C27" s="285"/>
      <c r="D27" s="286"/>
      <c r="E27" s="286"/>
      <c r="F27" s="285"/>
      <c r="G27" s="265"/>
      <c r="H27" s="321"/>
      <c r="I27" s="323"/>
      <c r="J27" s="233"/>
      <c r="K27" s="47"/>
      <c r="L27" s="47"/>
      <c r="M27" s="39"/>
      <c r="N27" s="39"/>
      <c r="O27" s="261"/>
      <c r="P27" s="259"/>
      <c r="Q27" s="252"/>
      <c r="R27" s="258"/>
      <c r="S27" s="297"/>
      <c r="T27" s="14"/>
      <c r="U27" s="9"/>
      <c r="X27" s="4"/>
    </row>
    <row r="28" spans="2:25" ht="17.399999999999999" x14ac:dyDescent="0.3">
      <c r="B28" s="285"/>
      <c r="C28" s="285"/>
      <c r="D28" s="286"/>
      <c r="E28" s="286"/>
      <c r="F28" s="285"/>
      <c r="G28" s="324" t="s">
        <v>28</v>
      </c>
      <c r="H28" s="325">
        <f>SUM(H21:H27)</f>
        <v>146747</v>
      </c>
      <c r="I28" s="322"/>
      <c r="J28" s="265"/>
      <c r="K28" s="47">
        <v>2600000</v>
      </c>
      <c r="L28" s="47"/>
      <c r="M28" s="39"/>
      <c r="N28" s="39"/>
      <c r="O28" s="261"/>
      <c r="P28" s="259"/>
      <c r="Q28" s="252"/>
      <c r="R28" s="258"/>
      <c r="S28" s="297"/>
      <c r="T28" s="46">
        <f>SUM(T21:T27)</f>
        <v>1.8520000000000001</v>
      </c>
      <c r="U28" s="9"/>
      <c r="X28" s="4"/>
    </row>
    <row r="29" spans="2:25" ht="17.399999999999999" x14ac:dyDescent="0.3">
      <c r="B29" s="279"/>
      <c r="C29" s="282"/>
      <c r="D29" s="283"/>
      <c r="E29" s="283"/>
      <c r="F29" s="284"/>
      <c r="G29" s="296" t="s">
        <v>51</v>
      </c>
      <c r="H29" s="294">
        <f>H28*19%</f>
        <v>27881.93</v>
      </c>
      <c r="I29" s="322"/>
      <c r="J29" s="265"/>
      <c r="K29" s="47"/>
      <c r="L29" s="47"/>
      <c r="M29" s="39">
        <f>SUM(M21:M21)</f>
        <v>0.186</v>
      </c>
      <c r="N29" s="12"/>
      <c r="O29" s="12"/>
      <c r="P29" s="253">
        <f>SUM(P21:P27)</f>
        <v>1.46628</v>
      </c>
      <c r="Q29" s="14"/>
      <c r="R29" s="12"/>
      <c r="S29" s="239">
        <f>SUM(S21:S28)</f>
        <v>3.3</v>
      </c>
      <c r="T29" s="46"/>
      <c r="U29" s="9"/>
      <c r="X29" s="4"/>
    </row>
    <row r="30" spans="2:25" ht="18" thickBot="1" x14ac:dyDescent="0.35">
      <c r="B30" s="275"/>
      <c r="C30" s="281"/>
      <c r="D30" s="272"/>
      <c r="E30" s="272"/>
      <c r="F30" s="273"/>
      <c r="G30" s="280" t="s">
        <v>6</v>
      </c>
      <c r="H30" s="295">
        <f>H28+H29</f>
        <v>174628.93</v>
      </c>
      <c r="I30" s="322"/>
      <c r="J30" s="265"/>
      <c r="K30" s="47"/>
      <c r="L30" s="47"/>
      <c r="M30" s="39"/>
      <c r="N30" s="12"/>
      <c r="O30" s="12"/>
      <c r="P30" s="253">
        <f>P29</f>
        <v>1.46628</v>
      </c>
      <c r="Q30" s="14"/>
      <c r="R30" s="12"/>
      <c r="S30" s="239"/>
      <c r="T30" s="46"/>
      <c r="U30" s="9"/>
      <c r="X30" s="4"/>
    </row>
    <row r="31" spans="2:25" ht="17.399999999999999" x14ac:dyDescent="0.3">
      <c r="B31" s="275"/>
      <c r="C31" s="271"/>
      <c r="D31" s="272"/>
      <c r="E31" s="272"/>
      <c r="F31" s="273"/>
      <c r="J31" s="265"/>
      <c r="K31" s="47"/>
      <c r="L31" s="47"/>
      <c r="M31" s="14"/>
      <c r="N31" s="12"/>
      <c r="O31" s="12"/>
      <c r="P31" s="39">
        <f>P30*20%</f>
        <v>0.29325600000000002</v>
      </c>
      <c r="Q31" s="39" t="s">
        <v>130</v>
      </c>
      <c r="R31" s="42"/>
      <c r="S31" s="240"/>
      <c r="T31" s="14"/>
      <c r="U31" s="9"/>
      <c r="X31" s="4"/>
    </row>
    <row r="32" spans="2:25" ht="17.399999999999999" x14ac:dyDescent="0.35">
      <c r="B32" s="269"/>
      <c r="C32" s="230"/>
      <c r="D32" s="230"/>
      <c r="E32" s="233"/>
      <c r="F32" s="234"/>
      <c r="G32" s="230"/>
      <c r="H32" s="274"/>
      <c r="I32" s="274"/>
      <c r="J32" s="265"/>
      <c r="K32" s="47"/>
      <c r="L32" s="47"/>
      <c r="M32" s="14"/>
      <c r="N32" s="12"/>
      <c r="O32" s="12"/>
      <c r="P32" s="46">
        <f>P30+P31</f>
        <v>1.759536</v>
      </c>
      <c r="Q32" s="14"/>
      <c r="R32" s="14"/>
      <c r="S32" s="238"/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4"/>
      <c r="J33" s="265"/>
      <c r="K33" s="47"/>
      <c r="L33" s="47"/>
      <c r="M33" s="14"/>
      <c r="N33" s="14"/>
      <c r="O33" s="14"/>
      <c r="P33" s="14"/>
      <c r="Q33" s="14"/>
      <c r="R33" s="14"/>
      <c r="S33" s="240"/>
      <c r="T33" s="14"/>
      <c r="U33" s="302" t="s">
        <v>21</v>
      </c>
      <c r="V33" s="299" t="s">
        <v>151</v>
      </c>
      <c r="W33" s="303">
        <v>44971</v>
      </c>
      <c r="X33" s="304"/>
    </row>
    <row r="34" spans="1:24" ht="17.399999999999999" x14ac:dyDescent="0.35">
      <c r="B34" s="230"/>
      <c r="C34" s="230"/>
      <c r="D34" s="230"/>
      <c r="E34" s="230"/>
      <c r="F34" s="230"/>
      <c r="G34" s="230"/>
      <c r="J34" s="265"/>
      <c r="K34" s="47"/>
      <c r="L34" s="47"/>
      <c r="M34" s="39">
        <f>P32</f>
        <v>1.759536</v>
      </c>
      <c r="N34" s="12">
        <v>3500</v>
      </c>
      <c r="O34" s="12">
        <f t="shared" ref="O34:O39" si="12">M34*N34</f>
        <v>6158.3760000000002</v>
      </c>
      <c r="P34" s="14" t="s">
        <v>21</v>
      </c>
      <c r="Q34" s="14"/>
      <c r="R34" s="14"/>
      <c r="S34" s="241"/>
      <c r="T34" s="14"/>
      <c r="U34" s="302" t="s">
        <v>152</v>
      </c>
      <c r="V34" s="299">
        <v>3625</v>
      </c>
      <c r="W34" s="59" t="s">
        <v>153</v>
      </c>
      <c r="X34" s="304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5"/>
      <c r="K35" s="47"/>
      <c r="L35" s="47"/>
      <c r="M35" s="249">
        <v>0.5</v>
      </c>
      <c r="N35" s="12">
        <v>45000</v>
      </c>
      <c r="O35" s="12">
        <f t="shared" si="12"/>
        <v>22500</v>
      </c>
      <c r="P35" s="39" t="s">
        <v>31</v>
      </c>
      <c r="Q35" s="42"/>
      <c r="R35" s="14"/>
      <c r="S35" s="240"/>
      <c r="T35" s="14"/>
      <c r="U35" s="302"/>
      <c r="V35" s="59">
        <v>906.25</v>
      </c>
      <c r="W35" s="59" t="s">
        <v>154</v>
      </c>
      <c r="X35" s="304"/>
    </row>
    <row r="36" spans="1:24" s="230" customFormat="1" ht="17.399999999999999" x14ac:dyDescent="0.35">
      <c r="B36" s="24" t="s">
        <v>150</v>
      </c>
      <c r="J36" s="262"/>
      <c r="K36" s="232"/>
      <c r="L36" s="250"/>
      <c r="M36" s="14"/>
      <c r="N36" s="250">
        <v>61840</v>
      </c>
      <c r="O36" s="12">
        <f t="shared" si="12"/>
        <v>0</v>
      </c>
      <c r="P36" s="39" t="s">
        <v>30</v>
      </c>
      <c r="Q36" s="42"/>
      <c r="S36" s="240"/>
      <c r="T36" s="256"/>
      <c r="U36" s="59"/>
      <c r="V36" s="59">
        <f>V35*20%</f>
        <v>181.25</v>
      </c>
      <c r="W36" s="304" t="s">
        <v>155</v>
      </c>
      <c r="X36" s="59"/>
    </row>
    <row r="37" spans="1:24" s="230" customFormat="1" ht="17.399999999999999" x14ac:dyDescent="0.35">
      <c r="B37" s="24" t="s">
        <v>168</v>
      </c>
      <c r="C37"/>
      <c r="D37"/>
      <c r="E37"/>
      <c r="F37"/>
      <c r="J37" s="262"/>
      <c r="K37" s="232"/>
      <c r="L37" s="250"/>
      <c r="M37" s="14">
        <v>1</v>
      </c>
      <c r="N37" s="250">
        <v>28500</v>
      </c>
      <c r="O37" s="12">
        <f t="shared" si="12"/>
        <v>28500</v>
      </c>
      <c r="P37" s="14" t="s">
        <v>141</v>
      </c>
      <c r="Q37" s="17"/>
      <c r="S37" s="238"/>
      <c r="T37" s="256"/>
      <c r="U37" s="59"/>
      <c r="V37" s="59">
        <f>V35+V36</f>
        <v>1087.5</v>
      </c>
      <c r="W37" s="304" t="s">
        <v>156</v>
      </c>
      <c r="X37" s="59"/>
    </row>
    <row r="38" spans="1:24" s="230" customFormat="1" ht="17.399999999999999" x14ac:dyDescent="0.35">
      <c r="B38" s="29" t="s">
        <v>125</v>
      </c>
      <c r="C38"/>
      <c r="D38"/>
      <c r="E38"/>
      <c r="F38" s="229" t="s">
        <v>15</v>
      </c>
      <c r="J38" s="262"/>
      <c r="K38" s="260"/>
      <c r="L38" s="250"/>
      <c r="M38" s="249"/>
      <c r="N38" s="250">
        <v>900</v>
      </c>
      <c r="O38" s="12">
        <f t="shared" si="12"/>
        <v>0</v>
      </c>
      <c r="P38" s="14" t="s">
        <v>32</v>
      </c>
      <c r="Q38" s="14"/>
      <c r="R38" s="230">
        <v>1.52</v>
      </c>
      <c r="S38" s="238"/>
      <c r="T38" s="238"/>
    </row>
    <row r="39" spans="1:24" s="230" customFormat="1" ht="17.399999999999999" x14ac:dyDescent="0.35">
      <c r="J39" s="293"/>
      <c r="K39" s="260"/>
      <c r="L39" s="250"/>
      <c r="M39" s="266"/>
      <c r="N39" s="12">
        <v>1500</v>
      </c>
      <c r="O39" s="12">
        <f t="shared" si="12"/>
        <v>0</v>
      </c>
      <c r="P39" s="14" t="s">
        <v>22</v>
      </c>
      <c r="Q39" s="14"/>
      <c r="R39">
        <v>2.44</v>
      </c>
      <c r="S39"/>
      <c r="T39" s="238"/>
      <c r="X39" s="231"/>
    </row>
    <row r="40" spans="1:24" s="230" customFormat="1" ht="17.399999999999999" x14ac:dyDescent="0.35">
      <c r="K40" s="260"/>
      <c r="L40" s="250"/>
      <c r="M40" s="14"/>
      <c r="N40" s="12"/>
      <c r="O40" s="12">
        <f>SUM(O34:O39)</f>
        <v>57158.376000000004</v>
      </c>
      <c r="P40" s="39" t="s">
        <v>23</v>
      </c>
      <c r="Q40" s="14"/>
      <c r="R40">
        <f>R38*R39</f>
        <v>3.7088000000000001</v>
      </c>
      <c r="S40"/>
      <c r="T40" s="238"/>
      <c r="X40" s="231"/>
    </row>
    <row r="41" spans="1:24" s="230" customFormat="1" ht="17.399999999999999" x14ac:dyDescent="0.35">
      <c r="L41" s="250"/>
      <c r="M41" s="254" t="s">
        <v>33</v>
      </c>
      <c r="N41" s="12"/>
      <c r="O41" s="255">
        <f>O40*2.2</f>
        <v>125748.42720000002</v>
      </c>
      <c r="P41" s="14" t="s">
        <v>140</v>
      </c>
      <c r="Q41" s="14"/>
      <c r="R41" s="40">
        <f>P32/R40</f>
        <v>0.47442191544434859</v>
      </c>
      <c r="S41"/>
      <c r="T41" s="257"/>
    </row>
    <row r="42" spans="1:24" s="230" customFormat="1" ht="17.399999999999999" x14ac:dyDescent="0.35">
      <c r="G42"/>
      <c r="H42" s="260"/>
      <c r="I42" s="260"/>
      <c r="J42" s="260"/>
      <c r="K42" s="230">
        <v>31030</v>
      </c>
      <c r="L42" s="250"/>
      <c r="M42" s="14"/>
      <c r="N42" s="12"/>
      <c r="O42" s="12">
        <f>O41/P30</f>
        <v>85760.173500286444</v>
      </c>
      <c r="P42" s="45" t="s">
        <v>24</v>
      </c>
      <c r="Q42" s="14"/>
      <c r="R42" s="14"/>
      <c r="S42"/>
      <c r="T42" s="238"/>
      <c r="U42" s="59" t="s">
        <v>157</v>
      </c>
      <c r="V42" s="299">
        <v>43650</v>
      </c>
    </row>
    <row r="43" spans="1:24" s="230" customFormat="1" ht="17.399999999999999" x14ac:dyDescent="0.35">
      <c r="G43"/>
      <c r="K43" s="230">
        <f>K42/1.19</f>
        <v>26075.63025210084</v>
      </c>
      <c r="L43" s="250"/>
      <c r="M43" s="13"/>
      <c r="N43" s="14"/>
      <c r="O43" s="17">
        <f>O41/O40</f>
        <v>2.2000000000000002</v>
      </c>
      <c r="P43" s="15"/>
      <c r="Q43"/>
      <c r="R43"/>
      <c r="S43"/>
      <c r="T43" s="238"/>
      <c r="U43" s="59" t="s">
        <v>159</v>
      </c>
      <c r="V43" s="300" t="s">
        <v>158</v>
      </c>
      <c r="W43" s="59">
        <v>2.4</v>
      </c>
    </row>
    <row r="44" spans="1:24" s="230" customFormat="1" ht="17.399999999999999" x14ac:dyDescent="0.35">
      <c r="G44" s="23"/>
      <c r="L44" s="12"/>
      <c r="T44" s="238"/>
      <c r="U44" s="59" t="s">
        <v>160</v>
      </c>
      <c r="V44" s="301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155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50"/>
    </row>
    <row r="48" spans="1:24" x14ac:dyDescent="0.3">
      <c r="L48" s="250"/>
      <c r="T48" s="270"/>
    </row>
    <row r="49" spans="12:20" x14ac:dyDescent="0.3">
      <c r="L49" s="250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147</v>
      </c>
    </row>
    <row r="78" spans="3:15" x14ac:dyDescent="0.3">
      <c r="C78" t="s">
        <v>146</v>
      </c>
    </row>
    <row r="81" spans="3:3" x14ac:dyDescent="0.3">
      <c r="C81" t="s">
        <v>146</v>
      </c>
    </row>
    <row r="158" spans="3:3" x14ac:dyDescent="0.3">
      <c r="C158" t="s">
        <v>146</v>
      </c>
    </row>
    <row r="159" spans="3:3" x14ac:dyDescent="0.3">
      <c r="C159" t="s">
        <v>148</v>
      </c>
    </row>
    <row r="160" spans="3:3" x14ac:dyDescent="0.3">
      <c r="C160" t="s">
        <v>149</v>
      </c>
    </row>
    <row r="585" spans="3:3" x14ac:dyDescent="0.3">
      <c r="C585" t="s">
        <v>146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45729</v>
      </c>
    </row>
    <row r="6" spans="2:31" ht="16.2" thickBot="1" x14ac:dyDescent="0.35">
      <c r="B6" s="140" t="s">
        <v>2</v>
      </c>
      <c r="C6" s="139" t="str">
        <f>'2229'!C10</f>
        <v>VICTOR ARIEL PEREZ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11333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-8372.4049667874424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'2229'!H28</f>
        <v>146747</v>
      </c>
      <c r="E11" s="132">
        <f>D11*0.19</f>
        <v>27881.93</v>
      </c>
      <c r="F11" s="131">
        <f>E11+D11</f>
        <v>174628.93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97617.595033212565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58492.466787439611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79617.595033212565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88254.533212560389</v>
      </c>
      <c r="E13" s="221">
        <f>(D11/D12)-1</f>
        <v>1.5088187942778255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70617.595033212565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31617.595033212558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96512.570199275346</v>
      </c>
      <c r="F15" s="216">
        <f>E15-D12</f>
        <v>38020.103411835735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31617.595033212558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71617.595033212565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'2229'!O35</f>
        <v>22500</v>
      </c>
      <c r="E19" s="123">
        <f>D19*0.19</f>
        <v>4275</v>
      </c>
      <c r="F19" s="120">
        <f>SUM(D19:E19)</f>
        <v>26775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'2229'!O34</f>
        <v>6158.3760000000002</v>
      </c>
      <c r="E20" s="121">
        <f>D20*0.19</f>
        <v>1170.0914400000001</v>
      </c>
      <c r="F20" s="120">
        <f>SUM(D20:E20)</f>
        <v>7328.4674400000004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28658.376</v>
      </c>
      <c r="E21" s="116">
        <f>SUM(E18:E20)</f>
        <v>5445.0914400000001</v>
      </c>
      <c r="F21" s="115">
        <f>SUM(F18:F20)</f>
        <v>34103.46744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22436.83856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146747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28658.376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88254.533212560389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88254.533212560389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2025-03-05T17:25:30Z</cp:lastPrinted>
  <dcterms:created xsi:type="dcterms:W3CDTF">2013-03-18T13:35:42Z</dcterms:created>
  <dcterms:modified xsi:type="dcterms:W3CDTF">2025-03-13T18:00:52Z</dcterms:modified>
</cp:coreProperties>
</file>