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40D50F35-F40E-4A2A-9C6A-8210AD020E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L21" i="1"/>
  <c r="K31" i="1" l="1"/>
  <c r="K33" i="1"/>
  <c r="N21" i="1"/>
  <c r="K34" i="1" l="1"/>
  <c r="K35" i="1" s="1"/>
  <c r="K36" i="1" s="1"/>
  <c r="M21" i="1"/>
  <c r="M25" i="1" l="1"/>
  <c r="T21" i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<sst xmlns="http://schemas.openxmlformats.org/spreadsheetml/2006/main" count="229" uniqueCount="173">
  <si>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</si>
  <si>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</si>
  <si>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</si>
  <si>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</si>
  <si>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</si>
  <si>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</si>
  <si>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</si>
  <si>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</si>
  <si>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</si>
  <si>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</si>
  <si>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</si>
  <si>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</si>
  <si>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</si>
  <si>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</si>
  <si>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</si>
  <si>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</si>
  <si>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</si>
  <si>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</si>
  <si>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</si>
  <si>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</si>
  <si>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</si>
  <si>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</si>
  <si>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</si>
  <si>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</si>
  <si>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</si>
  <si>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</si>
  <si>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</si>
  <si>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</si>
  <si>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</si>
  <si>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</si>
  <si>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</si>
  <si>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</si>
  <si>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</si>
  <si>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</si>
  <si>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</si>
  <si>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</si>
  <si>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</si>
  <si>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</si>
  <si>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</si>
  <si>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</si>
  <si>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</si>
  <si>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</si>
  <si>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</si>
  <si>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</si>
  <si>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</si>
  <si>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</si>
  <si>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</si>
  <si>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</si>
  <si>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</si>
  <si>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</si>
  <si>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</si>
  <si>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</si>
  <si>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</si>
  <si>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</si>
  <si>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</si>
  <si>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</si>
  <si>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</si>
  <si>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</si>
  <si>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</si>
  <si>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</si>
  <si>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</si>
  <si>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</si>
  <si>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</si>
  <si>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</si>
  <si>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</si>
  <si>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</si>
  <si>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</si>
  <si>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</si>
  <si>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</si>
  <si>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</si>
  <si>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</si>
  <si>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</si>
  <si>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</si>
  <si>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</si>
  <si>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</si>
  <si>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</si>
  <si>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</si>
  <si>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</si>
  <si>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</si>
  <si>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</si>
  <si>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</si>
  <si>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</si>
  <si>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</si>
  <si>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</si>
  <si>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</si>
  <si>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</si>
  <si>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</si>
  <si>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</si>
  <si>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</si>
  <si>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</si>
  <si>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</si>
  <si>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</si>
  <si>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</si>
  <si>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</si>
  <si>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</si>
  <si>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</si>
  <si>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</si>
  <si>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</si>
  <si>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</si>
  <si>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</si>
  <si>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</si>
  <si>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</si>
  <si>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</si>
  <si>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</si>
  <si>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</si>
  <si>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</si>
  <si>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</si>
  <si>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</si>
  <si>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</si>
  <si>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</si>
  <si>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</si>
  <si>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</si>
  <si>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</si>
  <si>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</si>
  <si>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</si>
  <si>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</si>
  <si>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</si>
  <si>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</si>
  <si>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</si>
  <si>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</si>
  <si>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</si>
  <si>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</si>
  <si>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</si>
  <si>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</si>
  <si>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</si>
  <si>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</si>
  <si>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</si>
  <si>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</si>
  <si>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</si>
  <si>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</si>
  <si>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</si>
  <si>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</si>
  <si>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</si>
  <si>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</si>
  <si>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</si>
  <si>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</si>
  <si>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</si>
  <si>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</si>
  <si>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</si>
  <si>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</si>
  <si>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</si>
  <si>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</si>
  <si>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</si>
  <si>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</si>
  <si>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</si>
  <si>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</si>
  <si>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</si>
  <si>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</si>
  <si>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</si>
  <si>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</si>
  <si>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</si>
  <si>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</si>
  <si>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</si>
  <si>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</si>
  <si>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</si>
  <si>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</si>
  <si>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</si>
  <si>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</si>
  <si>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</si>
  <si>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</si>
  <si>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</si>
  <si>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</si>
  <si>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</si>
  <si>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</si>
  <si>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</si>
  <si>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</si>
  <si>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</si>
  <si>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</si>
  <si>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</si>
  <si>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</si>
  <si>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BLANCO OPACO MERINO</t>
  </si>
  <si>
    <t>N° 11325</t>
  </si>
  <si>
    <t>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</si>
</sst>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45723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169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97787.341772151907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35</v>
      </c>
      <c r="D21" s="331">
        <v>1.5</v>
      </c>
      <c r="E21" s="331">
        <v>0.6</v>
      </c>
      <c r="F21" s="330" t="s">
        <v>170</v>
      </c>
      <c r="G21" s="332">
        <v>55252</v>
      </c>
      <c r="H21" s="332">
        <f>G21*B21</f>
        <v>55252</v>
      </c>
      <c r="I21" s="320"/>
      <c r="J21" s="265"/>
      <c r="K21" s="47"/>
      <c r="L21" s="333">
        <f>B21</f>
        <v>1</v>
      </c>
      <c r="M21" s="39">
        <f>D21+M$19</f>
        <v>1.58</v>
      </c>
      <c r="N21" s="39">
        <f>E21+$N$19</f>
        <v>0.6</v>
      </c>
      <c r="O21" s="261">
        <f t="shared" ref="O21" si="1">M21*N21</f>
        <v>0.94799999999999995</v>
      </c>
      <c r="P21" s="259">
        <f t="shared" ref="P21" si="2">O21*L21</f>
        <v>0.94799999999999995</v>
      </c>
      <c r="Q21" s="252">
        <f t="shared" ref="Q21" si="3">Q$20*O21</f>
        <v>92702.400000000009</v>
      </c>
      <c r="R21" s="319">
        <f t="shared" ref="R21" si="4">Q21+R$20</f>
        <v>95702.400000000009</v>
      </c>
      <c r="S21" s="297"/>
      <c r="T21" s="46">
        <f>M21*L21</f>
        <v>1.58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55252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1.58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10497.880000000001</v>
      </c>
      <c r="I25" s="322"/>
      <c r="J25" s="265"/>
      <c r="K25" s="47"/>
      <c r="L25" s="47"/>
      <c r="M25" s="39">
        <f>SUM(M21:M24)</f>
        <v>1.58</v>
      </c>
      <c r="N25" s="12"/>
      <c r="O25" s="12"/>
      <c r="P25" s="253">
        <f>SUM(P21:P23)</f>
        <v>0.94799999999999995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65749.88</v>
      </c>
      <c r="I26" s="322"/>
      <c r="J26" s="265"/>
      <c r="K26" s="47">
        <v>70</v>
      </c>
      <c r="L26" s="47"/>
      <c r="M26" s="39"/>
      <c r="N26" s="12"/>
      <c r="O26" s="12"/>
      <c r="P26" s="253">
        <f>P25</f>
        <v>0.94799999999999995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>
        <v>12</v>
      </c>
      <c r="L27" s="47"/>
      <c r="M27" s="14"/>
      <c r="N27" s="12"/>
      <c r="O27" s="12"/>
      <c r="P27" s="39">
        <f>P26*20%</f>
        <v>0.18959999999999999</v>
      </c>
      <c r="Q27" s="39" t="s">
        <v>130</v>
      </c>
      <c r="R27" s="42"/>
      <c r="S27" s="240">
        <f>S26+T24</f>
        <v>1.58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>
        <f>K26-K27</f>
        <v>58</v>
      </c>
      <c r="L28" s="47"/>
      <c r="M28" s="14"/>
      <c r="N28" s="12"/>
      <c r="O28" s="12"/>
      <c r="P28" s="46">
        <f>P26+P27</f>
        <v>1.1375999999999999</v>
      </c>
      <c r="Q28" s="14"/>
      <c r="R28" s="14"/>
      <c r="S28" s="238">
        <f>S27*20%</f>
        <v>0.31600000000000006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1.8960000000000001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1.1375999999999999</v>
      </c>
      <c r="N30" s="12">
        <v>2500</v>
      </c>
      <c r="O30" s="12">
        <f t="shared" ref="O30:O35" si="5">M30*N30</f>
        <v>2844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0.8</v>
      </c>
      <c r="N31" s="12">
        <v>23500</v>
      </c>
      <c r="O31" s="12">
        <f t="shared" si="5"/>
        <v>18800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35800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26775</v>
      </c>
      <c r="L33" s="250"/>
      <c r="M33" s="14">
        <v>1</v>
      </c>
      <c r="N33" s="250">
        <v>22500</v>
      </c>
      <c r="O33" s="12">
        <f t="shared" si="5"/>
        <v>22500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54740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46000</v>
      </c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8740</v>
      </c>
      <c r="L36" s="250"/>
      <c r="M36" s="14"/>
      <c r="N36" s="12"/>
      <c r="O36" s="12">
        <f>SUM(O30:O35)</f>
        <v>44144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92702.400000000009</v>
      </c>
      <c r="P37" s="14" t="s">
        <v>140</v>
      </c>
      <c r="Q37" s="14"/>
      <c r="R37" s="40">
        <f>P28/R36</f>
        <v>0.30672993960310613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97787.341772151907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4947.8082998792261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55252</v>
      </c>
      <c r="E11" s="132">
        <f>D11*0.19</f>
        <v>10497.880000000001</v>
      </c>
      <c r="F11" s="131">
        <f>E11+D11</f>
        <v>65749.88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110937.80829987922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51478.090787439614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92937.808299879223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3773.9092125603856</v>
      </c>
      <c r="E13" s="221">
        <f>(D11/D12)-1</f>
        <v>7.3310978609198996E-2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83937.808299879223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44937.808299879223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84938.849799275355</v>
      </c>
      <c r="F15" s="216">
        <f>E15-D12</f>
        <v>33460.75901183574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44937.808299879223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84937.808299879223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2844</v>
      </c>
      <c r="E20" s="121">
        <f>D20*0.19</f>
        <v>540.36</v>
      </c>
      <c r="F20" s="120">
        <f>SUM(D20:E20)</f>
        <v>3384.36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21644</v>
      </c>
      <c r="E21" s="116">
        <f>SUM(E18:E20)</f>
        <v>4112.3599999999997</v>
      </c>
      <c r="F21" s="115">
        <f>SUM(F18:F20)</f>
        <v>25756.36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6385.5200000000013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55252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21644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3773.9092125603856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3773.9092125603856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2025-03-07T13:13:49Z</dcterms:modified>
</cp:coreProperties>
</file>