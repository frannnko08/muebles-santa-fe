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3 MARZO 2025\"/>
    </mc:Choice>
  </mc:AlternateContent>
  <xr:revisionPtr revIDLastSave="0" documentId="13_ncr:1_{BD080D2A-4A81-4081-A81E-B4A6180E4526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<sst xmlns="http://schemas.openxmlformats.org/spreadsheetml/2006/main" count="228" uniqueCount="172">
  <si>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</si>
  <si>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</si>
  <si>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</si>
  <si>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</si>
  <si>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</si>
  <si>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</si>
  <si>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</si>
  <si>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</si>
  <si>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</si>
  <si>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</si>
  <si>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</si>
  <si>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</si>
  <si>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</si>
  <si>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</si>
  <si>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</si>
  <si>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</si>
  <si>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</si>
  <si>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</si>
  <si>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</si>
  <si>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</si>
  <si>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</si>
  <si>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</si>
  <si>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</si>
  <si>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</si>
  <si>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</si>
  <si>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</si>
  <si>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</si>
  <si>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</si>
  <si>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</si>
  <si>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</si>
  <si>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</si>
  <si>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</si>
  <si>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</si>
  <si>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</si>
  <si>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</si>
  <si>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</si>
  <si>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</si>
  <si>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</si>
  <si>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</si>
  <si>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</si>
  <si>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</si>
  <si>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</si>
  <si>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</si>
  <si>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</si>
  <si>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</si>
  <si>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</si>
  <si>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</si>
  <si>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</si>
  <si>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</si>
  <si>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</si>
  <si>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</si>
  <si>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</si>
  <si>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</si>
  <si>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</si>
  <si>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</si>
  <si>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</si>
  <si>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</si>
  <si>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</si>
  <si>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</si>
  <si>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</si>
  <si>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</si>
  <si>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</si>
  <si>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</si>
  <si>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</si>
  <si>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</si>
  <si>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</si>
  <si>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</si>
  <si>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</si>
  <si>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</si>
  <si>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</si>
  <si>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</si>
  <si>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</si>
  <si>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</si>
  <si>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</si>
  <si>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</si>
  <si>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</si>
  <si>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</si>
  <si>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</si>
  <si>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</si>
  <si>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</si>
  <si>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</si>
  <si>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</si>
  <si>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</si>
  <si>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</si>
  <si>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</si>
  <si>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</si>
  <si>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</si>
  <si>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</si>
  <si>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</si>
  <si>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</si>
  <si>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</si>
  <si>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</si>
  <si>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</si>
  <si>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</si>
  <si>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</si>
  <si>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</si>
  <si>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</si>
  <si>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</si>
  <si>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</si>
  <si>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</si>
  <si>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</si>
  <si>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</si>
  <si>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</si>
  <si>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</si>
  <si>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</si>
  <si>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</si>
  <si>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</si>
  <si>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</si>
  <si>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</si>
  <si>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</si>
  <si>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</si>
  <si>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</si>
  <si>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</si>
  <si>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</si>
  <si>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</si>
  <si>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</si>
  <si>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</si>
  <si>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</si>
  <si>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</si>
  <si>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</si>
  <si>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</si>
  <si>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</si>
  <si>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</si>
  <si>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</si>
  <si>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</si>
  <si>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</si>
  <si>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</si>
  <si>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</si>
  <si>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</si>
  <si>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</si>
  <si>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</si>
  <si>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</si>
  <si>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</si>
  <si>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</si>
  <si>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</si>
  <si>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</si>
  <si>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</si>
  <si>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</si>
  <si>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</si>
  <si>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</si>
  <si>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</si>
  <si>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</si>
  <si>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</si>
  <si>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</si>
  <si>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</si>
  <si>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</si>
  <si>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</si>
  <si>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</si>
  <si>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</si>
  <si>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</si>
  <si>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</si>
  <si>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</si>
  <si>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</si>
  <si>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</si>
  <si>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</si>
  <si>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</si>
  <si>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</si>
  <si>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</si>
  <si>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</si>
  <si>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</si>
  <si>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</si>
  <si>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</si>
  <si>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</si>
  <si>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</si>
  <si>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</si>
  <si>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</si>
  <si>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</si>
  <si>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</si>
  <si>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CECILIA HOULES</t>
  </si>
  <si>
    <t>N° 11333</t>
  </si>
  <si>
    <t>CUBIERTA CON RESPALDO FRENTE 90°</t>
  </si>
  <si>
    <t>MADERA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</si>
</sst>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50162.619047619046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45" t="s">
        <v>170</v>
      </c>
      <c r="D21" s="331">
        <v>1.6</v>
      </c>
      <c r="E21" s="331">
        <v>0.6</v>
      </c>
      <c r="F21" s="330" t="s">
        <v>171</v>
      </c>
      <c r="G21" s="332">
        <v>50564</v>
      </c>
      <c r="H21" s="332">
        <f>G21*B21</f>
        <v>50564</v>
      </c>
      <c r="I21" s="320"/>
      <c r="J21" s="265"/>
      <c r="K21" s="47"/>
      <c r="L21" s="47">
        <f>B21</f>
        <v>1</v>
      </c>
      <c r="M21" s="39">
        <f>D21+M$19</f>
        <v>1.6800000000000002</v>
      </c>
      <c r="N21" s="39">
        <f>E21+$N$19</f>
        <v>0.6</v>
      </c>
      <c r="O21" s="261">
        <f t="shared" ref="O21" si="1">M21*N21</f>
        <v>1.008</v>
      </c>
      <c r="P21" s="259">
        <f t="shared" ref="P21" si="2">O21*L21</f>
        <v>1.008</v>
      </c>
      <c r="Q21" s="252">
        <f t="shared" ref="Q21" si="3">Q$20*O21</f>
        <v>50563.92</v>
      </c>
      <c r="R21" s="319">
        <f t="shared" ref="R21" si="4">Q21+R$20</f>
        <v>55563.92</v>
      </c>
      <c r="S21" s="297">
        <f>M21*L21</f>
        <v>1.6800000000000002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Q21</f>
        <v>50563.92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9607.1448</v>
      </c>
      <c r="I25" s="322"/>
      <c r="J25" s="265"/>
      <c r="K25" s="47"/>
      <c r="L25" s="47"/>
      <c r="M25" s="39">
        <f>SUM(M21:M21)</f>
        <v>1.6800000000000002</v>
      </c>
      <c r="N25" s="12"/>
      <c r="O25" s="12"/>
      <c r="P25" s="253">
        <f>SUM(P21:P23)</f>
        <v>1.008</v>
      </c>
      <c r="Q25" s="14"/>
      <c r="R25" s="12"/>
      <c r="S25" s="239">
        <f>SUM(S21:S24)</f>
        <v>1.6800000000000002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60171.0648</v>
      </c>
      <c r="I26" s="322"/>
      <c r="J26" s="265"/>
      <c r="K26" s="47"/>
      <c r="L26" s="47"/>
      <c r="M26" s="39"/>
      <c r="N26" s="12"/>
      <c r="O26" s="12"/>
      <c r="P26" s="253">
        <f>P25</f>
        <v>1.008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0.2016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1.2096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1.2096</v>
      </c>
      <c r="N30" s="12">
        <v>3500</v>
      </c>
      <c r="O30" s="12">
        <f t="shared" ref="O30:O35" si="5">M30*N30</f>
        <v>4233.6000000000004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0.35</v>
      </c>
      <c r="N31" s="12">
        <v>25000</v>
      </c>
      <c r="O31" s="12">
        <f t="shared" si="5"/>
        <v>8750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166</v>
      </c>
      <c r="C33"/>
      <c r="D33"/>
      <c r="E33"/>
      <c r="F33"/>
      <c r="J33" s="262"/>
      <c r="K33" s="232"/>
      <c r="L33" s="250"/>
      <c r="M33" s="14">
        <v>0.5</v>
      </c>
      <c r="N33" s="250">
        <v>20000</v>
      </c>
      <c r="O33" s="12">
        <f t="shared" si="5"/>
        <v>10000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22983.599999999999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50563.92</v>
      </c>
      <c r="P37" s="14" t="s">
        <v>140</v>
      </c>
      <c r="Q37" s="14"/>
      <c r="R37" s="40">
        <f>P28/R36</f>
        <v>0.32614322691975839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50162.619047619046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45728</v>
      </c>
    </row>
    <row r="6" spans="2:31" ht="16.2" thickBot="1" x14ac:dyDescent="0.35">
      <c r="B6" s="140" t="s">
        <v>2</v>
      </c>
      <c r="C6" s="139" t="str">
        <f>'2229'!C10</f>
        <v>CECILIA HOULES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11333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3347.5449665458923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50563.92</v>
      </c>
      <c r="E11" s="132">
        <f>D11*0.19</f>
        <v>9607.1448</v>
      </c>
      <c r="F11" s="131">
        <f>E11+D11</f>
        <v>60171.0648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109337.54496654589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42817.690787439613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91337.544966545887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7746.2292125603853</v>
      </c>
      <c r="E13" s="221">
        <f>(D11/D12)-1</f>
        <v>0.18091188642131795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82337.544966545887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43337.544966545895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70649.189799275351</v>
      </c>
      <c r="F15" s="216">
        <f>E15-D12</f>
        <v>27831.499011835738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43337.544966545895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83337.544966545887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8750</v>
      </c>
      <c r="E19" s="123">
        <f>D19*0.19</f>
        <v>1662.5</v>
      </c>
      <c r="F19" s="120">
        <f>SUM(D19:E19)</f>
        <v>10412.5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4233.6000000000004</v>
      </c>
      <c r="E20" s="121">
        <f>D20*0.19</f>
        <v>804.38400000000013</v>
      </c>
      <c r="F20" s="120">
        <f>SUM(D20:E20)</f>
        <v>5037.9840000000004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12983.6</v>
      </c>
      <c r="E21" s="116">
        <f>SUM(E18:E20)</f>
        <v>2466.884</v>
      </c>
      <c r="F21" s="115">
        <f>SUM(F18:F20)</f>
        <v>15450.484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7140.2608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50563.92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12983.6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7746.2292125603853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7746.2292125603853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2025-03-12T19:48:12Z</cp:lastPrinted>
  <dcterms:created xsi:type="dcterms:W3CDTF">2013-03-18T13:35:42Z</dcterms:created>
  <dcterms:modified xsi:type="dcterms:W3CDTF">2025-03-13T17:58:22Z</dcterms:modified>
</cp:coreProperties>
</file>