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3 MARZO 2025\"/>
    </mc:Choice>
  </mc:AlternateContent>
  <xr:revisionPtr revIDLastSave="0" documentId="13_ncr:1_{A5A51A30-1BA3-43A8-9AE0-807FD43B54D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J38" i="1"/>
  <c r="K21" i="1"/>
  <c r="N33" i="1"/>
  <c r="N32" i="1" l="1"/>
  <c r="N34" i="1"/>
  <c r="N35" i="1"/>
  <c r="L21" i="1" l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G21" i="1" s="1"/>
  <c r="H21" i="1" l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<sst xmlns="http://schemas.openxmlformats.org/spreadsheetml/2006/main" count="227" uniqueCount="171">
  <si>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</si>
  <si>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</si>
  <si>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</si>
  <si>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</si>
  <si>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</si>
  <si>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</si>
  <si>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</si>
  <si>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</si>
  <si>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</si>
  <si>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</si>
  <si>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</si>
  <si>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</si>
  <si>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</si>
  <si>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</si>
  <si>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</si>
  <si>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</si>
  <si>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</si>
  <si>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</si>
  <si>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</si>
  <si>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</si>
  <si>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</si>
  <si>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</si>
  <si>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</si>
  <si>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</si>
  <si>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</si>
  <si>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</si>
  <si>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</si>
  <si>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</si>
  <si>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</si>
  <si>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</si>
  <si>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</si>
  <si>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</si>
  <si>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</si>
  <si>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</si>
  <si>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</si>
  <si>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</si>
  <si>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</si>
  <si>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</si>
  <si>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</si>
  <si>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</si>
  <si>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</si>
  <si>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</si>
  <si>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</si>
  <si>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</si>
  <si>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</si>
  <si>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</si>
  <si>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</si>
  <si>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</si>
  <si>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</si>
  <si>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</si>
  <si>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</si>
  <si>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</si>
  <si>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</si>
  <si>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</si>
  <si>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</si>
  <si>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</si>
  <si>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</si>
  <si>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</si>
  <si>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</si>
  <si>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</si>
  <si>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</si>
  <si>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</si>
  <si>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</si>
  <si>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</si>
  <si>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</si>
  <si>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</si>
  <si>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</si>
  <si>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</si>
  <si>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</si>
  <si>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</si>
  <si>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</si>
  <si>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</si>
  <si>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</si>
  <si>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</si>
  <si>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</si>
  <si>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</si>
  <si>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</si>
  <si>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</si>
  <si>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</si>
  <si>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</si>
  <si>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</si>
  <si>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</si>
  <si>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</si>
  <si>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</si>
  <si>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</si>
  <si>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</si>
  <si>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</si>
  <si>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</si>
  <si>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</si>
  <si>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</si>
  <si>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</si>
  <si>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</si>
  <si>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</si>
  <si>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</si>
  <si>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</si>
  <si>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</si>
  <si>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</si>
  <si>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</si>
  <si>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</si>
  <si>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</si>
  <si>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</si>
  <si>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</si>
  <si>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</si>
  <si>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</si>
  <si>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</si>
  <si>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</si>
  <si>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</si>
  <si>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</si>
  <si>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</si>
  <si>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</si>
  <si>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</si>
  <si>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</si>
  <si>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</si>
  <si>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</si>
  <si>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</si>
  <si>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</si>
  <si>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</si>
  <si>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</si>
  <si>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</si>
  <si>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</si>
  <si>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</si>
  <si>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</si>
  <si>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</si>
  <si>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</si>
  <si>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</si>
  <si>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</si>
  <si>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</si>
  <si>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</si>
  <si>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</si>
  <si>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</si>
  <si>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</si>
  <si>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</si>
  <si>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</si>
  <si>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</si>
  <si>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</si>
  <si>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</si>
  <si>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</si>
  <si>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</si>
  <si>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</si>
  <si>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</si>
  <si>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</si>
  <si>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</si>
  <si>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</si>
  <si>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</si>
  <si>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</si>
  <si>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</si>
  <si>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</si>
  <si>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</si>
  <si>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</si>
  <si>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</si>
  <si>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</si>
  <si>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</si>
  <si>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</si>
  <si>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</si>
  <si>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</si>
  <si>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</si>
  <si>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</si>
  <si>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</si>
  <si>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</si>
  <si>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</si>
  <si>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</si>
  <si>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</si>
  <si>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</si>
  <si>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</si>
  <si>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</si>
  <si>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</si>
  <si>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10 DIAS HABILES</t>
  </si>
  <si>
    <t>ENCHAPE RECTO</t>
  </si>
  <si>
    <t>GRAFITO 2174</t>
  </si>
  <si>
    <t>FRANCISCO MELLA</t>
  </si>
  <si>
    <t>N° 11362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</si>
</sst>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22</xdr:row>
      <xdr:rowOff>206170</xdr:rowOff>
    </xdr:from>
    <xdr:to>
      <xdr:col>5</xdr:col>
      <xdr:colOff>1643259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TAPACANTO</a:t>
          </a:r>
          <a:r>
            <a:rPr lang="es-CL" sz="1200" b="1" baseline="0"/>
            <a:t> PVC 2MM</a:t>
          </a:r>
          <a:endParaRPr lang="es-CL" sz="1200" b="1"/>
        </a:p>
        <a:p>
          <a:pPr algn="l"/>
          <a:r>
            <a:rPr lang="es-CL" sz="1200" b="1" baseline="0"/>
            <a:t>SUSTRATO MDF 25MM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169</v>
      </c>
      <c r="D10" s="243"/>
      <c r="E10" s="243"/>
      <c r="F10" s="244" t="s">
        <v>0</v>
      </c>
      <c r="G10" s="277">
        <v>45737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/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>
        <v>0.06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N38</f>
        <v>88500.651629072672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8</v>
      </c>
      <c r="C21" s="326" t="s">
        <v>167</v>
      </c>
      <c r="D21" s="327">
        <v>1.6</v>
      </c>
      <c r="E21" s="327">
        <v>0.7</v>
      </c>
      <c r="F21" s="326" t="s">
        <v>168</v>
      </c>
      <c r="G21" s="328">
        <f>Q21</f>
        <v>122997.632</v>
      </c>
      <c r="H21" s="328">
        <f>G21*B21</f>
        <v>983981.05599999998</v>
      </c>
      <c r="I21" s="265"/>
      <c r="J21" s="47"/>
      <c r="K21" s="330">
        <f>B21</f>
        <v>8</v>
      </c>
      <c r="L21" s="39">
        <f>D21+L$19</f>
        <v>1.6800000000000002</v>
      </c>
      <c r="M21" s="39">
        <f>E21+M$19</f>
        <v>0.76</v>
      </c>
      <c r="N21" s="261">
        <f t="shared" ref="N21" si="0">L21*M21</f>
        <v>1.2768000000000002</v>
      </c>
      <c r="O21" s="259">
        <f t="shared" ref="O21" si="1">N21*K21</f>
        <v>10.214400000000001</v>
      </c>
      <c r="P21" s="252">
        <f t="shared" ref="P21" si="2">P$20*N21</f>
        <v>112997.632</v>
      </c>
      <c r="Q21" s="329">
        <f t="shared" ref="Q21" si="3">P21+Q$20</f>
        <v>122997.632</v>
      </c>
      <c r="R21" s="298">
        <f>L21*K21*2</f>
        <v>26.880000000000003</v>
      </c>
      <c r="S21" s="46">
        <f>M21*2*K21</f>
        <v>12.16</v>
      </c>
      <c r="T21" s="9"/>
      <c r="W21" s="4"/>
    </row>
    <row r="22" spans="2:24" ht="17.399999999999999" x14ac:dyDescent="0.3">
      <c r="B22" s="286"/>
      <c r="C22" s="332"/>
      <c r="D22" s="287"/>
      <c r="E22" s="287"/>
      <c r="F22" s="286"/>
      <c r="G22" s="331"/>
      <c r="H22" s="331"/>
      <c r="I22" s="265"/>
      <c r="J22" s="47"/>
      <c r="K22" s="330"/>
      <c r="L22" s="39"/>
      <c r="M22" s="39"/>
      <c r="N22" s="261"/>
      <c r="O22" s="259"/>
      <c r="P22" s="252"/>
      <c r="Q22" s="329"/>
      <c r="R22" s="29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>
        <v>0</v>
      </c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983981.05599999998</v>
      </c>
      <c r="I24" s="265"/>
      <c r="J24" s="47"/>
      <c r="K24" s="47"/>
      <c r="L24" s="39">
        <f>SUM(L21:L21)</f>
        <v>1.6800000000000002</v>
      </c>
      <c r="M24" s="39"/>
      <c r="N24" s="261"/>
      <c r="O24" s="259"/>
      <c r="P24" s="252"/>
      <c r="Q24" s="258"/>
      <c r="R24" s="298"/>
      <c r="S24" s="46">
        <f>SUM(S21:S23)</f>
        <v>12.16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>
        <f>H24*19%</f>
        <v>186956.40064000001</v>
      </c>
      <c r="I25" s="265"/>
      <c r="J25" s="47"/>
      <c r="K25" s="47"/>
      <c r="L25" s="39"/>
      <c r="M25" s="12"/>
      <c r="N25" s="12"/>
      <c r="O25" s="253">
        <f>SUM(O21:O21)</f>
        <v>10.214400000000001</v>
      </c>
      <c r="P25" s="14"/>
      <c r="Q25" s="12"/>
      <c r="R25" s="239"/>
      <c r="S25" s="46">
        <f>S24*20%</f>
        <v>2.4320000000000004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1170937.45664</v>
      </c>
      <c r="I26" s="265"/>
      <c r="J26" s="47"/>
      <c r="K26" s="47"/>
      <c r="L26" s="39"/>
      <c r="M26" s="12"/>
      <c r="N26" s="12"/>
      <c r="O26" s="253">
        <f>O25</f>
        <v>10.214400000000001</v>
      </c>
      <c r="P26" s="14"/>
      <c r="Q26" s="12"/>
      <c r="R26" s="239">
        <f>SUM(R21:R25)</f>
        <v>26.880000000000003</v>
      </c>
      <c r="S26" s="46">
        <f>S24+S25</f>
        <v>14.592000000000001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2.0428800000000003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12.257280000000002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152</v>
      </c>
      <c r="V29" s="306">
        <v>44971</v>
      </c>
      <c r="W29" s="30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12.257280000000002</v>
      </c>
      <c r="M30" s="12">
        <v>3500</v>
      </c>
      <c r="N30" s="12">
        <f t="shared" ref="N30:N35" si="4">L30*M30</f>
        <v>42900.480000000003</v>
      </c>
      <c r="O30" s="14" t="s">
        <v>22</v>
      </c>
      <c r="P30" s="14"/>
      <c r="Q30" s="14"/>
      <c r="R30" s="241"/>
      <c r="S30" s="14"/>
      <c r="T30" s="305" t="s">
        <v>153</v>
      </c>
      <c r="U30" s="302">
        <v>3625</v>
      </c>
      <c r="V30" s="59" t="s">
        <v>154</v>
      </c>
      <c r="W30" s="30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3</v>
      </c>
      <c r="M31" s="12">
        <v>40000</v>
      </c>
      <c r="N31" s="12">
        <f t="shared" si="4"/>
        <v>120000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155</v>
      </c>
      <c r="W31" s="307"/>
    </row>
    <row r="32" spans="2:24" s="230" customFormat="1" ht="17.399999999999999" x14ac:dyDescent="0.35">
      <c r="I32" s="262"/>
      <c r="J32" s="232"/>
      <c r="K32" s="250"/>
      <c r="L32" s="14"/>
      <c r="M32" s="250">
        <v>90076</v>
      </c>
      <c r="N32" s="12">
        <f t="shared" si="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156</v>
      </c>
      <c r="W32" s="59"/>
    </row>
    <row r="33" spans="2:23" s="230" customFormat="1" ht="17.399999999999999" x14ac:dyDescent="0.35">
      <c r="B33" s="24" t="s">
        <v>151</v>
      </c>
      <c r="I33" s="262"/>
      <c r="J33" s="232"/>
      <c r="K33" s="250"/>
      <c r="L33" s="14">
        <v>8</v>
      </c>
      <c r="M33" s="250">
        <v>31000</v>
      </c>
      <c r="N33" s="12">
        <f t="shared" si="4"/>
        <v>248000</v>
      </c>
      <c r="O33" s="14"/>
      <c r="P33" s="17"/>
      <c r="R33" s="238"/>
      <c r="S33" s="256"/>
      <c r="T33" s="59"/>
      <c r="U33" s="59">
        <f>U31+U32</f>
        <v>1087.5</v>
      </c>
      <c r="V33" s="307" t="s">
        <v>157</v>
      </c>
      <c r="W33" s="59"/>
    </row>
    <row r="34" spans="2:23" s="230" customFormat="1" ht="17.399999999999999" x14ac:dyDescent="0.35">
      <c r="B34" s="24" t="s">
        <v>144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4"/>
        <v>0</v>
      </c>
      <c r="O34" s="14" t="s">
        <v>33</v>
      </c>
      <c r="P34" s="14"/>
      <c r="Q34" s="230">
        <v>1.83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/>
      <c r="M35" s="12">
        <v>1500</v>
      </c>
      <c r="N35" s="12">
        <f t="shared" si="4"/>
        <v>0</v>
      </c>
      <c r="O35" s="14" t="s">
        <v>23</v>
      </c>
      <c r="P35" s="14"/>
      <c r="Q35">
        <v>2.5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410900.47999999998</v>
      </c>
      <c r="O36" s="39" t="s">
        <v>24</v>
      </c>
      <c r="P36" s="14"/>
      <c r="Q36">
        <f>Q34*Q35</f>
        <v>4.5750000000000002</v>
      </c>
      <c r="R36"/>
      <c r="S36" s="238"/>
      <c r="W36" s="231"/>
    </row>
    <row r="37" spans="2:23" s="230" customFormat="1" ht="17.399999999999999" x14ac:dyDescent="0.35">
      <c r="J37" s="230">
        <v>44000</v>
      </c>
      <c r="K37" s="250"/>
      <c r="L37" s="254" t="s">
        <v>34</v>
      </c>
      <c r="M37" s="12"/>
      <c r="N37" s="255">
        <f>N36*2.2</f>
        <v>903981.05599999998</v>
      </c>
      <c r="O37" s="14" t="s">
        <v>141</v>
      </c>
      <c r="P37" s="14"/>
      <c r="Q37" s="40">
        <f>O28/Q36</f>
        <v>2.679186885245902</v>
      </c>
      <c r="R37"/>
      <c r="S37" s="257"/>
    </row>
    <row r="38" spans="2:23" s="230" customFormat="1" ht="17.399999999999999" x14ac:dyDescent="0.35">
      <c r="G38"/>
      <c r="H38" s="260"/>
      <c r="J38" s="230">
        <f>J37/1.19</f>
        <v>36974.789915966387</v>
      </c>
      <c r="K38" s="250">
        <v>0</v>
      </c>
      <c r="L38" s="14"/>
      <c r="M38" s="12"/>
      <c r="N38" s="12">
        <f>N37/O26</f>
        <v>88500.651629072672</v>
      </c>
      <c r="O38" s="45" t="s">
        <v>25</v>
      </c>
      <c r="P38" s="14"/>
      <c r="Q38" s="14"/>
      <c r="R38"/>
      <c r="S38" s="238"/>
      <c r="T38" s="59" t="s">
        <v>158</v>
      </c>
      <c r="U38" s="302">
        <v>43650</v>
      </c>
    </row>
    <row r="39" spans="2:23" s="230" customFormat="1" ht="17.399999999999999" x14ac:dyDescent="0.35">
      <c r="G39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160</v>
      </c>
      <c r="U39" s="303" t="s">
        <v>159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161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156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148</v>
      </c>
    </row>
    <row r="74" spans="3:14" x14ac:dyDescent="0.3">
      <c r="C74" t="s">
        <v>147</v>
      </c>
    </row>
    <row r="77" spans="3:14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45737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11362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-110994.83570012078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983981.05599999998</v>
      </c>
      <c r="E11" s="132">
        <f>D11*0.19</f>
        <v>186956.40064000001</v>
      </c>
      <c r="F11" s="131">
        <f>E11+D11</f>
        <v>1170937.45664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-5004.8357001207769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192734.57078743962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-23004.835700120777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791246.48521256039</v>
      </c>
      <c r="E13" s="221">
        <f>(D11/D12)-1</f>
        <v>4.1053687565226644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-32004.835700120777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-71004.835700120777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318012.04179927538</v>
      </c>
      <c r="F15" s="216">
        <f>E15-D12</f>
        <v>125277.47101183576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-71004.835700120777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-31004.835700120777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120000</v>
      </c>
      <c r="E19" s="123">
        <f>D19*0.19</f>
        <v>22800</v>
      </c>
      <c r="F19" s="120">
        <f>SUM(D19:E19)</f>
        <v>142800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42900.480000000003</v>
      </c>
      <c r="E20" s="121">
        <f>D20*0.19</f>
        <v>8151.0912000000008</v>
      </c>
      <c r="F20" s="120">
        <f>SUM(D20:E20)</f>
        <v>51051.571200000006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162900.48000000001</v>
      </c>
      <c r="E21" s="116">
        <f>SUM(E18:E20)</f>
        <v>30951.091200000003</v>
      </c>
      <c r="F21" s="115">
        <f>SUM(F18:F20)</f>
        <v>193851.57120000001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156005.30944000001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983981.05599999998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162900.48000000001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791246.48521256039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791246.48521256039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2025-03-21T15:11:07Z</cp:lastPrinted>
  <dcterms:created xsi:type="dcterms:W3CDTF">2013-03-18T13:35:42Z</dcterms:created>
  <dcterms:modified xsi:type="dcterms:W3CDTF">2025-03-22T02:18:51Z</dcterms:modified>
</cp:coreProperties>
</file>