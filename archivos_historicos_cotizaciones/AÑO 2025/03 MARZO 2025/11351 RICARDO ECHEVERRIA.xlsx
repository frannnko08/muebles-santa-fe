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EB3949F-DD8B-43E9-85BC-1C7EED60B8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L21" i="1"/>
  <c r="N21" i="1"/>
  <c r="O22" i="1" l="1"/>
  <c r="P22" i="1" s="1"/>
  <c r="M21" i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Q22" i="1" l="1"/>
  <c r="R22" i="1" s="1"/>
  <c r="O40" i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<sst xmlns="http://schemas.openxmlformats.org/spreadsheetml/2006/main" count="231" uniqueCount="173">
  <si>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</si>
  <si>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</si>
  <si>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</si>
  <si>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</si>
  <si>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</si>
  <si>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</si>
  <si>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</si>
  <si>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</si>
  <si>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</si>
  <si>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</si>
  <si>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</si>
  <si>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</si>
  <si>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</si>
  <si>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</si>
  <si>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</si>
  <si>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</si>
  <si>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</si>
  <si>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</si>
  <si>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</si>
  <si>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</si>
  <si>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</si>
  <si>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</si>
  <si>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</si>
  <si>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</si>
  <si>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</si>
  <si>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</si>
  <si>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</si>
  <si>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</si>
  <si>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</si>
  <si>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</si>
  <si>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</si>
  <si>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</si>
  <si>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</si>
  <si>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</si>
  <si>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</si>
  <si>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</si>
  <si>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</si>
  <si>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</si>
  <si>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</si>
  <si>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</si>
  <si>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</si>
  <si>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</si>
  <si>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</si>
  <si>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</si>
  <si>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</si>
  <si>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</si>
  <si>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</si>
  <si>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</si>
  <si>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</si>
  <si>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</si>
  <si>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</si>
  <si>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</si>
  <si>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</si>
  <si>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</si>
  <si>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</si>
  <si>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</si>
  <si>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</si>
  <si>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</si>
  <si>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</si>
  <si>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</si>
  <si>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</si>
  <si>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</si>
  <si>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</si>
  <si>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</si>
  <si>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</si>
  <si>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</si>
  <si>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</si>
  <si>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</si>
  <si>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</si>
  <si>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</si>
  <si>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</si>
  <si>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</si>
  <si>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</si>
  <si>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</si>
  <si>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</si>
  <si>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</si>
  <si>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</si>
  <si>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</si>
  <si>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</si>
  <si>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</si>
  <si>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</si>
  <si>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</si>
  <si>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</si>
  <si>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</si>
  <si>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</si>
  <si>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</si>
  <si>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</si>
  <si>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</si>
  <si>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</si>
  <si>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</si>
  <si>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</si>
  <si>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</si>
  <si>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</si>
  <si>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</si>
  <si>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</si>
  <si>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</si>
  <si>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</si>
  <si>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</si>
  <si>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</si>
  <si>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</si>
  <si>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</si>
  <si>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</si>
  <si>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</si>
  <si>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</si>
  <si>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</si>
  <si>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</si>
  <si>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</si>
  <si>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</si>
  <si>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</si>
  <si>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</si>
  <si>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</si>
  <si>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</si>
  <si>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</si>
  <si>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</si>
  <si>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</si>
  <si>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</si>
  <si>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</si>
  <si>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</si>
  <si>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</si>
  <si>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</si>
  <si>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</si>
  <si>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</si>
  <si>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</si>
  <si>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</si>
  <si>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</si>
  <si>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</si>
  <si>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</si>
  <si>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</si>
  <si>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</si>
  <si>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</si>
  <si>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</si>
  <si>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</si>
  <si>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</si>
  <si>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</si>
  <si>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</si>
  <si>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</si>
  <si>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</si>
  <si>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</si>
  <si>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</si>
  <si>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</si>
  <si>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</si>
  <si>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</si>
  <si>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</si>
  <si>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</si>
  <si>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</si>
  <si>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</si>
  <si>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</si>
  <si>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</si>
  <si>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</si>
  <si>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</si>
  <si>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</si>
  <si>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</si>
  <si>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</si>
  <si>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</si>
  <si>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</si>
  <si>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</si>
  <si>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</si>
  <si>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</si>
  <si>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</si>
  <si>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</si>
  <si>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</si>
  <si>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</si>
  <si>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</si>
  <si>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</si>
  <si>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</si>
  <si>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</si>
  <si>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</si>
  <si>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</si>
  <si>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RICARDO ECHEVERRIA</t>
  </si>
  <si>
    <t>56979861884</t>
  </si>
  <si>
    <t>CUB RECTA SIN REGRUESO SIN RESPALDO</t>
  </si>
  <si>
    <t>N° 11351</t>
  </si>
  <si>
    <t>QUARZITE 3044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</si>
</sst>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DEBE</a:t>
          </a:r>
          <a:r>
            <a:rPr lang="es-CL" sz="1200" b="1" baseline="0"/>
            <a:t> INDICAR SI NECESITA LAS CUBIERTAS CORTADAS A LA MEDIDAS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6" zoomScale="93" zoomScaleNormal="93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45734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133186.38610650718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1.58</v>
      </c>
      <c r="E21" s="331">
        <v>0.5</v>
      </c>
      <c r="F21" s="330" t="s">
        <v>172</v>
      </c>
      <c r="G21" s="332">
        <v>110545</v>
      </c>
      <c r="H21" s="332">
        <f>G21*B21</f>
        <v>110545</v>
      </c>
      <c r="I21" s="320"/>
      <c r="J21" s="265"/>
      <c r="K21" s="47"/>
      <c r="L21" s="47">
        <f>B21</f>
        <v>1</v>
      </c>
      <c r="M21" s="39">
        <f>D21+M$19</f>
        <v>1.6600000000000001</v>
      </c>
      <c r="N21" s="39">
        <f>E21+$N$19</f>
        <v>0.5</v>
      </c>
      <c r="O21" s="261">
        <f t="shared" ref="O21" si="1">M21*N21</f>
        <v>0.83000000000000007</v>
      </c>
      <c r="P21" s="259">
        <f t="shared" ref="P21" si="2">O21*L21</f>
        <v>0.83000000000000007</v>
      </c>
      <c r="Q21" s="252">
        <f t="shared" ref="Q21" si="3">Q$20*O21</f>
        <v>110544.70046840097</v>
      </c>
      <c r="R21" s="319">
        <f t="shared" ref="R21" si="4">Q21+R$20</f>
        <v>113544.70046840097</v>
      </c>
      <c r="S21" s="297">
        <f>M21*L21</f>
        <v>1.6600000000000001</v>
      </c>
      <c r="T21" s="46">
        <f>N21*2*L21*2</f>
        <v>2</v>
      </c>
      <c r="U21" s="9"/>
      <c r="X21" s="4"/>
    </row>
    <row r="22" spans="1:25" ht="17.399999999999999" x14ac:dyDescent="0.3">
      <c r="B22" s="330">
        <v>1</v>
      </c>
      <c r="C22" s="330" t="s">
        <v>170</v>
      </c>
      <c r="D22" s="331">
        <v>1.61</v>
      </c>
      <c r="E22" s="331">
        <v>0.33</v>
      </c>
      <c r="F22" s="330" t="s">
        <v>172</v>
      </c>
      <c r="G22" s="332">
        <v>74278</v>
      </c>
      <c r="H22" s="332">
        <f t="shared" ref="H22" si="5">G22*B22</f>
        <v>74278</v>
      </c>
      <c r="I22" s="320"/>
      <c r="J22" s="265"/>
      <c r="K22" s="47"/>
      <c r="L22" s="47">
        <f t="shared" ref="L22" si="6">B22</f>
        <v>1</v>
      </c>
      <c r="M22" s="39">
        <f t="shared" ref="M22" si="7">D22+M$19</f>
        <v>1.6900000000000002</v>
      </c>
      <c r="N22" s="39">
        <f t="shared" ref="N22" si="8">E22+$N$19</f>
        <v>0.33</v>
      </c>
      <c r="O22" s="261">
        <f t="shared" ref="O22" si="9">M22*N22</f>
        <v>0.55770000000000008</v>
      </c>
      <c r="P22" s="259">
        <f t="shared" ref="P22" si="10">O22*L22</f>
        <v>0.55770000000000008</v>
      </c>
      <c r="Q22" s="252">
        <f t="shared" ref="Q22" si="11">Q$20*O22</f>
        <v>74278.047531599062</v>
      </c>
      <c r="R22" s="319">
        <f t="shared" ref="R22" si="12">Q22+R$20</f>
        <v>77278.047531599062</v>
      </c>
      <c r="S22" s="297"/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184823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35116.370000000003</v>
      </c>
      <c r="I26" s="322"/>
      <c r="J26" s="265"/>
      <c r="K26" s="47"/>
      <c r="L26" s="47"/>
      <c r="M26" s="39">
        <f>SUM(M21:M22)</f>
        <v>3.3500000000000005</v>
      </c>
      <c r="N26" s="12"/>
      <c r="O26" s="12"/>
      <c r="P26" s="253">
        <f>SUM(P21:P24)</f>
        <v>1.3877000000000002</v>
      </c>
      <c r="Q26" s="14"/>
      <c r="R26" s="12"/>
      <c r="S26" s="239">
        <f>SUM(S21:S25)</f>
        <v>1.6600000000000001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219939.37</v>
      </c>
      <c r="I27" s="322"/>
      <c r="J27" s="265"/>
      <c r="K27" s="47"/>
      <c r="L27" s="47"/>
      <c r="M27" s="39"/>
      <c r="N27" s="12"/>
      <c r="O27" s="12"/>
      <c r="P27" s="253">
        <f>P26</f>
        <v>1.3877000000000002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0.27754000000000006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1.6652400000000003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1.6652400000000003</v>
      </c>
      <c r="N31" s="12">
        <v>3500</v>
      </c>
      <c r="O31" s="12">
        <f t="shared" ref="O31:O36" si="13">M31*N31</f>
        <v>5828.3400000000011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0.5</v>
      </c>
      <c r="N32" s="12">
        <v>25000</v>
      </c>
      <c r="O32" s="12">
        <f t="shared" si="13"/>
        <v>12500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>
        <v>1</v>
      </c>
      <c r="N33" s="250">
        <v>65682</v>
      </c>
      <c r="O33" s="12">
        <f t="shared" si="13"/>
        <v>65682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/>
      <c r="N34" s="250">
        <v>37500</v>
      </c>
      <c r="O34" s="12">
        <f t="shared" si="13"/>
        <v>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13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13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84010.34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184822.74800000002</v>
      </c>
      <c r="P38" s="14" t="s">
        <v>140</v>
      </c>
      <c r="Q38" s="14"/>
      <c r="R38" s="40">
        <f>P29/R37</f>
        <v>0.44899698015530637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60000</v>
      </c>
      <c r="L39" s="250"/>
      <c r="M39" s="14"/>
      <c r="N39" s="12"/>
      <c r="O39" s="12">
        <f>O38/P27</f>
        <v>133186.38610650718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50420.168067226892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45734</v>
      </c>
    </row>
    <row r="6" spans="2:31" ht="16.2" thickBot="1" x14ac:dyDescent="0.35">
      <c r="B6" s="140" t="s">
        <v>2</v>
      </c>
      <c r="C6" s="139" t="str">
        <f>'2229'!C10</f>
        <v>RICARDO ECHEVERRIA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503.3851332125584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184823</v>
      </c>
      <c r="E11" s="132">
        <f>D11*0.19</f>
        <v>35116.370000000003</v>
      </c>
      <c r="F11" s="131">
        <f>E11+D11</f>
        <v>219939.37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106493.38513321256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113844.4307874396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88493.385133212563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70978.569212560396</v>
      </c>
      <c r="E13" s="221">
        <f>(D11/D12)-1</f>
        <v>0.62346984144604667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79493.385133212563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40493.385133212556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187843.31079927535</v>
      </c>
      <c r="F15" s="216">
        <f>E15-D12</f>
        <v>73998.880011835747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40493.385133212556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80493.385133212563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65682</v>
      </c>
      <c r="E18" s="123">
        <f>D18*0.19</f>
        <v>12479.58</v>
      </c>
      <c r="F18" s="120">
        <f>SUM(D18:E18)</f>
        <v>78161.58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12500</v>
      </c>
      <c r="E19" s="123">
        <f>D19*0.19</f>
        <v>2375</v>
      </c>
      <c r="F19" s="120">
        <f>SUM(D19:E19)</f>
        <v>14875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5828.3400000000011</v>
      </c>
      <c r="E20" s="121">
        <f>D20*0.19</f>
        <v>1107.3846000000003</v>
      </c>
      <c r="F20" s="120">
        <f>SUM(D20:E20)</f>
        <v>6935.7246000000014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84010.34</v>
      </c>
      <c r="E21" s="116">
        <f>SUM(E18:E20)</f>
        <v>15961.964599999999</v>
      </c>
      <c r="F21" s="115">
        <f>SUM(F18:F20)</f>
        <v>99972.304600000003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19154.405400000003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184823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84010.34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70978.569212560396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70978.569212560396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2025-03-18T12:10:07Z</dcterms:modified>
</cp:coreProperties>
</file>