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4B974D70-520E-452D-B934-D34C31A2FB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L21" i="1"/>
  <c r="K31" i="1" l="1"/>
  <c r="K33" i="1"/>
  <c r="N21" i="1"/>
  <c r="K34" i="1" l="1"/>
  <c r="K35" i="1" s="1"/>
  <c r="K36" i="1" s="1"/>
  <c r="M21" i="1"/>
  <c r="M25" i="1" l="1"/>
  <c r="T21" i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<sst xmlns="http://schemas.openxmlformats.org/spreadsheetml/2006/main" count="229" uniqueCount="174">
  <si>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</si>
  <si>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</si>
  <si>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</si>
  <si>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</si>
  <si>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</si>
  <si>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</si>
  <si>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</si>
  <si>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</si>
  <si>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</si>
  <si>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</si>
  <si>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</si>
  <si>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</si>
  <si>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</si>
  <si>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</si>
  <si>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</si>
  <si>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</si>
  <si>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</si>
  <si>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</si>
  <si>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</si>
  <si>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</si>
  <si>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</si>
  <si>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</si>
  <si>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</si>
  <si>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</si>
  <si>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</si>
  <si>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</si>
  <si>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</si>
  <si>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</si>
  <si>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</si>
  <si>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</si>
  <si>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</si>
  <si>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</si>
  <si>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</si>
  <si>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</si>
  <si>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</si>
  <si>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</si>
  <si>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</si>
  <si>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</si>
  <si>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</si>
  <si>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</si>
  <si>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</si>
  <si>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</si>
  <si>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</si>
  <si>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</si>
  <si>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</si>
  <si>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</si>
  <si>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</si>
  <si>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</si>
  <si>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</si>
  <si>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</si>
  <si>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</si>
  <si>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</si>
  <si>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</si>
  <si>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</si>
  <si>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</si>
  <si>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</si>
  <si>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</si>
  <si>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</si>
  <si>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</si>
  <si>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</si>
  <si>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</si>
  <si>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</si>
  <si>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</si>
  <si>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</si>
  <si>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</si>
  <si>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</si>
  <si>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</si>
  <si>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</si>
  <si>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</si>
  <si>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</si>
  <si>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</si>
  <si>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</si>
  <si>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</si>
  <si>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</si>
  <si>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</si>
  <si>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</si>
  <si>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</si>
  <si>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</si>
  <si>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</si>
  <si>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</si>
  <si>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</si>
  <si>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</si>
  <si>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</si>
  <si>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</si>
  <si>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</si>
  <si>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</si>
  <si>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</si>
  <si>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</si>
  <si>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</si>
  <si>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</si>
  <si>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</si>
  <si>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</si>
  <si>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</si>
  <si>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</si>
  <si>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</si>
  <si>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</si>
  <si>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</si>
  <si>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</si>
  <si>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</si>
  <si>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</si>
  <si>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</si>
  <si>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</si>
  <si>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</si>
  <si>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</si>
  <si>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</si>
  <si>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</si>
  <si>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</si>
  <si>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</si>
  <si>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</si>
  <si>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</si>
  <si>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</si>
  <si>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</si>
  <si>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</si>
  <si>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</si>
  <si>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</si>
  <si>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</si>
  <si>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</si>
  <si>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</si>
  <si>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</si>
  <si>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</si>
  <si>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</si>
  <si>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</si>
  <si>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</si>
  <si>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</si>
  <si>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</si>
  <si>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</si>
  <si>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</si>
  <si>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</si>
  <si>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</si>
  <si>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</si>
  <si>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</si>
  <si>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</si>
  <si>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</si>
  <si>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</si>
  <si>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</si>
  <si>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</si>
  <si>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</si>
  <si>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</si>
  <si>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</si>
  <si>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</si>
  <si>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</si>
  <si>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</si>
  <si>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</si>
  <si>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</si>
  <si>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</si>
  <si>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</si>
  <si>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</si>
  <si>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</si>
  <si>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</si>
  <si>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</si>
  <si>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</si>
  <si>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</si>
  <si>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</si>
  <si>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</si>
  <si>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</si>
  <si>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</si>
  <si>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</si>
  <si>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</si>
  <si>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</si>
  <si>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</si>
  <si>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</si>
  <si>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</si>
  <si>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</si>
  <si>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</si>
  <si>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</si>
  <si>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</si>
  <si>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</si>
  <si>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</si>
  <si>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</si>
  <si>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</si>
  <si>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</si>
  <si>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>N° 11334</t>
  </si>
  <si>
    <t>SLATE 22099 SF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</si>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</sst>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45729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69735.406698564606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35</v>
      </c>
      <c r="D21" s="331">
        <v>2.0099999999999998</v>
      </c>
      <c r="E21" s="331">
        <v>0.6</v>
      </c>
      <c r="F21" s="330" t="s">
        <v>172</v>
      </c>
      <c r="G21" s="332">
        <v>87448</v>
      </c>
      <c r="H21" s="332">
        <f>G21*B21</f>
        <v>87448</v>
      </c>
      <c r="I21" s="320"/>
      <c r="J21" s="265"/>
      <c r="K21" s="47"/>
      <c r="L21" s="333">
        <f>B21</f>
        <v>1</v>
      </c>
      <c r="M21" s="39">
        <f>D21+M$19</f>
        <v>2.09</v>
      </c>
      <c r="N21" s="39">
        <f>E21+$N$19</f>
        <v>0.6</v>
      </c>
      <c r="O21" s="261">
        <f t="shared" ref="O21" si="1">M21*N21</f>
        <v>1.2539999999999998</v>
      </c>
      <c r="P21" s="259">
        <f t="shared" ref="P21" si="2">O21*L21</f>
        <v>1.2539999999999998</v>
      </c>
      <c r="Q21" s="252">
        <f t="shared" ref="Q21" si="3">Q$20*O21</f>
        <v>87448.2</v>
      </c>
      <c r="R21" s="319">
        <f t="shared" ref="R21" si="4">Q21+R$20</f>
        <v>90448.2</v>
      </c>
      <c r="S21" s="297"/>
      <c r="T21" s="46">
        <f>M21*L21</f>
        <v>2.09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87448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2.09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16615.12</v>
      </c>
      <c r="I25" s="322"/>
      <c r="J25" s="265"/>
      <c r="K25" s="47"/>
      <c r="L25" s="47"/>
      <c r="M25" s="39">
        <f>SUM(M21:M24)</f>
        <v>2.09</v>
      </c>
      <c r="N25" s="12"/>
      <c r="O25" s="12"/>
      <c r="P25" s="253">
        <f>SUM(P21:P23)</f>
        <v>1.2539999999999998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104063.12</v>
      </c>
      <c r="I26" s="322"/>
      <c r="J26" s="265"/>
      <c r="K26" s="47">
        <v>70</v>
      </c>
      <c r="L26" s="47"/>
      <c r="M26" s="39"/>
      <c r="N26" s="12"/>
      <c r="O26" s="12"/>
      <c r="P26" s="253">
        <f>P25</f>
        <v>1.2539999999999998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>
        <v>12</v>
      </c>
      <c r="L27" s="47"/>
      <c r="M27" s="14"/>
      <c r="N27" s="12"/>
      <c r="O27" s="12"/>
      <c r="P27" s="39">
        <f>P26*20%</f>
        <v>0.25079999999999997</v>
      </c>
      <c r="Q27" s="39" t="s">
        <v>130</v>
      </c>
      <c r="R27" s="42"/>
      <c r="S27" s="240">
        <f>S26+T24</f>
        <v>2.09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>
        <f>K26-K27</f>
        <v>58</v>
      </c>
      <c r="L28" s="47"/>
      <c r="M28" s="14"/>
      <c r="N28" s="12"/>
      <c r="O28" s="12"/>
      <c r="P28" s="46">
        <f>P26+P27</f>
        <v>1.5047999999999997</v>
      </c>
      <c r="Q28" s="14"/>
      <c r="R28" s="14"/>
      <c r="S28" s="238">
        <f>S27*20%</f>
        <v>0.41799999999999998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2.508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1.5047999999999997</v>
      </c>
      <c r="N30" s="12">
        <v>2500</v>
      </c>
      <c r="O30" s="12">
        <f t="shared" ref="O30:O35" si="5">M30*N30</f>
        <v>3761.9999999999991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0.41</v>
      </c>
      <c r="N31" s="12">
        <v>23500</v>
      </c>
      <c r="O31" s="12">
        <f t="shared" si="5"/>
        <v>9635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35800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32368</v>
      </c>
      <c r="L33" s="250"/>
      <c r="M33" s="14">
        <v>1</v>
      </c>
      <c r="N33" s="250">
        <v>27200</v>
      </c>
      <c r="O33" s="12">
        <f t="shared" si="5"/>
        <v>27200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60333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50700</v>
      </c>
      <c r="L35" s="250"/>
      <c r="M35" s="266">
        <v>2.09</v>
      </c>
      <c r="N35" s="12">
        <v>500</v>
      </c>
      <c r="O35" s="12">
        <f t="shared" si="5"/>
        <v>1045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9633</v>
      </c>
      <c r="L36" s="250"/>
      <c r="M36" s="14"/>
      <c r="N36" s="12"/>
      <c r="O36" s="12">
        <f>SUM(O30:O35)</f>
        <v>41642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87448.2</v>
      </c>
      <c r="P37" s="14" t="s">
        <v>140</v>
      </c>
      <c r="Q37" s="14"/>
      <c r="R37" s="40">
        <f>P28/R36</f>
        <v>0.40573770491803268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69735.406698564606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45729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11334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-2686.1167001207723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87448</v>
      </c>
      <c r="E11" s="132">
        <f>D11*0.19</f>
        <v>16615.12</v>
      </c>
      <c r="F11" s="131">
        <f>E11+D11</f>
        <v>104063.12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103303.88329987923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43231.090787439614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85303.883299879235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44216.909212560386</v>
      </c>
      <c r="E13" s="221">
        <f>(D11/D12)-1</f>
        <v>1.0228034594354298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76303.883299879235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37303.883299879228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71331.299799275366</v>
      </c>
      <c r="F15" s="216">
        <f>E15-D12</f>
        <v>28100.209011835752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37303.883299879228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77303.883299879235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9635</v>
      </c>
      <c r="E19" s="123">
        <f>D19*0.19</f>
        <v>1830.65</v>
      </c>
      <c r="F19" s="120">
        <f>SUM(D19:E19)</f>
        <v>11465.65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3761.9999999999991</v>
      </c>
      <c r="E20" s="121">
        <f>D20*0.19</f>
        <v>714.77999999999986</v>
      </c>
      <c r="F20" s="120">
        <f>SUM(D20:E20)</f>
        <v>4476.7799999999988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13397</v>
      </c>
      <c r="E21" s="116">
        <f>SUM(E18:E20)</f>
        <v>2545.4299999999998</v>
      </c>
      <c r="F21" s="115">
        <f>SUM(F18:F20)</f>
        <v>15942.429999999998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14069.689999999999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87448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13397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44216.909212560386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44216.909212560386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2025-03-13T18:07:42Z</dcterms:modified>
</cp:coreProperties>
</file>