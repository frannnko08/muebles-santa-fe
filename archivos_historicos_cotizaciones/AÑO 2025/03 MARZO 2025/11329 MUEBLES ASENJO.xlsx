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C08FA564-81CF-48F7-9179-F9F2A336D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P26" i="1"/>
  <c r="L22" i="1"/>
  <c r="M22" i="1"/>
  <c r="N22" i="1"/>
  <c r="O22" i="1"/>
  <c r="P22" i="1" s="1"/>
  <c r="K29" i="1"/>
  <c r="L21" i="1"/>
  <c r="K32" i="1" l="1"/>
  <c r="K34" i="1"/>
  <c r="N21" i="1"/>
  <c r="K35" i="1" l="1"/>
  <c r="K36" i="1" s="1"/>
  <c r="K37" i="1" s="1"/>
  <c r="M21" i="1"/>
  <c r="M26" i="1" l="1"/>
  <c r="T21" i="1"/>
  <c r="T25" i="1" s="1"/>
  <c r="S27" i="1"/>
  <c r="O21" i="1"/>
  <c r="P21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<sst xmlns="http://schemas.openxmlformats.org/spreadsheetml/2006/main" count="231" uniqueCount="175">
  <si>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</si>
  <si>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</si>
  <si>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</si>
  <si>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</si>
  <si>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</si>
  <si>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</si>
  <si>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</si>
  <si>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</si>
  <si>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</si>
  <si>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</si>
  <si>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</si>
  <si>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</si>
  <si>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</si>
  <si>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</si>
  <si>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</si>
  <si>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</si>
  <si>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</si>
  <si>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</si>
  <si>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</si>
  <si>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</si>
  <si>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</si>
  <si>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</si>
  <si>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</si>
  <si>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</si>
  <si>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</si>
  <si>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</si>
  <si>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</si>
  <si>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</si>
  <si>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</si>
  <si>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</si>
  <si>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</si>
  <si>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</si>
  <si>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</si>
  <si>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</si>
  <si>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</si>
  <si>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</si>
  <si>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</si>
  <si>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</si>
  <si>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</si>
  <si>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</si>
  <si>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</si>
  <si>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</si>
  <si>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</si>
  <si>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</si>
  <si>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</si>
  <si>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</si>
  <si>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</si>
  <si>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</si>
  <si>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</si>
  <si>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</si>
  <si>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</si>
  <si>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</si>
  <si>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</si>
  <si>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</si>
  <si>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</si>
  <si>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</si>
  <si>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</si>
  <si>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</si>
  <si>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</si>
  <si>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</si>
  <si>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</si>
  <si>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</si>
  <si>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</si>
  <si>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</si>
  <si>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</si>
  <si>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</si>
  <si>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</si>
  <si>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</si>
  <si>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</si>
  <si>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</si>
  <si>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</si>
  <si>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</si>
  <si>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</si>
  <si>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</si>
  <si>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</si>
  <si>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</si>
  <si>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</si>
  <si>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</si>
  <si>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</si>
  <si>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</si>
  <si>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</si>
  <si>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</si>
  <si>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</si>
  <si>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</si>
  <si>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</si>
  <si>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</si>
  <si>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</si>
  <si>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</si>
  <si>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</si>
  <si>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</si>
  <si>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</si>
  <si>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</si>
  <si>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</si>
  <si>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</si>
  <si>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</si>
  <si>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</si>
  <si>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</si>
  <si>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</si>
  <si>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</si>
  <si>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</si>
  <si>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</si>
  <si>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</si>
  <si>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</si>
  <si>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</si>
  <si>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</si>
  <si>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</si>
  <si>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</si>
  <si>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</si>
  <si>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</si>
  <si>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</si>
  <si>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</si>
  <si>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</si>
  <si>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</si>
  <si>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</si>
  <si>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</si>
  <si>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</si>
  <si>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</si>
  <si>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</si>
  <si>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</si>
  <si>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</si>
  <si>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</si>
  <si>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</si>
  <si>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</si>
  <si>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</si>
  <si>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</si>
  <si>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</si>
  <si>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</si>
  <si>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</si>
  <si>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</si>
  <si>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</si>
  <si>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</si>
  <si>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</si>
  <si>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</si>
  <si>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</si>
  <si>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</si>
  <si>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</si>
  <si>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</si>
  <si>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</si>
  <si>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</si>
  <si>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</si>
  <si>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</si>
  <si>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</si>
  <si>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</si>
  <si>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</si>
  <si>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</si>
  <si>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</si>
  <si>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</si>
  <si>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</si>
  <si>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</si>
  <si>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</si>
  <si>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</si>
  <si>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</si>
  <si>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</si>
  <si>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</si>
  <si>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</si>
  <si>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</si>
  <si>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</si>
  <si>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</si>
  <si>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</si>
  <si>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</si>
  <si>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</si>
  <si>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</si>
  <si>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</si>
  <si>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</si>
  <si>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</si>
  <si>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</si>
  <si>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</si>
  <si>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</si>
  <si>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</si>
  <si>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</si>
  <si>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BLANCO OPACO MERINO</t>
  </si>
  <si>
    <t>URGENTE</t>
  </si>
  <si>
    <t>N° 11329</t>
  </si>
  <si>
    <t>CUB C/R R9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</si>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</sst>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G14" sqref="G14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45727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174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59559.433962264156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35</v>
      </c>
      <c r="D21" s="331">
        <v>1.55</v>
      </c>
      <c r="E21" s="331">
        <v>0.6</v>
      </c>
      <c r="F21" s="330" t="s">
        <v>170</v>
      </c>
      <c r="G21" s="332">
        <v>58249</v>
      </c>
      <c r="H21" s="332">
        <f>G21*B21</f>
        <v>58249</v>
      </c>
      <c r="I21" s="320"/>
      <c r="J21" s="265"/>
      <c r="K21" s="47"/>
      <c r="L21" s="333">
        <f>B21</f>
        <v>1</v>
      </c>
      <c r="M21" s="39">
        <f>D21+M$19</f>
        <v>1.6300000000000001</v>
      </c>
      <c r="N21" s="39">
        <f>E21+$N$19</f>
        <v>0.6</v>
      </c>
      <c r="O21" s="261">
        <f t="shared" ref="O21" si="1">M21*N21</f>
        <v>0.97799999999999998</v>
      </c>
      <c r="P21" s="259">
        <f t="shared" ref="P21" si="2">O21*L21</f>
        <v>0.97799999999999998</v>
      </c>
      <c r="Q21" s="252">
        <f t="shared" ref="Q21" si="3">Q$20*O21</f>
        <v>58249.126415094346</v>
      </c>
      <c r="R21" s="319">
        <f t="shared" ref="R21" si="4">Q21+R$20</f>
        <v>61249.126415094346</v>
      </c>
      <c r="S21" s="297"/>
      <c r="T21" s="46">
        <f>M21*L21</f>
        <v>1.6300000000000001</v>
      </c>
      <c r="U21" s="9"/>
      <c r="X21" s="4"/>
    </row>
    <row r="22" spans="1:25" ht="17.399999999999999" x14ac:dyDescent="0.3">
      <c r="B22" s="330">
        <v>1</v>
      </c>
      <c r="C22" s="330" t="s">
        <v>173</v>
      </c>
      <c r="D22" s="331">
        <v>2</v>
      </c>
      <c r="E22" s="331">
        <v>0.6</v>
      </c>
      <c r="F22" s="330" t="s">
        <v>170</v>
      </c>
      <c r="G22" s="332">
        <v>74330</v>
      </c>
      <c r="H22" s="332">
        <f>G22*B22</f>
        <v>74330</v>
      </c>
      <c r="I22" s="320"/>
      <c r="J22" s="265"/>
      <c r="K22" s="47"/>
      <c r="L22" s="333">
        <f>B22</f>
        <v>1</v>
      </c>
      <c r="M22" s="39">
        <f>D22+M$19</f>
        <v>2.08</v>
      </c>
      <c r="N22" s="39">
        <f>E22+$N$19</f>
        <v>0.6</v>
      </c>
      <c r="O22" s="261">
        <f t="shared" ref="O22" si="5">M22*N22</f>
        <v>1.248</v>
      </c>
      <c r="P22" s="259">
        <f t="shared" ref="P22" si="6">O22*L22</f>
        <v>1.248</v>
      </c>
      <c r="Q22" s="252">
        <f t="shared" ref="Q22" si="7">Q$20*O22</f>
        <v>74330.173584905671</v>
      </c>
      <c r="R22" s="319">
        <f t="shared" ref="R22" si="8">Q22+R$20</f>
        <v>77330.173584905671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132579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1.6300000000000001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25190.010000000002</v>
      </c>
      <c r="I26" s="322"/>
      <c r="J26" s="265"/>
      <c r="K26" s="47"/>
      <c r="L26" s="47"/>
      <c r="M26" s="39">
        <f>SUM(M21:M25)</f>
        <v>3.71</v>
      </c>
      <c r="N26" s="12"/>
      <c r="O26" s="12"/>
      <c r="P26" s="253">
        <f>SUM(P21:P24)</f>
        <v>2.226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157769.01</v>
      </c>
      <c r="I27" s="322"/>
      <c r="J27" s="265"/>
      <c r="K27" s="47">
        <v>70</v>
      </c>
      <c r="L27" s="47"/>
      <c r="M27" s="39"/>
      <c r="N27" s="12"/>
      <c r="O27" s="12"/>
      <c r="P27" s="253">
        <f>P26</f>
        <v>2.226</v>
      </c>
      <c r="Q27" s="14"/>
      <c r="R27" s="12"/>
      <c r="S27" s="239">
        <f>SUM(S21:S26)</f>
        <v>0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>
        <v>12</v>
      </c>
      <c r="L28" s="47"/>
      <c r="M28" s="14"/>
      <c r="N28" s="12"/>
      <c r="O28" s="12"/>
      <c r="P28" s="39">
        <f>P27*20%</f>
        <v>0.44520000000000004</v>
      </c>
      <c r="Q28" s="39" t="s">
        <v>130</v>
      </c>
      <c r="R28" s="42"/>
      <c r="S28" s="240">
        <f>S27+T25</f>
        <v>1.6300000000000001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>
        <f>K27-K28</f>
        <v>58</v>
      </c>
      <c r="L29" s="47"/>
      <c r="M29" s="14"/>
      <c r="N29" s="12"/>
      <c r="O29" s="12"/>
      <c r="P29" s="46">
        <f>P27+P28</f>
        <v>2.6711999999999998</v>
      </c>
      <c r="Q29" s="14"/>
      <c r="R29" s="14"/>
      <c r="S29" s="238">
        <f>S28*20%</f>
        <v>0.32600000000000007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1.9560000000000002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2.6711999999999998</v>
      </c>
      <c r="N31" s="12">
        <v>2500</v>
      </c>
      <c r="O31" s="12">
        <f t="shared" ref="O31:O36" si="9">M31*N31</f>
        <v>6677.9999999999991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0.8</v>
      </c>
      <c r="N32" s="12">
        <v>23500</v>
      </c>
      <c r="O32" s="12">
        <f t="shared" si="9"/>
        <v>18800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>
        <v>1</v>
      </c>
      <c r="N33" s="250">
        <v>35800</v>
      </c>
      <c r="O33" s="12">
        <f t="shared" si="9"/>
        <v>35800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26775</v>
      </c>
      <c r="L34" s="250"/>
      <c r="M34" s="14"/>
      <c r="N34" s="250">
        <v>22500</v>
      </c>
      <c r="O34" s="12">
        <f t="shared" si="9"/>
        <v>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54740</v>
      </c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46000</v>
      </c>
      <c r="L36" s="250"/>
      <c r="M36" s="266">
        <v>3.71</v>
      </c>
      <c r="N36" s="12">
        <v>500</v>
      </c>
      <c r="O36" s="12">
        <f t="shared" si="9"/>
        <v>1855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8740</v>
      </c>
      <c r="L37" s="250"/>
      <c r="M37" s="14"/>
      <c r="N37" s="12"/>
      <c r="O37" s="12">
        <f>SUM(O31:O36)</f>
        <v>63133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132579.30000000002</v>
      </c>
      <c r="P38" s="14" t="s">
        <v>140</v>
      </c>
      <c r="Q38" s="14"/>
      <c r="R38" s="40">
        <f>P29/R37</f>
        <v>0.72023295944779975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59559.433962264156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2959.3249665458911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132579</v>
      </c>
      <c r="E11" s="132">
        <f>D11*0.19</f>
        <v>25190.010000000002</v>
      </c>
      <c r="F11" s="131">
        <f>E11+D11</f>
        <v>157769.01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108949.32496654589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91112.090787439607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90949.324966545886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41466.909212560393</v>
      </c>
      <c r="E13" s="221">
        <f>(D11/D12)-1</f>
        <v>0.45511971961329278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81949.324966545886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42949.324966545893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150334.94979927535</v>
      </c>
      <c r="F15" s="216">
        <f>E15-D12</f>
        <v>59222.859011835739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42949.324966545893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82949.324966545886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35800</v>
      </c>
      <c r="E18" s="123">
        <f>D18*0.19</f>
        <v>6802</v>
      </c>
      <c r="F18" s="120">
        <f>SUM(D18:E18)</f>
        <v>42602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6677.9999999999991</v>
      </c>
      <c r="E20" s="121">
        <f>D20*0.19</f>
        <v>1268.82</v>
      </c>
      <c r="F20" s="120">
        <f>SUM(D20:E20)</f>
        <v>7946.8199999999988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61278</v>
      </c>
      <c r="E21" s="116">
        <f>SUM(E18:E20)</f>
        <v>11642.82</v>
      </c>
      <c r="F21" s="115">
        <f>SUM(F18:F20)</f>
        <v>72920.819999999992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13547.190000000002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132579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61278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41466.909212560393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41466.909212560393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2025-03-11T14:00:06Z</dcterms:modified>
</cp:coreProperties>
</file>