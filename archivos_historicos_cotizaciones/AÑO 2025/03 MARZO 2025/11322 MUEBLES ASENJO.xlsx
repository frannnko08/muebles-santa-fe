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F9BA2FB-04D3-4E01-953D-6E48C2D6DC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  <c r="T21" i="1"/>
  <c r="L22" i="1"/>
  <c r="M22" i="1"/>
  <c r="O22" i="1" s="1"/>
  <c r="P22" i="1" s="1"/>
  <c r="N22" i="1"/>
  <c r="H22" i="1" l="1"/>
  <c r="K29" i="1"/>
  <c r="L21" i="1"/>
  <c r="K32" i="1" l="1"/>
  <c r="K34" i="1"/>
  <c r="N21" i="1"/>
  <c r="K35" i="1" l="1"/>
  <c r="K36" i="1" s="1"/>
  <c r="K37" i="1" s="1"/>
  <c r="M21" i="1"/>
  <c r="M26" i="1" s="1"/>
  <c r="T25" i="1" l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<sst xmlns="http://schemas.openxmlformats.org/spreadsheetml/2006/main" count="231" uniqueCount="173">
  <si>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</si>
  <si>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</si>
  <si>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</si>
  <si>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</si>
  <si>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</si>
  <si>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</si>
  <si>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</si>
  <si>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</si>
  <si>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</si>
  <si>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</si>
  <si>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</si>
  <si>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</si>
  <si>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</si>
  <si>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</si>
  <si>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</si>
  <si>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</si>
  <si>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</si>
  <si>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</si>
  <si>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</si>
  <si>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</si>
  <si>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</si>
  <si>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</si>
  <si>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</si>
  <si>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</si>
  <si>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</si>
  <si>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</si>
  <si>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</si>
  <si>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</si>
  <si>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</si>
  <si>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</si>
  <si>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</si>
  <si>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</si>
  <si>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</si>
  <si>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</si>
  <si>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</si>
  <si>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</si>
  <si>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</si>
  <si>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</si>
  <si>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</si>
  <si>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</si>
  <si>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</si>
  <si>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</si>
  <si>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</si>
  <si>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</si>
  <si>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</si>
  <si>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</si>
  <si>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</si>
  <si>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</si>
  <si>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</si>
  <si>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</si>
  <si>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</si>
  <si>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</si>
  <si>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</si>
  <si>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</si>
  <si>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</si>
  <si>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</si>
  <si>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</si>
  <si>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</si>
  <si>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</si>
  <si>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</si>
  <si>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</si>
  <si>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</si>
  <si>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</si>
  <si>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</si>
  <si>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</si>
  <si>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</si>
  <si>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</si>
  <si>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</si>
  <si>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</si>
  <si>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</si>
  <si>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</si>
  <si>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</si>
  <si>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</si>
  <si>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</si>
  <si>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</si>
  <si>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</si>
  <si>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</si>
  <si>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</si>
  <si>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</si>
  <si>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</si>
  <si>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</si>
  <si>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</si>
  <si>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</si>
  <si>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</si>
  <si>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</si>
  <si>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</si>
  <si>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</si>
  <si>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</si>
  <si>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</si>
  <si>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</si>
  <si>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</si>
  <si>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</si>
  <si>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</si>
  <si>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</si>
  <si>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</si>
  <si>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</si>
  <si>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</si>
  <si>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</si>
  <si>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</si>
  <si>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</si>
  <si>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</si>
  <si>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</si>
  <si>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</si>
  <si>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</si>
  <si>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</si>
  <si>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</si>
  <si>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</si>
  <si>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</si>
  <si>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</si>
  <si>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</si>
  <si>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</si>
  <si>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</si>
  <si>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</si>
  <si>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</si>
  <si>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</si>
  <si>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</si>
  <si>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</si>
  <si>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</si>
  <si>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</si>
  <si>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</si>
  <si>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</si>
  <si>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</si>
  <si>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</si>
  <si>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</si>
  <si>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</si>
  <si>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</si>
  <si>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</si>
  <si>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</si>
  <si>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</si>
  <si>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</si>
  <si>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</si>
  <si>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</si>
  <si>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</si>
  <si>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</si>
  <si>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</si>
  <si>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</si>
  <si>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</si>
  <si>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</si>
  <si>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</si>
  <si>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</si>
  <si>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</si>
  <si>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</si>
  <si>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</si>
  <si>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</si>
  <si>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</si>
  <si>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</si>
  <si>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</si>
  <si>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</si>
  <si>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</si>
  <si>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</si>
  <si>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</si>
  <si>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</si>
  <si>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</si>
  <si>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</si>
  <si>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</si>
  <si>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</si>
  <si>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</si>
  <si>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</si>
  <si>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</si>
  <si>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</si>
  <si>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</si>
  <si>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</si>
  <si>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</si>
  <si>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</si>
  <si>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</si>
  <si>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</si>
  <si>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</si>
  <si>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</si>
  <si>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</si>
  <si>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5 DIAS HABILES</t>
  </si>
  <si>
    <t>SI</t>
  </si>
  <si>
    <t>N° 11322</t>
  </si>
  <si>
    <t>BLANCO OPACO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</si>
</sst>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F22" sqref="F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45721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170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57583.645655877357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5</v>
      </c>
      <c r="C21" s="330" t="s">
        <v>35</v>
      </c>
      <c r="D21" s="331">
        <v>2.0099999999999998</v>
      </c>
      <c r="E21" s="331">
        <v>0.6</v>
      </c>
      <c r="F21" s="330" t="s">
        <v>172</v>
      </c>
      <c r="G21" s="332">
        <v>72710</v>
      </c>
      <c r="H21" s="332">
        <f>G21*B21</f>
        <v>363550</v>
      </c>
      <c r="I21" s="320"/>
      <c r="J21" s="265"/>
      <c r="K21" s="47"/>
      <c r="L21" s="333">
        <f>B21</f>
        <v>5</v>
      </c>
      <c r="M21" s="39">
        <f>D21+M$19</f>
        <v>2.09</v>
      </c>
      <c r="N21" s="39">
        <f>E21+$N$19</f>
        <v>0.6</v>
      </c>
      <c r="O21" s="261">
        <f t="shared" ref="O21" si="1">M21*N21</f>
        <v>1.2539999999999998</v>
      </c>
      <c r="P21" s="259">
        <f t="shared" ref="P21" si="2">O21*L21</f>
        <v>6.2699999999999987</v>
      </c>
      <c r="Q21" s="252">
        <f t="shared" ref="Q21" si="3">Q$20*O21</f>
        <v>72209.891652470193</v>
      </c>
      <c r="R21" s="319">
        <f t="shared" ref="R21" si="4">Q21+R$20</f>
        <v>75209.891652470193</v>
      </c>
      <c r="S21" s="297"/>
      <c r="T21" s="46">
        <f>M21*L21</f>
        <v>10.45</v>
      </c>
      <c r="U21" s="9"/>
      <c r="X21" s="4"/>
    </row>
    <row r="22" spans="1:25" ht="17.399999999999999" x14ac:dyDescent="0.3">
      <c r="B22" s="330">
        <v>1</v>
      </c>
      <c r="C22" s="330" t="s">
        <v>35</v>
      </c>
      <c r="D22" s="331">
        <v>1.21</v>
      </c>
      <c r="E22" s="331">
        <v>0.6</v>
      </c>
      <c r="F22" s="330" t="s">
        <v>172</v>
      </c>
      <c r="G22" s="332">
        <v>44570</v>
      </c>
      <c r="H22" s="332">
        <f>G22*B22</f>
        <v>44570</v>
      </c>
      <c r="I22" s="320"/>
      <c r="J22" s="265"/>
      <c r="K22" s="47"/>
      <c r="L22" s="333">
        <f>B22</f>
        <v>1</v>
      </c>
      <c r="M22" s="39">
        <f>D22+M$19</f>
        <v>1.29</v>
      </c>
      <c r="N22" s="39">
        <f>E22+$N$19</f>
        <v>0.6</v>
      </c>
      <c r="O22" s="261">
        <f t="shared" ref="O22" si="5">M22*N22</f>
        <v>0.77400000000000002</v>
      </c>
      <c r="P22" s="259">
        <f t="shared" ref="P22" si="6">O22*L22</f>
        <v>0.77400000000000002</v>
      </c>
      <c r="Q22" s="252">
        <f t="shared" ref="Q22" si="7">Q$20*O22</f>
        <v>44569.741737649078</v>
      </c>
      <c r="R22" s="319">
        <f t="shared" ref="R22" si="8">Q22+R$20</f>
        <v>47569.741737649078</v>
      </c>
      <c r="S22" s="297"/>
      <c r="T22" s="46">
        <f>M22*L22</f>
        <v>1.29</v>
      </c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408120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11.739999999999998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77542.8</v>
      </c>
      <c r="I26" s="322"/>
      <c r="J26" s="265"/>
      <c r="K26" s="47"/>
      <c r="L26" s="47"/>
      <c r="M26" s="39">
        <f>SUM(M21:M25)</f>
        <v>3.38</v>
      </c>
      <c r="N26" s="12"/>
      <c r="O26" s="12"/>
      <c r="P26" s="253">
        <f>SUM(P21:P24)</f>
        <v>7.0439999999999987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485662.8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7.0439999999999987</v>
      </c>
      <c r="Q27" s="14"/>
      <c r="R27" s="12"/>
      <c r="S27" s="239">
        <f>SUM(S21:S26)</f>
        <v>0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1.4087999999999998</v>
      </c>
      <c r="Q28" s="39" t="s">
        <v>130</v>
      </c>
      <c r="R28" s="42"/>
      <c r="S28" s="240">
        <f>S27+T25</f>
        <v>11.739999999999998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8.4527999999999981</v>
      </c>
      <c r="Q29" s="14"/>
      <c r="R29" s="14"/>
      <c r="S29" s="238">
        <f>S28*20%</f>
        <v>2.3479999999999999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14.087999999999997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8.4527999999999981</v>
      </c>
      <c r="N31" s="12">
        <v>2500</v>
      </c>
      <c r="O31" s="12">
        <f t="shared" ref="O31:O36" si="9">M31*N31</f>
        <v>21131.999999999996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2.5</v>
      </c>
      <c r="N32" s="12">
        <v>23500</v>
      </c>
      <c r="O32" s="12">
        <f t="shared" si="9"/>
        <v>58750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3</v>
      </c>
      <c r="N33" s="250">
        <v>35800</v>
      </c>
      <c r="O33" s="12">
        <f t="shared" si="9"/>
        <v>107400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23205</v>
      </c>
      <c r="L34" s="250"/>
      <c r="M34" s="14"/>
      <c r="N34" s="250">
        <v>19500</v>
      </c>
      <c r="O34" s="12">
        <f t="shared" si="9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51170</v>
      </c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43000</v>
      </c>
      <c r="L36" s="250"/>
      <c r="M36" s="266">
        <v>11.74</v>
      </c>
      <c r="N36" s="12">
        <v>500</v>
      </c>
      <c r="O36" s="12">
        <f t="shared" si="9"/>
        <v>5870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8170</v>
      </c>
      <c r="L37" s="250"/>
      <c r="M37" s="14"/>
      <c r="N37" s="12"/>
      <c r="O37" s="12">
        <f>SUM(O31:O36)</f>
        <v>193152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405619.20000000001</v>
      </c>
      <c r="P38" s="14" t="s">
        <v>140</v>
      </c>
      <c r="Q38" s="14"/>
      <c r="R38" s="40">
        <f>P29/R37</f>
        <v>2.2791199309749777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57583.645655877357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45721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11322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-8313.0750334541081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408120</v>
      </c>
      <c r="E11" s="132">
        <f>D11*0.19</f>
        <v>77542.8</v>
      </c>
      <c r="F11" s="131">
        <f>E11+D11</f>
        <v>485662.8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97676.924966545892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217116.09078743961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79676.924966545892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191003.90921256039</v>
      </c>
      <c r="E13" s="221">
        <f>(D11/D12)-1</f>
        <v>0.87973170721628602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70676.924966545892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31676.924966545892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358241.54979927535</v>
      </c>
      <c r="F15" s="216">
        <f>E15-D12</f>
        <v>141125.45901183574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31676.924966545892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71676.924966545892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107400</v>
      </c>
      <c r="E18" s="123">
        <f>D18*0.19</f>
        <v>20406</v>
      </c>
      <c r="F18" s="120">
        <f>SUM(D18:E18)</f>
        <v>127806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58750</v>
      </c>
      <c r="E19" s="123">
        <f>D19*0.19</f>
        <v>11162.5</v>
      </c>
      <c r="F19" s="120">
        <f>SUM(D19:E19)</f>
        <v>69912.5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21131.999999999996</v>
      </c>
      <c r="E20" s="121">
        <f>D20*0.19</f>
        <v>4015.0799999999995</v>
      </c>
      <c r="F20" s="120">
        <f>SUM(D20:E20)</f>
        <v>25147.079999999994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187282</v>
      </c>
      <c r="E21" s="116">
        <f>SUM(E18:E20)</f>
        <v>35583.58</v>
      </c>
      <c r="F21" s="115">
        <f>SUM(F18:F20)</f>
        <v>222865.58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41959.22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408120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187282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191003.90921256039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191003.90921256039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2025-03-05T16:09:11Z</dcterms:modified>
</cp:coreProperties>
</file>