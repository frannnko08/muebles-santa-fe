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3 MARZO 2025\"/>
    </mc:Choice>
  </mc:AlternateContent>
  <xr:revisionPtr revIDLastSave="0" documentId="13_ncr:1_{35D5EFE0-E029-4CA3-B165-5165B857B63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'2229'!$B$1:$I$34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9" i="1" l="1"/>
  <c r="M21" i="1" l="1"/>
  <c r="O21" i="1"/>
  <c r="N21" i="1" l="1"/>
  <c r="N24" i="1" s="1"/>
  <c r="T21" i="1" l="1"/>
  <c r="T24" i="1" s="1"/>
  <c r="U21" i="1"/>
  <c r="U23" i="1" s="1"/>
  <c r="P21" i="1"/>
  <c r="Q21" i="1" s="1"/>
  <c r="Q24" i="1" s="1"/>
  <c r="L38" i="1"/>
  <c r="W31" i="1" l="1"/>
  <c r="W32" i="1" s="1"/>
  <c r="P30" i="1" l="1"/>
  <c r="Q25" i="1" l="1"/>
  <c r="O20" i="1"/>
  <c r="M20" i="1"/>
  <c r="Q26" i="1" l="1"/>
  <c r="Q27" i="1" s="1"/>
  <c r="P31" i="1"/>
  <c r="S35" i="1"/>
  <c r="S36" i="1" l="1"/>
  <c r="P32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P34" i="1"/>
  <c r="P33" i="1"/>
  <c r="F18" i="3" l="1"/>
  <c r="P29" i="1" l="1"/>
  <c r="P35" i="1" s="1"/>
  <c r="P36" i="1" s="1"/>
  <c r="P37" i="1" l="1"/>
  <c r="D20" i="3"/>
  <c r="E20" i="3" s="1"/>
  <c r="E21" i="3" s="1"/>
  <c r="R20" i="1" l="1"/>
  <c r="D21" i="3"/>
  <c r="M43" i="3" s="1"/>
  <c r="D12" i="3" s="1"/>
  <c r="F20" i="3"/>
  <c r="F21" i="3" s="1"/>
  <c r="P38" i="1" l="1"/>
  <c r="E15" i="3"/>
  <c r="R21" i="1" l="1"/>
  <c r="F15" i="3"/>
  <c r="S21" i="1" l="1"/>
  <c r="I21" i="1" l="1"/>
  <c r="I23" i="1" s="1"/>
  <c r="D11" i="3" l="1"/>
  <c r="X9" i="3" s="1"/>
  <c r="X15" i="3" s="1"/>
  <c r="I25" i="1"/>
  <c r="E13" i="3" l="1"/>
  <c r="D13" i="3"/>
  <c r="X16" i="3"/>
  <c r="M42" i="3"/>
  <c r="M46" i="3" s="1"/>
  <c r="M49" i="3" s="1"/>
  <c r="X12" i="3"/>
  <c r="X13" i="3"/>
  <c r="E11" i="3"/>
  <c r="D40" i="3" s="1"/>
  <c r="X14" i="3"/>
  <c r="X11" i="3"/>
  <c r="F11" i="3" l="1"/>
</calcChain>
</file>

<file path=xl/sharedStrings.xml><?xml version="1.0" encoding="utf-8"?>
<sst xmlns="http://schemas.openxmlformats.org/spreadsheetml/2006/main" count="231" uniqueCount="175">
  <si>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</si>
  <si>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</si>
  <si>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</si>
  <si>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</si>
  <si>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</si>
  <si>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</si>
  <si>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</si>
  <si>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</si>
  <si>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</si>
  <si>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</si>
  <si>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</si>
  <si>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</si>
  <si>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</si>
  <si>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</si>
  <si>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</si>
  <si>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</si>
  <si>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</si>
  <si>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</si>
  <si>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</si>
  <si>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</si>
  <si>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</si>
  <si>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</si>
  <si>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</si>
  <si>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</si>
  <si>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</si>
  <si>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</si>
  <si>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</si>
  <si>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</si>
  <si>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</si>
  <si>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</si>
  <si>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</si>
  <si>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</si>
  <si>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</si>
  <si>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</si>
  <si>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</si>
  <si>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</si>
  <si>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</si>
  <si>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</si>
  <si>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</si>
  <si>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</si>
  <si>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</si>
  <si>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</si>
  <si>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</si>
  <si>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</si>
  <si>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</si>
  <si>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</si>
  <si>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</si>
  <si>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</si>
  <si>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</si>
  <si>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</si>
  <si>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</si>
  <si>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</si>
  <si>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</si>
  <si>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</si>
  <si>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</si>
  <si>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</si>
  <si>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</si>
  <si>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</si>
  <si>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</si>
  <si>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</si>
  <si>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</si>
  <si>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</si>
  <si>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</si>
  <si>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</si>
  <si>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</si>
  <si>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</si>
  <si>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</si>
  <si>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</si>
  <si>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</si>
  <si>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</si>
  <si>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</si>
  <si>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</si>
  <si>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</si>
  <si>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</si>
  <si>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</si>
  <si>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</si>
  <si>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</si>
  <si>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</si>
  <si>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</si>
  <si>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</si>
  <si>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</si>
  <si>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</si>
  <si>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</si>
  <si>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</si>
  <si>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</si>
  <si>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</si>
  <si>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</si>
  <si>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</si>
  <si>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</si>
  <si>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</si>
  <si>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</si>
  <si>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</si>
  <si>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</si>
  <si>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</si>
  <si>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</si>
  <si>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</si>
  <si>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</si>
  <si>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</si>
  <si>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</si>
  <si>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</si>
  <si>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</si>
  <si>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</si>
  <si>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</si>
  <si>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</si>
  <si>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</si>
  <si>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</si>
  <si>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</si>
  <si>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</si>
  <si>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</si>
  <si>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</si>
  <si>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</si>
  <si>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</si>
  <si>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</si>
  <si>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</si>
  <si>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</si>
  <si>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</si>
  <si>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</si>
  <si>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</si>
  <si>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</si>
  <si>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</si>
  <si>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</si>
  <si>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</si>
  <si>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</si>
  <si>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</si>
  <si>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</si>
  <si>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</si>
  <si>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</si>
  <si>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</si>
  <si>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</si>
  <si>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</si>
  <si>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</si>
  <si>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</si>
  <si>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</si>
  <si>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</si>
  <si>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</si>
  <si>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</si>
  <si>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</si>
  <si>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</si>
  <si>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</si>
  <si>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</si>
  <si>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</si>
  <si>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</si>
  <si>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</si>
  <si>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</si>
  <si>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</si>
  <si>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</si>
  <si>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</si>
  <si>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</si>
  <si>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</si>
  <si>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</si>
  <si>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</si>
  <si>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</si>
  <si>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</si>
  <si>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</si>
  <si>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</si>
  <si>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</si>
  <si>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</si>
  <si>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</si>
  <si>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</si>
  <si>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</si>
  <si>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</si>
  <si>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</si>
  <si>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</si>
  <si>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</si>
  <si>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</si>
  <si>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7 DIAS HABILES</t>
  </si>
  <si>
    <t>SANTIAGO</t>
  </si>
  <si>
    <t>SI</t>
  </si>
  <si>
    <t>RUT : 77.054.606-0 CORREO: FRANCODONOSO@TOPMOBILI.CL</t>
  </si>
  <si>
    <t>N° 11319</t>
  </si>
  <si>
    <t>KAREN GAETE</t>
  </si>
  <si>
    <t>56950162158</t>
  </si>
  <si>
    <t>ROSARIO SUR 234 LAS CONDES</t>
  </si>
  <si>
    <t>MESADA</t>
  </si>
  <si>
    <t>COLOR MADERA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</si>
</sst>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5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26</xdr:row>
      <xdr:rowOff>8194</xdr:rowOff>
    </xdr:from>
    <xdr:to>
      <xdr:col>9</xdr:col>
      <xdr:colOff>8193</xdr:colOff>
      <xdr:row>29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7</xdr:col>
      <xdr:colOff>222885</xdr:colOff>
      <xdr:row>28</xdr:row>
      <xdr:rowOff>154305</xdr:rowOff>
    </xdr:from>
    <xdr:to>
      <xdr:col>8</xdr:col>
      <xdr:colOff>853440</xdr:colOff>
      <xdr:row>28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26</xdr:row>
      <xdr:rowOff>9525</xdr:rowOff>
    </xdr:from>
    <xdr:to>
      <xdr:col>6</xdr:col>
      <xdr:colOff>1745226</xdr:colOff>
      <xdr:row>29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22</xdr:row>
      <xdr:rowOff>9525</xdr:rowOff>
    </xdr:from>
    <xdr:to>
      <xdr:col>6</xdr:col>
      <xdr:colOff>1728839</xdr:colOff>
      <xdr:row>25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 </a:t>
          </a:r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30mm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ENCHAPES POR TODAS LAS CARAS</a:t>
          </a: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1520321</xdr:colOff>
      <xdr:row>6</xdr:row>
      <xdr:rowOff>34491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Z580"/>
  <sheetViews>
    <sheetView tabSelected="1" topLeftCell="A9" zoomScale="91" zoomScaleNormal="91" workbookViewId="0">
      <selection activeCell="H34" sqref="H34"/>
    </sheetView>
  </sheetViews>
  <sheetFormatPr baseColWidth="10" defaultRowHeight="14.4" x14ac:dyDescent="0.3"/>
  <cols>
    <col min="1" max="1" width="6" customWidth="1"/>
    <col min="2" max="2" width="10.5546875" customWidth="1"/>
    <col min="3" max="3" width="30" customWidth="1"/>
    <col min="4" max="4" width="11.109375" customWidth="1"/>
    <col min="5" max="6" width="10.5546875" customWidth="1"/>
    <col min="7" max="7" width="27.77734375" customWidth="1"/>
    <col min="8" max="8" width="14" customWidth="1"/>
    <col min="9" max="10" width="15.44140625" customWidth="1"/>
    <col min="11" max="11" width="13.44140625" customWidth="1"/>
    <col min="13" max="13" width="9.5546875" style="18" customWidth="1"/>
    <col min="14" max="14" width="8.88671875" customWidth="1"/>
    <col min="15" max="15" width="8.33203125" customWidth="1"/>
    <col min="16" max="16" width="9.44140625" customWidth="1"/>
    <col min="17" max="17" width="7.6640625" customWidth="1"/>
    <col min="18" max="18" width="9.44140625" customWidth="1"/>
    <col min="19" max="19" width="10.109375" customWidth="1"/>
    <col min="20" max="20" width="8.88671875" customWidth="1"/>
    <col min="21" max="21" width="9.6640625" customWidth="1"/>
    <col min="22" max="22" width="9.33203125" customWidth="1"/>
    <col min="23" max="23" width="9.6640625" customWidth="1"/>
    <col min="24" max="24" width="10.88671875" customWidth="1"/>
    <col min="25" max="25" width="10.44140625" customWidth="1"/>
    <col min="26" max="26" width="9" customWidth="1"/>
  </cols>
  <sheetData>
    <row r="2" spans="2:25" ht="15.6" x14ac:dyDescent="0.3">
      <c r="G2" s="242" t="s">
        <v>142</v>
      </c>
      <c r="R2" s="2"/>
      <c r="S2" s="2"/>
      <c r="T2" s="3"/>
      <c r="U2" s="3"/>
      <c r="V2" s="2"/>
      <c r="W2" s="2"/>
      <c r="X2" s="3"/>
      <c r="Y2" s="4"/>
    </row>
    <row r="3" spans="2:25" x14ac:dyDescent="0.3">
      <c r="G3" s="59" t="s">
        <v>138</v>
      </c>
      <c r="R3" s="2"/>
      <c r="S3" s="2"/>
      <c r="T3" s="3"/>
      <c r="U3" s="3"/>
      <c r="V3" s="2"/>
      <c r="W3" s="2"/>
      <c r="X3" s="3"/>
      <c r="Y3" s="4"/>
    </row>
    <row r="4" spans="2:25" x14ac:dyDescent="0.3">
      <c r="G4" s="59" t="s">
        <v>143</v>
      </c>
      <c r="R4" s="2"/>
      <c r="S4" s="2"/>
      <c r="T4" s="3"/>
      <c r="U4" s="3"/>
      <c r="V4" s="2"/>
      <c r="W4" s="2"/>
      <c r="X4" s="3"/>
      <c r="Y4" s="4"/>
    </row>
    <row r="5" spans="2:25" x14ac:dyDescent="0.3">
      <c r="G5" s="59" t="s">
        <v>14</v>
      </c>
      <c r="R5" s="2"/>
      <c r="S5" s="2"/>
      <c r="T5" s="3"/>
      <c r="U5" s="3"/>
      <c r="V5" s="2"/>
      <c r="W5" s="2"/>
      <c r="X5" s="3"/>
      <c r="Y5" s="4"/>
    </row>
    <row r="6" spans="2:25" ht="15.6" x14ac:dyDescent="0.3">
      <c r="G6" s="59" t="s">
        <v>163</v>
      </c>
      <c r="P6" s="33" t="s">
        <v>19</v>
      </c>
      <c r="R6" s="2"/>
      <c r="S6" s="2"/>
      <c r="T6" s="3"/>
      <c r="U6" s="3"/>
      <c r="V6" s="2"/>
      <c r="W6" s="2"/>
      <c r="X6" s="3"/>
    </row>
    <row r="7" spans="2:25" ht="15" thickBot="1" x14ac:dyDescent="0.35">
      <c r="G7" s="59" t="s">
        <v>124</v>
      </c>
      <c r="R7" s="2"/>
      <c r="S7" s="2"/>
      <c r="T7" s="3"/>
      <c r="U7" s="3"/>
      <c r="V7" s="2"/>
      <c r="W7" s="2"/>
      <c r="X7" s="3"/>
    </row>
    <row r="8" spans="2:25" ht="21.6" thickBot="1" x14ac:dyDescent="0.45">
      <c r="B8" s="291" t="s">
        <v>126</v>
      </c>
      <c r="C8" s="292"/>
      <c r="D8" s="329" t="s">
        <v>169</v>
      </c>
      <c r="G8" s="59"/>
      <c r="L8" s="52"/>
      <c r="S8" s="2"/>
      <c r="T8" s="3"/>
      <c r="U8" s="3"/>
      <c r="V8" s="2"/>
      <c r="W8" s="2"/>
      <c r="X8" s="3"/>
    </row>
    <row r="9" spans="2:25" ht="15" thickBot="1" x14ac:dyDescent="0.35">
      <c r="S9" s="2"/>
      <c r="T9" s="3"/>
      <c r="U9" s="3"/>
      <c r="V9" s="4"/>
      <c r="W9" s="2"/>
      <c r="X9" s="3"/>
    </row>
    <row r="10" spans="2:25" x14ac:dyDescent="0.3">
      <c r="B10" s="305" t="s">
        <v>161</v>
      </c>
      <c r="C10" s="278" t="s">
        <v>170</v>
      </c>
      <c r="D10" s="243"/>
      <c r="E10" s="243"/>
      <c r="F10" s="243"/>
      <c r="G10" s="244" t="s">
        <v>0</v>
      </c>
      <c r="H10" s="276">
        <v>45720</v>
      </c>
      <c r="I10" s="245"/>
      <c r="L10" s="1"/>
      <c r="S10" s="2"/>
      <c r="T10" s="3"/>
      <c r="U10" s="3"/>
      <c r="V10" s="4"/>
      <c r="W10" s="2"/>
      <c r="X10" s="3"/>
    </row>
    <row r="11" spans="2:25" ht="16.8" x14ac:dyDescent="0.4">
      <c r="B11" s="287" t="s">
        <v>12</v>
      </c>
      <c r="C11" s="298"/>
      <c r="G11" t="s">
        <v>123</v>
      </c>
      <c r="H11" s="288" t="s">
        <v>165</v>
      </c>
      <c r="I11" s="289"/>
      <c r="R11" s="19"/>
      <c r="S11" s="25" t="s">
        <v>18</v>
      </c>
      <c r="T11" s="19"/>
    </row>
    <row r="12" spans="2:25" ht="16.8" x14ac:dyDescent="0.4">
      <c r="B12" s="246" t="s">
        <v>144</v>
      </c>
      <c r="C12" s="306"/>
      <c r="D12" s="247"/>
      <c r="E12" s="247"/>
      <c r="F12" s="247"/>
      <c r="G12" s="247" t="s">
        <v>127</v>
      </c>
      <c r="H12" s="277" t="s">
        <v>135</v>
      </c>
      <c r="I12" s="248"/>
      <c r="R12" s="19"/>
      <c r="S12" s="25"/>
      <c r="T12" s="19"/>
    </row>
    <row r="13" spans="2:25" x14ac:dyDescent="0.3">
      <c r="B13" s="287" t="s">
        <v>145</v>
      </c>
      <c r="H13" s="307"/>
      <c r="I13" s="289"/>
      <c r="R13" s="19"/>
      <c r="S13" s="25"/>
      <c r="T13" s="19"/>
    </row>
    <row r="14" spans="2:25" x14ac:dyDescent="0.3">
      <c r="B14" s="246" t="s">
        <v>139</v>
      </c>
      <c r="C14" s="314"/>
      <c r="D14" s="247"/>
      <c r="E14" s="247"/>
      <c r="F14" s="247"/>
      <c r="G14" s="315" t="s">
        <v>136</v>
      </c>
      <c r="H14" s="290" t="s">
        <v>167</v>
      </c>
      <c r="I14" s="248"/>
      <c r="L14" s="29"/>
      <c r="R14" s="20"/>
      <c r="S14" s="26" t="s">
        <v>17</v>
      </c>
      <c r="T14" s="20"/>
    </row>
    <row r="15" spans="2:25" ht="15.6" x14ac:dyDescent="0.3">
      <c r="B15" s="287" t="s">
        <v>4</v>
      </c>
      <c r="C15" s="309" t="s">
        <v>171</v>
      </c>
      <c r="D15" s="310"/>
      <c r="G15" t="s">
        <v>134</v>
      </c>
      <c r="H15" s="308" t="s">
        <v>167</v>
      </c>
      <c r="I15" s="289"/>
    </row>
    <row r="16" spans="2:25" ht="16.8" x14ac:dyDescent="0.4">
      <c r="B16" s="316" t="s">
        <v>3</v>
      </c>
      <c r="C16" s="306" t="s">
        <v>172</v>
      </c>
      <c r="D16" s="247"/>
      <c r="E16" s="247"/>
      <c r="F16" s="247"/>
      <c r="G16" s="317" t="s">
        <v>129</v>
      </c>
      <c r="H16" s="318" t="s">
        <v>162</v>
      </c>
      <c r="I16" s="248"/>
    </row>
    <row r="17" spans="1:26" ht="15" thickBot="1" x14ac:dyDescent="0.35">
      <c r="B17" s="311" t="s">
        <v>13</v>
      </c>
      <c r="C17" s="312" t="s">
        <v>166</v>
      </c>
      <c r="D17" s="313"/>
      <c r="E17" s="119"/>
      <c r="F17" s="119"/>
      <c r="G17" s="333" t="s">
        <v>164</v>
      </c>
      <c r="H17" s="333"/>
      <c r="I17" s="334"/>
      <c r="J17" s="263"/>
      <c r="K17" s="263"/>
      <c r="U17" s="6"/>
      <c r="V17" s="6"/>
    </row>
    <row r="18" spans="1:26" ht="15.75" customHeight="1" thickBot="1" x14ac:dyDescent="0.35">
      <c r="K18" s="47"/>
      <c r="L18" s="5"/>
      <c r="W18" s="9"/>
      <c r="Y18" s="6"/>
      <c r="Z18" s="6"/>
    </row>
    <row r="19" spans="1:26" ht="13.5" customHeight="1" thickBot="1" x14ac:dyDescent="0.35">
      <c r="B19" s="335" t="s">
        <v>95</v>
      </c>
      <c r="C19" s="336"/>
      <c r="D19" s="336"/>
      <c r="E19" s="336"/>
      <c r="F19" s="336"/>
      <c r="G19" s="336"/>
      <c r="H19" s="336"/>
      <c r="I19" s="337"/>
      <c r="J19" s="264"/>
      <c r="K19" s="264"/>
      <c r="L19" s="5"/>
      <c r="M19" s="250"/>
      <c r="N19" s="14">
        <v>0.02</v>
      </c>
      <c r="O19" s="14">
        <v>0.49</v>
      </c>
      <c r="P19" s="14"/>
      <c r="Q19" s="251" t="s">
        <v>6</v>
      </c>
      <c r="R19" s="36" t="s">
        <v>20</v>
      </c>
      <c r="S19" s="37" t="s">
        <v>133</v>
      </c>
      <c r="T19" s="10" t="s">
        <v>137</v>
      </c>
      <c r="V19" s="9"/>
      <c r="W19" s="9"/>
      <c r="Y19" s="6"/>
      <c r="Z19" s="6"/>
    </row>
    <row r="20" spans="1:26" ht="17.399999999999999" x14ac:dyDescent="0.3">
      <c r="B20" s="326" t="s">
        <v>7</v>
      </c>
      <c r="C20" s="327" t="s">
        <v>1</v>
      </c>
      <c r="D20" s="327" t="s">
        <v>10</v>
      </c>
      <c r="E20" s="327" t="s">
        <v>11</v>
      </c>
      <c r="F20" s="327" t="s">
        <v>131</v>
      </c>
      <c r="G20" s="327" t="s">
        <v>8</v>
      </c>
      <c r="H20" s="327" t="s">
        <v>5</v>
      </c>
      <c r="I20" s="328" t="s">
        <v>6</v>
      </c>
      <c r="J20" s="265"/>
      <c r="K20" s="265"/>
      <c r="L20" s="47"/>
      <c r="M20" s="268" t="str">
        <f>B20</f>
        <v>UNIDAD</v>
      </c>
      <c r="N20" s="267" t="s">
        <v>131</v>
      </c>
      <c r="O20" s="39" t="str">
        <f t="shared" ref="O20" si="0">E20</f>
        <v>ANCHO</v>
      </c>
      <c r="P20" s="261" t="s">
        <v>132</v>
      </c>
      <c r="Q20" s="259" t="s">
        <v>16</v>
      </c>
      <c r="R20" s="252">
        <f>P37</f>
        <v>152305.2891902673</v>
      </c>
      <c r="S20" s="258">
        <v>5000</v>
      </c>
      <c r="T20" s="38"/>
      <c r="U20" s="14" t="s">
        <v>128</v>
      </c>
      <c r="V20" s="9"/>
      <c r="Y20" s="4"/>
    </row>
    <row r="21" spans="1:26" ht="17.399999999999999" x14ac:dyDescent="0.3">
      <c r="B21" s="330">
        <v>1</v>
      </c>
      <c r="C21" s="330" t="s">
        <v>173</v>
      </c>
      <c r="D21" s="331">
        <v>0.9</v>
      </c>
      <c r="E21" s="331">
        <v>0.6</v>
      </c>
      <c r="F21" s="331">
        <v>0.45</v>
      </c>
      <c r="G21" s="330" t="s">
        <v>174</v>
      </c>
      <c r="H21" s="332">
        <v>155000</v>
      </c>
      <c r="I21" s="332">
        <f>H21*B21</f>
        <v>155000</v>
      </c>
      <c r="J21" s="320"/>
      <c r="K21" s="265"/>
      <c r="L21" s="47"/>
      <c r="M21" s="47">
        <f>B21</f>
        <v>1</v>
      </c>
      <c r="N21" s="39">
        <f>D21+N$19</f>
        <v>0.92</v>
      </c>
      <c r="O21" s="39">
        <f>E21+$O$19</f>
        <v>1.0899999999999999</v>
      </c>
      <c r="P21" s="261">
        <f t="shared" ref="P21" si="1">N21*O21</f>
        <v>1.0027999999999999</v>
      </c>
      <c r="Q21" s="259">
        <f t="shared" ref="Q21" si="2">P21*M21</f>
        <v>1.0027999999999999</v>
      </c>
      <c r="R21" s="252">
        <f t="shared" ref="R21" si="3">R$20*P21</f>
        <v>152731.74400000004</v>
      </c>
      <c r="S21" s="319">
        <f t="shared" ref="S21" si="4">R21+S$20</f>
        <v>157731.74400000004</v>
      </c>
      <c r="T21" s="297">
        <f>N21*M21</f>
        <v>0.92</v>
      </c>
      <c r="U21" s="46">
        <f>O21*2*M21*2</f>
        <v>4.3599999999999994</v>
      </c>
      <c r="V21" s="9"/>
      <c r="Y21" s="4"/>
    </row>
    <row r="22" spans="1:26" ht="18" thickBot="1" x14ac:dyDescent="0.35">
      <c r="B22" s="285"/>
      <c r="C22" s="285"/>
      <c r="D22" s="286"/>
      <c r="E22" s="286"/>
      <c r="F22" s="286"/>
      <c r="G22" s="285"/>
      <c r="H22" s="265"/>
      <c r="I22" s="321"/>
      <c r="J22" s="323"/>
      <c r="K22" s="233"/>
      <c r="L22" s="47"/>
      <c r="M22" s="47"/>
      <c r="N22" s="39"/>
      <c r="O22" s="39"/>
      <c r="P22" s="261"/>
      <c r="Q22" s="259"/>
      <c r="R22" s="252"/>
      <c r="S22" s="258"/>
      <c r="T22" s="297"/>
      <c r="U22" s="14"/>
      <c r="V22" s="9"/>
      <c r="Y22" s="4"/>
    </row>
    <row r="23" spans="1:26" ht="17.399999999999999" x14ac:dyDescent="0.3">
      <c r="B23" s="285"/>
      <c r="C23" s="285"/>
      <c r="D23" s="286"/>
      <c r="E23" s="286"/>
      <c r="F23" s="286"/>
      <c r="G23" s="285"/>
      <c r="H23" s="324" t="s">
        <v>28</v>
      </c>
      <c r="I23" s="325">
        <f>SUM(I21:I22)</f>
        <v>155000</v>
      </c>
      <c r="J23" s="322"/>
      <c r="K23" s="265"/>
      <c r="L23" s="47">
        <v>2600000</v>
      </c>
      <c r="M23" s="47"/>
      <c r="N23" s="39"/>
      <c r="O23" s="39"/>
      <c r="P23" s="261"/>
      <c r="Q23" s="259"/>
      <c r="R23" s="252"/>
      <c r="S23" s="258"/>
      <c r="T23" s="297"/>
      <c r="U23" s="46">
        <f>SUM(U21:U22)</f>
        <v>4.3599999999999994</v>
      </c>
      <c r="V23" s="9"/>
      <c r="Y23" s="4"/>
    </row>
    <row r="24" spans="1:26" ht="17.399999999999999" x14ac:dyDescent="0.3">
      <c r="B24" s="279"/>
      <c r="C24" s="282"/>
      <c r="D24" s="283"/>
      <c r="E24" s="283"/>
      <c r="F24" s="283"/>
      <c r="G24" s="284"/>
      <c r="H24" s="296" t="s">
        <v>51</v>
      </c>
      <c r="I24" s="294"/>
      <c r="J24" s="322"/>
      <c r="K24" s="265"/>
      <c r="L24" s="47"/>
      <c r="M24" s="47"/>
      <c r="N24" s="39">
        <f>SUM(N21:N21)</f>
        <v>0.92</v>
      </c>
      <c r="O24" s="12"/>
      <c r="P24" s="12"/>
      <c r="Q24" s="253">
        <f>SUM(Q21:Q22)</f>
        <v>1.0027999999999999</v>
      </c>
      <c r="R24" s="14"/>
      <c r="S24" s="12"/>
      <c r="T24" s="239">
        <f>SUM(T21:T23)</f>
        <v>0.92</v>
      </c>
      <c r="U24" s="46"/>
      <c r="V24" s="9"/>
      <c r="Y24" s="4"/>
    </row>
    <row r="25" spans="1:26" ht="18" thickBot="1" x14ac:dyDescent="0.35">
      <c r="B25" s="275"/>
      <c r="C25" s="281"/>
      <c r="D25" s="272"/>
      <c r="E25" s="272"/>
      <c r="F25" s="272"/>
      <c r="G25" s="273"/>
      <c r="H25" s="280" t="s">
        <v>6</v>
      </c>
      <c r="I25" s="295">
        <f>I23+I24</f>
        <v>155000</v>
      </c>
      <c r="J25" s="322"/>
      <c r="K25" s="265"/>
      <c r="L25" s="47"/>
      <c r="M25" s="47"/>
      <c r="N25" s="39"/>
      <c r="O25" s="12"/>
      <c r="P25" s="12"/>
      <c r="Q25" s="253">
        <f>Q24</f>
        <v>1.0027999999999999</v>
      </c>
      <c r="R25" s="14"/>
      <c r="S25" s="12"/>
      <c r="T25" s="239"/>
      <c r="U25" s="46"/>
      <c r="V25" s="9"/>
      <c r="Y25" s="4"/>
    </row>
    <row r="26" spans="1:26" ht="17.399999999999999" x14ac:dyDescent="0.3">
      <c r="B26" s="275"/>
      <c r="C26" s="271"/>
      <c r="D26" s="272"/>
      <c r="E26" s="272"/>
      <c r="F26" s="272"/>
      <c r="G26" s="273"/>
      <c r="K26" s="265"/>
      <c r="L26" s="47"/>
      <c r="M26" s="47"/>
      <c r="N26" s="14"/>
      <c r="O26" s="12"/>
      <c r="P26" s="12"/>
      <c r="Q26" s="39">
        <f>Q25*20%</f>
        <v>0.20055999999999999</v>
      </c>
      <c r="R26" s="39" t="s">
        <v>130</v>
      </c>
      <c r="S26" s="42"/>
      <c r="T26" s="240"/>
      <c r="U26" s="14"/>
      <c r="V26" s="9"/>
      <c r="Y26" s="4"/>
    </row>
    <row r="27" spans="1:26" ht="17.399999999999999" x14ac:dyDescent="0.35">
      <c r="B27" s="269"/>
      <c r="C27" s="230"/>
      <c r="D27" s="230"/>
      <c r="E27" s="233"/>
      <c r="F27" s="233"/>
      <c r="G27" s="234"/>
      <c r="H27" s="230"/>
      <c r="I27" s="274"/>
      <c r="J27" s="274"/>
      <c r="K27" s="265"/>
      <c r="L27" s="47"/>
      <c r="M27" s="47"/>
      <c r="N27" s="14"/>
      <c r="O27" s="12"/>
      <c r="P27" s="12"/>
      <c r="Q27" s="46">
        <f>Q25+Q26</f>
        <v>1.20336</v>
      </c>
      <c r="R27" s="14"/>
      <c r="S27" s="14"/>
      <c r="T27" s="238"/>
      <c r="U27" s="14"/>
      <c r="V27" s="9"/>
      <c r="Y27" s="4"/>
    </row>
    <row r="28" spans="1:26" ht="17.399999999999999" x14ac:dyDescent="0.35">
      <c r="B28" s="235"/>
      <c r="C28" s="236"/>
      <c r="D28" s="237"/>
      <c r="E28" s="235"/>
      <c r="F28" s="235"/>
      <c r="G28" s="230"/>
      <c r="H28" s="230"/>
      <c r="J28" s="274"/>
      <c r="K28" s="265"/>
      <c r="L28" s="47"/>
      <c r="M28" s="47"/>
      <c r="N28" s="14"/>
      <c r="O28" s="14"/>
      <c r="P28" s="14"/>
      <c r="Q28" s="14"/>
      <c r="R28" s="14"/>
      <c r="S28" s="14"/>
      <c r="T28" s="240"/>
      <c r="U28" s="14"/>
      <c r="V28" s="302" t="s">
        <v>21</v>
      </c>
      <c r="W28" s="299" t="s">
        <v>151</v>
      </c>
      <c r="X28" s="303">
        <v>44971</v>
      </c>
      <c r="Y28" s="304"/>
    </row>
    <row r="29" spans="1:26" ht="17.399999999999999" x14ac:dyDescent="0.35">
      <c r="B29" s="230"/>
      <c r="C29" s="230"/>
      <c r="D29" s="230"/>
      <c r="E29" s="230"/>
      <c r="F29" s="230"/>
      <c r="G29" s="230"/>
      <c r="H29" s="230"/>
      <c r="K29" s="265"/>
      <c r="L29" s="47"/>
      <c r="M29" s="47"/>
      <c r="N29" s="39">
        <f>Q27*2</f>
        <v>2.40672</v>
      </c>
      <c r="O29" s="12">
        <v>3500</v>
      </c>
      <c r="P29" s="12">
        <f t="shared" ref="P29:P34" si="5">N29*O29</f>
        <v>8423.52</v>
      </c>
      <c r="Q29" s="14" t="s">
        <v>21</v>
      </c>
      <c r="R29" s="14"/>
      <c r="S29" s="14"/>
      <c r="T29" s="241"/>
      <c r="U29" s="14"/>
      <c r="V29" s="302" t="s">
        <v>152</v>
      </c>
      <c r="W29" s="299">
        <v>3625</v>
      </c>
      <c r="X29" s="59" t="s">
        <v>153</v>
      </c>
      <c r="Y29" s="304"/>
    </row>
    <row r="30" spans="1:26" ht="17.399999999999999" x14ac:dyDescent="0.35">
      <c r="A30" s="230"/>
      <c r="B30" s="230"/>
      <c r="C30" s="230"/>
      <c r="D30" s="230"/>
      <c r="E30" s="230"/>
      <c r="F30" s="230"/>
      <c r="G30" s="230"/>
      <c r="H30" s="230"/>
      <c r="I30" s="230"/>
      <c r="K30" s="265"/>
      <c r="L30" s="47"/>
      <c r="M30" s="47"/>
      <c r="N30" s="249">
        <v>0.5</v>
      </c>
      <c r="O30" s="12">
        <v>42000</v>
      </c>
      <c r="P30" s="12">
        <f t="shared" si="5"/>
        <v>21000</v>
      </c>
      <c r="Q30" s="39" t="s">
        <v>31</v>
      </c>
      <c r="R30" s="42"/>
      <c r="S30" s="14"/>
      <c r="T30" s="240"/>
      <c r="U30" s="14"/>
      <c r="V30" s="302"/>
      <c r="W30" s="59">
        <v>906.25</v>
      </c>
      <c r="X30" s="59" t="s">
        <v>154</v>
      </c>
      <c r="Y30" s="304"/>
    </row>
    <row r="31" spans="1:26" s="230" customFormat="1" ht="17.399999999999999" x14ac:dyDescent="0.35">
      <c r="B31" s="24" t="s">
        <v>150</v>
      </c>
      <c r="K31" s="262"/>
      <c r="L31" s="232"/>
      <c r="M31" s="250"/>
      <c r="N31" s="14"/>
      <c r="O31" s="250">
        <v>61840</v>
      </c>
      <c r="P31" s="12">
        <f t="shared" si="5"/>
        <v>0</v>
      </c>
      <c r="Q31" s="39" t="s">
        <v>30</v>
      </c>
      <c r="R31" s="42"/>
      <c r="T31" s="240"/>
      <c r="U31" s="256"/>
      <c r="V31" s="59"/>
      <c r="W31" s="59">
        <f>W30*20%</f>
        <v>181.25</v>
      </c>
      <c r="X31" s="304" t="s">
        <v>155</v>
      </c>
      <c r="Y31" s="59"/>
    </row>
    <row r="32" spans="1:26" s="230" customFormat="1" ht="17.399999999999999" x14ac:dyDescent="0.35">
      <c r="B32" s="24" t="s">
        <v>168</v>
      </c>
      <c r="C32"/>
      <c r="D32"/>
      <c r="E32"/>
      <c r="F32"/>
      <c r="G32"/>
      <c r="K32" s="262"/>
      <c r="L32" s="232"/>
      <c r="M32" s="250"/>
      <c r="N32" s="14">
        <v>1</v>
      </c>
      <c r="O32" s="250">
        <v>40000</v>
      </c>
      <c r="P32" s="12">
        <f t="shared" si="5"/>
        <v>40000</v>
      </c>
      <c r="Q32" s="14" t="s">
        <v>141</v>
      </c>
      <c r="R32" s="17"/>
      <c r="T32" s="238"/>
      <c r="U32" s="256"/>
      <c r="V32" s="59"/>
      <c r="W32" s="59">
        <f>W30+W31</f>
        <v>1087.5</v>
      </c>
      <c r="X32" s="304" t="s">
        <v>156</v>
      </c>
      <c r="Y32" s="59"/>
    </row>
    <row r="33" spans="2:25" s="230" customFormat="1" ht="17.399999999999999" x14ac:dyDescent="0.35">
      <c r="B33" s="29" t="s">
        <v>125</v>
      </c>
      <c r="C33"/>
      <c r="D33"/>
      <c r="E33"/>
      <c r="F33"/>
      <c r="G33" s="229" t="s">
        <v>15</v>
      </c>
      <c r="K33" s="262"/>
      <c r="L33" s="260"/>
      <c r="M33" s="250"/>
      <c r="N33" s="249"/>
      <c r="O33" s="250">
        <v>900</v>
      </c>
      <c r="P33" s="12">
        <f t="shared" si="5"/>
        <v>0</v>
      </c>
      <c r="Q33" s="14" t="s">
        <v>32</v>
      </c>
      <c r="R33" s="14"/>
      <c r="S33" s="230">
        <v>1.52</v>
      </c>
      <c r="T33" s="238"/>
      <c r="U33" s="238"/>
    </row>
    <row r="34" spans="2:25" s="230" customFormat="1" ht="17.399999999999999" x14ac:dyDescent="0.35">
      <c r="K34" s="293"/>
      <c r="L34" s="260"/>
      <c r="M34" s="250"/>
      <c r="N34" s="266"/>
      <c r="O34" s="12">
        <v>1500</v>
      </c>
      <c r="P34" s="12">
        <f t="shared" si="5"/>
        <v>0</v>
      </c>
      <c r="Q34" s="14" t="s">
        <v>22</v>
      </c>
      <c r="R34" s="14"/>
      <c r="S34">
        <v>2.44</v>
      </c>
      <c r="T34"/>
      <c r="U34" s="238"/>
      <c r="Y34" s="231"/>
    </row>
    <row r="35" spans="2:25" s="230" customFormat="1" ht="17.399999999999999" x14ac:dyDescent="0.35">
      <c r="L35" s="260"/>
      <c r="M35" s="250"/>
      <c r="N35" s="14"/>
      <c r="O35" s="12"/>
      <c r="P35" s="12">
        <f>SUM(P29:P34)</f>
        <v>69423.520000000004</v>
      </c>
      <c r="Q35" s="39" t="s">
        <v>23</v>
      </c>
      <c r="R35" s="14"/>
      <c r="S35">
        <f>S33*S34</f>
        <v>3.7088000000000001</v>
      </c>
      <c r="T35"/>
      <c r="U35" s="238"/>
      <c r="Y35" s="231"/>
    </row>
    <row r="36" spans="2:25" s="230" customFormat="1" ht="17.399999999999999" x14ac:dyDescent="0.35">
      <c r="M36" s="250"/>
      <c r="N36" s="254" t="s">
        <v>33</v>
      </c>
      <c r="O36" s="12"/>
      <c r="P36" s="255">
        <f>P35*2.2</f>
        <v>152731.74400000004</v>
      </c>
      <c r="Q36" s="14" t="s">
        <v>140</v>
      </c>
      <c r="R36" s="14"/>
      <c r="S36" s="40">
        <f>Q27/S35</f>
        <v>0.3244607420189819</v>
      </c>
      <c r="T36"/>
      <c r="U36" s="257"/>
    </row>
    <row r="37" spans="2:25" s="230" customFormat="1" ht="17.399999999999999" x14ac:dyDescent="0.35">
      <c r="H37"/>
      <c r="I37" s="260"/>
      <c r="J37" s="260"/>
      <c r="K37" s="260"/>
      <c r="L37" s="230">
        <v>31030</v>
      </c>
      <c r="M37" s="250"/>
      <c r="N37" s="14"/>
      <c r="O37" s="12"/>
      <c r="P37" s="12">
        <f>P36/Q25</f>
        <v>152305.2891902673</v>
      </c>
      <c r="Q37" s="45" t="s">
        <v>24</v>
      </c>
      <c r="R37" s="14"/>
      <c r="S37" s="14"/>
      <c r="T37"/>
      <c r="U37" s="238"/>
      <c r="V37" s="59" t="s">
        <v>157</v>
      </c>
      <c r="W37" s="299">
        <v>43650</v>
      </c>
    </row>
    <row r="38" spans="2:25" s="230" customFormat="1" ht="17.399999999999999" x14ac:dyDescent="0.35">
      <c r="H38"/>
      <c r="L38" s="230">
        <f>L37/1.19</f>
        <v>26075.63025210084</v>
      </c>
      <c r="M38" s="250"/>
      <c r="N38" s="13"/>
      <c r="O38" s="14"/>
      <c r="P38" s="17">
        <f>P36/P35</f>
        <v>2.2000000000000002</v>
      </c>
      <c r="Q38" s="15"/>
      <c r="R38"/>
      <c r="S38"/>
      <c r="T38"/>
      <c r="U38" s="238"/>
      <c r="V38" s="59" t="s">
        <v>159</v>
      </c>
      <c r="W38" s="300" t="s">
        <v>158</v>
      </c>
      <c r="X38" s="59">
        <v>2.4</v>
      </c>
    </row>
    <row r="39" spans="2:25" s="230" customFormat="1" ht="17.399999999999999" x14ac:dyDescent="0.35">
      <c r="H39" s="23"/>
      <c r="M39" s="12"/>
      <c r="U39" s="238"/>
      <c r="V39" s="59" t="s">
        <v>160</v>
      </c>
      <c r="W39" s="301">
        <v>395.37</v>
      </c>
    </row>
    <row r="40" spans="2:25" s="230" customFormat="1" ht="17.399999999999999" x14ac:dyDescent="0.35">
      <c r="B40"/>
      <c r="C40" s="228"/>
      <c r="D40" s="22"/>
      <c r="E40" s="22"/>
      <c r="F40" s="22"/>
      <c r="G40" s="21"/>
      <c r="H40" s="23"/>
      <c r="M40" s="12"/>
      <c r="U40" s="238"/>
      <c r="V40" s="59" t="s">
        <v>155</v>
      </c>
      <c r="W40" s="59">
        <v>474.45</v>
      </c>
    </row>
    <row r="41" spans="2:25" ht="14.4" customHeight="1" x14ac:dyDescent="0.3">
      <c r="M41" s="12"/>
      <c r="V41" s="59"/>
      <c r="W41" s="59"/>
    </row>
    <row r="42" spans="2:25" x14ac:dyDescent="0.3">
      <c r="M42" s="250"/>
    </row>
    <row r="43" spans="2:25" x14ac:dyDescent="0.3">
      <c r="M43" s="250"/>
      <c r="U43" s="270"/>
    </row>
    <row r="44" spans="2:25" x14ac:dyDescent="0.3">
      <c r="M44" s="250"/>
    </row>
    <row r="45" spans="2:25" ht="15" customHeight="1" x14ac:dyDescent="0.3"/>
    <row r="47" spans="2:25" x14ac:dyDescent="0.3">
      <c r="P47">
        <v>40935</v>
      </c>
      <c r="Q47" t="s">
        <v>16</v>
      </c>
      <c r="R47" t="s">
        <v>26</v>
      </c>
    </row>
    <row r="49" spans="16:21" x14ac:dyDescent="0.3">
      <c r="P49" s="54"/>
      <c r="Q49" s="54"/>
    </row>
    <row r="50" spans="16:21" x14ac:dyDescent="0.3">
      <c r="T50" s="18"/>
      <c r="U50" s="18"/>
    </row>
    <row r="51" spans="16:21" x14ac:dyDescent="0.3">
      <c r="T51" s="18"/>
      <c r="U51" s="18"/>
    </row>
    <row r="52" spans="16:21" x14ac:dyDescent="0.3">
      <c r="T52" s="18"/>
      <c r="U52" s="18"/>
    </row>
    <row r="53" spans="16:21" x14ac:dyDescent="0.3">
      <c r="T53" s="18"/>
      <c r="U53" s="18"/>
    </row>
    <row r="54" spans="16:21" x14ac:dyDescent="0.3">
      <c r="T54" s="18"/>
      <c r="U54" s="18"/>
    </row>
    <row r="55" spans="16:21" x14ac:dyDescent="0.3">
      <c r="T55" s="18"/>
      <c r="U55" s="18"/>
    </row>
    <row r="56" spans="16:21" x14ac:dyDescent="0.3">
      <c r="T56" s="18"/>
      <c r="U56" s="18"/>
    </row>
    <row r="57" spans="16:21" x14ac:dyDescent="0.3">
      <c r="T57" s="18"/>
      <c r="U57" s="18"/>
    </row>
    <row r="58" spans="16:21" x14ac:dyDescent="0.3">
      <c r="T58" s="18"/>
      <c r="U58" s="18"/>
    </row>
    <row r="61" spans="16:21" x14ac:dyDescent="0.3">
      <c r="P61" s="43"/>
    </row>
    <row r="62" spans="16:21" x14ac:dyDescent="0.3">
      <c r="P62" s="43"/>
    </row>
    <row r="63" spans="16:21" x14ac:dyDescent="0.3">
      <c r="P63" s="6"/>
    </row>
    <row r="64" spans="16:21" x14ac:dyDescent="0.3">
      <c r="P64" s="6"/>
    </row>
    <row r="72" spans="3:3" x14ac:dyDescent="0.3">
      <c r="C72" t="s">
        <v>147</v>
      </c>
    </row>
    <row r="73" spans="3:3" x14ac:dyDescent="0.3">
      <c r="C73" t="s">
        <v>146</v>
      </c>
    </row>
    <row r="76" spans="3:3" x14ac:dyDescent="0.3">
      <c r="C76" t="s">
        <v>146</v>
      </c>
    </row>
    <row r="153" spans="3:3" x14ac:dyDescent="0.3">
      <c r="C153" t="s">
        <v>146</v>
      </c>
    </row>
    <row r="154" spans="3:3" x14ac:dyDescent="0.3">
      <c r="C154" t="s">
        <v>148</v>
      </c>
    </row>
    <row r="155" spans="3:3" x14ac:dyDescent="0.3">
      <c r="C155" t="s">
        <v>149</v>
      </c>
    </row>
    <row r="580" spans="3:3" x14ac:dyDescent="0.3">
      <c r="C580" t="s">
        <v>146</v>
      </c>
    </row>
  </sheetData>
  <mergeCells count="2">
    <mergeCell ref="G17:I17"/>
    <mergeCell ref="B19:I19"/>
  </mergeCells>
  <phoneticPr fontId="34" type="noConversion"/>
  <hyperlinks>
    <hyperlink ref="G33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7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'2229'!H10</f>
        <v>45720</v>
      </c>
    </row>
    <row r="6" spans="2:31" ht="16.2" thickBot="1" x14ac:dyDescent="0.35">
      <c r="B6" s="140" t="s">
        <v>2</v>
      </c>
      <c r="C6" s="139" t="str">
        <f>'2229'!C10</f>
        <v>KAREN GAETE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9" t="s">
        <v>98</v>
      </c>
      <c r="I7" s="340"/>
      <c r="J7" s="340"/>
      <c r="K7" s="341"/>
      <c r="N7" s="75"/>
      <c r="O7" s="338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11319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38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-9537.4903667874405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'2229'!I23</f>
        <v>155000</v>
      </c>
      <c r="E11" s="132">
        <f>D11*0.19</f>
        <v>29450</v>
      </c>
      <c r="F11" s="131">
        <f>E11+D11</f>
        <v>184450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96452.509633212554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59257.610787439611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78452.509633212554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95742.389212560389</v>
      </c>
      <c r="E13" s="221">
        <f>(D11/D12)-1</f>
        <v>1.6156977633808718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69452.509633212554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30452.509633212561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97775.057799275353</v>
      </c>
      <c r="F15" s="216">
        <f>E15-D12</f>
        <v>38517.447011835742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30452.509633212561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70452.509633212554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'2229'!P31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'2229'!P30</f>
        <v>21000</v>
      </c>
      <c r="E19" s="123">
        <f>D19*0.19</f>
        <v>3990</v>
      </c>
      <c r="F19" s="120">
        <f>SUM(D19:E19)</f>
        <v>24990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'2229'!P29</f>
        <v>8423.52</v>
      </c>
      <c r="E20" s="121">
        <f>D20*0.19</f>
        <v>1600.4688000000001</v>
      </c>
      <c r="F20" s="120">
        <f>SUM(D20:E20)</f>
        <v>10023.988800000001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29423.52</v>
      </c>
      <c r="E21" s="116">
        <f>SUM(E18:E20)</f>
        <v>5590.4688000000006</v>
      </c>
      <c r="F21" s="115">
        <f>SUM(F18:F20)</f>
        <v>35013.988799999999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23859.531199999998</v>
      </c>
    </row>
    <row r="41" spans="2:16" ht="15" thickBot="1" x14ac:dyDescent="0.35">
      <c r="H41" s="342" t="s">
        <v>60</v>
      </c>
      <c r="I41" s="343"/>
      <c r="J41" s="343"/>
      <c r="K41" s="343"/>
      <c r="L41" s="343"/>
      <c r="M41" s="344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155000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29423.52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95742.389212560389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95742.389212560389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2025-03-05T17:25:30Z</cp:lastPrinted>
  <dcterms:created xsi:type="dcterms:W3CDTF">2013-03-18T13:35:42Z</dcterms:created>
  <dcterms:modified xsi:type="dcterms:W3CDTF">2025-03-11T20:41:23Z</dcterms:modified>
</cp:coreProperties>
</file>