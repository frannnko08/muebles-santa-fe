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91E7DA9F-8377-4CCC-BFD6-6D6C073DAF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 l="1"/>
  <c r="P22" i="1" s="1"/>
  <c r="T22" i="1"/>
  <c r="H22" i="1"/>
  <c r="K29" i="1"/>
  <c r="L21" i="1"/>
  <c r="K32" i="1" l="1"/>
  <c r="K34" i="1"/>
  <c r="N21" i="1"/>
  <c r="K35" i="1" l="1"/>
  <c r="K36" i="1" s="1"/>
  <c r="K37" i="1" s="1"/>
  <c r="M21" i="1"/>
  <c r="M26" i="1" l="1"/>
  <c r="T21" i="1"/>
  <c r="T25" i="1" s="1"/>
  <c r="S27" i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<sst xmlns="http://schemas.openxmlformats.org/spreadsheetml/2006/main" count="231" uniqueCount="174">
  <si>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</si>
  <si>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</si>
  <si>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</si>
  <si>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</si>
  <si>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</si>
  <si>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</si>
  <si>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</si>
  <si>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</si>
  <si>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</si>
  <si>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</si>
  <si>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</si>
  <si>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</si>
  <si>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</si>
  <si>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</si>
  <si>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</si>
  <si>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</si>
  <si>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</si>
  <si>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</si>
  <si>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</si>
  <si>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</si>
  <si>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</si>
  <si>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</si>
  <si>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</si>
  <si>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</si>
  <si>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</si>
  <si>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</si>
  <si>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</si>
  <si>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</si>
  <si>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</si>
  <si>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</si>
  <si>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</si>
  <si>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</si>
  <si>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</si>
  <si>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</si>
  <si>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</si>
  <si>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</si>
  <si>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</si>
  <si>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</si>
  <si>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</si>
  <si>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</si>
  <si>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</si>
  <si>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</si>
  <si>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</si>
  <si>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</si>
  <si>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</si>
  <si>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</si>
  <si>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</si>
  <si>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</si>
  <si>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</si>
  <si>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</si>
  <si>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</si>
  <si>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</si>
  <si>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</si>
  <si>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</si>
  <si>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</si>
  <si>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</si>
  <si>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</si>
  <si>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</si>
  <si>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</si>
  <si>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</si>
  <si>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</si>
  <si>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</si>
  <si>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</si>
  <si>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</si>
  <si>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</si>
  <si>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</si>
  <si>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</si>
  <si>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</si>
  <si>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</si>
  <si>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</si>
  <si>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</si>
  <si>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</si>
  <si>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</si>
  <si>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</si>
  <si>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</si>
  <si>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</si>
  <si>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</si>
  <si>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</si>
  <si>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</si>
  <si>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</si>
  <si>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</si>
  <si>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</si>
  <si>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</si>
  <si>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</si>
  <si>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</si>
  <si>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</si>
  <si>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</si>
  <si>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</si>
  <si>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</si>
  <si>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</si>
  <si>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</si>
  <si>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</si>
  <si>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</si>
  <si>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</si>
  <si>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</si>
  <si>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</si>
  <si>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</si>
  <si>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</si>
  <si>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</si>
  <si>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</si>
  <si>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</si>
  <si>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</si>
  <si>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</si>
  <si>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</si>
  <si>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</si>
  <si>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</si>
  <si>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</si>
  <si>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</si>
  <si>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</si>
  <si>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</si>
  <si>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</si>
  <si>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</si>
  <si>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</si>
  <si>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</si>
  <si>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</si>
  <si>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</si>
  <si>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</si>
  <si>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</si>
  <si>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</si>
  <si>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</si>
  <si>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</si>
  <si>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</si>
  <si>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</si>
  <si>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</si>
  <si>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</si>
  <si>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</si>
  <si>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</si>
  <si>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</si>
  <si>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</si>
  <si>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</si>
  <si>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</si>
  <si>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</si>
  <si>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</si>
  <si>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</si>
  <si>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</si>
  <si>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</si>
  <si>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</si>
  <si>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</si>
  <si>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</si>
  <si>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</si>
  <si>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</si>
  <si>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</si>
  <si>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</si>
  <si>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</si>
  <si>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</si>
  <si>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</si>
  <si>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</si>
  <si>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</si>
  <si>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</si>
  <si>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</si>
  <si>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</si>
  <si>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</si>
  <si>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</si>
  <si>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</si>
  <si>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</si>
  <si>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</si>
  <si>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</si>
  <si>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</si>
  <si>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</si>
  <si>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</si>
  <si>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</si>
  <si>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</si>
  <si>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</si>
  <si>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</si>
  <si>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</si>
  <si>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</si>
  <si>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</si>
  <si>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</si>
  <si>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</si>
  <si>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5 DIAS HABILES</t>
  </si>
  <si>
    <t>SI</t>
  </si>
  <si>
    <t>BLANCO OPACO MERINO</t>
  </si>
  <si>
    <t>N° 11324</t>
  </si>
  <si>
    <t>CUB S/R FRENTE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</si>
</sst>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2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45722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170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41991.358024691355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173</v>
      </c>
      <c r="D21" s="331">
        <v>2.5</v>
      </c>
      <c r="E21" s="331">
        <v>0.5</v>
      </c>
      <c r="F21" s="330" t="s">
        <v>171</v>
      </c>
      <c r="G21" s="332">
        <v>54169</v>
      </c>
      <c r="H21" s="332">
        <f>G21*B21</f>
        <v>54169</v>
      </c>
      <c r="I21" s="320"/>
      <c r="J21" s="265"/>
      <c r="K21" s="47"/>
      <c r="L21" s="333">
        <f>B21</f>
        <v>1</v>
      </c>
      <c r="M21" s="39">
        <f>D21+M$19</f>
        <v>2.58</v>
      </c>
      <c r="N21" s="39">
        <f>E21+$N$19</f>
        <v>0.5</v>
      </c>
      <c r="O21" s="261">
        <f t="shared" ref="O21" si="1">M21*N21</f>
        <v>1.29</v>
      </c>
      <c r="P21" s="259">
        <f t="shared" ref="P21" si="2">O21*L21</f>
        <v>1.29</v>
      </c>
      <c r="Q21" s="252">
        <f t="shared" ref="Q21" si="3">Q$20*O21</f>
        <v>54168.851851851847</v>
      </c>
      <c r="R21" s="319">
        <f t="shared" ref="R21" si="4">Q21+R$20</f>
        <v>57168.851851851847</v>
      </c>
      <c r="S21" s="297"/>
      <c r="T21" s="46">
        <f>M21*L21</f>
        <v>2.58</v>
      </c>
      <c r="U21" s="9"/>
      <c r="X21" s="4"/>
    </row>
    <row r="22" spans="1:25" ht="17.399999999999999" x14ac:dyDescent="0.3">
      <c r="B22" s="330">
        <v>1</v>
      </c>
      <c r="C22" s="330" t="s">
        <v>173</v>
      </c>
      <c r="D22" s="331">
        <v>2.2000000000000002</v>
      </c>
      <c r="E22" s="331">
        <v>0.5</v>
      </c>
      <c r="F22" s="330" t="s">
        <v>171</v>
      </c>
      <c r="G22" s="332">
        <v>47870</v>
      </c>
      <c r="H22" s="332">
        <f>G22*B22</f>
        <v>47870</v>
      </c>
      <c r="I22" s="320"/>
      <c r="J22" s="265"/>
      <c r="K22" s="47"/>
      <c r="L22" s="333">
        <f>B22</f>
        <v>1</v>
      </c>
      <c r="M22" s="39">
        <f>D22+M$19</f>
        <v>2.2800000000000002</v>
      </c>
      <c r="N22" s="39">
        <f>E22+$N$19</f>
        <v>0.5</v>
      </c>
      <c r="O22" s="261">
        <f t="shared" ref="O22" si="5">M22*N22</f>
        <v>1.1400000000000001</v>
      </c>
      <c r="P22" s="259">
        <f t="shared" ref="P22" si="6">O22*L22</f>
        <v>1.1400000000000001</v>
      </c>
      <c r="Q22" s="252">
        <f t="shared" ref="Q22" si="7">Q$20*O22</f>
        <v>47870.148148148153</v>
      </c>
      <c r="R22" s="319">
        <f t="shared" ref="R22" si="8">Q22+R$20</f>
        <v>50870.148148148153</v>
      </c>
      <c r="S22" s="297"/>
      <c r="T22" s="46">
        <f>M22*L22</f>
        <v>2.2800000000000002</v>
      </c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102039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4.8600000000000003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19387.41</v>
      </c>
      <c r="I26" s="322"/>
      <c r="J26" s="265"/>
      <c r="K26" s="47"/>
      <c r="L26" s="47"/>
      <c r="M26" s="39">
        <f>SUM(M21:M25)</f>
        <v>4.8600000000000003</v>
      </c>
      <c r="N26" s="12"/>
      <c r="O26" s="12"/>
      <c r="P26" s="253">
        <f>SUM(P21:P24)</f>
        <v>2.4300000000000002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121426.41</v>
      </c>
      <c r="I27" s="322"/>
      <c r="J27" s="265"/>
      <c r="K27" s="47">
        <v>70</v>
      </c>
      <c r="L27" s="47"/>
      <c r="M27" s="39"/>
      <c r="N27" s="12"/>
      <c r="O27" s="12"/>
      <c r="P27" s="253">
        <f>P26</f>
        <v>2.4300000000000002</v>
      </c>
      <c r="Q27" s="14"/>
      <c r="R27" s="12"/>
      <c r="S27" s="239">
        <f>SUM(S21:S26)</f>
        <v>0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>
        <v>12</v>
      </c>
      <c r="L28" s="47"/>
      <c r="M28" s="14"/>
      <c r="N28" s="12"/>
      <c r="O28" s="12"/>
      <c r="P28" s="39">
        <f>P27*20%</f>
        <v>0.48600000000000004</v>
      </c>
      <c r="Q28" s="39" t="s">
        <v>130</v>
      </c>
      <c r="R28" s="42"/>
      <c r="S28" s="240">
        <f>S27+T25</f>
        <v>4.8600000000000003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>
        <f>K27-K28</f>
        <v>58</v>
      </c>
      <c r="L29" s="47"/>
      <c r="M29" s="14"/>
      <c r="N29" s="12"/>
      <c r="O29" s="12"/>
      <c r="P29" s="46">
        <f>P27+P28</f>
        <v>2.9160000000000004</v>
      </c>
      <c r="Q29" s="14"/>
      <c r="R29" s="14"/>
      <c r="S29" s="238">
        <f>S28*20%</f>
        <v>0.97200000000000009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5.8320000000000007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2.9160000000000004</v>
      </c>
      <c r="N31" s="12">
        <v>2500</v>
      </c>
      <c r="O31" s="12">
        <f t="shared" ref="O31:O36" si="9">M31*N31</f>
        <v>7290.0000000000009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>
        <f>23500*1.19</f>
        <v>27965</v>
      </c>
      <c r="L32" s="47"/>
      <c r="M32" s="249">
        <v>0.8</v>
      </c>
      <c r="N32" s="12">
        <v>23500</v>
      </c>
      <c r="O32" s="12">
        <f t="shared" si="9"/>
        <v>18800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35800</v>
      </c>
      <c r="O33" s="12">
        <f t="shared" si="9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>
        <f>N34*1.19</f>
        <v>26775</v>
      </c>
      <c r="L34" s="250"/>
      <c r="M34" s="14">
        <v>1</v>
      </c>
      <c r="N34" s="250">
        <v>22500</v>
      </c>
      <c r="O34" s="12">
        <f t="shared" si="9"/>
        <v>22500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SUM(K32:K34)</f>
        <v>54740</v>
      </c>
      <c r="L35" s="250"/>
      <c r="M35" s="249"/>
      <c r="N35" s="250">
        <v>900</v>
      </c>
      <c r="O35" s="12">
        <f t="shared" si="9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>
        <f>K35/1.19</f>
        <v>46000</v>
      </c>
      <c r="L36" s="250"/>
      <c r="M36" s="266"/>
      <c r="N36" s="12">
        <v>500</v>
      </c>
      <c r="O36" s="12">
        <f t="shared" si="9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>
        <f>K35-K36</f>
        <v>8740</v>
      </c>
      <c r="L37" s="250"/>
      <c r="M37" s="14"/>
      <c r="N37" s="12"/>
      <c r="O37" s="12">
        <f>SUM(O31:O36)</f>
        <v>48590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102039</v>
      </c>
      <c r="P38" s="14" t="s">
        <v>140</v>
      </c>
      <c r="Q38" s="14"/>
      <c r="R38" s="40">
        <f>P29/R37</f>
        <v>0.78623813632441764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41991.358024691355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45722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11324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-1627.3750334541062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102039</v>
      </c>
      <c r="E11" s="132">
        <f>D11*0.19</f>
        <v>19387.41</v>
      </c>
      <c r="F11" s="131">
        <f>E11+D11</f>
        <v>121426.41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104362.62496654589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55924.090787439614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86362.624966545889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46114.909212560386</v>
      </c>
      <c r="E13" s="221">
        <f>(D11/D12)-1</f>
        <v>0.82459828247967981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77362.624966545889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38362.624966545896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92274.749799275363</v>
      </c>
      <c r="F15" s="216">
        <f>E15-D12</f>
        <v>36350.659011835749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38362.624966545896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78362.624966545889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18800</v>
      </c>
      <c r="E19" s="123">
        <f>D19*0.19</f>
        <v>3572</v>
      </c>
      <c r="F19" s="120">
        <f>SUM(D19:E19)</f>
        <v>22372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7290.0000000000009</v>
      </c>
      <c r="E20" s="121">
        <f>D20*0.19</f>
        <v>1385.1000000000001</v>
      </c>
      <c r="F20" s="120">
        <f>SUM(D20:E20)</f>
        <v>8675.1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26090</v>
      </c>
      <c r="E21" s="116">
        <f>SUM(E18:E20)</f>
        <v>4957.1000000000004</v>
      </c>
      <c r="F21" s="115">
        <f>SUM(F18:F20)</f>
        <v>31047.1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14430.31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102039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26090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46114.909212560386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46114.909212560386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2025-03-06T20:59:21Z</dcterms:modified>
</cp:coreProperties>
</file>