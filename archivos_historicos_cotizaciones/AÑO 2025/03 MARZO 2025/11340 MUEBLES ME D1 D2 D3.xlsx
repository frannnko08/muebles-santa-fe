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E5642F3B-0D2C-44CD-AA1E-3C190920F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6" i="1"/>
  <c r="H23" i="1"/>
  <c r="H24" i="1"/>
  <c r="M23" i="1"/>
  <c r="O23" i="1" s="1"/>
  <c r="P23" i="1" s="1"/>
  <c r="N23" i="1"/>
  <c r="M24" i="1"/>
  <c r="N24" i="1"/>
  <c r="O24" i="1"/>
  <c r="P24" i="1"/>
  <c r="T23" i="1"/>
  <c r="S24" i="1"/>
  <c r="H21" i="1"/>
  <c r="H22" i="1"/>
  <c r="J46" i="1"/>
  <c r="S23" i="1" l="1"/>
  <c r="T24" i="1"/>
  <c r="H26" i="1"/>
  <c r="H25" i="1"/>
  <c r="J29" i="1"/>
  <c r="M26" i="1"/>
  <c r="N26" i="1"/>
  <c r="M29" i="1"/>
  <c r="S29" i="1" s="1"/>
  <c r="N25" i="1"/>
  <c r="M25" i="1"/>
  <c r="M22" i="1"/>
  <c r="N22" i="1"/>
  <c r="N21" i="1"/>
  <c r="T26" i="1" l="1"/>
  <c r="O26" i="1"/>
  <c r="P26" i="1" s="1"/>
  <c r="S26" i="1"/>
  <c r="S25" i="1"/>
  <c r="O25" i="1"/>
  <c r="P25" i="1" s="1"/>
  <c r="T25" i="1"/>
  <c r="T21" i="1"/>
  <c r="S22" i="1"/>
  <c r="T22" i="1"/>
  <c r="O22" i="1"/>
  <c r="P22" i="1" s="1"/>
  <c r="M21" i="1"/>
  <c r="T31" i="1" l="1"/>
  <c r="M32" i="1"/>
  <c r="S21" i="1"/>
  <c r="S32" i="1" s="1"/>
  <c r="O21" i="1"/>
  <c r="P21" i="1" s="1"/>
  <c r="P32" i="1" s="1"/>
  <c r="K46" i="1"/>
  <c r="S34" i="1" l="1"/>
  <c r="S35" i="1" s="1"/>
  <c r="S36" i="1" s="1"/>
  <c r="V39" i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O45" i="1" s="1"/>
  <c r="Q20" i="1" s="1"/>
  <c r="Q23" i="1" l="1"/>
  <c r="R23" i="1" s="1"/>
  <c r="Q24" i="1"/>
  <c r="R24" i="1" s="1"/>
  <c r="Q25" i="1"/>
  <c r="R25" i="1" s="1"/>
  <c r="Q26" i="1"/>
  <c r="R26" i="1" s="1"/>
  <c r="D20" i="3"/>
  <c r="E20" i="3" s="1"/>
  <c r="E21" i="3" s="1"/>
  <c r="D21" i="3" l="1"/>
  <c r="M43" i="3" s="1"/>
  <c r="D12" i="3" s="1"/>
  <c r="F20" i="3"/>
  <c r="F21" i="3" s="1"/>
  <c r="Q22" i="1" l="1"/>
  <c r="R22" i="1" s="1"/>
  <c r="O46" i="1"/>
  <c r="E15" i="3"/>
  <c r="Q21" i="1" l="1"/>
  <c r="F15" i="3"/>
  <c r="R21" i="1" l="1"/>
  <c r="H31" i="1" l="1"/>
  <c r="H32" i="1" l="1"/>
  <c r="D11" i="3" l="1"/>
  <c r="X9" i="3" s="1"/>
  <c r="X15" i="3" s="1"/>
  <c r="H33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<sst xmlns="http://schemas.openxmlformats.org/spreadsheetml/2006/main" count="241" uniqueCount="177">
  <si>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</si>
  <si>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</si>
  <si>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</si>
  <si>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</si>
  <si>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</si>
  <si>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</si>
  <si>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</si>
  <si>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</si>
  <si>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</si>
  <si>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</si>
  <si>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</si>
  <si>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</si>
  <si>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</si>
  <si>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</si>
  <si>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</si>
  <si>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</si>
  <si>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</si>
  <si>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</si>
  <si>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</si>
  <si>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</si>
  <si>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</si>
  <si>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</si>
  <si>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</si>
  <si>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</si>
  <si>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</si>
  <si>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</si>
  <si>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</si>
  <si>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</si>
  <si>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</si>
  <si>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</si>
  <si>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</si>
  <si>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</si>
  <si>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</si>
  <si>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</si>
  <si>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</si>
  <si>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</si>
  <si>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</si>
  <si>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</si>
  <si>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</si>
  <si>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</si>
  <si>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</si>
  <si>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</si>
  <si>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</si>
  <si>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</si>
  <si>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</si>
  <si>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</si>
  <si>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</si>
  <si>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</si>
  <si>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</si>
  <si>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</si>
  <si>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</si>
  <si>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</si>
  <si>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</si>
  <si>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</si>
  <si>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</si>
  <si>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</si>
  <si>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</si>
  <si>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</si>
  <si>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</si>
  <si>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</si>
  <si>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</si>
  <si>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</si>
  <si>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</si>
  <si>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</si>
  <si>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</si>
  <si>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</si>
  <si>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</si>
  <si>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</si>
  <si>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</si>
  <si>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</si>
  <si>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</si>
  <si>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</si>
  <si>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</si>
  <si>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</si>
  <si>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</si>
  <si>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</si>
  <si>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</si>
  <si>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</si>
  <si>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</si>
  <si>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</si>
  <si>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</si>
  <si>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</si>
  <si>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</si>
  <si>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</si>
  <si>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</si>
  <si>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</si>
  <si>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</si>
  <si>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</si>
  <si>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</si>
  <si>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</si>
  <si>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</si>
  <si>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</si>
  <si>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</si>
  <si>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</si>
  <si>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</si>
  <si>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</si>
  <si>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</si>
  <si>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</si>
  <si>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</si>
  <si>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</si>
  <si>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</si>
  <si>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</si>
  <si>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</si>
  <si>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</si>
  <si>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</si>
  <si>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</si>
  <si>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</si>
  <si>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</si>
  <si>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</si>
  <si>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</si>
  <si>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</si>
  <si>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</si>
  <si>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</si>
  <si>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</si>
  <si>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</si>
  <si>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</si>
  <si>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</si>
  <si>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</si>
  <si>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</si>
  <si>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</si>
  <si>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</si>
  <si>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</si>
  <si>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</si>
  <si>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</si>
  <si>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</si>
  <si>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</si>
  <si>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</si>
  <si>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</si>
  <si>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</si>
  <si>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</si>
  <si>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</si>
  <si>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</si>
  <si>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</si>
  <si>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</si>
  <si>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</si>
  <si>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</si>
  <si>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</si>
  <si>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</si>
  <si>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</si>
  <si>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</si>
  <si>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</si>
  <si>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</si>
  <si>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</si>
  <si>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</si>
  <si>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</si>
  <si>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</si>
  <si>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</si>
  <si>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</si>
  <si>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</si>
  <si>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</si>
  <si>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</si>
  <si>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</si>
  <si>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</si>
  <si>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</si>
  <si>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</si>
  <si>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</si>
  <si>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</si>
  <si>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</si>
  <si>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</si>
  <si>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</si>
  <si>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</si>
  <si>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</si>
  <si>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</si>
  <si>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</si>
  <si>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</si>
  <si>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</si>
  <si>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ME SPA</t>
  </si>
  <si>
    <t>FRANCO GARCIA</t>
  </si>
  <si>
    <t>+569 9438 6075</t>
  </si>
  <si>
    <t>10 DIAS HABILES</t>
  </si>
  <si>
    <t>E/R 1 CARA</t>
  </si>
  <si>
    <t>HUMO 2108 MT</t>
  </si>
  <si>
    <t xml:space="preserve">TAPACANTO PVC </t>
  </si>
  <si>
    <t>N° 11336</t>
  </si>
  <si>
    <t>CUB E/R MDF 30MM</t>
  </si>
  <si>
    <t>EBANO 2109  MT</t>
  </si>
  <si>
    <t>MUEBLE A1 A2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</si>
</sst>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D19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31"/>
      <c r="D8" s="332" t="s">
        <v>173</v>
      </c>
      <c r="F8" s="59" t="s">
        <v>176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161</v>
      </c>
      <c r="C10" s="278" t="s">
        <v>166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4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133</v>
      </c>
      <c r="G15" s="306" t="s">
        <v>134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128</v>
      </c>
      <c r="G16" s="316" t="s">
        <v>162</v>
      </c>
      <c r="H16" s="248"/>
    </row>
    <row r="17" spans="2:25" ht="15" thickBot="1" x14ac:dyDescent="0.35">
      <c r="B17" s="309" t="s">
        <v>13</v>
      </c>
      <c r="C17" s="310" t="s">
        <v>165</v>
      </c>
      <c r="D17" s="311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O45</f>
        <v>92973.974358974388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4">
        <v>3</v>
      </c>
      <c r="C21" s="324" t="s">
        <v>170</v>
      </c>
      <c r="D21" s="325">
        <v>0.32</v>
      </c>
      <c r="E21" s="325">
        <v>0.4</v>
      </c>
      <c r="F21" s="324" t="s">
        <v>171</v>
      </c>
      <c r="G21" s="326">
        <v>25299</v>
      </c>
      <c r="H21" s="326">
        <f>G21*B21</f>
        <v>75897</v>
      </c>
      <c r="I21" s="318"/>
      <c r="J21" s="265"/>
      <c r="K21" s="47">
        <v>2</v>
      </c>
      <c r="L21" s="47"/>
      <c r="M21" s="267">
        <f>D21+M$19</f>
        <v>0.34</v>
      </c>
      <c r="N21" s="267">
        <f>E21+$N$19</f>
        <v>0.42000000000000004</v>
      </c>
      <c r="O21" s="261">
        <f t="shared" ref="O21" si="0">M21*N21</f>
        <v>0.14280000000000001</v>
      </c>
      <c r="P21" s="259">
        <f t="shared" ref="P21" si="1">O21*L21</f>
        <v>0</v>
      </c>
      <c r="Q21" s="252">
        <f t="shared" ref="Q21" si="2">Q$20*O21</f>
        <v>13276.683538461544</v>
      </c>
      <c r="R21" s="317">
        <f t="shared" ref="R21" si="3">Q21+R$20</f>
        <v>18276.683538461544</v>
      </c>
      <c r="S21" s="295">
        <f>M21*2*L21</f>
        <v>0</v>
      </c>
      <c r="T21" s="46">
        <f>N21*2*L21</f>
        <v>0</v>
      </c>
      <c r="U21" s="9"/>
      <c r="X21" s="4"/>
    </row>
    <row r="22" spans="2:25" ht="17.399999999999999" x14ac:dyDescent="0.3">
      <c r="B22" s="324">
        <v>6</v>
      </c>
      <c r="C22" s="324" t="s">
        <v>170</v>
      </c>
      <c r="D22" s="325">
        <v>0.2</v>
      </c>
      <c r="E22" s="325">
        <v>0.4</v>
      </c>
      <c r="F22" s="324" t="s">
        <v>171</v>
      </c>
      <c r="G22" s="326">
        <v>18134</v>
      </c>
      <c r="H22" s="326">
        <f>G22*B22</f>
        <v>108804</v>
      </c>
      <c r="I22" s="318"/>
      <c r="J22" s="265"/>
      <c r="K22" s="47"/>
      <c r="L22" s="47"/>
      <c r="M22" s="267">
        <f>D22+M$19</f>
        <v>0.22</v>
      </c>
      <c r="N22" s="267">
        <f>E22+$N$19</f>
        <v>0.42000000000000004</v>
      </c>
      <c r="O22" s="261">
        <f t="shared" ref="O22" si="4">M22*N22</f>
        <v>9.240000000000001E-2</v>
      </c>
      <c r="P22" s="259">
        <f t="shared" ref="P22" si="5">O22*L22</f>
        <v>0</v>
      </c>
      <c r="Q22" s="252">
        <f t="shared" ref="Q22" si="6">Q$20*O22</f>
        <v>8590.795230769234</v>
      </c>
      <c r="R22" s="317">
        <f t="shared" ref="R22" si="7">Q22+R$20</f>
        <v>13590.795230769234</v>
      </c>
      <c r="S22" s="295">
        <f t="shared" ref="S22" si="8">M22*2*L22</f>
        <v>0</v>
      </c>
      <c r="T22" s="46">
        <f t="shared" ref="T22:T26" si="9">N22*2*L22</f>
        <v>0</v>
      </c>
      <c r="U22" s="9"/>
      <c r="X22" s="4"/>
    </row>
    <row r="23" spans="2:25" ht="17.399999999999999" x14ac:dyDescent="0.3">
      <c r="B23" s="324">
        <v>2</v>
      </c>
      <c r="C23" s="324" t="s">
        <v>170</v>
      </c>
      <c r="D23" s="325">
        <v>1.1000000000000001</v>
      </c>
      <c r="E23" s="325">
        <v>0.41799999999999998</v>
      </c>
      <c r="F23" s="324" t="s">
        <v>171</v>
      </c>
      <c r="G23" s="326">
        <v>74732</v>
      </c>
      <c r="H23" s="326">
        <f t="shared" ref="H23:H24" si="10">G23*B23</f>
        <v>149464</v>
      </c>
      <c r="I23" s="318"/>
      <c r="J23" s="265"/>
      <c r="K23" s="47"/>
      <c r="L23" s="47"/>
      <c r="M23" s="267">
        <f t="shared" ref="M23:M24" si="11">D23+M$19</f>
        <v>1.1200000000000001</v>
      </c>
      <c r="N23" s="267">
        <f t="shared" ref="N23:N24" si="12">E23+$N$19</f>
        <v>0.438</v>
      </c>
      <c r="O23" s="261">
        <f t="shared" ref="O23:O24" si="13">M23*N23</f>
        <v>0.49056000000000005</v>
      </c>
      <c r="P23" s="259">
        <f t="shared" ref="P23:P24" si="14">O23*L23</f>
        <v>0</v>
      </c>
      <c r="Q23" s="252">
        <f t="shared" ref="Q23:Q24" si="15">Q$20*O23</f>
        <v>45609.312861538478</v>
      </c>
      <c r="R23" s="317">
        <f t="shared" ref="R23:R24" si="16">Q23+R$20</f>
        <v>50609.312861538478</v>
      </c>
      <c r="S23" s="295">
        <f t="shared" ref="S23:S24" si="17">M23*2*L23</f>
        <v>0</v>
      </c>
      <c r="T23" s="46">
        <f t="shared" ref="T23:T24" si="18">N23*2*L23</f>
        <v>0</v>
      </c>
      <c r="U23" s="9"/>
      <c r="X23" s="4"/>
    </row>
    <row r="24" spans="2:25" ht="17.399999999999999" x14ac:dyDescent="0.3">
      <c r="B24" s="324">
        <v>6</v>
      </c>
      <c r="C24" s="324" t="s">
        <v>170</v>
      </c>
      <c r="D24" s="325">
        <v>0.63</v>
      </c>
      <c r="E24" s="325">
        <v>0.4</v>
      </c>
      <c r="F24" s="324" t="s">
        <v>171</v>
      </c>
      <c r="G24" s="326">
        <v>43806</v>
      </c>
      <c r="H24" s="326">
        <f t="shared" si="10"/>
        <v>262836</v>
      </c>
      <c r="I24" s="318"/>
      <c r="J24" s="265"/>
      <c r="K24" s="47"/>
      <c r="L24" s="47"/>
      <c r="M24" s="267">
        <f t="shared" si="11"/>
        <v>0.65</v>
      </c>
      <c r="N24" s="267">
        <f t="shared" si="12"/>
        <v>0.42000000000000004</v>
      </c>
      <c r="O24" s="261">
        <f t="shared" si="13"/>
        <v>0.27300000000000002</v>
      </c>
      <c r="P24" s="259">
        <f t="shared" si="14"/>
        <v>0</v>
      </c>
      <c r="Q24" s="252">
        <f t="shared" si="15"/>
        <v>25381.895000000011</v>
      </c>
      <c r="R24" s="317">
        <f t="shared" si="16"/>
        <v>30381.895000000011</v>
      </c>
      <c r="S24" s="295">
        <f t="shared" si="17"/>
        <v>0</v>
      </c>
      <c r="T24" s="46">
        <f t="shared" si="18"/>
        <v>0</v>
      </c>
      <c r="U24" s="9"/>
      <c r="X24" s="4"/>
    </row>
    <row r="25" spans="2:25" ht="17.399999999999999" x14ac:dyDescent="0.3">
      <c r="B25" s="324">
        <v>1</v>
      </c>
      <c r="C25" s="324" t="s">
        <v>174</v>
      </c>
      <c r="D25" s="325">
        <v>3.4</v>
      </c>
      <c r="E25" s="325">
        <v>0.7</v>
      </c>
      <c r="F25" s="324" t="s">
        <v>175</v>
      </c>
      <c r="G25" s="326">
        <v>233939</v>
      </c>
      <c r="H25" s="326">
        <f t="shared" ref="H25:H26" si="19">G25*B25</f>
        <v>233939</v>
      </c>
      <c r="I25" s="318"/>
      <c r="J25" s="265">
        <v>298786</v>
      </c>
      <c r="K25" s="47"/>
      <c r="L25" s="47">
        <f t="shared" ref="L22:L26" si="20">B25</f>
        <v>1</v>
      </c>
      <c r="M25" s="267">
        <f t="shared" ref="M25:M29" si="21">D25+M$19</f>
        <v>3.42</v>
      </c>
      <c r="N25" s="267">
        <f t="shared" ref="N25" si="22">E25+$N$19</f>
        <v>0.72</v>
      </c>
      <c r="O25" s="261">
        <f t="shared" ref="O25" si="23">M25*N25</f>
        <v>2.4623999999999997</v>
      </c>
      <c r="P25" s="259">
        <f t="shared" ref="P25" si="24">O25*L25</f>
        <v>2.4623999999999997</v>
      </c>
      <c r="Q25" s="252">
        <f t="shared" ref="Q25" si="25">Q$20*O25</f>
        <v>228939.1144615385</v>
      </c>
      <c r="R25" s="317">
        <f t="shared" ref="R25" si="26">Q25+R$20</f>
        <v>233939.1144615385</v>
      </c>
      <c r="S25" s="295">
        <f t="shared" ref="S25:S29" si="27">M25*2*L25</f>
        <v>6.84</v>
      </c>
      <c r="T25" s="46">
        <f t="shared" si="9"/>
        <v>1.44</v>
      </c>
      <c r="U25" s="9"/>
      <c r="X25" s="4"/>
    </row>
    <row r="26" spans="2:25" ht="17.399999999999999" x14ac:dyDescent="0.3">
      <c r="B26" s="324">
        <v>1</v>
      </c>
      <c r="C26" s="324" t="s">
        <v>174</v>
      </c>
      <c r="D26" s="325">
        <v>2.8</v>
      </c>
      <c r="E26" s="325">
        <v>0.7</v>
      </c>
      <c r="F26" s="324" t="s">
        <v>175</v>
      </c>
      <c r="G26" s="326">
        <v>193774</v>
      </c>
      <c r="H26" s="326">
        <f t="shared" si="19"/>
        <v>193774</v>
      </c>
      <c r="I26" s="318"/>
      <c r="J26" s="265">
        <v>596213</v>
      </c>
      <c r="K26" s="47"/>
      <c r="L26" s="47">
        <f t="shared" si="20"/>
        <v>1</v>
      </c>
      <c r="M26" s="267">
        <f t="shared" ref="M26" si="28">D26+M$19</f>
        <v>2.82</v>
      </c>
      <c r="N26" s="267">
        <f t="shared" ref="N26" si="29">E26+$N$19</f>
        <v>0.72</v>
      </c>
      <c r="O26" s="261">
        <f t="shared" ref="O26" si="30">M26*N26</f>
        <v>2.0303999999999998</v>
      </c>
      <c r="P26" s="259">
        <f t="shared" ref="P26" si="31">O26*L26</f>
        <v>2.0303999999999998</v>
      </c>
      <c r="Q26" s="252">
        <f t="shared" ref="Q26" si="32">Q$20*O26</f>
        <v>188774.35753846157</v>
      </c>
      <c r="R26" s="317">
        <f t="shared" ref="R26" si="33">Q26+R$20</f>
        <v>193774.35753846157</v>
      </c>
      <c r="S26" s="295">
        <f t="shared" ref="S26" si="34">M26*2*L26</f>
        <v>5.64</v>
      </c>
      <c r="T26" s="46">
        <f t="shared" si="9"/>
        <v>1.44</v>
      </c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18"/>
      <c r="H27" s="318"/>
      <c r="I27" s="318"/>
      <c r="J27" s="265"/>
      <c r="K27" s="47"/>
      <c r="L27" s="47"/>
      <c r="M27" s="267"/>
      <c r="N27" s="267"/>
      <c r="O27" s="261"/>
      <c r="P27" s="259"/>
      <c r="Q27" s="252"/>
      <c r="R27" s="317"/>
      <c r="S27" s="295"/>
      <c r="T27" s="46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18"/>
      <c r="H28" s="318"/>
      <c r="I28" s="318"/>
      <c r="J28" s="265"/>
      <c r="K28" s="47"/>
      <c r="L28" s="47"/>
      <c r="M28" s="267"/>
      <c r="N28" s="267"/>
      <c r="O28" s="261"/>
      <c r="P28" s="259"/>
      <c r="Q28" s="252"/>
      <c r="R28" s="317"/>
      <c r="S28" s="295"/>
      <c r="T28" s="46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18"/>
      <c r="H29" s="318"/>
      <c r="I29" s="318"/>
      <c r="J29" s="265">
        <f>SUM(J25:J26)</f>
        <v>894999</v>
      </c>
      <c r="K29" s="47"/>
      <c r="L29" s="47"/>
      <c r="M29" s="267">
        <f t="shared" si="21"/>
        <v>0.02</v>
      </c>
      <c r="N29" s="267"/>
      <c r="O29" s="261"/>
      <c r="P29" s="259"/>
      <c r="Q29" s="252"/>
      <c r="R29" s="317"/>
      <c r="S29" s="295">
        <f t="shared" si="27"/>
        <v>0</v>
      </c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/>
      <c r="H30" s="319"/>
      <c r="I30" s="321"/>
      <c r="J30" s="233"/>
      <c r="K30" s="47"/>
      <c r="L30" s="47"/>
      <c r="M30" s="39"/>
      <c r="N30" s="39"/>
      <c r="O30" s="261"/>
      <c r="P30" s="259"/>
      <c r="Q30" s="252"/>
      <c r="R30" s="258"/>
      <c r="S30" s="295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2" t="s">
        <v>28</v>
      </c>
      <c r="H31" s="323">
        <f>SUM(H21:H30)</f>
        <v>1024714</v>
      </c>
      <c r="I31" s="320"/>
      <c r="J31" s="265"/>
      <c r="K31" s="47">
        <v>2600000</v>
      </c>
      <c r="L31" s="47"/>
      <c r="M31" s="39"/>
      <c r="N31" s="39"/>
      <c r="O31" s="261"/>
      <c r="P31" s="259"/>
      <c r="Q31" s="252"/>
      <c r="R31" s="258"/>
      <c r="S31" s="295"/>
      <c r="T31" s="46">
        <f>SUM(T21:T30)</f>
        <v>2.88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4" t="s">
        <v>50</v>
      </c>
      <c r="H32" s="292">
        <f>H31*19%</f>
        <v>194695.66</v>
      </c>
      <c r="I32" s="320"/>
      <c r="J32" s="265"/>
      <c r="K32" s="47"/>
      <c r="L32" s="47"/>
      <c r="M32" s="39">
        <f>SUM(M21:M22)</f>
        <v>0.56000000000000005</v>
      </c>
      <c r="N32" s="12"/>
      <c r="O32" s="12"/>
      <c r="P32" s="253">
        <f>SUM(P21:P30)</f>
        <v>4.492799999999999</v>
      </c>
      <c r="Q32" s="14"/>
      <c r="R32" s="12"/>
      <c r="S32" s="239">
        <f>SUM(S21:S31)</f>
        <v>12.48</v>
      </c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3">
        <f>H31+H32</f>
        <v>1219409.6599999999</v>
      </c>
      <c r="I33" s="320"/>
      <c r="J33" s="265"/>
      <c r="K33" s="47"/>
      <c r="L33" s="47"/>
      <c r="M33" s="39"/>
      <c r="N33" s="12"/>
      <c r="O33" s="12"/>
      <c r="P33" s="253">
        <f>P32</f>
        <v>4.492799999999999</v>
      </c>
      <c r="Q33" s="14"/>
      <c r="R33" s="12"/>
      <c r="S33" s="239"/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0.8985599999999998</v>
      </c>
      <c r="Q34" s="39" t="s">
        <v>129</v>
      </c>
      <c r="R34" s="42"/>
      <c r="S34" s="240">
        <f>S32+T31</f>
        <v>15.36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5.3913599999999988</v>
      </c>
      <c r="Q35" s="14"/>
      <c r="R35" s="14"/>
      <c r="S35" s="238">
        <f>S34*20%</f>
        <v>3.0720000000000001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18.431999999999999</v>
      </c>
      <c r="T36" s="14"/>
      <c r="U36" s="300" t="s">
        <v>21</v>
      </c>
      <c r="V36" s="297" t="s">
        <v>151</v>
      </c>
      <c r="W36" s="301">
        <v>44971</v>
      </c>
      <c r="X36" s="302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</f>
        <v>5.3913599999999988</v>
      </c>
      <c r="N37" s="12">
        <v>3500</v>
      </c>
      <c r="O37" s="12">
        <f t="shared" ref="O37:O42" si="35">M37*N37</f>
        <v>18869.759999999995</v>
      </c>
      <c r="P37" s="14" t="s">
        <v>21</v>
      </c>
      <c r="Q37" s="14"/>
      <c r="R37" s="14"/>
      <c r="S37" s="241"/>
      <c r="T37" s="14"/>
      <c r="U37" s="300" t="s">
        <v>152</v>
      </c>
      <c r="V37" s="297">
        <v>3625</v>
      </c>
      <c r="W37" s="59" t="s">
        <v>153</v>
      </c>
      <c r="X37" s="302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2</v>
      </c>
      <c r="N38" s="12">
        <v>45000</v>
      </c>
      <c r="O38" s="12">
        <f t="shared" si="35"/>
        <v>90000</v>
      </c>
      <c r="P38" s="39" t="s">
        <v>30</v>
      </c>
      <c r="Q38" s="42"/>
      <c r="R38" s="14"/>
      <c r="S38" s="240"/>
      <c r="T38" s="14"/>
      <c r="U38" s="300"/>
      <c r="V38" s="59">
        <v>906.25</v>
      </c>
      <c r="W38" s="59" t="s">
        <v>154</v>
      </c>
      <c r="X38" s="302"/>
    </row>
    <row r="39" spans="1:24" s="230" customFormat="1" ht="17.399999999999999" x14ac:dyDescent="0.35">
      <c r="B39" s="24" t="s">
        <v>150</v>
      </c>
      <c r="J39" s="262"/>
      <c r="K39" s="232"/>
      <c r="L39" s="250"/>
      <c r="M39" s="14">
        <v>10</v>
      </c>
      <c r="N39" s="250">
        <v>2000</v>
      </c>
      <c r="O39" s="12">
        <f t="shared" si="35"/>
        <v>20000</v>
      </c>
      <c r="P39" s="39" t="s">
        <v>172</v>
      </c>
      <c r="Q39" s="42"/>
      <c r="S39" s="240"/>
      <c r="T39" s="256"/>
      <c r="U39" s="59"/>
      <c r="V39" s="59">
        <f>V38*20%</f>
        <v>181.25</v>
      </c>
      <c r="W39" s="302" t="s">
        <v>155</v>
      </c>
      <c r="X39" s="59"/>
    </row>
    <row r="40" spans="1:24" s="230" customFormat="1" ht="17.399999999999999" x14ac:dyDescent="0.35">
      <c r="B40" s="24" t="s">
        <v>143</v>
      </c>
      <c r="C40"/>
      <c r="D40"/>
      <c r="E40"/>
      <c r="F40"/>
      <c r="J40" s="262"/>
      <c r="K40" s="232"/>
      <c r="L40" s="250"/>
      <c r="M40" s="14">
        <v>1</v>
      </c>
      <c r="N40" s="250">
        <v>61000</v>
      </c>
      <c r="O40" s="12">
        <f t="shared" si="35"/>
        <v>61000</v>
      </c>
      <c r="P40" s="14" t="s">
        <v>140</v>
      </c>
      <c r="Q40" s="17"/>
      <c r="S40" s="238"/>
      <c r="T40" s="256"/>
      <c r="U40" s="59"/>
      <c r="V40" s="59">
        <f>V38+V39</f>
        <v>1087.5</v>
      </c>
      <c r="W40" s="302" t="s">
        <v>156</v>
      </c>
      <c r="X40" s="59"/>
    </row>
    <row r="41" spans="1:24" s="230" customFormat="1" ht="17.399999999999999" x14ac:dyDescent="0.35">
      <c r="B41" s="29" t="s">
        <v>124</v>
      </c>
      <c r="C41"/>
      <c r="D41"/>
      <c r="E41"/>
      <c r="F41" s="229" t="s">
        <v>15</v>
      </c>
      <c r="J41" s="262"/>
      <c r="K41" s="260"/>
      <c r="L41" s="250"/>
      <c r="M41" s="249"/>
      <c r="N41" s="250">
        <v>900</v>
      </c>
      <c r="O41" s="12">
        <f t="shared" si="35"/>
        <v>0</v>
      </c>
      <c r="P41" s="14" t="s">
        <v>31</v>
      </c>
      <c r="Q41" s="14"/>
      <c r="R41" s="230">
        <v>1.52</v>
      </c>
      <c r="S41" s="238"/>
      <c r="T41" s="238"/>
    </row>
    <row r="42" spans="1:24" s="230" customFormat="1" ht="17.399999999999999" x14ac:dyDescent="0.35">
      <c r="J42" s="291"/>
      <c r="K42" s="260"/>
      <c r="L42" s="250"/>
      <c r="M42" s="266"/>
      <c r="N42" s="12">
        <v>1500</v>
      </c>
      <c r="O42" s="12">
        <f t="shared" si="35"/>
        <v>0</v>
      </c>
      <c r="P42" s="14" t="s">
        <v>22</v>
      </c>
      <c r="Q42" s="14"/>
      <c r="R42">
        <v>2.44</v>
      </c>
      <c r="S42"/>
      <c r="T42" s="238"/>
      <c r="X42" s="231"/>
    </row>
    <row r="43" spans="1:24" s="230" customFormat="1" ht="17.399999999999999" x14ac:dyDescent="0.35">
      <c r="K43" s="260"/>
      <c r="L43" s="250"/>
      <c r="M43" s="14"/>
      <c r="N43" s="12"/>
      <c r="O43" s="12">
        <f>SUM(O37:O42)</f>
        <v>189869.76</v>
      </c>
      <c r="P43" s="39" t="s">
        <v>23</v>
      </c>
      <c r="Q43" s="14"/>
      <c r="R43">
        <f>R41*R42</f>
        <v>3.7088000000000001</v>
      </c>
      <c r="S43"/>
      <c r="T43" s="238"/>
      <c r="X43" s="231"/>
    </row>
    <row r="44" spans="1:24" s="230" customFormat="1" ht="17.399999999999999" x14ac:dyDescent="0.35">
      <c r="L44" s="250"/>
      <c r="M44" s="254" t="s">
        <v>32</v>
      </c>
      <c r="N44" s="12"/>
      <c r="O44" s="255">
        <f>O43*2.2</f>
        <v>417713.47200000007</v>
      </c>
      <c r="P44" s="14" t="s">
        <v>139</v>
      </c>
      <c r="Q44" s="14"/>
      <c r="R44" s="40">
        <f>P35/R43</f>
        <v>1.4536669542709229</v>
      </c>
      <c r="S44"/>
      <c r="T44" s="257"/>
    </row>
    <row r="45" spans="1:24" s="230" customFormat="1" ht="17.399999999999999" x14ac:dyDescent="0.35">
      <c r="G45"/>
      <c r="H45" s="260"/>
      <c r="I45" s="260"/>
      <c r="J45" s="260">
        <v>72590</v>
      </c>
      <c r="K45" s="230">
        <v>49710</v>
      </c>
      <c r="L45" s="250"/>
      <c r="M45" s="14"/>
      <c r="N45" s="12"/>
      <c r="O45" s="12">
        <f>O44/P33</f>
        <v>92973.974358974388</v>
      </c>
      <c r="P45" s="45" t="s">
        <v>24</v>
      </c>
      <c r="Q45" s="14"/>
      <c r="R45" s="14"/>
      <c r="S45"/>
      <c r="T45" s="238"/>
      <c r="U45" s="59" t="s">
        <v>157</v>
      </c>
      <c r="V45" s="297">
        <v>43650</v>
      </c>
    </row>
    <row r="46" spans="1:24" s="230" customFormat="1" ht="17.399999999999999" x14ac:dyDescent="0.35">
      <c r="G46"/>
      <c r="J46" s="260">
        <f>J45/1.19</f>
        <v>61000</v>
      </c>
      <c r="K46" s="230">
        <f>K45/1.19</f>
        <v>41773.10924369748</v>
      </c>
      <c r="L46" s="250"/>
      <c r="M46" s="13"/>
      <c r="N46" s="14"/>
      <c r="O46" s="17">
        <f>O44/O43</f>
        <v>2.2000000000000002</v>
      </c>
      <c r="P46" s="15"/>
      <c r="Q46"/>
      <c r="R46"/>
      <c r="S46"/>
      <c r="T46" s="238"/>
      <c r="U46" s="59" t="s">
        <v>159</v>
      </c>
      <c r="V46" s="298" t="s">
        <v>158</v>
      </c>
      <c r="W46" s="59">
        <v>2.4</v>
      </c>
    </row>
    <row r="47" spans="1:24" s="230" customFormat="1" ht="17.399999999999999" x14ac:dyDescent="0.35">
      <c r="G47" s="23"/>
      <c r="L47" s="12"/>
      <c r="T47" s="238"/>
      <c r="U47" s="59" t="s">
        <v>160</v>
      </c>
      <c r="V47" s="299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155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147</v>
      </c>
    </row>
    <row r="81" spans="3:3" x14ac:dyDescent="0.3">
      <c r="C81" t="s">
        <v>146</v>
      </c>
    </row>
    <row r="84" spans="3:3" x14ac:dyDescent="0.3">
      <c r="C84" t="s">
        <v>146</v>
      </c>
    </row>
    <row r="161" spans="3:3" x14ac:dyDescent="0.3">
      <c r="C161" t="s">
        <v>146</v>
      </c>
    </row>
    <row r="162" spans="3:3" x14ac:dyDescent="0.3">
      <c r="C162" t="s">
        <v>148</v>
      </c>
    </row>
    <row r="163" spans="3:3" x14ac:dyDescent="0.3">
      <c r="C163" t="s">
        <v>149</v>
      </c>
    </row>
    <row r="588" spans="3:3" x14ac:dyDescent="0.3">
      <c r="C588" t="s">
        <v>146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11336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-127142.10770012077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'2229'!H31</f>
        <v>1024714</v>
      </c>
      <c r="E11" s="132">
        <f>D11*0.19</f>
        <v>194695.66</v>
      </c>
      <c r="F11" s="131">
        <f>E11+D11</f>
        <v>1219409.6599999999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-21152.107700120774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158703.85078743962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-39152.107700120774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866010.14921256038</v>
      </c>
      <c r="E13" s="221">
        <f>(D11/D12)-1</f>
        <v>5.4567683450381628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-48152.107700120774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-87152.107700120774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261861.35379927536</v>
      </c>
      <c r="F15" s="216">
        <f>E15-D12</f>
        <v>103157.50301183574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-87152.107700120774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-47152.107700120774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'2229'!O39</f>
        <v>20000</v>
      </c>
      <c r="E18" s="123">
        <f>D18*0.19</f>
        <v>3800</v>
      </c>
      <c r="F18" s="120">
        <f>SUM(D18:E18)</f>
        <v>23800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'2229'!O38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18869.759999999995</v>
      </c>
      <c r="E20" s="121">
        <f>D20*0.19</f>
        <v>3585.2543999999989</v>
      </c>
      <c r="F20" s="120">
        <f>SUM(D20:E20)</f>
        <v>22455.014399999993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128869.75999999999</v>
      </c>
      <c r="E21" s="116">
        <f>SUM(E18:E20)</f>
        <v>24485.254399999998</v>
      </c>
      <c r="F21" s="115">
        <f>SUM(F18:F20)</f>
        <v>153355.01439999999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170210.4056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1024714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128869.75999999999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866010.14921256038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866010.14921256038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2025-03-11T20:00:18Z</cp:lastPrinted>
  <dcterms:created xsi:type="dcterms:W3CDTF">2013-03-18T13:35:42Z</dcterms:created>
  <dcterms:modified xsi:type="dcterms:W3CDTF">2025-03-14T04:48:29Z</dcterms:modified>
</cp:coreProperties>
</file>