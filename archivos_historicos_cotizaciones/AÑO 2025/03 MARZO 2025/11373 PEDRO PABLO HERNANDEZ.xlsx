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C9299F91-5117-4972-A425-883391DC10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K22" i="1"/>
  <c r="L22" i="1"/>
  <c r="R22" i="1" s="1"/>
  <c r="M22" i="1"/>
  <c r="K23" i="1"/>
  <c r="L23" i="1"/>
  <c r="M23" i="1"/>
  <c r="J40" i="1"/>
  <c r="K21" i="1"/>
  <c r="N35" i="1"/>
  <c r="N23" i="1" l="1"/>
  <c r="O23" i="1" s="1"/>
  <c r="N22" i="1"/>
  <c r="O22" i="1" s="1"/>
  <c r="R23" i="1"/>
  <c r="N34" i="1"/>
  <c r="N36" i="1"/>
  <c r="N37" i="1"/>
  <c r="L21" i="1" l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2" i="1" l="1"/>
  <c r="Q22" i="1" s="1"/>
  <c r="P23" i="1"/>
  <c r="Q23" i="1" s="1"/>
  <c r="P21" i="1"/>
  <c r="F15" i="3"/>
  <c r="Q21" i="1" l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<sst xmlns="http://schemas.openxmlformats.org/spreadsheetml/2006/main" count="233" uniqueCount="173">
  <si>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</si>
  <si>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</si>
  <si>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</si>
  <si>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</si>
  <si>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</si>
  <si>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</si>
  <si>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</si>
  <si>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</si>
  <si>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</si>
  <si>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</si>
  <si>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</si>
  <si>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</si>
  <si>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</si>
  <si>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</si>
  <si>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</si>
  <si>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</si>
  <si>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</si>
  <si>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</si>
  <si>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</si>
  <si>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</si>
  <si>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</si>
  <si>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</si>
  <si>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</si>
  <si>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</si>
  <si>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</si>
  <si>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</si>
  <si>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</si>
  <si>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</si>
  <si>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</si>
  <si>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</si>
  <si>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</si>
  <si>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</si>
  <si>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</si>
  <si>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</si>
  <si>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</si>
  <si>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</si>
  <si>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</si>
  <si>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</si>
  <si>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</si>
  <si>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</si>
  <si>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</si>
  <si>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</si>
  <si>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</si>
  <si>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</si>
  <si>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</si>
  <si>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</si>
  <si>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</si>
  <si>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</si>
  <si>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</si>
  <si>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</si>
  <si>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</si>
  <si>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</si>
  <si>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</si>
  <si>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</si>
  <si>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</si>
  <si>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</si>
  <si>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</si>
  <si>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</si>
  <si>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</si>
  <si>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</si>
  <si>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</si>
  <si>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</si>
  <si>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</si>
  <si>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</si>
  <si>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</si>
  <si>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</si>
  <si>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</si>
  <si>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</si>
  <si>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</si>
  <si>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</si>
  <si>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</si>
  <si>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</si>
  <si>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</si>
  <si>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</si>
  <si>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</si>
  <si>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</si>
  <si>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</si>
  <si>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</si>
  <si>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</si>
  <si>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</si>
  <si>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</si>
  <si>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</si>
  <si>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</si>
  <si>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</si>
  <si>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</si>
  <si>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</si>
  <si>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</si>
  <si>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</si>
  <si>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</si>
  <si>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</si>
  <si>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</si>
  <si>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</si>
  <si>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</si>
  <si>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</si>
  <si>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</si>
  <si>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</si>
  <si>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</si>
  <si>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</si>
  <si>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</si>
  <si>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</si>
  <si>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</si>
  <si>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</si>
  <si>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</si>
  <si>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</si>
  <si>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</si>
  <si>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</si>
  <si>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</si>
  <si>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</si>
  <si>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</si>
  <si>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</si>
  <si>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</si>
  <si>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</si>
  <si>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</si>
  <si>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</si>
  <si>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</si>
  <si>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</si>
  <si>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</si>
  <si>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</si>
  <si>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</si>
  <si>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</si>
  <si>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</si>
  <si>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</si>
  <si>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</si>
  <si>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</si>
  <si>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</si>
  <si>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</si>
  <si>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</si>
  <si>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</si>
  <si>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</si>
  <si>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</si>
  <si>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</si>
  <si>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</si>
  <si>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</si>
  <si>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</si>
  <si>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</si>
  <si>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</si>
  <si>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</si>
  <si>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</si>
  <si>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</si>
  <si>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</si>
  <si>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</si>
  <si>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</si>
  <si>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</si>
  <si>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</si>
  <si>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</si>
  <si>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</si>
  <si>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</si>
  <si>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</si>
  <si>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</si>
  <si>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</si>
  <si>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</si>
  <si>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</si>
  <si>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</si>
  <si>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</si>
  <si>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</si>
  <si>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</si>
  <si>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</si>
  <si>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</si>
  <si>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</si>
  <si>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</si>
  <si>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</si>
  <si>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</si>
  <si>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</si>
  <si>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</si>
  <si>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</si>
  <si>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</si>
  <si>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5 DIAS HABILES</t>
  </si>
  <si>
    <t xml:space="preserve">TAPACANTO PVC </t>
  </si>
  <si>
    <t>+569 9789 9304</t>
  </si>
  <si>
    <t>N° 11373</t>
  </si>
  <si>
    <t>PEDRO PABLO HERNANDEZ</t>
  </si>
  <si>
    <t>ENCHAPE RECTO UNA CARA</t>
  </si>
  <si>
    <t>OILED SOAPSTONE 4882-60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</si>
</sst>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7" fillId="0" borderId="16" xfId="0" quotePrefix="1" applyFont="1" applyBorder="1" applyAlignment="1">
      <alignment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7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170</v>
      </c>
      <c r="D10" s="243"/>
      <c r="E10" s="243"/>
      <c r="F10" s="244" t="s">
        <v>0</v>
      </c>
      <c r="G10" s="277">
        <v>45743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32" t="s">
        <v>168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163</v>
      </c>
      <c r="H16" s="248"/>
    </row>
    <row r="17" spans="2:24" ht="15" thickBot="1" x14ac:dyDescent="0.35">
      <c r="B17" s="316" t="s">
        <v>13</v>
      </c>
      <c r="C17" s="317" t="s">
        <v>165</v>
      </c>
      <c r="D17" s="318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85567.683615819202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2.5499999999999998</v>
      </c>
      <c r="E21" s="326">
        <v>0.6</v>
      </c>
      <c r="F21" s="325" t="s">
        <v>172</v>
      </c>
      <c r="G21" s="327">
        <v>138026</v>
      </c>
      <c r="H21" s="327">
        <f>G21*B21</f>
        <v>138026</v>
      </c>
      <c r="I21" s="265"/>
      <c r="J21" s="47"/>
      <c r="K21" s="329">
        <f>B21</f>
        <v>1</v>
      </c>
      <c r="L21" s="39">
        <f>D21+L$19</f>
        <v>2.63</v>
      </c>
      <c r="M21" s="39">
        <f>E21+M$19</f>
        <v>0.6</v>
      </c>
      <c r="N21" s="261">
        <f t="shared" ref="N21" si="0">L21*M21</f>
        <v>1.5779999999999998</v>
      </c>
      <c r="O21" s="259">
        <f t="shared" ref="O21" si="1">N21*K21</f>
        <v>1.5779999999999998</v>
      </c>
      <c r="P21" s="252">
        <f t="shared" ref="P21" si="2">P$20*N21</f>
        <v>135025.8047457627</v>
      </c>
      <c r="Q21" s="328">
        <f t="shared" ref="Q21" si="3">P21+Q$20</f>
        <v>138025.8047457627</v>
      </c>
      <c r="R21" s="298">
        <f>L21*K21*2</f>
        <v>5.26</v>
      </c>
      <c r="S21" s="46">
        <f>M21*2*K21</f>
        <v>1.2</v>
      </c>
      <c r="T21" s="9"/>
      <c r="W21" s="4"/>
    </row>
    <row r="22" spans="2:24" ht="17.399999999999999" x14ac:dyDescent="0.3">
      <c r="B22" s="325">
        <v>1</v>
      </c>
      <c r="C22" s="325" t="s">
        <v>171</v>
      </c>
      <c r="D22" s="326">
        <v>1.9</v>
      </c>
      <c r="E22" s="326">
        <v>0.6</v>
      </c>
      <c r="F22" s="325" t="s">
        <v>172</v>
      </c>
      <c r="G22" s="327">
        <v>104654</v>
      </c>
      <c r="H22" s="327">
        <f t="shared" ref="H22:H23" si="4">G22*B22</f>
        <v>104654</v>
      </c>
      <c r="I22" s="265"/>
      <c r="J22" s="47"/>
      <c r="K22" s="329">
        <f t="shared" ref="K22:K23" si="5">B22</f>
        <v>1</v>
      </c>
      <c r="L22" s="39">
        <f t="shared" ref="L22:L23" si="6">D22+L$19</f>
        <v>1.98</v>
      </c>
      <c r="M22" s="39">
        <f t="shared" ref="M22:M23" si="7">E22+M$19</f>
        <v>0.6</v>
      </c>
      <c r="N22" s="261">
        <f t="shared" ref="N22:N23" si="8">L22*M22</f>
        <v>1.1879999999999999</v>
      </c>
      <c r="O22" s="259">
        <f t="shared" ref="O22:O23" si="9">N22*K22</f>
        <v>1.1879999999999999</v>
      </c>
      <c r="P22" s="252">
        <f t="shared" ref="P22:P23" si="10">P$20*N22</f>
        <v>101654.40813559321</v>
      </c>
      <c r="Q22" s="328">
        <f t="shared" ref="Q22:Q23" si="11">P22+Q$20</f>
        <v>104654.40813559321</v>
      </c>
      <c r="R22" s="298">
        <f t="shared" ref="R22:R23" si="12">L22*K22*2</f>
        <v>3.96</v>
      </c>
      <c r="S22" s="46"/>
      <c r="T22" s="9"/>
      <c r="W22" s="4"/>
    </row>
    <row r="23" spans="2:24" ht="17.399999999999999" x14ac:dyDescent="0.3">
      <c r="B23" s="325">
        <v>1</v>
      </c>
      <c r="C23" s="325" t="s">
        <v>171</v>
      </c>
      <c r="D23" s="326">
        <v>1.8</v>
      </c>
      <c r="E23" s="326">
        <v>0.6</v>
      </c>
      <c r="F23" s="325" t="s">
        <v>172</v>
      </c>
      <c r="G23" s="327">
        <v>99520</v>
      </c>
      <c r="H23" s="327">
        <f t="shared" si="4"/>
        <v>99520</v>
      </c>
      <c r="I23" s="265"/>
      <c r="J23" s="47"/>
      <c r="K23" s="329">
        <f t="shared" si="5"/>
        <v>1</v>
      </c>
      <c r="L23" s="39">
        <f t="shared" si="6"/>
        <v>1.8800000000000001</v>
      </c>
      <c r="M23" s="39">
        <f t="shared" si="7"/>
        <v>0.6</v>
      </c>
      <c r="N23" s="261">
        <f t="shared" si="8"/>
        <v>1.1280000000000001</v>
      </c>
      <c r="O23" s="259">
        <f t="shared" si="9"/>
        <v>1.1280000000000001</v>
      </c>
      <c r="P23" s="252">
        <f t="shared" si="10"/>
        <v>96520.347118644073</v>
      </c>
      <c r="Q23" s="328">
        <f t="shared" si="11"/>
        <v>99520.347118644073</v>
      </c>
      <c r="R23" s="298">
        <f t="shared" si="12"/>
        <v>3.7600000000000002</v>
      </c>
      <c r="S23" s="46"/>
      <c r="T23" s="9"/>
      <c r="W23" s="4"/>
    </row>
    <row r="24" spans="2:24" ht="17.399999999999999" x14ac:dyDescent="0.3">
      <c r="B24" s="286"/>
      <c r="C24" s="331"/>
      <c r="D24" s="287"/>
      <c r="E24" s="287"/>
      <c r="F24" s="286"/>
      <c r="G24" s="330"/>
      <c r="H24" s="330"/>
      <c r="I24" s="265"/>
      <c r="J24" s="47"/>
      <c r="K24" s="329"/>
      <c r="L24" s="39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342200</v>
      </c>
      <c r="I26" s="265"/>
      <c r="J26" s="47"/>
      <c r="K26" s="47"/>
      <c r="L26" s="39">
        <f>SUM(L21:L23)</f>
        <v>6.4899999999999993</v>
      </c>
      <c r="M26" s="39"/>
      <c r="N26" s="261"/>
      <c r="O26" s="259"/>
      <c r="P26" s="252"/>
      <c r="Q26" s="258"/>
      <c r="R26" s="298"/>
      <c r="S26" s="46">
        <f>SUM(S21:S25)</f>
        <v>1.2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65018</v>
      </c>
      <c r="I27" s="265"/>
      <c r="J27" s="47"/>
      <c r="K27" s="47"/>
      <c r="L27" s="39"/>
      <c r="M27" s="12"/>
      <c r="N27" s="12"/>
      <c r="O27" s="253">
        <f>SUM(O21:O24)</f>
        <v>3.8940000000000001</v>
      </c>
      <c r="P27" s="14"/>
      <c r="Q27" s="12"/>
      <c r="R27" s="239"/>
      <c r="S27" s="46">
        <f>S26*20%</f>
        <v>0.24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407218</v>
      </c>
      <c r="I28" s="265"/>
      <c r="J28" s="47"/>
      <c r="K28" s="47"/>
      <c r="L28" s="39"/>
      <c r="M28" s="12"/>
      <c r="N28" s="12"/>
      <c r="O28" s="253">
        <f>O27</f>
        <v>3.8940000000000001</v>
      </c>
      <c r="P28" s="14"/>
      <c r="Q28" s="12"/>
      <c r="R28" s="239">
        <f>SUM(R21:R27)</f>
        <v>12.979999999999999</v>
      </c>
      <c r="S28" s="46">
        <f>S26+S27</f>
        <v>1.44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0.77880000000000005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4.6728000000000005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4.6728000000000005</v>
      </c>
      <c r="M32" s="12">
        <v>3500</v>
      </c>
      <c r="N32" s="12">
        <f t="shared" ref="N32:N37" si="13">L32*M32</f>
        <v>16354.800000000001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1.5</v>
      </c>
      <c r="M33" s="12">
        <v>25000</v>
      </c>
      <c r="N33" s="12">
        <f t="shared" si="13"/>
        <v>37500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68300</v>
      </c>
      <c r="N34" s="12">
        <f t="shared" si="13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2</v>
      </c>
      <c r="M35" s="250">
        <v>48800</v>
      </c>
      <c r="N35" s="12">
        <f t="shared" si="13"/>
        <v>97600</v>
      </c>
      <c r="O35" s="14" t="s">
        <v>167</v>
      </c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3"/>
        <v>0</v>
      </c>
      <c r="O36" s="14" t="s">
        <v>33</v>
      </c>
      <c r="P36" s="14"/>
      <c r="Q36" s="230">
        <v>1.83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/>
      <c r="M37" s="12">
        <v>1500</v>
      </c>
      <c r="N37" s="12">
        <f t="shared" si="13"/>
        <v>0</v>
      </c>
      <c r="O37" s="14" t="s">
        <v>23</v>
      </c>
      <c r="P37" s="14"/>
      <c r="Q37">
        <v>2.5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151454.79999999999</v>
      </c>
      <c r="O38" s="39" t="s">
        <v>24</v>
      </c>
      <c r="P38" s="14"/>
      <c r="Q38">
        <f>Q36*Q37</f>
        <v>4.5750000000000002</v>
      </c>
      <c r="R38"/>
      <c r="S38" s="238"/>
      <c r="W38" s="231"/>
    </row>
    <row r="39" spans="2:23" s="230" customFormat="1" ht="17.399999999999999" x14ac:dyDescent="0.35">
      <c r="J39" s="230">
        <v>58000</v>
      </c>
      <c r="K39" s="250"/>
      <c r="L39" s="254" t="s">
        <v>34</v>
      </c>
      <c r="M39" s="12"/>
      <c r="N39" s="255">
        <f>N38*2.2</f>
        <v>333200.56</v>
      </c>
      <c r="O39" s="14" t="s">
        <v>141</v>
      </c>
      <c r="P39" s="14"/>
      <c r="Q39" s="40">
        <f>O30/Q38</f>
        <v>1.021377049180328</v>
      </c>
      <c r="R39"/>
      <c r="S39" s="257"/>
    </row>
    <row r="40" spans="2:23" s="230" customFormat="1" ht="17.399999999999999" x14ac:dyDescent="0.35">
      <c r="G40"/>
      <c r="H40" s="260"/>
      <c r="J40" s="230">
        <f>J39/1.19</f>
        <v>48739.495798319331</v>
      </c>
      <c r="K40" s="250">
        <v>0</v>
      </c>
      <c r="L40" s="14"/>
      <c r="M40" s="12"/>
      <c r="N40" s="12">
        <f>N39/O28</f>
        <v>85567.683615819202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45743</v>
      </c>
    </row>
    <row r="6" spans="2:31" ht="16.2" thickBot="1" x14ac:dyDescent="0.35">
      <c r="B6" s="140" t="s">
        <v>2</v>
      </c>
      <c r="C6" s="139" t="str">
        <f>'2229'!C10</f>
        <v>PEDRO PABLO HERNANDEZ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-34018.88836678744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342200</v>
      </c>
      <c r="E11" s="132">
        <f>D11*0.19</f>
        <v>65018</v>
      </c>
      <c r="F11" s="131">
        <f>E11+D11</f>
        <v>407218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71971.111633212568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83688.890787439625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53971.11163321256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258511.10921256038</v>
      </c>
      <c r="E13" s="221">
        <f>(D11/D12)-1</f>
        <v>3.0889537043709847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44971.11163321256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5971.1116332125603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138086.66979927538</v>
      </c>
      <c r="F15" s="216">
        <f>E15-D12</f>
        <v>54397.779011835752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5971.1116332125603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45971.11163321256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16354.800000000001</v>
      </c>
      <c r="E20" s="121">
        <f>D20*0.19</f>
        <v>3107.4120000000003</v>
      </c>
      <c r="F20" s="120">
        <f>SUM(D20:E20)</f>
        <v>19462.212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53854.8</v>
      </c>
      <c r="E21" s="116">
        <f>SUM(E18:E20)</f>
        <v>10232.412</v>
      </c>
      <c r="F21" s="115">
        <f>SUM(F18:F20)</f>
        <v>64087.212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54785.588000000003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342200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53854.8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258511.10921256038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258511.10921256038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2025-03-27T16:01:01Z</dcterms:modified>
</cp:coreProperties>
</file>