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3 MARZO 2025\"/>
    </mc:Choice>
  </mc:AlternateContent>
  <xr:revisionPtr revIDLastSave="0" documentId="13_ncr:1_{CE5EF963-C61D-4DF2-AE92-044E2F0BDD00}" xr6:coauthVersionLast="47" xr6:coauthVersionMax="47" xr10:uidLastSave="{00000000-0000-0000-0000-000000000000}"/>
  <bookViews>
    <workbookView xWindow="-108" yWindow="-108" windowWidth="23256" windowHeight="12456" activeTab="1" xr2:uid="{4616CCE1-2689-4AD0-A48C-1A11E9E7680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2" l="1"/>
  <c r="K17" i="2"/>
  <c r="H37" i="2"/>
  <c r="H25" i="2"/>
  <c r="H26" i="2" s="1"/>
  <c r="I25" i="2"/>
  <c r="I26" i="2" s="1"/>
  <c r="I3" i="2"/>
  <c r="H4" i="2" l="1"/>
  <c r="K12" i="1" l="1"/>
  <c r="E15" i="1"/>
  <c r="E14" i="1"/>
</calcChain>
</file>

<file path=xl/sharedStrings.xml><?xml version="1.0" encoding="utf-8"?>
<sst xmlns="http://schemas.openxmlformats.org/spreadsheetml/2006/main" count="68" uniqueCount="60">
  <si>
    <t>FELIPE</t>
  </si>
  <si>
    <t>FEBRERO</t>
  </si>
  <si>
    <t>MONTO IVA</t>
  </si>
  <si>
    <t>MES</t>
  </si>
  <si>
    <t>DICIEMBRE</t>
  </si>
  <si>
    <t>ENERO</t>
  </si>
  <si>
    <t>PAGADO</t>
  </si>
  <si>
    <t>MARZO</t>
  </si>
  <si>
    <t>CHARLY - DEUDA PENDIENTE</t>
  </si>
  <si>
    <t>FINIQUITO</t>
  </si>
  <si>
    <t>10 MESES</t>
  </si>
  <si>
    <t>ULTIMO MES</t>
  </si>
  <si>
    <t>NOVIEMBRE</t>
  </si>
  <si>
    <t xml:space="preserve">OCTUBRE </t>
  </si>
  <si>
    <t>TESORERIA</t>
  </si>
  <si>
    <t>PENDIENTE</t>
  </si>
  <si>
    <t>FUTUROS INGRESOS</t>
  </si>
  <si>
    <t xml:space="preserve">Deudas </t>
  </si>
  <si>
    <t>Charly Finiquito</t>
  </si>
  <si>
    <t>Charly sueldo</t>
  </si>
  <si>
    <t>Deuda Mama</t>
  </si>
  <si>
    <t xml:space="preserve">Deuda Franco </t>
  </si>
  <si>
    <t>Deuda Sem. Franco</t>
  </si>
  <si>
    <t>Deuda Luz</t>
  </si>
  <si>
    <t>Deuda Sra Atlantide</t>
  </si>
  <si>
    <t>Deuda Felipe</t>
  </si>
  <si>
    <t>Deuda INAF</t>
  </si>
  <si>
    <t>Deuda Imposiciones</t>
  </si>
  <si>
    <t>Deuda SII</t>
  </si>
  <si>
    <t>Deuda TGR</t>
  </si>
  <si>
    <t>Deuda ISAPRE</t>
  </si>
  <si>
    <t>ASENJO</t>
  </si>
  <si>
    <t>Q CLASS</t>
  </si>
  <si>
    <t>FECHA</t>
  </si>
  <si>
    <t>CONVENIO TGR</t>
  </si>
  <si>
    <t>Deuda Papá</t>
  </si>
  <si>
    <t>ABONO</t>
  </si>
  <si>
    <t>CARGO</t>
  </si>
  <si>
    <t>COMPRA SODIMAC</t>
  </si>
  <si>
    <t>IVA</t>
  </si>
  <si>
    <t>ABRIL</t>
  </si>
  <si>
    <t>VENTAS</t>
  </si>
  <si>
    <t>IVA CF</t>
  </si>
  <si>
    <t>IVA DF</t>
  </si>
  <si>
    <t>IVA A PAGAR</t>
  </si>
  <si>
    <t>IVA A PAGAR REAL</t>
  </si>
  <si>
    <t>INGRESOS X VENIR</t>
  </si>
  <si>
    <t>DINERO EN EL BANCO</t>
  </si>
  <si>
    <t>POR PAGAR</t>
  </si>
  <si>
    <t>SRA ATLANTIDE</t>
  </si>
  <si>
    <t>CHARLY</t>
  </si>
  <si>
    <t>FRANCO</t>
  </si>
  <si>
    <t>MAMA</t>
  </si>
  <si>
    <t>INAF</t>
  </si>
  <si>
    <t>LUZ</t>
  </si>
  <si>
    <t>INAF DEUDA</t>
  </si>
  <si>
    <t>FRANCO DROPBOX</t>
  </si>
  <si>
    <t>X 10 DIAS</t>
  </si>
  <si>
    <t>VIERNES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</si>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</sst>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5">
    <xf numFmtId="0" fontId="0" fillId="0" borderId="0" xfId="0"/>
    <xf numFmtId="42" fontId="0" fillId="0" borderId="0" xfId="1" applyFont="1"/>
    <xf numFmtId="42" fontId="0" fillId="0" borderId="0" xfId="0" applyNumberFormat="1"/>
    <xf numFmtId="16" fontId="0" fillId="0" borderId="0" xfId="0" applyNumberFormat="1"/>
    <xf numFmtId="42" fontId="0" fillId="2" borderId="0" xfId="1" applyFont="1" applyFill="1"/>
    <xf numFmtId="0" fontId="0" fillId="3" borderId="0" xfId="0" applyFill="1"/>
    <xf numFmtId="42" fontId="0" fillId="3" borderId="0" xfId="1" applyFont="1" applyFill="1"/>
    <xf numFmtId="0" fontId="0" fillId="4" borderId="0" xfId="0" applyFill="1"/>
    <xf numFmtId="42" fontId="0" fillId="4" borderId="0" xfId="1" applyFont="1" applyFill="1"/>
    <xf numFmtId="16" fontId="0" fillId="4" borderId="0" xfId="0" applyNumberFormat="1" applyFill="1"/>
    <xf numFmtId="0" fontId="0" fillId="0" borderId="0" xfId="0" quotePrefix="1"/>
    <xf numFmtId="16" fontId="0" fillId="5" borderId="0" xfId="0" applyNumberFormat="1" applyFill="1"/>
    <xf numFmtId="16" fontId="0" fillId="6" borderId="0" xfId="0" applyNumberFormat="1" applyFill="1"/>
    <xf numFmtId="16" fontId="0" fillId="7" borderId="0" xfId="0" applyNumberFormat="1" applyFill="1"/>
    <xf numFmtId="0" fontId="0" fillId="0" borderId="0" xfId="0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60B1-9D23-471B-A97E-42CAC9B88F97}">
  <dimension ref="C2:K19"/>
  <sheetViews>
    <sheetView workbookViewId="0">
      <selection activeCell="G12" sqref="G12"/>
    </sheetView>
  </sheetViews>
  <sheetFormatPr baseColWidth="10" defaultRowHeight="14.4" x14ac:dyDescent="0.3"/>
  <cols>
    <col min="5" max="5" width="14.109375" customWidth="1"/>
  </cols>
  <sheetData>
    <row r="2" spans="3:11" x14ac:dyDescent="0.3">
      <c r="C2" t="s">
        <v>3</v>
      </c>
      <c r="D2" t="s">
        <v>2</v>
      </c>
    </row>
    <row r="3" spans="3:11" x14ac:dyDescent="0.3">
      <c r="C3" t="s">
        <v>1</v>
      </c>
      <c r="D3" s="1">
        <v>796000</v>
      </c>
      <c r="E3" t="s">
        <v>15</v>
      </c>
    </row>
    <row r="4" spans="3:11" x14ac:dyDescent="0.3">
      <c r="C4" t="s">
        <v>5</v>
      </c>
      <c r="D4" s="1" t="s">
        <v>6</v>
      </c>
    </row>
    <row r="5" spans="3:11" x14ac:dyDescent="0.3">
      <c r="C5" t="s">
        <v>4</v>
      </c>
      <c r="D5" s="1">
        <v>1010468</v>
      </c>
      <c r="E5" t="s">
        <v>14</v>
      </c>
    </row>
    <row r="6" spans="3:11" x14ac:dyDescent="0.3">
      <c r="C6" t="s">
        <v>12</v>
      </c>
      <c r="D6" s="1" t="s">
        <v>6</v>
      </c>
    </row>
    <row r="7" spans="3:11" x14ac:dyDescent="0.3">
      <c r="C7" t="s">
        <v>13</v>
      </c>
      <c r="D7" s="1">
        <v>235387</v>
      </c>
      <c r="E7" t="s">
        <v>14</v>
      </c>
    </row>
    <row r="8" spans="3:11" x14ac:dyDescent="0.3">
      <c r="D8" s="1"/>
    </row>
    <row r="11" spans="3:11" x14ac:dyDescent="0.3">
      <c r="D11" s="14" t="s">
        <v>8</v>
      </c>
      <c r="E11" s="14"/>
    </row>
    <row r="12" spans="3:11" x14ac:dyDescent="0.3">
      <c r="D12" t="s">
        <v>1</v>
      </c>
      <c r="E12" s="1">
        <v>150000</v>
      </c>
      <c r="K12">
        <f>875000+255000</f>
        <v>1130000</v>
      </c>
    </row>
    <row r="13" spans="3:11" x14ac:dyDescent="0.3">
      <c r="D13" t="s">
        <v>5</v>
      </c>
      <c r="E13" s="1">
        <v>10000</v>
      </c>
    </row>
    <row r="14" spans="3:11" x14ac:dyDescent="0.3">
      <c r="D14" t="s">
        <v>7</v>
      </c>
      <c r="E14" s="1">
        <f>15000*7</f>
        <v>105000</v>
      </c>
    </row>
    <row r="15" spans="3:11" x14ac:dyDescent="0.3">
      <c r="E15" s="2">
        <f>SUM(E12:E14)</f>
        <v>265000</v>
      </c>
    </row>
    <row r="17" spans="3:5" x14ac:dyDescent="0.3">
      <c r="C17" t="s">
        <v>10</v>
      </c>
      <c r="D17" s="14" t="s">
        <v>9</v>
      </c>
      <c r="E17" s="14"/>
    </row>
    <row r="18" spans="3:5" x14ac:dyDescent="0.3">
      <c r="E18" s="1">
        <v>190000</v>
      </c>
    </row>
    <row r="19" spans="3:5" x14ac:dyDescent="0.3">
      <c r="D19" t="s">
        <v>11</v>
      </c>
      <c r="E19" s="1">
        <v>199000</v>
      </c>
    </row>
  </sheetData>
  <mergeCells count="2">
    <mergeCell ref="D11:E11"/>
    <mergeCell ref="D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E115-F1D6-4A9F-A694-ED0BDFAA0A68}">
  <dimension ref="B2:R83"/>
  <sheetViews>
    <sheetView tabSelected="1" topLeftCell="E10" workbookViewId="0">
      <selection activeCell="F25" sqref="F25"/>
    </sheetView>
  </sheetViews>
  <sheetFormatPr baseColWidth="10" defaultRowHeight="14.4" x14ac:dyDescent="0.3"/>
  <cols>
    <col min="2" max="2" width="18.77734375" bestFit="1" customWidth="1"/>
    <col min="3" max="3" width="18" style="1" bestFit="1" customWidth="1"/>
    <col min="13" max="13" width="15.5546875" style="1" customWidth="1"/>
    <col min="14" max="14" width="11.5546875" style="1"/>
  </cols>
  <sheetData>
    <row r="2" spans="2:15" x14ac:dyDescent="0.3">
      <c r="B2" s="14" t="s">
        <v>16</v>
      </c>
      <c r="C2" s="14"/>
      <c r="L2" t="s">
        <v>33</v>
      </c>
      <c r="M2" s="1" t="s">
        <v>0</v>
      </c>
    </row>
    <row r="3" spans="2:15" x14ac:dyDescent="0.3">
      <c r="B3" t="s">
        <v>31</v>
      </c>
      <c r="H3">
        <v>1466441</v>
      </c>
      <c r="I3" s="2">
        <f>H3-C12</f>
        <v>1276441</v>
      </c>
      <c r="M3" s="1" t="s">
        <v>37</v>
      </c>
      <c r="N3" s="1" t="s">
        <v>36</v>
      </c>
    </row>
    <row r="4" spans="2:15" x14ac:dyDescent="0.3">
      <c r="B4" t="s">
        <v>32</v>
      </c>
      <c r="H4" s="2">
        <f>H3-C13</f>
        <v>1201441</v>
      </c>
    </row>
    <row r="5" spans="2:15" x14ac:dyDescent="0.3">
      <c r="K5" s="10">
        <v>85000</v>
      </c>
      <c r="L5" s="13">
        <v>45750</v>
      </c>
      <c r="M5" s="1">
        <v>35000</v>
      </c>
    </row>
    <row r="6" spans="2:15" x14ac:dyDescent="0.3">
      <c r="L6" s="13">
        <v>45742</v>
      </c>
      <c r="M6" s="1">
        <v>30000</v>
      </c>
    </row>
    <row r="7" spans="2:15" x14ac:dyDescent="0.3">
      <c r="L7" s="13">
        <v>45741</v>
      </c>
      <c r="M7" s="1">
        <v>25000</v>
      </c>
      <c r="O7" t="s">
        <v>38</v>
      </c>
    </row>
    <row r="8" spans="2:15" x14ac:dyDescent="0.3">
      <c r="L8" s="13">
        <v>45736</v>
      </c>
      <c r="M8" s="1">
        <v>15000</v>
      </c>
    </row>
    <row r="9" spans="2:15" x14ac:dyDescent="0.3">
      <c r="L9" s="13">
        <v>45735</v>
      </c>
      <c r="M9" s="1">
        <v>100000</v>
      </c>
    </row>
    <row r="10" spans="2:15" x14ac:dyDescent="0.3">
      <c r="L10" s="13">
        <v>45733</v>
      </c>
      <c r="M10" s="1">
        <v>200000</v>
      </c>
      <c r="N10" s="1">
        <v>30000</v>
      </c>
    </row>
    <row r="11" spans="2:15" x14ac:dyDescent="0.3">
      <c r="B11" s="14" t="s">
        <v>17</v>
      </c>
      <c r="C11" s="14"/>
      <c r="L11" s="13">
        <v>45726</v>
      </c>
      <c r="M11" s="1">
        <v>100000</v>
      </c>
    </row>
    <row r="12" spans="2:15" x14ac:dyDescent="0.3">
      <c r="B12" t="s">
        <v>18</v>
      </c>
      <c r="C12" s="1">
        <v>190000</v>
      </c>
      <c r="L12" s="13">
        <v>45726</v>
      </c>
      <c r="M12" s="1">
        <v>200000</v>
      </c>
    </row>
    <row r="13" spans="2:15" x14ac:dyDescent="0.3">
      <c r="B13" s="5" t="s">
        <v>19</v>
      </c>
      <c r="C13" s="6">
        <v>265000</v>
      </c>
      <c r="H13" t="s">
        <v>41</v>
      </c>
      <c r="L13" s="13">
        <v>45723</v>
      </c>
      <c r="M13" s="1">
        <v>20000</v>
      </c>
    </row>
    <row r="14" spans="2:15" x14ac:dyDescent="0.3">
      <c r="B14" t="s">
        <v>20</v>
      </c>
      <c r="C14" s="1">
        <v>800000</v>
      </c>
      <c r="L14" s="13">
        <v>45722</v>
      </c>
      <c r="M14" s="1">
        <v>40000</v>
      </c>
    </row>
    <row r="15" spans="2:15" x14ac:dyDescent="0.3">
      <c r="B15" t="s">
        <v>21</v>
      </c>
      <c r="C15" s="1">
        <v>300000</v>
      </c>
      <c r="H15" t="s">
        <v>7</v>
      </c>
      <c r="I15" t="s">
        <v>40</v>
      </c>
      <c r="L15" s="13">
        <v>45721</v>
      </c>
      <c r="M15" s="1">
        <v>500000</v>
      </c>
    </row>
    <row r="16" spans="2:15" x14ac:dyDescent="0.3">
      <c r="B16" t="s">
        <v>22</v>
      </c>
      <c r="C16" s="1">
        <v>100000</v>
      </c>
      <c r="G16" t="s">
        <v>39</v>
      </c>
      <c r="H16">
        <v>1220540</v>
      </c>
      <c r="I16" s="1">
        <v>720293</v>
      </c>
      <c r="L16" s="13">
        <v>45719</v>
      </c>
      <c r="M16" s="1">
        <v>90000</v>
      </c>
    </row>
    <row r="17" spans="2:15" x14ac:dyDescent="0.3">
      <c r="B17" t="s">
        <v>23</v>
      </c>
      <c r="C17" s="1">
        <v>174160</v>
      </c>
      <c r="H17">
        <v>1086283</v>
      </c>
      <c r="I17" s="1">
        <v>40001</v>
      </c>
      <c r="K17">
        <f>-215000+(-215000)</f>
        <v>-430000</v>
      </c>
      <c r="L17" s="12">
        <v>45715</v>
      </c>
      <c r="M17" s="1">
        <v>20000</v>
      </c>
    </row>
    <row r="18" spans="2:15" x14ac:dyDescent="0.3">
      <c r="B18" t="s">
        <v>24</v>
      </c>
      <c r="C18" s="1">
        <v>3000000</v>
      </c>
      <c r="I18" s="1">
        <v>115175</v>
      </c>
      <c r="L18" s="12">
        <v>45715</v>
      </c>
      <c r="M18" s="1">
        <v>115000</v>
      </c>
    </row>
    <row r="19" spans="2:15" x14ac:dyDescent="0.3">
      <c r="B19" t="s">
        <v>25</v>
      </c>
      <c r="C19" s="1">
        <v>500000</v>
      </c>
      <c r="I19" s="1">
        <v>1031040</v>
      </c>
      <c r="L19" s="12">
        <v>45715</v>
      </c>
      <c r="M19" s="1">
        <v>20000</v>
      </c>
    </row>
    <row r="20" spans="2:15" x14ac:dyDescent="0.3">
      <c r="B20" t="s">
        <v>26</v>
      </c>
      <c r="C20" s="1">
        <v>900000</v>
      </c>
      <c r="I20" s="1">
        <v>49480</v>
      </c>
      <c r="L20" s="12">
        <v>45707</v>
      </c>
      <c r="M20" s="1">
        <v>100000</v>
      </c>
      <c r="N20" s="1">
        <v>250000</v>
      </c>
    </row>
    <row r="21" spans="2:15" x14ac:dyDescent="0.3">
      <c r="B21" t="s">
        <v>27</v>
      </c>
      <c r="L21" s="12">
        <v>45706</v>
      </c>
      <c r="M21" s="1">
        <v>120000</v>
      </c>
    </row>
    <row r="22" spans="2:15" x14ac:dyDescent="0.3">
      <c r="B22" t="s">
        <v>28</v>
      </c>
      <c r="C22" s="1">
        <v>765000</v>
      </c>
      <c r="L22" s="12">
        <v>45705</v>
      </c>
      <c r="M22" s="1">
        <v>50000</v>
      </c>
    </row>
    <row r="23" spans="2:15" x14ac:dyDescent="0.3">
      <c r="B23" t="s">
        <v>29</v>
      </c>
      <c r="C23" s="1">
        <v>14456000</v>
      </c>
      <c r="L23" s="12">
        <v>45699</v>
      </c>
      <c r="M23" s="1">
        <v>300000</v>
      </c>
    </row>
    <row r="24" spans="2:15" x14ac:dyDescent="0.3">
      <c r="B24" t="s">
        <v>30</v>
      </c>
      <c r="L24" s="12">
        <v>45698</v>
      </c>
      <c r="M24" s="1">
        <v>110000</v>
      </c>
    </row>
    <row r="25" spans="2:15" x14ac:dyDescent="0.3">
      <c r="B25" s="7" t="s">
        <v>34</v>
      </c>
      <c r="C25" s="8">
        <v>407000</v>
      </c>
      <c r="H25" s="2">
        <f>SUM(H16:H23)</f>
        <v>2306823</v>
      </c>
      <c r="I25" s="2">
        <f>SUM(I16:I23)</f>
        <v>1955989</v>
      </c>
      <c r="J25" s="2"/>
      <c r="L25" s="12">
        <v>45698</v>
      </c>
      <c r="M25" s="1">
        <v>100000</v>
      </c>
    </row>
    <row r="26" spans="2:15" x14ac:dyDescent="0.3">
      <c r="B26" t="s">
        <v>35</v>
      </c>
      <c r="C26" s="1">
        <v>300000</v>
      </c>
      <c r="H26" s="2">
        <f>H25*0.19</f>
        <v>438296.37</v>
      </c>
      <c r="I26" s="2">
        <f>I25*0.19</f>
        <v>371637.91000000003</v>
      </c>
      <c r="L26" s="12">
        <v>45693</v>
      </c>
      <c r="M26" s="1">
        <v>20000</v>
      </c>
    </row>
    <row r="27" spans="2:15" x14ac:dyDescent="0.3">
      <c r="L27" s="12">
        <v>45692</v>
      </c>
      <c r="M27" s="1">
        <v>90000</v>
      </c>
      <c r="O27" t="s">
        <v>59</v>
      </c>
    </row>
    <row r="28" spans="2:15" x14ac:dyDescent="0.3">
      <c r="L28" s="12">
        <v>45691</v>
      </c>
      <c r="M28" s="1">
        <v>30000</v>
      </c>
    </row>
    <row r="29" spans="2:15" x14ac:dyDescent="0.3">
      <c r="L29" s="12">
        <v>45691</v>
      </c>
      <c r="M29" s="1">
        <v>30000</v>
      </c>
    </row>
    <row r="30" spans="2:15" x14ac:dyDescent="0.3">
      <c r="H30" t="s">
        <v>43</v>
      </c>
      <c r="L30" s="12">
        <v>45691</v>
      </c>
      <c r="M30" s="1">
        <v>70000</v>
      </c>
    </row>
    <row r="31" spans="2:15" x14ac:dyDescent="0.3">
      <c r="H31" s="1">
        <v>2069937</v>
      </c>
      <c r="I31" s="1"/>
      <c r="K31" s="10">
        <v>-120000</v>
      </c>
      <c r="L31" s="11">
        <v>45688</v>
      </c>
      <c r="M31" s="1">
        <v>20000</v>
      </c>
    </row>
    <row r="32" spans="2:15" x14ac:dyDescent="0.3">
      <c r="H32" t="s">
        <v>42</v>
      </c>
      <c r="I32" s="1"/>
      <c r="L32" s="11">
        <v>45686</v>
      </c>
      <c r="M32" s="1">
        <v>10000</v>
      </c>
    </row>
    <row r="33" spans="8:13" x14ac:dyDescent="0.3">
      <c r="H33" s="1">
        <v>1265259</v>
      </c>
      <c r="I33" s="1"/>
      <c r="L33" s="11">
        <v>45679</v>
      </c>
      <c r="M33" s="4">
        <v>22000</v>
      </c>
    </row>
    <row r="34" spans="8:13" x14ac:dyDescent="0.3">
      <c r="H34" s="1"/>
      <c r="I34" s="1"/>
      <c r="L34" s="11">
        <v>45677</v>
      </c>
      <c r="M34" s="1">
        <v>100000</v>
      </c>
    </row>
    <row r="35" spans="8:13" x14ac:dyDescent="0.3">
      <c r="H35" s="1"/>
      <c r="I35" s="1"/>
      <c r="L35" s="11">
        <v>45672</v>
      </c>
      <c r="M35" s="1">
        <v>20000</v>
      </c>
    </row>
    <row r="36" spans="8:13" x14ac:dyDescent="0.3">
      <c r="H36" t="s">
        <v>44</v>
      </c>
      <c r="L36" s="11">
        <v>45671</v>
      </c>
      <c r="M36" s="1">
        <v>20000</v>
      </c>
    </row>
    <row r="37" spans="8:13" x14ac:dyDescent="0.3">
      <c r="H37" s="2">
        <f>H31-H33</f>
        <v>804678</v>
      </c>
      <c r="L37" s="11">
        <v>45667</v>
      </c>
      <c r="M37" s="1">
        <v>10000</v>
      </c>
    </row>
    <row r="38" spans="8:13" x14ac:dyDescent="0.3">
      <c r="H38" t="s">
        <v>45</v>
      </c>
      <c r="L38" s="11">
        <v>45663</v>
      </c>
      <c r="M38" s="1">
        <v>50000</v>
      </c>
    </row>
    <row r="39" spans="8:13" x14ac:dyDescent="0.3">
      <c r="H39" s="1">
        <v>661995</v>
      </c>
      <c r="L39" s="11">
        <v>45663</v>
      </c>
      <c r="M39" s="4">
        <v>28000</v>
      </c>
    </row>
    <row r="40" spans="8:13" x14ac:dyDescent="0.3">
      <c r="L40" s="11">
        <v>45659</v>
      </c>
      <c r="M40" s="1">
        <v>100000</v>
      </c>
    </row>
    <row r="41" spans="8:13" x14ac:dyDescent="0.3">
      <c r="L41" s="11">
        <v>45659</v>
      </c>
      <c r="M41" s="1">
        <v>800000</v>
      </c>
    </row>
    <row r="42" spans="8:13" x14ac:dyDescent="0.3">
      <c r="K42" s="10">
        <v>475000</v>
      </c>
      <c r="L42" s="9">
        <v>46000</v>
      </c>
      <c r="M42" s="1">
        <v>120000</v>
      </c>
    </row>
    <row r="43" spans="8:13" x14ac:dyDescent="0.3">
      <c r="L43" s="9">
        <v>46000</v>
      </c>
      <c r="M43" s="1">
        <v>25000</v>
      </c>
    </row>
    <row r="44" spans="8:13" x14ac:dyDescent="0.3">
      <c r="L44" s="9">
        <v>46001</v>
      </c>
      <c r="M44" s="1">
        <v>800000</v>
      </c>
    </row>
    <row r="45" spans="8:13" x14ac:dyDescent="0.3">
      <c r="L45" s="9">
        <v>46003</v>
      </c>
      <c r="M45" s="1">
        <v>30000</v>
      </c>
    </row>
    <row r="46" spans="8:13" x14ac:dyDescent="0.3">
      <c r="L46" s="9">
        <v>46007</v>
      </c>
      <c r="M46" s="1">
        <v>100000</v>
      </c>
    </row>
    <row r="47" spans="8:13" x14ac:dyDescent="0.3">
      <c r="L47" s="9">
        <v>46008</v>
      </c>
      <c r="M47" s="1">
        <v>10000</v>
      </c>
    </row>
    <row r="48" spans="8:13" x14ac:dyDescent="0.3">
      <c r="L48" s="9">
        <v>46009</v>
      </c>
      <c r="M48" s="1">
        <v>10000</v>
      </c>
    </row>
    <row r="49" spans="11:14" x14ac:dyDescent="0.3">
      <c r="L49" s="9">
        <v>46011</v>
      </c>
      <c r="M49" s="1">
        <v>30000</v>
      </c>
    </row>
    <row r="50" spans="11:14" x14ac:dyDescent="0.3">
      <c r="L50" s="9">
        <v>46014</v>
      </c>
      <c r="M50" s="1">
        <v>200000</v>
      </c>
    </row>
    <row r="51" spans="11:14" x14ac:dyDescent="0.3">
      <c r="L51" s="9">
        <v>46014</v>
      </c>
      <c r="M51" s="1">
        <v>10000</v>
      </c>
    </row>
    <row r="52" spans="11:14" x14ac:dyDescent="0.3">
      <c r="L52" s="9">
        <v>46015</v>
      </c>
      <c r="M52" s="1">
        <v>20000</v>
      </c>
    </row>
    <row r="53" spans="11:14" x14ac:dyDescent="0.3">
      <c r="L53" s="9">
        <v>46017</v>
      </c>
      <c r="M53" s="1">
        <v>150000</v>
      </c>
    </row>
    <row r="54" spans="11:14" x14ac:dyDescent="0.3">
      <c r="L54" s="9">
        <v>46018</v>
      </c>
      <c r="M54" s="1">
        <v>130000</v>
      </c>
    </row>
    <row r="55" spans="11:14" x14ac:dyDescent="0.3">
      <c r="L55" s="9">
        <v>46018</v>
      </c>
      <c r="M55" s="1">
        <v>20000</v>
      </c>
    </row>
    <row r="56" spans="11:14" x14ac:dyDescent="0.3">
      <c r="L56" s="9">
        <v>46021</v>
      </c>
      <c r="M56" s="1">
        <v>120000</v>
      </c>
    </row>
    <row r="57" spans="11:14" x14ac:dyDescent="0.3">
      <c r="K57">
        <v>-1130000</v>
      </c>
      <c r="L57" s="3">
        <v>45965</v>
      </c>
      <c r="M57" s="1">
        <v>100000</v>
      </c>
    </row>
    <row r="58" spans="11:14" x14ac:dyDescent="0.3">
      <c r="L58" s="3">
        <v>45973</v>
      </c>
      <c r="M58" s="1">
        <v>30000</v>
      </c>
    </row>
    <row r="59" spans="11:14" x14ac:dyDescent="0.3">
      <c r="L59" s="3">
        <v>45931</v>
      </c>
      <c r="M59" s="1">
        <v>20000</v>
      </c>
    </row>
    <row r="60" spans="11:14" x14ac:dyDescent="0.3">
      <c r="L60" s="3">
        <v>45934</v>
      </c>
      <c r="M60" s="1">
        <v>300000</v>
      </c>
    </row>
    <row r="61" spans="11:14" x14ac:dyDescent="0.3">
      <c r="L61" s="3">
        <v>45939</v>
      </c>
      <c r="M61" s="1">
        <v>150000</v>
      </c>
    </row>
    <row r="62" spans="11:14" x14ac:dyDescent="0.3">
      <c r="L62" s="3">
        <v>45944</v>
      </c>
      <c r="N62" s="1">
        <v>170000</v>
      </c>
    </row>
    <row r="63" spans="11:14" x14ac:dyDescent="0.3">
      <c r="L63" s="3">
        <v>45944</v>
      </c>
      <c r="N63" s="1">
        <v>160000</v>
      </c>
    </row>
    <row r="64" spans="11:14" x14ac:dyDescent="0.3">
      <c r="L64" s="3">
        <v>45948</v>
      </c>
      <c r="M64" s="1">
        <v>250000</v>
      </c>
    </row>
    <row r="65" spans="7:18" x14ac:dyDescent="0.3">
      <c r="L65" s="3">
        <v>45951</v>
      </c>
      <c r="M65" s="1">
        <v>50000</v>
      </c>
    </row>
    <row r="66" spans="7:18" x14ac:dyDescent="0.3">
      <c r="L66" s="3"/>
    </row>
    <row r="67" spans="7:18" x14ac:dyDescent="0.3">
      <c r="L67" s="3"/>
    </row>
    <row r="68" spans="7:18" x14ac:dyDescent="0.3">
      <c r="L68" s="3"/>
    </row>
    <row r="69" spans="7:18" x14ac:dyDescent="0.3">
      <c r="L69" s="3"/>
    </row>
    <row r="70" spans="7:18" x14ac:dyDescent="0.3">
      <c r="L70" s="3"/>
    </row>
    <row r="71" spans="7:18" x14ac:dyDescent="0.3">
      <c r="L71" s="3"/>
    </row>
    <row r="72" spans="7:18" x14ac:dyDescent="0.3">
      <c r="L72" s="3"/>
    </row>
    <row r="73" spans="7:18" x14ac:dyDescent="0.3">
      <c r="G73" t="s">
        <v>50</v>
      </c>
      <c r="H73">
        <v>450000</v>
      </c>
      <c r="J73" t="s">
        <v>47</v>
      </c>
      <c r="M73" s="1" t="s">
        <v>48</v>
      </c>
    </row>
    <row r="74" spans="7:18" x14ac:dyDescent="0.3">
      <c r="H74">
        <f>H73/30</f>
        <v>15000</v>
      </c>
      <c r="J74" s="1">
        <v>1900000</v>
      </c>
      <c r="M74" s="1" t="s">
        <v>49</v>
      </c>
      <c r="N74" s="1">
        <v>870000</v>
      </c>
      <c r="O74">
        <v>870000</v>
      </c>
    </row>
    <row r="75" spans="7:18" x14ac:dyDescent="0.3">
      <c r="J75" t="s">
        <v>46</v>
      </c>
      <c r="M75" s="1" t="s">
        <v>39</v>
      </c>
      <c r="N75" s="1">
        <v>661995</v>
      </c>
    </row>
    <row r="76" spans="7:18" x14ac:dyDescent="0.3">
      <c r="J76" s="1">
        <v>210000</v>
      </c>
      <c r="M76" s="1" t="s">
        <v>0</v>
      </c>
      <c r="N76" s="1">
        <v>1300000</v>
      </c>
      <c r="O76">
        <v>1100000</v>
      </c>
    </row>
    <row r="77" spans="7:18" x14ac:dyDescent="0.3">
      <c r="J77" s="1">
        <v>505000</v>
      </c>
      <c r="M77" s="1" t="s">
        <v>51</v>
      </c>
      <c r="N77" s="1">
        <v>300000</v>
      </c>
      <c r="O77">
        <v>300000</v>
      </c>
    </row>
    <row r="78" spans="7:18" x14ac:dyDescent="0.3">
      <c r="M78" s="1" t="s">
        <v>50</v>
      </c>
      <c r="O78">
        <v>150000</v>
      </c>
      <c r="Q78" t="s">
        <v>57</v>
      </c>
      <c r="R78" t="s">
        <v>58</v>
      </c>
    </row>
    <row r="79" spans="7:18" x14ac:dyDescent="0.3">
      <c r="M79" s="1" t="s">
        <v>52</v>
      </c>
      <c r="N79" s="1">
        <v>800000</v>
      </c>
    </row>
    <row r="80" spans="7:18" x14ac:dyDescent="0.3">
      <c r="J80" s="1"/>
      <c r="M80" s="1" t="s">
        <v>53</v>
      </c>
      <c r="N80" s="1">
        <v>250000</v>
      </c>
    </row>
    <row r="81" spans="13:14" x14ac:dyDescent="0.3">
      <c r="M81" s="1" t="s">
        <v>54</v>
      </c>
      <c r="N81" s="1">
        <v>174160</v>
      </c>
    </row>
    <row r="82" spans="13:14" x14ac:dyDescent="0.3">
      <c r="M82" s="1" t="s">
        <v>55</v>
      </c>
      <c r="N82" s="1">
        <v>900000</v>
      </c>
    </row>
    <row r="83" spans="13:14" x14ac:dyDescent="0.3">
      <c r="M83" s="1" t="s">
        <v>56</v>
      </c>
      <c r="N83" s="1">
        <v>15000</v>
      </c>
    </row>
  </sheetData>
  <mergeCells count="2">
    <mergeCell ref="B2:C2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donoso</dc:creator>
  <cp:lastModifiedBy>FranCko .-</cp:lastModifiedBy>
  <dcterms:created xsi:type="dcterms:W3CDTF">2025-03-10T18:18:10Z</dcterms:created>
  <dcterms:modified xsi:type="dcterms:W3CDTF">2025-04-11T14:43:25Z</dcterms:modified>
</cp:coreProperties>
</file>