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C52C41C2-FC41-409D-9BCD-D6AC2A59FB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4" i="1"/>
  <c r="M24" i="1"/>
  <c r="O24" i="1"/>
  <c r="L25" i="1"/>
  <c r="M25" i="1"/>
  <c r="O25" i="1" s="1"/>
  <c r="P25" i="1" s="1"/>
  <c r="H22" i="1"/>
  <c r="H23" i="1"/>
  <c r="L22" i="1"/>
  <c r="M22" i="1"/>
  <c r="O22" i="1" s="1"/>
  <c r="P22" i="1" s="1"/>
  <c r="N22" i="1"/>
  <c r="L23" i="1"/>
  <c r="M23" i="1"/>
  <c r="N23" i="1"/>
  <c r="H24" i="1"/>
  <c r="L21" i="1"/>
  <c r="N21" i="1"/>
  <c r="P24" i="1" l="1"/>
  <c r="O23" i="1"/>
  <c r="P23" i="1" s="1"/>
  <c r="M21" i="1"/>
  <c r="M29" i="1" s="1"/>
  <c r="S21" i="1" l="1"/>
  <c r="S29" i="1" s="1"/>
  <c r="T21" i="1"/>
  <c r="T28" i="1" s="1"/>
  <c r="O21" i="1"/>
  <c r="P21" i="1" s="1"/>
  <c r="P29" i="1" s="1"/>
  <c r="K43" i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O42" i="1" l="1"/>
  <c r="D20" i="3"/>
  <c r="E20" i="3" s="1"/>
  <c r="E21" i="3" s="1"/>
  <c r="Q20" i="1" l="1"/>
  <c r="D21" i="3"/>
  <c r="M43" i="3" s="1"/>
  <c r="D12" i="3" s="1"/>
  <c r="F20" i="3"/>
  <c r="F21" i="3" s="1"/>
  <c r="Q25" i="1" l="1"/>
  <c r="R25" i="1" s="1"/>
  <c r="Q24" i="1"/>
  <c r="R24" i="1" s="1"/>
  <c r="Q23" i="1"/>
  <c r="R23" i="1" s="1"/>
  <c r="Q22" i="1"/>
  <c r="R22" i="1" s="1"/>
  <c r="O43" i="1"/>
  <c r="E15" i="3"/>
  <c r="Q21" i="1" l="1"/>
  <c r="F15" i="3"/>
  <c r="R21" i="1" l="1"/>
  <c r="H21" i="1" l="1"/>
  <c r="H28" i="1" s="1"/>
  <c r="D11" i="3" l="1"/>
  <c r="X9" i="3" s="1"/>
  <c r="X15" i="3" s="1"/>
  <c r="H30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<sst xmlns="http://schemas.openxmlformats.org/spreadsheetml/2006/main" count="237" uniqueCount="174">
  <si>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</si>
  <si>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</si>
  <si>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</si>
  <si>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</si>
  <si>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</si>
  <si>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</si>
  <si>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</si>
  <si>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</si>
  <si>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</si>
  <si>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</si>
  <si>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</si>
  <si>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</si>
  <si>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</si>
  <si>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</si>
  <si>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</si>
  <si>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</si>
  <si>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</si>
  <si>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</si>
  <si>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</si>
  <si>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</si>
  <si>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</si>
  <si>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</si>
  <si>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</si>
  <si>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</si>
  <si>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</si>
  <si>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</si>
  <si>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</si>
  <si>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</si>
  <si>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</si>
  <si>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</si>
  <si>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</si>
  <si>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</si>
  <si>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</si>
  <si>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</si>
  <si>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</si>
  <si>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</si>
  <si>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</si>
  <si>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</si>
  <si>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</si>
  <si>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</si>
  <si>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</si>
  <si>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</si>
  <si>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</si>
  <si>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</si>
  <si>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</si>
  <si>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</si>
  <si>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</si>
  <si>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</si>
  <si>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</si>
  <si>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</si>
  <si>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</si>
  <si>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</si>
  <si>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</si>
  <si>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</si>
  <si>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</si>
  <si>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</si>
  <si>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</si>
  <si>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</si>
  <si>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</si>
  <si>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</si>
  <si>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</si>
  <si>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</si>
  <si>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</si>
  <si>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</si>
  <si>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</si>
  <si>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</si>
  <si>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</si>
  <si>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</si>
  <si>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</si>
  <si>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</si>
  <si>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</si>
  <si>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</si>
  <si>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</si>
  <si>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</si>
  <si>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</si>
  <si>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</si>
  <si>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</si>
  <si>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</si>
  <si>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</si>
  <si>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</si>
  <si>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</si>
  <si>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</si>
  <si>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</si>
  <si>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</si>
  <si>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</si>
  <si>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</si>
  <si>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</si>
  <si>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</si>
  <si>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</si>
  <si>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</si>
  <si>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</si>
  <si>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</si>
  <si>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</si>
  <si>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</si>
  <si>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</si>
  <si>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</si>
  <si>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</si>
  <si>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</si>
  <si>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</si>
  <si>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</si>
  <si>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</si>
  <si>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</si>
  <si>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</si>
  <si>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</si>
  <si>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</si>
  <si>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</si>
  <si>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</si>
  <si>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</si>
  <si>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</si>
  <si>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</si>
  <si>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</si>
  <si>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</si>
  <si>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</si>
  <si>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</si>
  <si>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</si>
  <si>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</si>
  <si>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</si>
  <si>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</si>
  <si>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</si>
  <si>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</si>
  <si>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</si>
  <si>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</si>
  <si>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</si>
  <si>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</si>
  <si>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</si>
  <si>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</si>
  <si>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</si>
  <si>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</si>
  <si>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</si>
  <si>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</si>
  <si>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</si>
  <si>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</si>
  <si>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</si>
  <si>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</si>
  <si>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</si>
  <si>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</si>
  <si>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</si>
  <si>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</si>
  <si>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</si>
  <si>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</si>
  <si>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</si>
  <si>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</si>
  <si>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</si>
  <si>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</si>
  <si>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</si>
  <si>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</si>
  <si>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</si>
  <si>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</si>
  <si>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</si>
  <si>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</si>
  <si>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</si>
  <si>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</si>
  <si>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</si>
  <si>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</si>
  <si>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</si>
  <si>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</si>
  <si>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</si>
  <si>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</si>
  <si>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</si>
  <si>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</si>
  <si>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</si>
  <si>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</si>
  <si>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</si>
  <si>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</si>
  <si>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</si>
  <si>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</si>
  <si>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</si>
  <si>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CARLOS DUARTE</t>
  </si>
  <si>
    <t>56957314638</t>
  </si>
  <si>
    <t>5 DIAS HABILES</t>
  </si>
  <si>
    <t>CUB RECTA SIN REGRUESO</t>
  </si>
  <si>
    <t>CUB MESA SIN REGRUESO 3LADOS</t>
  </si>
  <si>
    <t>N° 11344</t>
  </si>
  <si>
    <t>BEACH CHESNUT 1518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</si>
</sst>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DEBE</a:t>
          </a:r>
          <a:r>
            <a:rPr lang="es-CL" sz="1200" b="1" baseline="0"/>
            <a:t> INSDICAR SI NECESITA LAS CUBIERTAS CORTADAS A LA MEDIDAS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13" zoomScale="93" zoomScaleNormal="93" workbookViewId="0">
      <selection activeCell="H29" sqref="H29"/>
    </sheetView>
  </sheetViews>
  <sheetFormatPr baseColWidth="10" defaultRowHeight="14.4" x14ac:dyDescent="0.3"/>
  <cols>
    <col min="1" max="1" width="6" customWidth="1"/>
    <col min="2" max="2" width="10.5546875" customWidth="1"/>
    <col min="3" max="3" width="37.2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167</v>
      </c>
      <c r="D10" s="243"/>
      <c r="E10" s="243"/>
      <c r="F10" s="244" t="s">
        <v>0</v>
      </c>
      <c r="G10" s="276">
        <v>45733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95667.931335466987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170</v>
      </c>
      <c r="D21" s="331">
        <v>1.3</v>
      </c>
      <c r="E21" s="331">
        <v>0.6</v>
      </c>
      <c r="F21" s="330" t="s">
        <v>173</v>
      </c>
      <c r="G21" s="332">
        <v>79213</v>
      </c>
      <c r="H21" s="332">
        <f>G21*B21</f>
        <v>79213</v>
      </c>
      <c r="I21" s="320"/>
      <c r="J21" s="265"/>
      <c r="K21" s="47"/>
      <c r="L21" s="47">
        <f>B21</f>
        <v>1</v>
      </c>
      <c r="M21" s="39">
        <f>D21+M$19</f>
        <v>1.3800000000000001</v>
      </c>
      <c r="N21" s="39">
        <f>E21+$N$19</f>
        <v>0.6</v>
      </c>
      <c r="O21" s="261">
        <f t="shared" ref="O21" si="1">M21*N21</f>
        <v>0.82800000000000007</v>
      </c>
      <c r="P21" s="259">
        <f t="shared" ref="P21" si="2">O21*L21</f>
        <v>0.82800000000000007</v>
      </c>
      <c r="Q21" s="252">
        <f t="shared" ref="Q21" si="3">Q$20*O21</f>
        <v>79213.047145766672</v>
      </c>
      <c r="R21" s="319">
        <f t="shared" ref="R21" si="4">Q21+R$20</f>
        <v>82213.047145766672</v>
      </c>
      <c r="S21" s="297">
        <f>M21*L21</f>
        <v>1.3800000000000001</v>
      </c>
      <c r="T21" s="46">
        <f>N21*2*L21*2</f>
        <v>2.4</v>
      </c>
      <c r="U21" s="9"/>
      <c r="X21" s="4"/>
    </row>
    <row r="22" spans="2:25" ht="17.399999999999999" x14ac:dyDescent="0.3">
      <c r="B22" s="330">
        <v>1</v>
      </c>
      <c r="C22" s="330" t="s">
        <v>170</v>
      </c>
      <c r="D22" s="331">
        <v>2.25</v>
      </c>
      <c r="E22" s="331">
        <v>0.6</v>
      </c>
      <c r="F22" s="330" t="s">
        <v>173</v>
      </c>
      <c r="G22" s="332">
        <v>133744</v>
      </c>
      <c r="H22" s="332">
        <f t="shared" ref="H22:H23" si="5">G22*B22</f>
        <v>133744</v>
      </c>
      <c r="I22" s="320"/>
      <c r="J22" s="265"/>
      <c r="K22" s="47"/>
      <c r="L22" s="47">
        <f t="shared" ref="L22:L23" si="6">B22</f>
        <v>1</v>
      </c>
      <c r="M22" s="39">
        <f t="shared" ref="M22:M23" si="7">D22+M$19</f>
        <v>2.33</v>
      </c>
      <c r="N22" s="39">
        <f t="shared" ref="N22:N23" si="8">E22+$N$19</f>
        <v>0.6</v>
      </c>
      <c r="O22" s="261">
        <f t="shared" ref="O22:O23" si="9">M22*N22</f>
        <v>1.3979999999999999</v>
      </c>
      <c r="P22" s="259">
        <f t="shared" ref="P22:P23" si="10">O22*L22</f>
        <v>1.3979999999999999</v>
      </c>
      <c r="Q22" s="252">
        <f t="shared" ref="Q22:Q23" si="11">Q$20*O22</f>
        <v>133743.76800698283</v>
      </c>
      <c r="R22" s="319">
        <f t="shared" ref="R22:R23" si="12">Q22+R$20</f>
        <v>136743.76800698283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171</v>
      </c>
      <c r="D23" s="331">
        <v>1.5</v>
      </c>
      <c r="E23" s="331">
        <v>0.5</v>
      </c>
      <c r="F23" s="330" t="s">
        <v>173</v>
      </c>
      <c r="G23" s="332">
        <v>75578</v>
      </c>
      <c r="H23" s="332">
        <f t="shared" si="5"/>
        <v>75578</v>
      </c>
      <c r="I23" s="320"/>
      <c r="J23" s="265"/>
      <c r="K23" s="47"/>
      <c r="L23" s="47">
        <f t="shared" si="6"/>
        <v>1</v>
      </c>
      <c r="M23" s="39">
        <f t="shared" si="7"/>
        <v>1.58</v>
      </c>
      <c r="N23" s="39">
        <f t="shared" si="8"/>
        <v>0.5</v>
      </c>
      <c r="O23" s="261">
        <f t="shared" si="9"/>
        <v>0.79</v>
      </c>
      <c r="P23" s="259">
        <f t="shared" si="10"/>
        <v>0.79</v>
      </c>
      <c r="Q23" s="252">
        <f t="shared" si="11"/>
        <v>75577.665755018927</v>
      </c>
      <c r="R23" s="319">
        <f t="shared" si="12"/>
        <v>78577.665755018927</v>
      </c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32</v>
      </c>
      <c r="D24" s="331">
        <v>1.3</v>
      </c>
      <c r="E24" s="331">
        <v>0.06</v>
      </c>
      <c r="F24" s="330" t="s">
        <v>173</v>
      </c>
      <c r="G24" s="332">
        <v>13202</v>
      </c>
      <c r="H24" s="332">
        <f>G24*B24</f>
        <v>13202</v>
      </c>
      <c r="I24" s="320"/>
      <c r="J24" s="265"/>
      <c r="K24" s="47"/>
      <c r="L24" s="47">
        <f t="shared" ref="L24:L25" si="13">B24</f>
        <v>1</v>
      </c>
      <c r="M24" s="39">
        <f t="shared" ref="M24:M25" si="14">D24+M$19</f>
        <v>1.3800000000000001</v>
      </c>
      <c r="N24" s="39">
        <v>0.1</v>
      </c>
      <c r="O24" s="261">
        <f t="shared" ref="O24:O25" si="15">M24*N24</f>
        <v>0.13800000000000001</v>
      </c>
      <c r="P24" s="259">
        <f t="shared" ref="P24:P25" si="16">O24*L24</f>
        <v>0.13800000000000001</v>
      </c>
      <c r="Q24" s="252">
        <f t="shared" ref="Q24:Q25" si="17">Q$20*O24</f>
        <v>13202.174524294445</v>
      </c>
      <c r="R24" s="319">
        <f t="shared" ref="R24:R25" si="18">Q24+R$20</f>
        <v>16202.174524294445</v>
      </c>
      <c r="S24" s="297"/>
      <c r="T24" s="46"/>
      <c r="U24" s="9"/>
      <c r="X24" s="4"/>
    </row>
    <row r="25" spans="2:25" ht="17.399999999999999" x14ac:dyDescent="0.3">
      <c r="B25" s="330">
        <v>1</v>
      </c>
      <c r="C25" s="330" t="s">
        <v>32</v>
      </c>
      <c r="D25" s="331">
        <v>2.75</v>
      </c>
      <c r="E25" s="331">
        <v>0.06</v>
      </c>
      <c r="F25" s="330" t="s">
        <v>173</v>
      </c>
      <c r="G25" s="332">
        <v>27074</v>
      </c>
      <c r="H25" s="332">
        <f>G25*B25</f>
        <v>27074</v>
      </c>
      <c r="I25" s="320"/>
      <c r="J25" s="265"/>
      <c r="K25" s="47"/>
      <c r="L25" s="47">
        <f t="shared" si="13"/>
        <v>1</v>
      </c>
      <c r="M25" s="39">
        <f t="shared" si="14"/>
        <v>2.83</v>
      </c>
      <c r="N25" s="39">
        <v>0.1</v>
      </c>
      <c r="O25" s="261">
        <f t="shared" si="15"/>
        <v>0.28300000000000003</v>
      </c>
      <c r="P25" s="259">
        <f t="shared" si="16"/>
        <v>0.28300000000000003</v>
      </c>
      <c r="Q25" s="252">
        <f t="shared" si="17"/>
        <v>27074.024567937158</v>
      </c>
      <c r="R25" s="319">
        <f t="shared" si="18"/>
        <v>30074.024567937158</v>
      </c>
      <c r="S25" s="297"/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0"/>
      <c r="H26" s="320"/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328811</v>
      </c>
      <c r="I28" s="322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2.4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/>
      <c r="I29" s="322"/>
      <c r="J29" s="265"/>
      <c r="K29" s="47"/>
      <c r="L29" s="47"/>
      <c r="M29" s="39">
        <f>SUM(M21:M23)</f>
        <v>5.29</v>
      </c>
      <c r="N29" s="12"/>
      <c r="O29" s="12"/>
      <c r="P29" s="253">
        <f>SUM(P21:P27)</f>
        <v>3.4369999999999998</v>
      </c>
      <c r="Q29" s="14"/>
      <c r="R29" s="12"/>
      <c r="S29" s="239">
        <f>SUM(S21:S28)</f>
        <v>1.3800000000000001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328811</v>
      </c>
      <c r="I30" s="322"/>
      <c r="J30" s="265"/>
      <c r="K30" s="47"/>
      <c r="L30" s="47"/>
      <c r="M30" s="39"/>
      <c r="N30" s="12"/>
      <c r="O30" s="12"/>
      <c r="P30" s="253">
        <f>P29</f>
        <v>3.4369999999999998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0.68740000000000001</v>
      </c>
      <c r="Q31" s="39" t="s">
        <v>130</v>
      </c>
      <c r="R31" s="42"/>
      <c r="S31" s="240"/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4.1243999999999996</v>
      </c>
      <c r="Q32" s="14"/>
      <c r="R32" s="14"/>
      <c r="S32" s="238"/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/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4.1243999999999996</v>
      </c>
      <c r="N34" s="12">
        <v>3500</v>
      </c>
      <c r="O34" s="12">
        <f t="shared" ref="O34:O39" si="19">M34*N34</f>
        <v>14435.399999999998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1.2</v>
      </c>
      <c r="N35" s="12">
        <v>25000</v>
      </c>
      <c r="O35" s="12">
        <f t="shared" si="19"/>
        <v>30000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61840</v>
      </c>
      <c r="O36" s="12">
        <f t="shared" si="19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166</v>
      </c>
      <c r="C37"/>
      <c r="D37"/>
      <c r="E37"/>
      <c r="F37"/>
      <c r="J37" s="262"/>
      <c r="K37" s="232"/>
      <c r="L37" s="250"/>
      <c r="M37" s="14">
        <v>2</v>
      </c>
      <c r="N37" s="250">
        <v>52512</v>
      </c>
      <c r="O37" s="12">
        <f t="shared" si="19"/>
        <v>105024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9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/>
      <c r="N39" s="12">
        <v>1500</v>
      </c>
      <c r="O39" s="12">
        <f t="shared" si="19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149459.4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O40*2.2</f>
        <v>328810.68</v>
      </c>
      <c r="P41" s="14" t="s">
        <v>140</v>
      </c>
      <c r="Q41" s="14"/>
      <c r="R41" s="40">
        <f>P32/R40</f>
        <v>1.112057808455565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60000</v>
      </c>
      <c r="L42" s="250"/>
      <c r="M42" s="14"/>
      <c r="N42" s="12"/>
      <c r="O42" s="12">
        <f>O41/P30</f>
        <v>95667.931335466987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K43" s="230">
        <f>K42/1.19</f>
        <v>50420.168067226892</v>
      </c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45733</v>
      </c>
    </row>
    <row r="6" spans="2:31" ht="16.2" thickBot="1" x14ac:dyDescent="0.35">
      <c r="B6" s="140" t="s">
        <v>2</v>
      </c>
      <c r="C6" s="139" t="str">
        <f>'2229'!C10</f>
        <v>CARLOS DUARTE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11344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-34377.723366787446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328811</v>
      </c>
      <c r="E11" s="132">
        <f>D11*0.19</f>
        <v>62474.090000000004</v>
      </c>
      <c r="F11" s="131">
        <f>E11+D11</f>
        <v>391285.09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71612.276633212547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74269.490787439601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53612.276633212554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254541.5092125604</v>
      </c>
      <c r="E13" s="221">
        <f>(D11/D12)-1</f>
        <v>3.4272688086829897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44612.276633212554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5612.2766332125539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122544.65979927534</v>
      </c>
      <c r="F15" s="216">
        <f>E15-D12</f>
        <v>48275.169011835736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5612.2766332125539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45612.276633212554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30000</v>
      </c>
      <c r="E19" s="123">
        <f>D19*0.19</f>
        <v>5700</v>
      </c>
      <c r="F19" s="120">
        <f>SUM(D19:E19)</f>
        <v>35700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14435.399999999998</v>
      </c>
      <c r="E20" s="121">
        <f>D20*0.19</f>
        <v>2742.7259999999997</v>
      </c>
      <c r="F20" s="120">
        <f>SUM(D20:E20)</f>
        <v>17178.125999999997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44435.399999999994</v>
      </c>
      <c r="E21" s="116">
        <f>SUM(E18:E20)</f>
        <v>8442.7259999999987</v>
      </c>
      <c r="F21" s="115">
        <f>SUM(F18:F20)</f>
        <v>52878.125999999997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54031.364000000001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328811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44435.399999999994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254541.5092125604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254541.5092125604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2025-03-17T13:30:01Z</cp:lastPrinted>
  <dcterms:created xsi:type="dcterms:W3CDTF">2013-03-18T13:35:42Z</dcterms:created>
  <dcterms:modified xsi:type="dcterms:W3CDTF">2025-03-17T15:50:47Z</dcterms:modified>
</cp:coreProperties>
</file>