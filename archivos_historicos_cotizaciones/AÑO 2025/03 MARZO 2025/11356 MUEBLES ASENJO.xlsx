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1F85709-B7F2-4953-BB28-BAFDF4D61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H22" i="1"/>
  <c r="L21" i="1"/>
  <c r="O22" i="1" l="1"/>
  <c r="S22" i="1"/>
  <c r="P22" i="1"/>
  <c r="N21" i="1"/>
  <c r="M21" i="1" l="1"/>
  <c r="S21" i="1" s="1"/>
  <c r="M25" i="1" l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R22" i="1" s="1"/>
  <c r="O39" i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<sst xmlns="http://schemas.openxmlformats.org/spreadsheetml/2006/main" count="231" uniqueCount="175">
  <si>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</si>
  <si>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</si>
  <si>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</si>
  <si>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</si>
  <si>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</si>
  <si>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</si>
  <si>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</si>
  <si>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</si>
  <si>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</si>
  <si>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</si>
  <si>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</si>
  <si>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</si>
  <si>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</si>
  <si>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</si>
  <si>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</si>
  <si>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</si>
  <si>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</si>
  <si>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</si>
  <si>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</si>
  <si>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</si>
  <si>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</si>
  <si>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</si>
  <si>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</si>
  <si>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</si>
  <si>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</si>
  <si>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</si>
  <si>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</si>
  <si>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</si>
  <si>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</si>
  <si>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</si>
  <si>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</si>
  <si>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</si>
  <si>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</si>
  <si>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</si>
  <si>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</si>
  <si>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</si>
  <si>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</si>
  <si>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</si>
  <si>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</si>
  <si>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</si>
  <si>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</si>
  <si>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</si>
  <si>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</si>
  <si>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</si>
  <si>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</si>
  <si>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</si>
  <si>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</si>
  <si>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</si>
  <si>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</si>
  <si>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</si>
  <si>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</si>
  <si>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</si>
  <si>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</si>
  <si>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</si>
  <si>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</si>
  <si>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</si>
  <si>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</si>
  <si>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</si>
  <si>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</si>
  <si>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</si>
  <si>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</si>
  <si>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</si>
  <si>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</si>
  <si>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</si>
  <si>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</si>
  <si>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</si>
  <si>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</si>
  <si>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</si>
  <si>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</si>
  <si>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</si>
  <si>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</si>
  <si>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</si>
  <si>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</si>
  <si>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</si>
  <si>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</si>
  <si>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</si>
  <si>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</si>
  <si>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</si>
  <si>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</si>
  <si>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</si>
  <si>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</si>
  <si>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</si>
  <si>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</si>
  <si>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</si>
  <si>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</si>
  <si>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</si>
  <si>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</si>
  <si>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</si>
  <si>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</si>
  <si>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</si>
  <si>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</si>
  <si>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</si>
  <si>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</si>
  <si>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</si>
  <si>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</si>
  <si>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</si>
  <si>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</si>
  <si>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</si>
  <si>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</si>
  <si>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</si>
  <si>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</si>
  <si>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</si>
  <si>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</si>
  <si>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</si>
  <si>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</si>
  <si>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</si>
  <si>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</si>
  <si>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</si>
  <si>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</si>
  <si>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</si>
  <si>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</si>
  <si>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</si>
  <si>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</si>
  <si>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</si>
  <si>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</si>
  <si>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</si>
  <si>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</si>
  <si>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</si>
  <si>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</si>
  <si>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</si>
  <si>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</si>
  <si>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</si>
  <si>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</si>
  <si>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</si>
  <si>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</si>
  <si>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</si>
  <si>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</si>
  <si>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</si>
  <si>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</si>
  <si>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</si>
  <si>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</si>
  <si>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</si>
  <si>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</si>
  <si>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</si>
  <si>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</si>
  <si>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</si>
  <si>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</si>
  <si>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</si>
  <si>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</si>
  <si>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</si>
  <si>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</si>
  <si>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</si>
  <si>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</si>
  <si>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</si>
  <si>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</si>
  <si>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</si>
  <si>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</si>
  <si>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</si>
  <si>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</si>
  <si>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</si>
  <si>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</si>
  <si>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</si>
  <si>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</si>
  <si>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</si>
  <si>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</si>
  <si>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</si>
  <si>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</si>
  <si>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</si>
  <si>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</si>
  <si>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</si>
  <si>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</si>
  <si>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</si>
  <si>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</si>
  <si>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</si>
  <si>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</si>
  <si>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</si>
  <si>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</si>
  <si>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</si>
  <si>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</si>
  <si>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</si>
  <si>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</si>
  <si>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3 DIAS HABILES</t>
  </si>
  <si>
    <t>BLANCO MERINO MATE</t>
  </si>
  <si>
    <t>CORNISA 90° 2 LADOS R8</t>
  </si>
  <si>
    <t>N° 11356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</si>
</sst>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15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23</xdr:row>
      <xdr:rowOff>165202</xdr:rowOff>
    </xdr:from>
    <xdr:to>
      <xdr:col>5</xdr:col>
      <xdr:colOff>1753420</xdr:colOff>
      <xdr:row>26</xdr:row>
      <xdr:rowOff>172064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24170"/>
          <a:ext cx="621071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FALDON 5 CMS AMBOS LADOS AL LARGO, TRASCARA ENCHAPADA CON LA MISMA LAMINA.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I15" sqref="I15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7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45734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2" t="s">
        <v>165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69564.661942156672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8">
        <v>1</v>
      </c>
      <c r="C21" s="328" t="s">
        <v>173</v>
      </c>
      <c r="D21" s="331">
        <v>1.5</v>
      </c>
      <c r="E21" s="331">
        <v>0.36</v>
      </c>
      <c r="F21" s="328" t="s">
        <v>172</v>
      </c>
      <c r="G21" s="329">
        <v>50560</v>
      </c>
      <c r="H21" s="329">
        <f>G21*B21</f>
        <v>50560</v>
      </c>
      <c r="I21" s="320"/>
      <c r="J21" s="265"/>
      <c r="K21" s="47"/>
      <c r="L21" s="330">
        <f>B21</f>
        <v>1</v>
      </c>
      <c r="M21" s="39">
        <f>D21+M$19</f>
        <v>1.58</v>
      </c>
      <c r="N21" s="39">
        <f>E21+$N$19</f>
        <v>0.45999999999999996</v>
      </c>
      <c r="O21" s="261">
        <f t="shared" ref="O21" si="1">M21*N21</f>
        <v>0.7268</v>
      </c>
      <c r="P21" s="259">
        <f t="shared" ref="P21" si="2">O21*L21</f>
        <v>0.7268</v>
      </c>
      <c r="Q21" s="252">
        <f t="shared" ref="Q21" si="3">Q$20*O21</f>
        <v>50559.596299559467</v>
      </c>
      <c r="R21" s="319">
        <f t="shared" ref="R21" si="4">Q21+R$20</f>
        <v>53559.596299559467</v>
      </c>
      <c r="S21" s="297">
        <f>M21*L21</f>
        <v>1.58</v>
      </c>
      <c r="T21" s="46">
        <f>M21*L21</f>
        <v>1.58</v>
      </c>
      <c r="U21" s="9"/>
      <c r="X21" s="4"/>
    </row>
    <row r="22" spans="1:25" ht="17.399999999999999" x14ac:dyDescent="0.3">
      <c r="B22" s="328">
        <v>2</v>
      </c>
      <c r="C22" s="328" t="s">
        <v>173</v>
      </c>
      <c r="D22" s="331">
        <v>1.4</v>
      </c>
      <c r="E22" s="331">
        <v>0.36</v>
      </c>
      <c r="F22" s="328" t="s">
        <v>172</v>
      </c>
      <c r="G22" s="329">
        <v>47360</v>
      </c>
      <c r="H22" s="329">
        <f t="shared" ref="H22" si="5">G22*B22</f>
        <v>94720</v>
      </c>
      <c r="I22" s="320"/>
      <c r="J22" s="265"/>
      <c r="K22" s="47"/>
      <c r="L22" s="330">
        <f t="shared" ref="L22" si="6">B22</f>
        <v>2</v>
      </c>
      <c r="M22" s="39">
        <f t="shared" ref="M22" si="7">D22+M$19</f>
        <v>1.48</v>
      </c>
      <c r="N22" s="39">
        <f t="shared" ref="N22" si="8">E22+$N$19</f>
        <v>0.45999999999999996</v>
      </c>
      <c r="O22" s="261">
        <f t="shared" ref="O22" si="9">M22*N22</f>
        <v>0.68079999999999996</v>
      </c>
      <c r="P22" s="259">
        <f t="shared" ref="P22" si="10">O22*L22</f>
        <v>1.3615999999999999</v>
      </c>
      <c r="Q22" s="252">
        <f t="shared" ref="Q22" si="11">Q$20*O22</f>
        <v>47359.621850220261</v>
      </c>
      <c r="R22" s="319">
        <f t="shared" ref="R22" si="12">Q22+R$20</f>
        <v>50359.621850220261</v>
      </c>
      <c r="S22" s="297">
        <f t="shared" ref="S22" si="13">M22*L22</f>
        <v>2.96</v>
      </c>
      <c r="T22" s="46"/>
      <c r="U22" s="9"/>
      <c r="X22" s="4"/>
    </row>
    <row r="23" spans="1:25" ht="18" thickBot="1" x14ac:dyDescent="0.35">
      <c r="B23" s="344"/>
      <c r="C23" s="344"/>
      <c r="D23" s="345"/>
      <c r="E23" s="345"/>
      <c r="F23" s="344"/>
      <c r="G23" s="346"/>
      <c r="H23" s="347"/>
      <c r="I23" s="320"/>
      <c r="J23" s="265"/>
      <c r="K23" s="47"/>
      <c r="L23" s="330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2" t="s">
        <v>28</v>
      </c>
      <c r="H24" s="323">
        <f>SUM(H21:H22)</f>
        <v>145280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SUM(T21:T22)</f>
        <v>1.58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27603.200000000001</v>
      </c>
      <c r="I25" s="321"/>
      <c r="J25" s="265"/>
      <c r="K25" s="47"/>
      <c r="L25" s="47"/>
      <c r="M25" s="39">
        <f>SUM(M21:M24)</f>
        <v>3.06</v>
      </c>
      <c r="N25" s="12"/>
      <c r="O25" s="12"/>
      <c r="P25" s="253">
        <f>SUM(P21:P22)</f>
        <v>2.0884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172883.20000000001</v>
      </c>
      <c r="I26" s="321"/>
      <c r="J26" s="265"/>
      <c r="K26" s="47"/>
      <c r="L26" s="47"/>
      <c r="M26" s="39"/>
      <c r="N26" s="12"/>
      <c r="O26" s="12"/>
      <c r="P26" s="253">
        <f>P25</f>
        <v>2.0884</v>
      </c>
      <c r="Q26" s="14"/>
      <c r="R26" s="12"/>
      <c r="S26" s="239">
        <f>SUM(S21:S25)</f>
        <v>4.54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0.41768000000000005</v>
      </c>
      <c r="Q27" s="39" t="s">
        <v>130</v>
      </c>
      <c r="R27" s="42"/>
      <c r="S27" s="240">
        <f>S26+T24</f>
        <v>6.12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2.5060799999999999</v>
      </c>
      <c r="Q28" s="14"/>
      <c r="R28" s="14"/>
      <c r="S28" s="238">
        <f>S27*20%</f>
        <v>1.2240000000000002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7.3440000000000003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</f>
        <v>5.0121599999999997</v>
      </c>
      <c r="N30" s="12">
        <v>2500</v>
      </c>
      <c r="O30" s="12">
        <f t="shared" ref="O30:O35" si="14">M30*N30</f>
        <v>12530.4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23500</v>
      </c>
      <c r="O31" s="12">
        <f t="shared" si="14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14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1.5</v>
      </c>
      <c r="N33" s="250">
        <v>22100</v>
      </c>
      <c r="O33" s="12">
        <f t="shared" si="14"/>
        <v>33150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14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69180.399999999994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145278.84</v>
      </c>
      <c r="P37" s="14" t="s">
        <v>140</v>
      </c>
      <c r="Q37" s="14"/>
      <c r="R37" s="40">
        <f>P28/R36</f>
        <v>0.67571182053494383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69564.661942156672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11356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-6100.5983667874389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145280</v>
      </c>
      <c r="E11" s="132">
        <f>D11*0.19</f>
        <v>27603.200000000001</v>
      </c>
      <c r="F11" s="131">
        <f>E11+D11</f>
        <v>172883.20000000001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99889.401633212561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65864.490787439616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81889.401633212561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79415.509212560384</v>
      </c>
      <c r="E13" s="221">
        <f>(D11/D12)-1</f>
        <v>1.2057408819701214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72889.401633212561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33889.401633212561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108676.40979927537</v>
      </c>
      <c r="F15" s="216">
        <f>E15-D12</f>
        <v>42811.919011835751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33889.401633212561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73889.401633212561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12530.4</v>
      </c>
      <c r="E20" s="121">
        <f>D20*0.19</f>
        <v>2380.7759999999998</v>
      </c>
      <c r="F20" s="120">
        <f>SUM(D20:E20)</f>
        <v>14911.175999999999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36030.400000000001</v>
      </c>
      <c r="E21" s="116">
        <f>SUM(E18:E20)</f>
        <v>6845.7759999999998</v>
      </c>
      <c r="F21" s="115">
        <f>SUM(F18:F20)</f>
        <v>42876.175999999999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20757.423999999999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145280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36030.400000000001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79415.509212560384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79415.509212560384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2025-03-18T19:09:52Z</dcterms:modified>
</cp:coreProperties>
</file>