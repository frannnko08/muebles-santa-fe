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2477769-4AF1-4E41-9611-264B83064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3" i="1"/>
  <c r="M23" i="1"/>
  <c r="N23" i="1"/>
  <c r="O23" i="1"/>
  <c r="P23" i="1" s="1"/>
  <c r="H22" i="1"/>
  <c r="L22" i="1"/>
  <c r="M22" i="1"/>
  <c r="N22" i="1"/>
  <c r="L21" i="1"/>
  <c r="N21" i="1"/>
  <c r="O22" i="1" l="1"/>
  <c r="P22" i="1" s="1"/>
  <c r="P28" i="1" s="1"/>
  <c r="M21" i="1"/>
  <c r="M28" i="1" s="1"/>
  <c r="S21" i="1" l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Q23" i="1" s="1"/>
  <c r="R23" i="1" s="1"/>
  <c r="D21" i="3"/>
  <c r="M43" i="3" s="1"/>
  <c r="D12" i="3" s="1"/>
  <c r="F20" i="3"/>
  <c r="F21" i="3" s="1"/>
  <c r="Q22" i="1" l="1"/>
  <c r="R22" i="1" s="1"/>
  <c r="O42" i="1"/>
  <c r="E15" i="3"/>
  <c r="Q21" i="1" l="1"/>
  <c r="F15" i="3"/>
  <c r="R21" i="1" l="1"/>
  <c r="H21" i="1" l="1"/>
  <c r="H27" i="1" s="1"/>
  <c r="H28" i="1" l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<sst xmlns="http://schemas.openxmlformats.org/spreadsheetml/2006/main" count="234" uniqueCount="174">
  <si>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</si>
  <si>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</si>
  <si>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</si>
  <si>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</si>
  <si>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</si>
  <si>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</si>
  <si>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</si>
  <si>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</si>
  <si>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</si>
  <si>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</si>
  <si>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</si>
  <si>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</si>
  <si>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</si>
  <si>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</si>
  <si>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</si>
  <si>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</si>
  <si>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</si>
  <si>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</si>
  <si>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</si>
  <si>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</si>
  <si>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</si>
  <si>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</si>
  <si>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</si>
  <si>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</si>
  <si>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</si>
  <si>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</si>
  <si>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</si>
  <si>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</si>
  <si>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</si>
  <si>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</si>
  <si>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</si>
  <si>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</si>
  <si>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</si>
  <si>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</si>
  <si>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</si>
  <si>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</si>
  <si>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</si>
  <si>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</si>
  <si>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</si>
  <si>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</si>
  <si>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</si>
  <si>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</si>
  <si>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</si>
  <si>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</si>
  <si>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</si>
  <si>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</si>
  <si>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</si>
  <si>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</si>
  <si>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</si>
  <si>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</si>
  <si>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</si>
  <si>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</si>
  <si>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</si>
  <si>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</si>
  <si>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</si>
  <si>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</si>
  <si>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</si>
  <si>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</si>
  <si>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</si>
  <si>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</si>
  <si>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</si>
  <si>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</si>
  <si>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</si>
  <si>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</si>
  <si>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</si>
  <si>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</si>
  <si>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</si>
  <si>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</si>
  <si>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</si>
  <si>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</si>
  <si>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</si>
  <si>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</si>
  <si>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</si>
  <si>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</si>
  <si>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</si>
  <si>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</si>
  <si>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</si>
  <si>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</si>
  <si>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</si>
  <si>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</si>
  <si>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</si>
  <si>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</si>
  <si>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</si>
  <si>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</si>
  <si>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</si>
  <si>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</si>
  <si>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</si>
  <si>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</si>
  <si>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</si>
  <si>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</si>
  <si>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</si>
  <si>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</si>
  <si>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</si>
  <si>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</si>
  <si>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</si>
  <si>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</si>
  <si>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</si>
  <si>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</si>
  <si>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</si>
  <si>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</si>
  <si>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</si>
  <si>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</si>
  <si>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</si>
  <si>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</si>
  <si>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</si>
  <si>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</si>
  <si>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</si>
  <si>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</si>
  <si>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</si>
  <si>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</si>
  <si>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</si>
  <si>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</si>
  <si>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</si>
  <si>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</si>
  <si>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</si>
  <si>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</si>
  <si>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</si>
  <si>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</si>
  <si>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</si>
  <si>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</si>
  <si>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</si>
  <si>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</si>
  <si>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</si>
  <si>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</si>
  <si>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</si>
  <si>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</si>
  <si>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</si>
  <si>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</si>
  <si>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</si>
  <si>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</si>
  <si>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</si>
  <si>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</si>
  <si>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</si>
  <si>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</si>
  <si>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</si>
  <si>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</si>
  <si>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</si>
  <si>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</si>
  <si>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</si>
  <si>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</si>
  <si>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</si>
  <si>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</si>
  <si>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</si>
  <si>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</si>
  <si>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</si>
  <si>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</si>
  <si>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</si>
  <si>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</si>
  <si>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</si>
  <si>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</si>
  <si>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</si>
  <si>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</si>
  <si>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</si>
  <si>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</si>
  <si>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</si>
  <si>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</si>
  <si>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</si>
  <si>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</si>
  <si>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</si>
  <si>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</si>
  <si>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</si>
  <si>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</si>
  <si>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</si>
  <si>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</si>
  <si>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</si>
  <si>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</si>
  <si>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</si>
  <si>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</si>
  <si>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PUERTA POSTFORMADA R6</t>
  </si>
  <si>
    <t>ROVERE FIUMO 1462 MT</t>
  </si>
  <si>
    <t>BETA HORINZONTAL</t>
  </si>
  <si>
    <t>ANDREA NUÑEZ</t>
  </si>
  <si>
    <t>56961914275</t>
  </si>
  <si>
    <t>N° 11352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</si>
</sst>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</a:t>
          </a:r>
          <a:r>
            <a:rPr lang="es-CL" sz="1200" b="1" baseline="0"/>
            <a:t> A LA MEDIDA Y ENCHAPADAS CON TAPACANTO PVC 0,4MM, PUERTA DE ALTO 2100 SE DEBE UNIR LA LAMINA, NO DA EL ALTO AL SER VETA HORIZONTAL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B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45735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109402.90696256554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168</v>
      </c>
      <c r="D21" s="331">
        <v>2.1</v>
      </c>
      <c r="E21" s="331">
        <v>0.3</v>
      </c>
      <c r="F21" s="330" t="s">
        <v>169</v>
      </c>
      <c r="G21" s="332">
        <v>81866</v>
      </c>
      <c r="H21" s="332">
        <f>G21*B21</f>
        <v>81866</v>
      </c>
      <c r="I21" s="320"/>
      <c r="J21" s="265"/>
      <c r="K21" s="47"/>
      <c r="L21" s="47">
        <f>B21</f>
        <v>1</v>
      </c>
      <c r="M21" s="39">
        <f>D21+M$19</f>
        <v>2.1800000000000002</v>
      </c>
      <c r="N21" s="39">
        <f>E21+$N$19</f>
        <v>0.3</v>
      </c>
      <c r="O21" s="261">
        <f t="shared" ref="O21" si="1">M21*N21</f>
        <v>0.65400000000000003</v>
      </c>
      <c r="P21" s="259">
        <f t="shared" ref="P21" si="2">O21*L21</f>
        <v>0.65400000000000003</v>
      </c>
      <c r="Q21" s="252">
        <f t="shared" ref="Q21" si="3">Q$20*O21</f>
        <v>71549.501153517864</v>
      </c>
      <c r="R21" s="319">
        <f t="shared" ref="R21" si="4">Q21+R$20</f>
        <v>74549.501153517864</v>
      </c>
      <c r="S21" s="297">
        <f>M21*L21</f>
        <v>2.1800000000000002</v>
      </c>
      <c r="T21" s="46">
        <f>N21*2*L21*2</f>
        <v>1.2</v>
      </c>
      <c r="U21" s="9"/>
      <c r="X21" s="4"/>
    </row>
    <row r="22" spans="2:25" ht="17.399999999999999" x14ac:dyDescent="0.3">
      <c r="B22" s="330">
        <v>2</v>
      </c>
      <c r="C22" s="330" t="s">
        <v>168</v>
      </c>
      <c r="D22" s="331">
        <v>0.24</v>
      </c>
      <c r="E22" s="331">
        <v>0.51500000000000001</v>
      </c>
      <c r="F22" s="330" t="s">
        <v>169</v>
      </c>
      <c r="G22" s="332">
        <v>22873</v>
      </c>
      <c r="H22" s="332">
        <f t="shared" ref="H22:H23" si="5">G22*B22</f>
        <v>45746</v>
      </c>
      <c r="I22" s="320"/>
      <c r="J22" s="265"/>
      <c r="K22" s="47"/>
      <c r="L22" s="47">
        <f t="shared" ref="L22" si="6">B22</f>
        <v>2</v>
      </c>
      <c r="M22" s="39">
        <f t="shared" ref="M22" si="7">D22+M$19</f>
        <v>0.32</v>
      </c>
      <c r="N22" s="39">
        <f t="shared" ref="N22" si="8">E22+$N$19</f>
        <v>0.51500000000000001</v>
      </c>
      <c r="O22" s="261">
        <f t="shared" ref="O22" si="9">M22*N22</f>
        <v>0.1648</v>
      </c>
      <c r="P22" s="259">
        <f t="shared" ref="P22" si="10">O22*L22</f>
        <v>0.3296</v>
      </c>
      <c r="Q22" s="252">
        <f t="shared" ref="Q22" si="11">Q$20*O22</f>
        <v>18029.599067430801</v>
      </c>
      <c r="R22" s="319">
        <f t="shared" ref="R22" si="12">Q22+R$20</f>
        <v>21029.599067430801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168</v>
      </c>
      <c r="D23" s="331">
        <v>0.9</v>
      </c>
      <c r="E23" s="331">
        <v>0.67</v>
      </c>
      <c r="F23" s="330" t="s">
        <v>169</v>
      </c>
      <c r="G23" s="332">
        <v>82180</v>
      </c>
      <c r="H23" s="332">
        <f t="shared" si="5"/>
        <v>82180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0.98</v>
      </c>
      <c r="N23" s="39">
        <f t="shared" ref="N23" si="15">E23+$N$19</f>
        <v>0.67</v>
      </c>
      <c r="O23" s="261">
        <f t="shared" ref="O23" si="16">M23*N23</f>
        <v>0.65660000000000007</v>
      </c>
      <c r="P23" s="259">
        <f t="shared" ref="P23" si="17">O23*L23</f>
        <v>0.65660000000000007</v>
      </c>
      <c r="Q23" s="252">
        <f t="shared" ref="Q23" si="18">Q$20*O23</f>
        <v>71833.948711620542</v>
      </c>
      <c r="R23" s="319">
        <f t="shared" ref="R23" si="19">Q23+R$20</f>
        <v>74833.948711620542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333" t="s">
        <v>170</v>
      </c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209792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1.2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39860.480000000003</v>
      </c>
      <c r="I28" s="322"/>
      <c r="J28" s="265"/>
      <c r="K28" s="47"/>
      <c r="L28" s="47"/>
      <c r="M28" s="39">
        <f>SUM(M21:M22)</f>
        <v>2.5</v>
      </c>
      <c r="N28" s="12"/>
      <c r="O28" s="12"/>
      <c r="P28" s="253">
        <f>SUM(P21:P26)</f>
        <v>1.6402000000000001</v>
      </c>
      <c r="Q28" s="14"/>
      <c r="R28" s="12"/>
      <c r="S28" s="239">
        <f>SUM(S21:S27)</f>
        <v>2.1800000000000002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249652.48000000001</v>
      </c>
      <c r="I29" s="322"/>
      <c r="J29" s="265"/>
      <c r="K29" s="47"/>
      <c r="L29" s="47"/>
      <c r="M29" s="39"/>
      <c r="N29" s="12"/>
      <c r="O29" s="12"/>
      <c r="P29" s="253">
        <f>P28</f>
        <v>1.6402000000000001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0.32804000000000005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1.9682400000000002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1.9682400000000002</v>
      </c>
      <c r="N33" s="12">
        <v>3500</v>
      </c>
      <c r="O33" s="12">
        <f t="shared" ref="O33:O38" si="20">M33*N33</f>
        <v>6888.8400000000011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0.5</v>
      </c>
      <c r="N34" s="12">
        <v>45000</v>
      </c>
      <c r="O34" s="12">
        <f t="shared" si="20"/>
        <v>22500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65682</v>
      </c>
      <c r="O35" s="12">
        <f t="shared" si="20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166</v>
      </c>
      <c r="C36"/>
      <c r="D36"/>
      <c r="E36"/>
      <c r="F36"/>
      <c r="J36" s="262"/>
      <c r="K36" s="232"/>
      <c r="L36" s="250"/>
      <c r="M36" s="14">
        <v>1</v>
      </c>
      <c r="N36" s="250">
        <v>52176</v>
      </c>
      <c r="O36" s="12">
        <f t="shared" si="20"/>
        <v>52176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0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/>
      <c r="N38" s="12">
        <v>1500</v>
      </c>
      <c r="O38" s="12">
        <f t="shared" si="20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81564.84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179442.64800000002</v>
      </c>
      <c r="P40" s="14" t="s">
        <v>140</v>
      </c>
      <c r="Q40" s="14"/>
      <c r="R40" s="40">
        <f>P31/R39</f>
        <v>0.53069456427955142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62090</v>
      </c>
      <c r="L41" s="250"/>
      <c r="M41" s="14"/>
      <c r="N41" s="12"/>
      <c r="O41" s="12">
        <f>O40/P29</f>
        <v>109402.90696256554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K42" s="230">
        <f>K41/1.19</f>
        <v>52176.470588235294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45735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11352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-18679.027366787439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209792</v>
      </c>
      <c r="E11" s="132">
        <f>D11*0.19</f>
        <v>39860.480000000003</v>
      </c>
      <c r="F11" s="131">
        <f>E11+D11</f>
        <v>249652.48000000001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87310.972633212557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59222.930787439618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69310.972633212557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150569.06921256037</v>
      </c>
      <c r="E13" s="221">
        <f>(D11/D12)-1</f>
        <v>2.5424116505307102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60310.972633212557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21310.972633212561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97717.835799275359</v>
      </c>
      <c r="F15" s="216">
        <f>E15-D12</f>
        <v>38494.905011835741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21310.972633212561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61310.972633212557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6888.8400000000011</v>
      </c>
      <c r="E20" s="121">
        <f>D20*0.19</f>
        <v>1308.8796000000002</v>
      </c>
      <c r="F20" s="120">
        <f>SUM(D20:E20)</f>
        <v>8197.7196000000004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29388.84</v>
      </c>
      <c r="E21" s="116">
        <f>SUM(E18:E20)</f>
        <v>5583.8796000000002</v>
      </c>
      <c r="F21" s="115">
        <f>SUM(F18:F20)</f>
        <v>34972.719599999997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34276.600400000003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209792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29388.84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150569.06921256037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150569.06921256037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2025-03-19T19:13:51Z</dcterms:modified>
</cp:coreProperties>
</file>