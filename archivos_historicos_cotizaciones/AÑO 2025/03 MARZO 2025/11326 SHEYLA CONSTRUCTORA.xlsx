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898C974B-2F1A-46C4-81E9-0972BBB86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l="1"/>
  <c r="H25" i="1" s="1"/>
  <c r="D11" i="3" l="1"/>
  <c r="X9" i="3" s="1"/>
  <c r="X15" i="3" s="1"/>
  <c r="H26" i="1"/>
  <c r="E13" i="3"/>
  <c r="D13" i="3" l="1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<sst xmlns="http://schemas.openxmlformats.org/spreadsheetml/2006/main" count="230" uniqueCount="175">
  <si>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</si>
  <si>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</si>
  <si>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</si>
  <si>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</si>
  <si>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</si>
  <si>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</si>
  <si>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</si>
  <si>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</si>
  <si>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</si>
  <si>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</si>
  <si>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</si>
  <si>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</si>
  <si>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</si>
  <si>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</si>
  <si>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</si>
  <si>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</si>
  <si>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</si>
  <si>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</si>
  <si>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</si>
  <si>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</si>
  <si>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</si>
  <si>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</si>
  <si>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</si>
  <si>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</si>
  <si>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</si>
  <si>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</si>
  <si>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</si>
  <si>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</si>
  <si>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</si>
  <si>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</si>
  <si>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</si>
  <si>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</si>
  <si>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</si>
  <si>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</si>
  <si>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</si>
  <si>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</si>
  <si>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</si>
  <si>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</si>
  <si>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</si>
  <si>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</si>
  <si>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</si>
  <si>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</si>
  <si>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</si>
  <si>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</si>
  <si>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</si>
  <si>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</si>
  <si>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</si>
  <si>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</si>
  <si>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</si>
  <si>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</si>
  <si>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</si>
  <si>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</si>
  <si>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</si>
  <si>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</si>
  <si>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</si>
  <si>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</si>
  <si>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</si>
  <si>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</si>
  <si>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</si>
  <si>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</si>
  <si>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</si>
  <si>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</si>
  <si>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</si>
  <si>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</si>
  <si>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</si>
  <si>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</si>
  <si>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</si>
  <si>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</si>
  <si>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</si>
  <si>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</si>
  <si>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</si>
  <si>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</si>
  <si>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</si>
  <si>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</si>
  <si>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</si>
  <si>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</si>
  <si>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</si>
  <si>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</si>
  <si>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</si>
  <si>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</si>
  <si>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</si>
  <si>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</si>
  <si>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</si>
  <si>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</si>
  <si>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</si>
  <si>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</si>
  <si>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</si>
  <si>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</si>
  <si>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</si>
  <si>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</si>
  <si>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</si>
  <si>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</si>
  <si>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</si>
  <si>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</si>
  <si>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</si>
  <si>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</si>
  <si>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</si>
  <si>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</si>
  <si>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</si>
  <si>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</si>
  <si>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</si>
  <si>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</si>
  <si>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</si>
  <si>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</si>
  <si>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</si>
  <si>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</si>
  <si>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</si>
  <si>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</si>
  <si>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</si>
  <si>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</si>
  <si>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</si>
  <si>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</si>
  <si>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</si>
  <si>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</si>
  <si>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</si>
  <si>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</si>
  <si>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</si>
  <si>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</si>
  <si>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</si>
  <si>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</si>
  <si>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</si>
  <si>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</si>
  <si>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</si>
  <si>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</si>
  <si>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</si>
  <si>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</si>
  <si>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</si>
  <si>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</si>
  <si>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</si>
  <si>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</si>
  <si>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</si>
  <si>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</si>
  <si>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</si>
  <si>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</si>
  <si>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</si>
  <si>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</si>
  <si>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</si>
  <si>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</si>
  <si>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</si>
  <si>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</si>
  <si>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</si>
  <si>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</si>
  <si>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</si>
  <si>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</si>
  <si>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</si>
  <si>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</si>
  <si>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</si>
  <si>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</si>
  <si>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</si>
  <si>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</si>
  <si>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</si>
  <si>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</si>
  <si>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</si>
  <si>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</si>
  <si>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</si>
  <si>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</si>
  <si>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</si>
  <si>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</si>
  <si>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</si>
  <si>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</si>
  <si>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</si>
  <si>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</si>
  <si>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</si>
  <si>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</si>
  <si>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</si>
  <si>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SI</t>
  </si>
  <si>
    <t>SHEILA</t>
  </si>
  <si>
    <t>ING. Y CONSTRUCCION SERIA SPA</t>
  </si>
  <si>
    <t>+569 998937145</t>
  </si>
  <si>
    <t>CONCEPCION</t>
  </si>
  <si>
    <t>DURACION COTIZACION: 5 DIAS                           FERNANDO DONOSO</t>
  </si>
  <si>
    <t>N° 11326</t>
  </si>
  <si>
    <t>07-/03-2025</t>
  </si>
  <si>
    <t>ENACHAPE RECTO 1 CARA MELAMINA 18MM</t>
  </si>
  <si>
    <t>GRIS HUMOS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</si>
</sst>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7" fillId="0" borderId="0" xfId="0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REPISAS</a:t>
          </a:r>
          <a:r>
            <a:rPr lang="es-CL" sz="1200" b="1" baseline="0"/>
            <a:t> ENCHAPE CON TAPACANTO PVC 0,4  1 CARA EN EL ANCHO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8.664062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 t="s">
        <v>172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/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165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8" t="s">
        <v>168</v>
      </c>
      <c r="D15" s="309"/>
      <c r="F15" t="s">
        <v>134</v>
      </c>
      <c r="G15" s="332" t="s">
        <v>135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169</v>
      </c>
      <c r="D17" s="312"/>
      <c r="E17" s="119"/>
      <c r="F17" s="333" t="s">
        <v>170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38324.633655114943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7</v>
      </c>
      <c r="C21" s="329" t="s">
        <v>173</v>
      </c>
      <c r="D21" s="330">
        <v>0.6</v>
      </c>
      <c r="E21" s="330">
        <v>0.48399999999999999</v>
      </c>
      <c r="F21" s="329" t="s">
        <v>174</v>
      </c>
      <c r="G21" s="331">
        <v>12613</v>
      </c>
      <c r="H21" s="331">
        <f>G21*B21</f>
        <v>88291</v>
      </c>
      <c r="I21" s="319"/>
      <c r="J21" s="265"/>
      <c r="K21" s="47"/>
      <c r="L21" s="47">
        <f>B21</f>
        <v>7</v>
      </c>
      <c r="M21" s="39">
        <f>D21+M$19</f>
        <v>0.67999999999999994</v>
      </c>
      <c r="N21" s="39">
        <f>E21+$N$19</f>
        <v>0.48399999999999999</v>
      </c>
      <c r="O21" s="261">
        <f t="shared" ref="O21" si="1">M21*N21</f>
        <v>0.32911999999999997</v>
      </c>
      <c r="P21" s="259">
        <f t="shared" ref="P21" si="2">O21*L21</f>
        <v>2.3038399999999997</v>
      </c>
      <c r="Q21" s="252">
        <f t="shared" ref="Q21" si="3">Q$20*O21</f>
        <v>12613.40342857143</v>
      </c>
      <c r="R21" s="318">
        <f t="shared" ref="R21" si="4">Q21+R$20</f>
        <v>15613.40342857143</v>
      </c>
      <c r="S21" s="297">
        <f>M21*L21</f>
        <v>4.76</v>
      </c>
      <c r="T21" s="46">
        <f>N21*2*L21*2</f>
        <v>13.552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88291</v>
      </c>
      <c r="I24" s="321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13.552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16775.29</v>
      </c>
      <c r="I25" s="321"/>
      <c r="J25" s="265"/>
      <c r="K25" s="47"/>
      <c r="L25" s="47"/>
      <c r="M25" s="39">
        <f>SUM(M21:M21)</f>
        <v>0.67999999999999994</v>
      </c>
      <c r="N25" s="12"/>
      <c r="O25" s="12"/>
      <c r="P25" s="253">
        <f>SUM(P21:P23)</f>
        <v>2.3038399999999997</v>
      </c>
      <c r="Q25" s="14"/>
      <c r="R25" s="12"/>
      <c r="S25" s="239">
        <f>SUM(S21:S24)</f>
        <v>4.76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105066.29000000001</v>
      </c>
      <c r="I26" s="321"/>
      <c r="J26" s="265"/>
      <c r="K26" s="47"/>
      <c r="L26" s="47"/>
      <c r="M26" s="39"/>
      <c r="N26" s="12"/>
      <c r="O26" s="12"/>
      <c r="P26" s="253">
        <f>P25</f>
        <v>2.3038399999999997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0.46076799999999996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2.7646079999999995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2.7646079999999995</v>
      </c>
      <c r="N30" s="12">
        <v>1500</v>
      </c>
      <c r="O30" s="12">
        <f t="shared" ref="O30:O35" si="5">M30*N30</f>
        <v>4146.9119999999994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45000</v>
      </c>
      <c r="O31" s="12">
        <f t="shared" si="5"/>
        <v>22500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0.5</v>
      </c>
      <c r="N33" s="250">
        <v>35000</v>
      </c>
      <c r="O33" s="12">
        <f t="shared" si="5"/>
        <v>17500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44146.911999999997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</f>
        <v>88293.823999999993</v>
      </c>
      <c r="P37" s="14" t="s">
        <v>140</v>
      </c>
      <c r="Q37" s="14"/>
      <c r="R37" s="40">
        <f>P28/R36</f>
        <v>0.74541846419326996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65010</v>
      </c>
      <c r="L38" s="250"/>
      <c r="M38" s="14"/>
      <c r="N38" s="12"/>
      <c r="O38" s="12">
        <f>O37/P26</f>
        <v>38324.633655114943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54630.252100840342</v>
      </c>
      <c r="L39" s="250"/>
      <c r="M39" s="13"/>
      <c r="N39" s="14"/>
      <c r="O39" s="17">
        <f>O37/O36</f>
        <v>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07-/03-2025</v>
      </c>
    </row>
    <row r="6" spans="2:31" ht="16.2" thickBot="1" x14ac:dyDescent="0.35">
      <c r="B6" s="140" t="s">
        <v>2</v>
      </c>
      <c r="C6" s="139" t="str">
        <f>'2229'!C10</f>
        <v>ING. Y CONSTRUCCION SERIA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817.10909987922787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88291</v>
      </c>
      <c r="E11" s="132">
        <f>D11*0.19</f>
        <v>16775.29</v>
      </c>
      <c r="F11" s="131">
        <f>E11+D11</f>
        <v>105066.29000000001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106807.10909987922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56481.002787439618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88807.109099879221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31809.997212560382</v>
      </c>
      <c r="E13" s="221">
        <f>(D11/D12)-1</f>
        <v>0.56319816651049903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79807.109099879221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40807.109099879228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93193.654599275367</v>
      </c>
      <c r="F15" s="216">
        <f>E15-D12</f>
        <v>36712.651811835749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40807.109099879228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80807.109099879221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4146.9119999999994</v>
      </c>
      <c r="E20" s="121">
        <f>D20*0.19</f>
        <v>787.91327999999987</v>
      </c>
      <c r="F20" s="120">
        <f>SUM(D20:E20)</f>
        <v>4934.8252799999991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26646.912</v>
      </c>
      <c r="E21" s="116">
        <f>SUM(E18:E20)</f>
        <v>5062.9132799999998</v>
      </c>
      <c r="F21" s="115">
        <f>SUM(F18:F20)</f>
        <v>31709.825279999997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11712.37672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88291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26646.912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31809.997212560382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31809.997212560382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2025-03-07T16:05:37Z</dcterms:modified>
</cp:coreProperties>
</file>