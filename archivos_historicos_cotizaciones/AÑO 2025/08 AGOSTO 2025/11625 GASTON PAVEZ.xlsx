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65C69D78-1F0D-41FF-861C-CA3C270374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4" i="1" s="1"/>
  <c r="S21" i="1" l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G21" i="1" s="1"/>
  <c r="F15" i="3"/>
  <c r="R21" i="1" l="1"/>
  <c r="H21" i="1" l="1"/>
  <c r="H23" i="1" s="1"/>
  <c r="H24" i="1" s="1"/>
  <c r="H25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<sst xmlns="http://schemas.openxmlformats.org/spreadsheetml/2006/main" count="231" uniqueCount="175">
  <si>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</si>
  <si>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</si>
  <si>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</si>
  <si>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</si>
  <si>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</si>
  <si>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</si>
  <si>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</si>
  <si>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</si>
  <si>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</si>
  <si>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</si>
  <si>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</si>
  <si>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</si>
  <si>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</si>
  <si>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</si>
  <si>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</si>
  <si>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</si>
  <si>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</si>
  <si>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</si>
  <si>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</si>
  <si>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</si>
  <si>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</si>
  <si>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</si>
  <si>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</si>
  <si>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</si>
  <si>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</si>
  <si>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</si>
  <si>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</si>
  <si>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</si>
  <si>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</si>
  <si>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</si>
  <si>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</si>
  <si>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</si>
  <si>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</si>
  <si>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</si>
  <si>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</si>
  <si>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</si>
  <si>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</si>
  <si>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</si>
  <si>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</si>
  <si>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</si>
  <si>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</si>
  <si>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</si>
  <si>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</si>
  <si>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</si>
  <si>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</si>
  <si>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</si>
  <si>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</si>
  <si>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</si>
  <si>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</si>
  <si>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</si>
  <si>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</si>
  <si>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</si>
  <si>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</si>
  <si>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</si>
  <si>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</si>
  <si>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</si>
  <si>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</si>
  <si>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</si>
  <si>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</si>
  <si>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</si>
  <si>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</si>
  <si>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</si>
  <si>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</si>
  <si>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</si>
  <si>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</si>
  <si>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</si>
  <si>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</si>
  <si>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</si>
  <si>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</si>
  <si>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</si>
  <si>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</si>
  <si>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</si>
  <si>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</si>
  <si>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</si>
  <si>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</si>
  <si>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</si>
  <si>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</si>
  <si>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</si>
  <si>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</si>
  <si>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</si>
  <si>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</si>
  <si>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</si>
  <si>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</si>
  <si>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</si>
  <si>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</si>
  <si>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</si>
  <si>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</si>
  <si>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</si>
  <si>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</si>
  <si>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</si>
  <si>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</si>
  <si>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</si>
  <si>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</si>
  <si>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</si>
  <si>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</si>
  <si>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</si>
  <si>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</si>
  <si>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</si>
  <si>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</si>
  <si>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</si>
  <si>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</si>
  <si>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</si>
  <si>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</si>
  <si>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</si>
  <si>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</si>
  <si>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</si>
  <si>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</si>
  <si>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</si>
  <si>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</si>
  <si>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</si>
  <si>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</si>
  <si>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</si>
  <si>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</si>
  <si>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</si>
  <si>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</si>
  <si>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</si>
  <si>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</si>
  <si>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</si>
  <si>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</si>
  <si>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</si>
  <si>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</si>
  <si>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</si>
  <si>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</si>
  <si>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</si>
  <si>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</si>
  <si>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</si>
  <si>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</si>
  <si>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</si>
  <si>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</si>
  <si>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</si>
  <si>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</si>
  <si>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</si>
  <si>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</si>
  <si>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</si>
  <si>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</si>
  <si>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</si>
  <si>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</si>
  <si>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</si>
  <si>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</si>
  <si>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</si>
  <si>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</si>
  <si>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</si>
  <si>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</si>
  <si>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</si>
  <si>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</si>
  <si>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</si>
  <si>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</si>
  <si>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</si>
  <si>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</si>
  <si>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</si>
  <si>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</si>
  <si>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</si>
  <si>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</si>
  <si>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</si>
  <si>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</si>
  <si>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</si>
  <si>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</si>
  <si>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</si>
  <si>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</si>
  <si>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</si>
  <si>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</si>
  <si>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</si>
  <si>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</si>
  <si>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</si>
  <si>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</si>
  <si>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BALANCE</t>
  </si>
  <si>
    <t>LAMINA 153X366</t>
  </si>
  <si>
    <t>LAM PF 0,7MM STRAIGHT WALNUT 10848 SF 3050 X 1220</t>
  </si>
  <si>
    <t>LAM PF 0,7 MM IRISH CREAM 21027 SF 3050X1220</t>
  </si>
  <si>
    <t>N° 11625</t>
  </si>
  <si>
    <t>GASTON PAVEZ</t>
  </si>
  <si>
    <t>+56 9 9373 4659</t>
  </si>
  <si>
    <t>HAYA 1750 MT</t>
  </si>
  <si>
    <t>CUB SIN RESPALDO FRENTE 90°</t>
  </si>
  <si>
    <t>3 - 5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</si>
</sst>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EN DOS PIEZAS DE 2 METROS CORTADAS A LA MEDIDA EN UN COSTADO DONDE IRIAN UNIDAS Y SOBRE MEDIDAS EN EL OTRO.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3.664062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170</v>
      </c>
      <c r="D10" s="243"/>
      <c r="E10" s="243"/>
      <c r="F10" s="244" t="s">
        <v>0</v>
      </c>
      <c r="G10" s="276">
        <v>45898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174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5" t="s">
        <v>163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94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>
        <v>0.05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O37</f>
        <v>66787.760180995465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30">
        <v>1</v>
      </c>
      <c r="C21" s="331" t="s">
        <v>173</v>
      </c>
      <c r="D21" s="332">
        <v>4</v>
      </c>
      <c r="E21" s="332">
        <v>0.6</v>
      </c>
      <c r="F21" s="331" t="s">
        <v>172</v>
      </c>
      <c r="G21" s="333">
        <f>Q21</f>
        <v>177121.13999999998</v>
      </c>
      <c r="H21" s="334">
        <f>G21*B21</f>
        <v>177121.13999999998</v>
      </c>
      <c r="I21" s="320"/>
      <c r="J21" s="265"/>
      <c r="K21" s="47"/>
      <c r="L21" s="47">
        <f>B21</f>
        <v>1</v>
      </c>
      <c r="M21" s="39">
        <f>D21+M$19</f>
        <v>4.08</v>
      </c>
      <c r="N21" s="39">
        <f>E21+$N$19</f>
        <v>0.65</v>
      </c>
      <c r="O21" s="261">
        <f t="shared" ref="O21" si="1">M21*N21</f>
        <v>2.6520000000000001</v>
      </c>
      <c r="P21" s="259">
        <f t="shared" ref="P21" si="2">O21*L21</f>
        <v>2.6520000000000001</v>
      </c>
      <c r="Q21" s="252">
        <f t="shared" ref="Q21" si="3">Q$20*O21</f>
        <v>177121.13999999998</v>
      </c>
      <c r="R21" s="319">
        <f t="shared" ref="R21" si="4">Q21+R$20</f>
        <v>180121.13999999998</v>
      </c>
      <c r="S21" s="297">
        <f t="shared" ref="S21" si="5">L21*M21*2</f>
        <v>8.16</v>
      </c>
      <c r="T21" s="46">
        <f>N21*2*L21*2</f>
        <v>2.6</v>
      </c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265"/>
      <c r="H22" s="321"/>
      <c r="I22" s="323"/>
      <c r="J22" s="233"/>
      <c r="K22" s="47"/>
      <c r="L22" s="47"/>
      <c r="M22" s="39"/>
      <c r="N22" s="39"/>
      <c r="O22" s="261"/>
      <c r="P22" s="259"/>
      <c r="Q22" s="252"/>
      <c r="R22" s="258"/>
      <c r="S22" s="297"/>
      <c r="T22" s="14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4" t="s">
        <v>28</v>
      </c>
      <c r="H23" s="325">
        <f>SUM(H21:H22)</f>
        <v>177121.13999999998</v>
      </c>
      <c r="I23" s="322"/>
      <c r="J23" s="265"/>
      <c r="K23" s="47">
        <v>2600000</v>
      </c>
      <c r="L23" s="47"/>
      <c r="M23" s="39"/>
      <c r="N23" s="39"/>
      <c r="O23" s="261"/>
      <c r="P23" s="259"/>
      <c r="Q23" s="252"/>
      <c r="R23" s="258"/>
      <c r="S23" s="297"/>
      <c r="T23" s="46">
        <f>SUM(T21:T22)</f>
        <v>2.6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6" t="s">
        <v>50</v>
      </c>
      <c r="H24" s="294">
        <f>H23*19%</f>
        <v>33653.016599999995</v>
      </c>
      <c r="I24" s="322"/>
      <c r="J24" s="265"/>
      <c r="K24" s="47"/>
      <c r="L24" s="47"/>
      <c r="M24" s="39">
        <f>SUM(M21:M23)</f>
        <v>4.08</v>
      </c>
      <c r="N24" s="12"/>
      <c r="O24" s="12"/>
      <c r="P24" s="253">
        <f>SUM(P21:P22)</f>
        <v>2.6520000000000001</v>
      </c>
      <c r="Q24" s="14"/>
      <c r="R24" s="12"/>
      <c r="S24" s="239"/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5">
        <f>H23+H24</f>
        <v>210774.15659999999</v>
      </c>
      <c r="I25" s="322"/>
      <c r="J25" s="265"/>
      <c r="K25" s="47"/>
      <c r="L25" s="47"/>
      <c r="M25" s="39"/>
      <c r="N25" s="12"/>
      <c r="O25" s="12"/>
      <c r="P25" s="253">
        <f>P24</f>
        <v>2.6520000000000001</v>
      </c>
      <c r="Q25" s="14"/>
      <c r="R25" s="12"/>
      <c r="S25" s="239">
        <f>SUM(S21:S24)</f>
        <v>8.16</v>
      </c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0.53040000000000009</v>
      </c>
      <c r="Q26" s="39" t="s">
        <v>129</v>
      </c>
      <c r="R26" s="42"/>
      <c r="S26" s="240">
        <f>S25+T23</f>
        <v>10.76</v>
      </c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3.1824000000000003</v>
      </c>
      <c r="Q27" s="14"/>
      <c r="R27" s="14"/>
      <c r="S27" s="238">
        <f>S26*20%</f>
        <v>2.1520000000000001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>
        <f>S26+S27</f>
        <v>12.911999999999999</v>
      </c>
      <c r="T28" s="14"/>
      <c r="U28" s="302" t="s">
        <v>21</v>
      </c>
      <c r="V28" s="299" t="s">
        <v>150</v>
      </c>
      <c r="W28" s="303">
        <v>44971</v>
      </c>
      <c r="X28" s="304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3.1824000000000003</v>
      </c>
      <c r="N29" s="12">
        <v>3500</v>
      </c>
      <c r="O29" s="12">
        <f t="shared" ref="O29:O31" si="6">M29*N29</f>
        <v>11138.400000000001</v>
      </c>
      <c r="P29" s="14" t="s">
        <v>21</v>
      </c>
      <c r="Q29" s="14"/>
      <c r="R29" s="14"/>
      <c r="S29" s="241"/>
      <c r="T29" s="14"/>
      <c r="U29" s="302" t="s">
        <v>151</v>
      </c>
      <c r="V29" s="299">
        <v>3625</v>
      </c>
      <c r="W29" s="59" t="s">
        <v>152</v>
      </c>
      <c r="X29" s="304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/>
      <c r="L30" s="47"/>
      <c r="M30" s="249">
        <v>0.63</v>
      </c>
      <c r="N30" s="12">
        <v>23500</v>
      </c>
      <c r="O30" s="12">
        <f t="shared" si="6"/>
        <v>14805</v>
      </c>
      <c r="P30" s="39" t="s">
        <v>30</v>
      </c>
      <c r="Q30" s="42"/>
      <c r="R30" s="14"/>
      <c r="S30" s="240"/>
      <c r="T30" s="14"/>
      <c r="U30" s="302"/>
      <c r="V30" s="59">
        <v>906.25</v>
      </c>
      <c r="W30" s="59" t="s">
        <v>153</v>
      </c>
      <c r="X30" s="304"/>
    </row>
    <row r="31" spans="1:25" s="230" customFormat="1" ht="17.399999999999999" x14ac:dyDescent="0.35">
      <c r="B31" s="24" t="s">
        <v>149</v>
      </c>
      <c r="J31" s="262"/>
      <c r="K31" s="232"/>
      <c r="L31" s="250"/>
      <c r="M31" s="14"/>
      <c r="N31" s="250">
        <v>15041</v>
      </c>
      <c r="O31" s="12">
        <f t="shared" si="6"/>
        <v>0</v>
      </c>
      <c r="P31" s="39" t="s">
        <v>165</v>
      </c>
      <c r="Q31" s="42"/>
      <c r="S31" s="240"/>
      <c r="T31" s="256"/>
      <c r="U31" s="59"/>
      <c r="V31" s="59">
        <f>V30*20%</f>
        <v>181.25</v>
      </c>
      <c r="W31" s="304" t="s">
        <v>154</v>
      </c>
      <c r="X31" s="59"/>
    </row>
    <row r="32" spans="1:25" s="230" customFormat="1" ht="17.399999999999999" x14ac:dyDescent="0.35">
      <c r="B32" s="24" t="s">
        <v>142</v>
      </c>
      <c r="C32"/>
      <c r="D32"/>
      <c r="E32"/>
      <c r="F32"/>
      <c r="J32" s="262"/>
      <c r="K32" s="232"/>
      <c r="L32" s="250"/>
      <c r="M32" s="14">
        <v>2</v>
      </c>
      <c r="N32" s="250">
        <v>29200</v>
      </c>
      <c r="O32" s="12">
        <f>M32*N32</f>
        <v>58400</v>
      </c>
      <c r="P32" s="14" t="s">
        <v>166</v>
      </c>
      <c r="S32" s="238"/>
      <c r="T32" s="256"/>
      <c r="U32" s="59"/>
      <c r="V32" s="59">
        <f>V30+V31</f>
        <v>1087.5</v>
      </c>
      <c r="W32" s="304" t="s">
        <v>155</v>
      </c>
      <c r="X32" s="59"/>
    </row>
    <row r="33" spans="2:24" s="230" customFormat="1" ht="17.399999999999999" x14ac:dyDescent="0.35">
      <c r="B33" s="29" t="s">
        <v>124</v>
      </c>
      <c r="C33"/>
      <c r="D33"/>
      <c r="E33"/>
      <c r="F33" s="229" t="s">
        <v>15</v>
      </c>
      <c r="J33" s="262"/>
      <c r="K33" s="260"/>
      <c r="L33" s="250"/>
      <c r="M33" s="249"/>
      <c r="N33" s="250">
        <v>900</v>
      </c>
      <c r="O33" s="12">
        <f>M33*N33</f>
        <v>0</v>
      </c>
      <c r="P33" s="14" t="s">
        <v>31</v>
      </c>
      <c r="Q33" s="17"/>
      <c r="R33" s="230">
        <v>2.12</v>
      </c>
      <c r="S33" s="238"/>
      <c r="T33" s="238"/>
    </row>
    <row r="34" spans="2:24" s="230" customFormat="1" ht="17.399999999999999" x14ac:dyDescent="0.35">
      <c r="J34" s="293"/>
      <c r="K34" s="260"/>
      <c r="L34" s="250"/>
      <c r="M34" s="266"/>
      <c r="N34" s="12">
        <v>1500</v>
      </c>
      <c r="O34" s="12">
        <f>M34*N34</f>
        <v>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K35" s="260"/>
      <c r="L35" s="250"/>
      <c r="M35" s="14"/>
      <c r="N35" s="12"/>
      <c r="O35" s="12">
        <f>SUM(O29:O34)</f>
        <v>84343.4</v>
      </c>
      <c r="P35" s="39" t="s">
        <v>23</v>
      </c>
      <c r="Q35" s="14"/>
      <c r="R35">
        <f>R33*R34</f>
        <v>5.1728000000000005</v>
      </c>
      <c r="S35"/>
      <c r="T35" s="238"/>
      <c r="X35" s="231"/>
    </row>
    <row r="36" spans="2:24" s="230" customFormat="1" ht="17.399999999999999" x14ac:dyDescent="0.35">
      <c r="L36" s="250"/>
      <c r="M36" s="254" t="s">
        <v>32</v>
      </c>
      <c r="N36" s="12"/>
      <c r="O36" s="255">
        <f>O35*2.1</f>
        <v>177121.13999999998</v>
      </c>
      <c r="P36" s="14" t="s">
        <v>139</v>
      </c>
      <c r="Q36" s="14"/>
      <c r="R36" s="40">
        <f>P27/R35</f>
        <v>0.6152180637179091</v>
      </c>
      <c r="S36"/>
      <c r="T36" s="257"/>
    </row>
    <row r="37" spans="2:24" s="230" customFormat="1" ht="17.399999999999999" x14ac:dyDescent="0.35">
      <c r="D37" t="s">
        <v>167</v>
      </c>
      <c r="G37"/>
      <c r="H37" s="260"/>
      <c r="I37" s="260"/>
      <c r="J37" s="260"/>
      <c r="K37" s="230">
        <v>74260</v>
      </c>
      <c r="L37" s="250"/>
      <c r="M37" s="14"/>
      <c r="N37" s="12"/>
      <c r="O37" s="12">
        <f>O36/P25</f>
        <v>66787.760180995465</v>
      </c>
      <c r="P37" s="45" t="s">
        <v>24</v>
      </c>
      <c r="Q37" s="14"/>
      <c r="R37" s="14"/>
      <c r="S37"/>
      <c r="T37" s="238"/>
      <c r="U37" s="59" t="s">
        <v>156</v>
      </c>
      <c r="V37" s="299">
        <v>43650</v>
      </c>
    </row>
    <row r="38" spans="2:24" s="230" customFormat="1" ht="17.399999999999999" x14ac:dyDescent="0.35">
      <c r="D38" t="s">
        <v>168</v>
      </c>
      <c r="G38"/>
      <c r="K38" s="230">
        <f>K37/1.19</f>
        <v>62403.361344537821</v>
      </c>
      <c r="L38" s="250"/>
      <c r="M38" s="13"/>
      <c r="N38" s="14"/>
      <c r="O38" s="17">
        <f>O36/O35</f>
        <v>2.1</v>
      </c>
      <c r="P38" s="15"/>
      <c r="Q38" s="14"/>
      <c r="R38"/>
      <c r="S38"/>
      <c r="T38" s="238"/>
      <c r="U38" s="59" t="s">
        <v>158</v>
      </c>
      <c r="V38" s="300" t="s">
        <v>157</v>
      </c>
      <c r="W38" s="59">
        <v>2.4</v>
      </c>
    </row>
    <row r="39" spans="2:24" s="230" customFormat="1" ht="17.399999999999999" x14ac:dyDescent="0.35">
      <c r="G39" s="23"/>
      <c r="L39" s="12"/>
      <c r="Q39"/>
      <c r="T39" s="238"/>
      <c r="U39" s="59" t="s">
        <v>159</v>
      </c>
      <c r="V39" s="301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154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146</v>
      </c>
    </row>
    <row r="73" spans="3:3" x14ac:dyDescent="0.3">
      <c r="C73" t="s">
        <v>145</v>
      </c>
    </row>
    <row r="76" spans="3:3" x14ac:dyDescent="0.3">
      <c r="C76" t="s">
        <v>145</v>
      </c>
    </row>
    <row r="153" spans="3:3" x14ac:dyDescent="0.3">
      <c r="C153" t="s">
        <v>145</v>
      </c>
    </row>
    <row r="154" spans="3:3" x14ac:dyDescent="0.3">
      <c r="C154" t="s">
        <v>147</v>
      </c>
    </row>
    <row r="155" spans="3:3" x14ac:dyDescent="0.3">
      <c r="C155" t="s">
        <v>148</v>
      </c>
    </row>
    <row r="580" spans="3:3" x14ac:dyDescent="0.3">
      <c r="C580" t="s">
        <v>145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45898</v>
      </c>
    </row>
    <row r="6" spans="2:31" ht="16.2" thickBot="1" x14ac:dyDescent="0.35">
      <c r="B6" s="140" t="s">
        <v>2</v>
      </c>
      <c r="C6" s="139" t="str">
        <f>'2229'!C10</f>
        <v>GASTON PAVEZ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97</v>
      </c>
      <c r="I7" s="342"/>
      <c r="J7" s="342"/>
      <c r="K7" s="343"/>
      <c r="N7" s="75"/>
      <c r="O7" s="340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11625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40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-14181.380033454103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177121.13999999998</v>
      </c>
      <c r="E11" s="132">
        <f>D11*0.19</f>
        <v>33653.016599999995</v>
      </c>
      <c r="F11" s="131">
        <f>E11+D11</f>
        <v>210774.15659999999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91808.619966545899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55777.490787439616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73808.619966545899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121343.64921256037</v>
      </c>
      <c r="E13" s="221">
        <f>(D11/D12)-1</f>
        <v>2.1754949442775118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64808.619966545899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25808.619966545899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92032.859799275364</v>
      </c>
      <c r="F15" s="216">
        <f>E15-D12</f>
        <v>36255.369011835748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25808.619966545899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65808.619966545899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14805</v>
      </c>
      <c r="E19" s="123">
        <f>D19*0.19</f>
        <v>2812.95</v>
      </c>
      <c r="F19" s="120">
        <f>SUM(D19:E19)</f>
        <v>17617.95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11138.400000000001</v>
      </c>
      <c r="E20" s="121">
        <f>D20*0.19</f>
        <v>2116.2960000000003</v>
      </c>
      <c r="F20" s="120">
        <f>SUM(D20:E20)</f>
        <v>13254.696000000002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25943.4</v>
      </c>
      <c r="E21" s="116">
        <f>SUM(E18:E20)</f>
        <v>4929.2460000000001</v>
      </c>
      <c r="F21" s="115">
        <f>SUM(F18:F20)</f>
        <v>30872.646000000001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28723.770599999996</v>
      </c>
    </row>
    <row r="41" spans="2:16" ht="15" thickBot="1" x14ac:dyDescent="0.35">
      <c r="H41" s="344" t="s">
        <v>59</v>
      </c>
      <c r="I41" s="345"/>
      <c r="J41" s="345"/>
      <c r="K41" s="345"/>
      <c r="L41" s="345"/>
      <c r="M41" s="346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177121.13999999998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25943.4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121343.64921256037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121343.64921256037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2025-08-29T19:39:36Z</cp:lastPrinted>
  <dcterms:created xsi:type="dcterms:W3CDTF">2013-03-18T13:35:42Z</dcterms:created>
  <dcterms:modified xsi:type="dcterms:W3CDTF">2025-08-30T21:53:59Z</dcterms:modified>
</cp:coreProperties>
</file>