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7DF61000-CB70-4DCA-9237-8C2D13109D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L21" i="1"/>
  <c r="M21" i="1"/>
  <c r="N21" i="1"/>
  <c r="J15" i="1"/>
  <c r="J10" i="1"/>
  <c r="O21" i="1" l="1"/>
  <c r="P21" i="1" s="1"/>
  <c r="S21" i="1"/>
  <c r="S26" i="1" s="1"/>
  <c r="M25" i="1"/>
  <c r="T24" i="1"/>
  <c r="K39" i="1"/>
  <c r="P25" i="1" l="1"/>
  <c r="S27" i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R21" i="1" s="1"/>
  <c r="O39" i="1"/>
  <c r="E15" i="3"/>
  <c r="F15" i="3" l="1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<sst xmlns="http://schemas.openxmlformats.org/spreadsheetml/2006/main" count="230" uniqueCount="176">
  <si>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</si>
  <si>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</si>
  <si>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</si>
  <si>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</si>
  <si>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</si>
  <si>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</si>
  <si>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</si>
  <si>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</si>
  <si>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</si>
  <si>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</si>
  <si>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</si>
  <si>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</si>
  <si>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</si>
  <si>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</si>
  <si>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</si>
  <si>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</si>
  <si>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</si>
  <si>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</si>
  <si>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</si>
  <si>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</si>
  <si>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</si>
  <si>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</si>
  <si>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</si>
  <si>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</si>
  <si>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</si>
  <si>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</si>
  <si>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</si>
  <si>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</si>
  <si>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</si>
  <si>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</si>
  <si>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</si>
  <si>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</si>
  <si>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</si>
  <si>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</si>
  <si>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</si>
  <si>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</si>
  <si>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</si>
  <si>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</si>
  <si>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</si>
  <si>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</si>
  <si>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</si>
  <si>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</si>
  <si>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</si>
  <si>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</si>
  <si>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</si>
  <si>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</si>
  <si>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</si>
  <si>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</si>
  <si>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</si>
  <si>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</si>
  <si>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</si>
  <si>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</si>
  <si>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</si>
  <si>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</si>
  <si>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</si>
  <si>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</si>
  <si>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</si>
  <si>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</si>
  <si>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</si>
  <si>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</si>
  <si>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</si>
  <si>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</si>
  <si>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</si>
  <si>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</si>
  <si>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</si>
  <si>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</si>
  <si>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</si>
  <si>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</si>
  <si>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</si>
  <si>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</si>
  <si>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</si>
  <si>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</si>
  <si>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</si>
  <si>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</si>
  <si>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</si>
  <si>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</si>
  <si>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</si>
  <si>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</si>
  <si>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</si>
  <si>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</si>
  <si>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</si>
  <si>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</si>
  <si>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</si>
  <si>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</si>
  <si>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</si>
  <si>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</si>
  <si>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</si>
  <si>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</si>
  <si>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</si>
  <si>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</si>
  <si>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</si>
  <si>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</si>
  <si>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</si>
  <si>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</si>
  <si>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</si>
  <si>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</si>
  <si>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</si>
  <si>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</si>
  <si>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</si>
  <si>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</si>
  <si>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</si>
  <si>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</si>
  <si>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</si>
  <si>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</si>
  <si>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</si>
  <si>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</si>
  <si>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</si>
  <si>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</si>
  <si>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</si>
  <si>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</si>
  <si>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</si>
  <si>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</si>
  <si>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</si>
  <si>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</si>
  <si>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</si>
  <si>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</si>
  <si>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</si>
  <si>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</si>
  <si>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</si>
  <si>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</si>
  <si>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</si>
  <si>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</si>
  <si>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</si>
  <si>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</si>
  <si>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</si>
  <si>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</si>
  <si>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</si>
  <si>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</si>
  <si>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</si>
  <si>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</si>
  <si>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</si>
  <si>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</si>
  <si>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</si>
  <si>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</si>
  <si>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</si>
  <si>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</si>
  <si>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</si>
  <si>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</si>
  <si>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</si>
  <si>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</si>
  <si>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</si>
  <si>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</si>
  <si>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</si>
  <si>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</si>
  <si>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</si>
  <si>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</si>
  <si>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</si>
  <si>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</si>
  <si>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</si>
  <si>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</si>
  <si>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</si>
  <si>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</si>
  <si>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</si>
  <si>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</si>
  <si>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</si>
  <si>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</si>
  <si>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</si>
  <si>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</si>
  <si>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</si>
  <si>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</si>
  <si>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</si>
  <si>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</si>
  <si>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</si>
  <si>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</si>
  <si>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</si>
  <si>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</si>
  <si>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</si>
  <si>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</si>
  <si>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</si>
  <si>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</si>
  <si>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</si>
  <si>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 xml:space="preserve">ORDEN DE COMPRA </t>
  </si>
  <si>
    <t>3 DIAS HABILES</t>
  </si>
  <si>
    <t>N° 11591</t>
  </si>
  <si>
    <t>CUB 1 LADO R8 MDF 30MM</t>
  </si>
  <si>
    <t>NEGRO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</si>
</sst>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30MM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B21" sqref="B21:G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45882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F13" t="s">
        <v>171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86378.028169014098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174</v>
      </c>
      <c r="D21" s="333">
        <v>1.4</v>
      </c>
      <c r="E21" s="333">
        <v>0.71</v>
      </c>
      <c r="F21" s="330" t="s">
        <v>175</v>
      </c>
      <c r="G21" s="331">
        <v>64276</v>
      </c>
      <c r="H21" s="331">
        <f t="shared" ref="H21" si="1">G21*B21</f>
        <v>128552</v>
      </c>
      <c r="I21" s="320"/>
      <c r="J21" s="265">
        <v>19</v>
      </c>
      <c r="K21" s="47"/>
      <c r="L21" s="332">
        <f t="shared" ref="L21" si="2">B21</f>
        <v>2</v>
      </c>
      <c r="M21" s="39">
        <f t="shared" ref="M21" si="3">D21+M$19</f>
        <v>1.48</v>
      </c>
      <c r="N21" s="39">
        <f t="shared" ref="N21" si="4">E21+$N$19</f>
        <v>0.71</v>
      </c>
      <c r="O21" s="261">
        <f t="shared" ref="O21" si="5">M21*N21</f>
        <v>1.0508</v>
      </c>
      <c r="P21" s="259">
        <f t="shared" ref="P21" si="6">O21*L21</f>
        <v>2.1015999999999999</v>
      </c>
      <c r="Q21" s="252">
        <f t="shared" ref="Q21" si="7">Q$20*O21</f>
        <v>90766.032000000007</v>
      </c>
      <c r="R21" s="319">
        <f t="shared" ref="R21" si="8">Q21+R$20</f>
        <v>92766.032000000007</v>
      </c>
      <c r="S21" s="297">
        <f t="shared" ref="S21" si="9">M21*L21</f>
        <v>2.96</v>
      </c>
      <c r="T21" s="46"/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332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128552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24424.880000000001</v>
      </c>
      <c r="I25" s="322"/>
      <c r="J25" s="265"/>
      <c r="K25" s="47"/>
      <c r="L25" s="47"/>
      <c r="M25" s="39">
        <f>SUM(M21:M24)</f>
        <v>1.48</v>
      </c>
      <c r="N25" s="12"/>
      <c r="O25" s="12"/>
      <c r="P25" s="253">
        <f>SUM(P21:P23)</f>
        <v>2.1015999999999999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152976.88</v>
      </c>
      <c r="I26" s="322"/>
      <c r="J26" s="265"/>
      <c r="K26" s="47"/>
      <c r="L26" s="47"/>
      <c r="M26" s="39"/>
      <c r="N26" s="12"/>
      <c r="O26" s="12"/>
      <c r="P26" s="253">
        <f>P25</f>
        <v>2.1015999999999999</v>
      </c>
      <c r="Q26" s="14"/>
      <c r="R26" s="12"/>
      <c r="S26" s="239">
        <f>SUM(S21:S25)</f>
        <v>2.96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0.42032000000000003</v>
      </c>
      <c r="Q27" s="39" t="s">
        <v>130</v>
      </c>
      <c r="R27" s="42"/>
      <c r="S27" s="240">
        <f>S26+T24</f>
        <v>2.96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2.5219199999999997</v>
      </c>
      <c r="Q28" s="14"/>
      <c r="R28" s="14"/>
      <c r="S28" s="238">
        <f>S27*20%</f>
        <v>0.59199999999999997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3.552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2.5219199999999997</v>
      </c>
      <c r="N30" s="12">
        <v>2000</v>
      </c>
      <c r="O30" s="12">
        <f t="shared" ref="O30:O35" si="10">M30*N30</f>
        <v>5043.8399999999992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</v>
      </c>
      <c r="N31" s="12">
        <v>46000</v>
      </c>
      <c r="O31" s="12">
        <f t="shared" si="10"/>
        <v>46000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67000</v>
      </c>
      <c r="O32" s="12">
        <f t="shared" si="10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1.5</v>
      </c>
      <c r="N33" s="250">
        <v>23600</v>
      </c>
      <c r="O33" s="12">
        <f t="shared" si="10"/>
        <v>35400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0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10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86443.839999999997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181532.06400000001</v>
      </c>
      <c r="P37" s="14" t="s">
        <v>140</v>
      </c>
      <c r="Q37" s="14"/>
      <c r="R37" s="40">
        <f>P28/R36</f>
        <v>0.67998274374460732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86378.028169014098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45882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11591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816.09763321255741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128552</v>
      </c>
      <c r="E11" s="132">
        <f>D11*0.19</f>
        <v>24424.880000000001</v>
      </c>
      <c r="F11" s="131">
        <f>E11+D11</f>
        <v>152976.88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106806.09763321256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80877.930787439604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88806.097633212557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47674.069212560396</v>
      </c>
      <c r="E13" s="221">
        <f>(D11/D12)-1</f>
        <v>0.58945708363701366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79806.097633212557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40806.097633212557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133448.58579927534</v>
      </c>
      <c r="F15" s="216">
        <f>E15-D12</f>
        <v>52570.655011835741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40806.097633212557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80806.097633212557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46000</v>
      </c>
      <c r="E19" s="123">
        <f>D19*0.19</f>
        <v>8740</v>
      </c>
      <c r="F19" s="120">
        <f>SUM(D19:E19)</f>
        <v>54740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5043.8399999999992</v>
      </c>
      <c r="E20" s="121">
        <f>D20*0.19</f>
        <v>958.32959999999991</v>
      </c>
      <c r="F20" s="120">
        <f>SUM(D20:E20)</f>
        <v>6002.1695999999993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51043.839999999997</v>
      </c>
      <c r="E21" s="116">
        <f>SUM(E18:E20)</f>
        <v>9698.3295999999991</v>
      </c>
      <c r="F21" s="115">
        <f>SUM(F18:F20)</f>
        <v>60742.169600000001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14726.550400000002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128552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51043.839999999997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47674.069212560396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47674.069212560396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2025-05-20T16:58:08Z</cp:lastPrinted>
  <dcterms:created xsi:type="dcterms:W3CDTF">2013-03-18T13:35:42Z</dcterms:created>
  <dcterms:modified xsi:type="dcterms:W3CDTF">2025-08-18T18:11:56Z</dcterms:modified>
</cp:coreProperties>
</file>