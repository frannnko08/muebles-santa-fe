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6273C6FC-9238-4ABA-938D-107CDD2E9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3" i="1"/>
  <c r="L21" i="1"/>
  <c r="H24" i="1" l="1"/>
  <c r="H25" i="1"/>
  <c r="H26" i="1"/>
  <c r="H27" i="1"/>
  <c r="M24" i="1"/>
  <c r="O24" i="1" s="1"/>
  <c r="P24" i="1" s="1"/>
  <c r="N24" i="1"/>
  <c r="S24" i="1"/>
  <c r="M25" i="1"/>
  <c r="N25" i="1"/>
  <c r="O25" i="1"/>
  <c r="P25" i="1" s="1"/>
  <c r="S25" i="1"/>
  <c r="M26" i="1"/>
  <c r="O26" i="1" s="1"/>
  <c r="P26" i="1" s="1"/>
  <c r="N26" i="1"/>
  <c r="S26" i="1"/>
  <c r="M27" i="1"/>
  <c r="N27" i="1"/>
  <c r="H22" i="1"/>
  <c r="H23" i="1"/>
  <c r="M22" i="1"/>
  <c r="S22" i="1" s="1"/>
  <c r="N22" i="1"/>
  <c r="M23" i="1"/>
  <c r="N23" i="1"/>
  <c r="N21" i="1"/>
  <c r="O27" i="1" l="1"/>
  <c r="P27" i="1" s="1"/>
  <c r="P31" i="1" s="1"/>
  <c r="S27" i="1"/>
  <c r="O23" i="1"/>
  <c r="P23" i="1" s="1"/>
  <c r="S23" i="1"/>
  <c r="O22" i="1"/>
  <c r="P22" i="1" s="1"/>
  <c r="M21" i="1"/>
  <c r="M31" i="1" s="1"/>
  <c r="S21" i="1" l="1"/>
  <c r="S31" i="1" s="1"/>
  <c r="T21" i="1"/>
  <c r="T30" i="1" s="1"/>
  <c r="O21" i="1"/>
  <c r="P21" i="1" s="1"/>
  <c r="V38" i="1" l="1"/>
  <c r="V39" i="1" s="1"/>
  <c r="O37" i="1" l="1"/>
  <c r="P32" i="1" l="1"/>
  <c r="N20" i="1"/>
  <c r="L20" i="1"/>
  <c r="P33" i="1" l="1"/>
  <c r="P34" i="1" s="1"/>
  <c r="M36" i="1" s="1"/>
  <c r="O38" i="1"/>
  <c r="R42" i="1"/>
  <c r="R43" i="1" l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O44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4" i="1" l="1"/>
  <c r="R24" i="1" s="1"/>
  <c r="Q25" i="1"/>
  <c r="R25" i="1" s="1"/>
  <c r="Q26" i="1"/>
  <c r="R26" i="1" s="1"/>
  <c r="Q27" i="1"/>
  <c r="R27" i="1" s="1"/>
  <c r="Q23" i="1"/>
  <c r="R23" i="1" s="1"/>
  <c r="Q22" i="1"/>
  <c r="R22" i="1" s="1"/>
  <c r="O45" i="1"/>
  <c r="Q21" i="1" l="1"/>
  <c r="F15" i="3"/>
  <c r="R21" i="1" l="1"/>
  <c r="H21" i="1" l="1"/>
  <c r="H30" i="1" s="1"/>
  <c r="H31" i="1" l="1"/>
  <c r="H32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<sst xmlns="http://schemas.openxmlformats.org/spreadsheetml/2006/main" count="244" uniqueCount="180">
  <si>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</si>
  <si>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</si>
  <si>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</si>
  <si>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</si>
  <si>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</si>
  <si>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</si>
  <si>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</si>
  <si>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</si>
  <si>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</si>
  <si>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</si>
  <si>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</si>
  <si>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</si>
  <si>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</si>
  <si>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</si>
  <si>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</si>
  <si>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</si>
  <si>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</si>
  <si>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</si>
  <si>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</si>
  <si>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</si>
  <si>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</si>
  <si>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</si>
  <si>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</si>
  <si>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</si>
  <si>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</si>
  <si>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</si>
  <si>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</si>
  <si>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</si>
  <si>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</si>
  <si>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</si>
  <si>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</si>
  <si>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</si>
  <si>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</si>
  <si>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</si>
  <si>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</si>
  <si>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</si>
  <si>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</si>
  <si>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</si>
  <si>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</si>
  <si>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</si>
  <si>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</si>
  <si>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</si>
  <si>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</si>
  <si>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</si>
  <si>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</si>
  <si>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</si>
  <si>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</si>
  <si>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</si>
  <si>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</si>
  <si>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</si>
  <si>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</si>
  <si>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</si>
  <si>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</si>
  <si>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</si>
  <si>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</si>
  <si>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</si>
  <si>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</si>
  <si>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</si>
  <si>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</si>
  <si>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</si>
  <si>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</si>
  <si>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</si>
  <si>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</si>
  <si>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</si>
  <si>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</si>
  <si>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</si>
  <si>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</si>
  <si>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</si>
  <si>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</si>
  <si>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</si>
  <si>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</si>
  <si>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</si>
  <si>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</si>
  <si>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</si>
  <si>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</si>
  <si>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</si>
  <si>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</si>
  <si>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</si>
  <si>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</si>
  <si>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</si>
  <si>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</si>
  <si>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</si>
  <si>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</si>
  <si>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</si>
  <si>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</si>
  <si>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</si>
  <si>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</si>
  <si>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</si>
  <si>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</si>
  <si>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</si>
  <si>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</si>
  <si>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</si>
  <si>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</si>
  <si>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</si>
  <si>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</si>
  <si>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</si>
  <si>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</si>
  <si>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</si>
  <si>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</si>
  <si>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</si>
  <si>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</si>
  <si>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</si>
  <si>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</si>
  <si>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</si>
  <si>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</si>
  <si>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</si>
  <si>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</si>
  <si>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</si>
  <si>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</si>
  <si>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</si>
  <si>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</si>
  <si>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</si>
  <si>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</si>
  <si>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</si>
  <si>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</si>
  <si>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</si>
  <si>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</si>
  <si>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</si>
  <si>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</si>
  <si>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</si>
  <si>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</si>
  <si>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</si>
  <si>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</si>
  <si>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</si>
  <si>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</si>
  <si>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</si>
  <si>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</si>
  <si>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</si>
  <si>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</si>
  <si>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</si>
  <si>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</si>
  <si>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</si>
  <si>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</si>
  <si>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</si>
  <si>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</si>
  <si>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</si>
  <si>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</si>
  <si>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</si>
  <si>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</si>
  <si>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</si>
  <si>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</si>
  <si>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</si>
  <si>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</si>
  <si>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</si>
  <si>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</si>
  <si>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</si>
  <si>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</si>
  <si>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</si>
  <si>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</si>
  <si>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</si>
  <si>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</si>
  <si>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</si>
  <si>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</si>
  <si>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</si>
  <si>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</si>
  <si>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</si>
  <si>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</si>
  <si>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</si>
  <si>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</si>
  <si>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</si>
  <si>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</si>
  <si>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</si>
  <si>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</si>
  <si>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</si>
  <si>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</si>
  <si>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</si>
  <si>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</si>
  <si>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</si>
  <si>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</si>
  <si>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</si>
  <si>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 xml:space="preserve">CONSTRUCTORA ACACIA </t>
  </si>
  <si>
    <t>MAURICIO BELMAR</t>
  </si>
  <si>
    <t>5 DIAS HABILES</t>
  </si>
  <si>
    <t>TURQUESA 2176 MT</t>
  </si>
  <si>
    <t>PUERTA POSTFORMADA PR6</t>
  </si>
  <si>
    <t>CUB C/R 180°</t>
  </si>
  <si>
    <t>VAINILLA 2109 MT</t>
  </si>
  <si>
    <t>569 7744 8149</t>
  </si>
  <si>
    <t>N° 11612</t>
  </si>
  <si>
    <t>CUB S/R 180° TRASCARA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</si>
</sst>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topLeftCell="A6" zoomScale="93" zoomScaleNormal="93" workbookViewId="0">
      <selection activeCell="E28" sqref="E28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178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170</v>
      </c>
      <c r="D10" s="239"/>
      <c r="E10" s="239"/>
      <c r="F10" s="240" t="s">
        <v>167</v>
      </c>
      <c r="G10" s="271">
        <v>45894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171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177</v>
      </c>
      <c r="D15" s="318"/>
      <c r="F15" t="s">
        <v>168</v>
      </c>
      <c r="G15" s="319" t="s">
        <v>133</v>
      </c>
      <c r="H15" s="281"/>
    </row>
    <row r="16" spans="2:24" ht="16.8" x14ac:dyDescent="0.4">
      <c r="B16" s="297" t="s">
        <v>3</v>
      </c>
      <c r="C16" s="320"/>
      <c r="D16" s="312"/>
      <c r="E16" s="312"/>
      <c r="F16" s="321" t="s">
        <v>128</v>
      </c>
      <c r="G16" s="322" t="s">
        <v>160</v>
      </c>
      <c r="H16" s="243"/>
    </row>
    <row r="17" spans="2:25" ht="15" thickBot="1" x14ac:dyDescent="0.35">
      <c r="B17" s="294" t="s">
        <v>13</v>
      </c>
      <c r="C17" s="295" t="s">
        <v>163</v>
      </c>
      <c r="D17" s="296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O44</f>
        <v>74737.611725446579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5">
        <v>10</v>
      </c>
      <c r="C21" s="305" t="s">
        <v>174</v>
      </c>
      <c r="D21" s="306">
        <v>0.16800000000000001</v>
      </c>
      <c r="E21" s="306">
        <v>0.49299999999999999</v>
      </c>
      <c r="F21" s="305" t="s">
        <v>173</v>
      </c>
      <c r="G21" s="307">
        <v>11032</v>
      </c>
      <c r="H21" s="307">
        <f>G21*B21</f>
        <v>110320</v>
      </c>
      <c r="I21" s="299"/>
      <c r="J21" s="260"/>
      <c r="K21" s="44"/>
      <c r="L21" s="44">
        <f>B21</f>
        <v>10</v>
      </c>
      <c r="M21" s="36">
        <f>D21+M$19</f>
        <v>0.21800000000000003</v>
      </c>
      <c r="N21" s="36">
        <f>E21+$N$19</f>
        <v>0.49299999999999999</v>
      </c>
      <c r="O21" s="256">
        <f t="shared" ref="O21" si="1">M21*N21</f>
        <v>0.10747400000000001</v>
      </c>
      <c r="P21" s="254">
        <f t="shared" ref="P21" si="2">O21*L21</f>
        <v>1.0747400000000003</v>
      </c>
      <c r="Q21" s="247">
        <f t="shared" ref="Q21" si="3">Q$20*O21</f>
        <v>8032.3500825806468</v>
      </c>
      <c r="R21" s="298">
        <f t="shared" ref="R21" si="4">Q21+R$20</f>
        <v>11032.350082580648</v>
      </c>
      <c r="S21" s="286">
        <f>M21*L21</f>
        <v>2.1800000000000002</v>
      </c>
      <c r="T21" s="43">
        <f>N21*2*L21*2</f>
        <v>19.72</v>
      </c>
      <c r="U21" s="9"/>
      <c r="X21" s="4"/>
    </row>
    <row r="22" spans="2:25" ht="17.399999999999999" x14ac:dyDescent="0.3">
      <c r="B22" s="305">
        <v>5</v>
      </c>
      <c r="C22" s="305" t="s">
        <v>174</v>
      </c>
      <c r="D22" s="306">
        <v>0.33800000000000002</v>
      </c>
      <c r="E22" s="306">
        <v>0.49299999999999999</v>
      </c>
      <c r="F22" s="305" t="s">
        <v>173</v>
      </c>
      <c r="G22" s="307">
        <v>17296</v>
      </c>
      <c r="H22" s="307">
        <f t="shared" ref="H22:H27" si="5">G22*B22</f>
        <v>86480</v>
      </c>
      <c r="I22" s="299"/>
      <c r="J22" s="260"/>
      <c r="K22" s="44"/>
      <c r="L22" s="44">
        <f t="shared" ref="L22:L23" si="6">B22</f>
        <v>5</v>
      </c>
      <c r="M22" s="36">
        <f t="shared" ref="M22:M23" si="7">D22+M$19</f>
        <v>0.38800000000000001</v>
      </c>
      <c r="N22" s="36">
        <f t="shared" ref="N22:N23" si="8">E22+$N$19</f>
        <v>0.49299999999999999</v>
      </c>
      <c r="O22" s="256">
        <f t="shared" ref="O22:O23" si="9">M22*N22</f>
        <v>0.19128400000000001</v>
      </c>
      <c r="P22" s="254">
        <f t="shared" ref="P22:P23" si="10">O22*L22</f>
        <v>0.95642000000000005</v>
      </c>
      <c r="Q22" s="247">
        <f t="shared" ref="Q22:Q23" si="11">Q$20*O22</f>
        <v>14296.109321290323</v>
      </c>
      <c r="R22" s="298">
        <f t="shared" ref="R22:R23" si="12">Q22+R$20</f>
        <v>17296.109321290322</v>
      </c>
      <c r="S22" s="286">
        <f t="shared" ref="S22:S23" si="13">M22*L22</f>
        <v>1.94</v>
      </c>
      <c r="T22" s="43"/>
      <c r="U22" s="9"/>
      <c r="X22" s="4"/>
    </row>
    <row r="23" spans="2:25" ht="17.399999999999999" x14ac:dyDescent="0.3">
      <c r="B23" s="305">
        <v>2</v>
      </c>
      <c r="C23" s="305" t="s">
        <v>174</v>
      </c>
      <c r="D23" s="306">
        <v>0.68</v>
      </c>
      <c r="E23" s="306">
        <v>0.49299999999999999</v>
      </c>
      <c r="F23" s="305" t="s">
        <v>173</v>
      </c>
      <c r="G23" s="307">
        <v>29897</v>
      </c>
      <c r="H23" s="307">
        <f t="shared" si="5"/>
        <v>59794</v>
      </c>
      <c r="I23" s="299"/>
      <c r="J23" s="260"/>
      <c r="K23" s="44"/>
      <c r="L23" s="44">
        <f t="shared" si="6"/>
        <v>2</v>
      </c>
      <c r="M23" s="36">
        <f t="shared" si="7"/>
        <v>0.73000000000000009</v>
      </c>
      <c r="N23" s="36">
        <f t="shared" si="8"/>
        <v>0.49299999999999999</v>
      </c>
      <c r="O23" s="256">
        <f t="shared" si="9"/>
        <v>0.35989000000000004</v>
      </c>
      <c r="P23" s="254">
        <f t="shared" si="10"/>
        <v>0.71978000000000009</v>
      </c>
      <c r="Q23" s="247">
        <f t="shared" si="11"/>
        <v>26897.319083870974</v>
      </c>
      <c r="R23" s="298">
        <f t="shared" si="12"/>
        <v>29897.319083870974</v>
      </c>
      <c r="S23" s="286">
        <f t="shared" si="13"/>
        <v>1.4600000000000002</v>
      </c>
      <c r="T23" s="43"/>
      <c r="U23" s="9"/>
      <c r="X23" s="4"/>
    </row>
    <row r="24" spans="2:25" ht="17.399999999999999" x14ac:dyDescent="0.3">
      <c r="B24" s="305">
        <v>1</v>
      </c>
      <c r="C24" s="305" t="s">
        <v>175</v>
      </c>
      <c r="D24" s="306">
        <v>3.54</v>
      </c>
      <c r="E24" s="306">
        <v>0.7</v>
      </c>
      <c r="F24" s="305" t="s">
        <v>176</v>
      </c>
      <c r="G24" s="307">
        <v>175008</v>
      </c>
      <c r="H24" s="307">
        <f t="shared" si="5"/>
        <v>175008</v>
      </c>
      <c r="I24" s="299"/>
      <c r="J24" s="260"/>
      <c r="K24" s="44"/>
      <c r="L24" s="44"/>
      <c r="M24" s="36">
        <f t="shared" ref="M24:M27" si="14">D24+M$19</f>
        <v>3.59</v>
      </c>
      <c r="N24" s="36">
        <f t="shared" ref="N24:N27" si="15">E24+$N$19</f>
        <v>0.7</v>
      </c>
      <c r="O24" s="256">
        <f t="shared" ref="O24:O27" si="16">M24*N24</f>
        <v>2.5129999999999999</v>
      </c>
      <c r="P24" s="254">
        <f t="shared" ref="P24:P27" si="17">O24*L24</f>
        <v>0</v>
      </c>
      <c r="Q24" s="247">
        <f t="shared" ref="Q24:Q27" si="18">Q$20*O24</f>
        <v>187815.61826604724</v>
      </c>
      <c r="R24" s="298">
        <f t="shared" ref="R24:R27" si="19">Q24+R$20</f>
        <v>190815.61826604724</v>
      </c>
      <c r="S24" s="286">
        <f t="shared" ref="S24:S27" si="20">M24*L24</f>
        <v>0</v>
      </c>
      <c r="T24" s="43"/>
      <c r="U24" s="9"/>
      <c r="X24" s="4"/>
    </row>
    <row r="25" spans="2:25" ht="17.399999999999999" x14ac:dyDescent="0.3">
      <c r="B25" s="305">
        <v>1</v>
      </c>
      <c r="C25" s="305" t="s">
        <v>179</v>
      </c>
      <c r="D25" s="306">
        <v>1.98</v>
      </c>
      <c r="E25" s="306">
        <v>0.8</v>
      </c>
      <c r="F25" s="305" t="s">
        <v>176</v>
      </c>
      <c r="G25" s="307">
        <v>138594</v>
      </c>
      <c r="H25" s="307">
        <f t="shared" si="5"/>
        <v>138594</v>
      </c>
      <c r="I25" s="299"/>
      <c r="J25" s="260"/>
      <c r="K25" s="44"/>
      <c r="L25" s="44"/>
      <c r="M25" s="36">
        <f t="shared" si="14"/>
        <v>2.0299999999999998</v>
      </c>
      <c r="N25" s="36">
        <f t="shared" si="15"/>
        <v>0.8</v>
      </c>
      <c r="O25" s="256">
        <f t="shared" si="16"/>
        <v>1.6239999999999999</v>
      </c>
      <c r="P25" s="254">
        <f t="shared" si="17"/>
        <v>0</v>
      </c>
      <c r="Q25" s="247">
        <f t="shared" si="18"/>
        <v>121373.88144212523</v>
      </c>
      <c r="R25" s="298">
        <f t="shared" si="19"/>
        <v>124373.88144212523</v>
      </c>
      <c r="S25" s="286">
        <f t="shared" si="20"/>
        <v>0</v>
      </c>
      <c r="T25" s="43"/>
      <c r="U25" s="9"/>
      <c r="X25" s="4"/>
    </row>
    <row r="26" spans="2:25" ht="17.399999999999999" x14ac:dyDescent="0.3">
      <c r="B26" s="305">
        <v>1</v>
      </c>
      <c r="C26" s="305" t="s">
        <v>179</v>
      </c>
      <c r="D26" s="306">
        <v>1.85</v>
      </c>
      <c r="E26" s="306">
        <v>0.7</v>
      </c>
      <c r="F26" s="305" t="s">
        <v>176</v>
      </c>
      <c r="G26" s="307">
        <v>113504</v>
      </c>
      <c r="H26" s="307">
        <f t="shared" si="5"/>
        <v>113504</v>
      </c>
      <c r="I26" s="299"/>
      <c r="J26" s="260"/>
      <c r="K26" s="44"/>
      <c r="L26" s="44"/>
      <c r="M26" s="36">
        <f t="shared" si="14"/>
        <v>1.9000000000000001</v>
      </c>
      <c r="N26" s="36">
        <f t="shared" si="15"/>
        <v>0.7</v>
      </c>
      <c r="O26" s="256">
        <f t="shared" si="16"/>
        <v>1.33</v>
      </c>
      <c r="P26" s="254">
        <f t="shared" si="17"/>
        <v>0</v>
      </c>
      <c r="Q26" s="247">
        <f t="shared" si="18"/>
        <v>99401.023594843951</v>
      </c>
      <c r="R26" s="298">
        <f t="shared" si="19"/>
        <v>102401.02359484395</v>
      </c>
      <c r="S26" s="286">
        <f t="shared" si="20"/>
        <v>0</v>
      </c>
      <c r="T26" s="43"/>
      <c r="U26" s="9"/>
      <c r="X26" s="4"/>
    </row>
    <row r="27" spans="2:25" ht="17.399999999999999" x14ac:dyDescent="0.3">
      <c r="B27" s="305">
        <v>16</v>
      </c>
      <c r="C27" s="305" t="s">
        <v>174</v>
      </c>
      <c r="D27" s="306">
        <v>0.57499999999999996</v>
      </c>
      <c r="E27" s="306">
        <v>0.27300000000000002</v>
      </c>
      <c r="F27" s="305" t="s">
        <v>176</v>
      </c>
      <c r="G27" s="307">
        <v>15944</v>
      </c>
      <c r="H27" s="307">
        <f t="shared" si="5"/>
        <v>255104</v>
      </c>
      <c r="I27" s="299"/>
      <c r="J27" s="260"/>
      <c r="K27" s="44"/>
      <c r="L27" s="44"/>
      <c r="M27" s="36">
        <f t="shared" si="14"/>
        <v>0.625</v>
      </c>
      <c r="N27" s="36">
        <f t="shared" si="15"/>
        <v>0.27300000000000002</v>
      </c>
      <c r="O27" s="256">
        <f t="shared" si="16"/>
        <v>0.17062500000000003</v>
      </c>
      <c r="P27" s="254">
        <f t="shared" si="17"/>
        <v>0</v>
      </c>
      <c r="Q27" s="247">
        <f t="shared" si="18"/>
        <v>12752.105000654325</v>
      </c>
      <c r="R27" s="298">
        <f t="shared" si="19"/>
        <v>15752.105000654325</v>
      </c>
      <c r="S27" s="286">
        <f t="shared" si="20"/>
        <v>0</v>
      </c>
      <c r="T27" s="43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299"/>
      <c r="H28" s="299"/>
      <c r="I28" s="299"/>
      <c r="J28" s="260"/>
      <c r="K28" s="44"/>
      <c r="L28" s="44"/>
      <c r="M28" s="36"/>
      <c r="N28" s="36"/>
      <c r="O28" s="256"/>
      <c r="P28" s="254"/>
      <c r="Q28" s="247"/>
      <c r="R28" s="298"/>
      <c r="S28" s="286"/>
      <c r="T28" s="43"/>
      <c r="U28" s="9"/>
      <c r="X28" s="4"/>
    </row>
    <row r="29" spans="2:25" ht="18" thickBot="1" x14ac:dyDescent="0.35">
      <c r="B29" s="278"/>
      <c r="C29" s="278"/>
      <c r="D29" s="279"/>
      <c r="E29" s="279"/>
      <c r="F29" s="278"/>
      <c r="G29" s="260"/>
      <c r="H29" s="300"/>
      <c r="I29" s="302"/>
      <c r="J29" s="229"/>
      <c r="K29" s="44"/>
      <c r="L29" s="44"/>
      <c r="M29" s="36"/>
      <c r="N29" s="36"/>
      <c r="O29" s="256"/>
      <c r="P29" s="254"/>
      <c r="Q29" s="247"/>
      <c r="R29" s="253"/>
      <c r="S29" s="286"/>
      <c r="T29" s="14"/>
      <c r="U29" s="9"/>
      <c r="X29" s="4"/>
    </row>
    <row r="30" spans="2:25" ht="17.399999999999999" x14ac:dyDescent="0.3">
      <c r="B30" s="278"/>
      <c r="C30" s="278"/>
      <c r="D30" s="279"/>
      <c r="E30" s="279"/>
      <c r="F30" s="278"/>
      <c r="G30" s="303" t="s">
        <v>28</v>
      </c>
      <c r="H30" s="304">
        <f>SUM(H21:H29)</f>
        <v>938804</v>
      </c>
      <c r="I30" s="301"/>
      <c r="J30" s="260"/>
      <c r="K30" s="323"/>
      <c r="L30" s="44"/>
      <c r="M30" s="36"/>
      <c r="N30" s="36"/>
      <c r="O30" s="256"/>
      <c r="P30" s="254"/>
      <c r="Q30" s="247"/>
      <c r="R30" s="253"/>
      <c r="S30" s="286"/>
      <c r="T30" s="43">
        <f>SUM(T21:T29)</f>
        <v>19.72</v>
      </c>
      <c r="U30" s="9"/>
      <c r="X30" s="4"/>
    </row>
    <row r="31" spans="2:25" ht="17.399999999999999" x14ac:dyDescent="0.3">
      <c r="B31" s="272"/>
      <c r="C31" s="275"/>
      <c r="D31" s="276"/>
      <c r="E31" s="276"/>
      <c r="F31" s="277"/>
      <c r="G31" s="285" t="s">
        <v>51</v>
      </c>
      <c r="H31" s="283">
        <f>H30*19%</f>
        <v>178372.76</v>
      </c>
      <c r="I31" s="301"/>
      <c r="J31" s="260"/>
      <c r="K31" s="323"/>
      <c r="L31" s="44"/>
      <c r="M31" s="36">
        <f>SUM(M21:M21)</f>
        <v>0.21800000000000003</v>
      </c>
      <c r="N31" s="12"/>
      <c r="O31" s="12"/>
      <c r="P31" s="248">
        <f>SUM(P21:P29)</f>
        <v>2.7509400000000004</v>
      </c>
      <c r="Q31" s="14"/>
      <c r="R31" s="12"/>
      <c r="S31" s="235">
        <f>SUM(S21:S30)</f>
        <v>5.58</v>
      </c>
      <c r="T31" s="43"/>
      <c r="U31" s="9"/>
      <c r="X31" s="4"/>
    </row>
    <row r="32" spans="2:25" ht="18" thickBot="1" x14ac:dyDescent="0.35">
      <c r="B32" s="270"/>
      <c r="C32" s="274"/>
      <c r="D32" s="267"/>
      <c r="E32" s="267"/>
      <c r="F32" s="268"/>
      <c r="G32" s="273" t="s">
        <v>6</v>
      </c>
      <c r="H32" s="284">
        <f>H30+H31</f>
        <v>1117176.76</v>
      </c>
      <c r="I32" s="301"/>
      <c r="J32" s="260"/>
      <c r="K32" s="323"/>
      <c r="L32" s="44"/>
      <c r="M32" s="36"/>
      <c r="N32" s="12"/>
      <c r="O32" s="12"/>
      <c r="P32" s="248">
        <f>P31</f>
        <v>2.7509400000000004</v>
      </c>
      <c r="Q32" s="14"/>
      <c r="R32" s="12"/>
      <c r="S32" s="235"/>
      <c r="T32" s="43"/>
      <c r="U32" s="9"/>
      <c r="X32" s="4"/>
    </row>
    <row r="33" spans="1:24" ht="17.399999999999999" x14ac:dyDescent="0.3">
      <c r="B33" s="270"/>
      <c r="C33" s="266"/>
      <c r="D33" s="267"/>
      <c r="E33" s="267"/>
      <c r="F33" s="268"/>
      <c r="J33" s="260"/>
      <c r="K33" s="323"/>
      <c r="L33" s="44"/>
      <c r="M33" s="14"/>
      <c r="N33" s="12"/>
      <c r="O33" s="12"/>
      <c r="P33" s="36">
        <f>P32*20%</f>
        <v>0.55018800000000012</v>
      </c>
      <c r="Q33" s="36" t="s">
        <v>129</v>
      </c>
      <c r="R33" s="39"/>
      <c r="S33" s="236"/>
      <c r="T33" s="14"/>
      <c r="U33" s="9"/>
      <c r="X33" s="4"/>
    </row>
    <row r="34" spans="1:24" ht="17.399999999999999" x14ac:dyDescent="0.35">
      <c r="B34" s="264"/>
      <c r="C34" s="226"/>
      <c r="D34" s="226"/>
      <c r="E34" s="229"/>
      <c r="F34" s="230"/>
      <c r="G34" s="226"/>
      <c r="H34" s="269"/>
      <c r="I34" s="269"/>
      <c r="J34" s="260"/>
      <c r="K34" s="44"/>
      <c r="L34" s="44"/>
      <c r="M34" s="14"/>
      <c r="N34" s="12"/>
      <c r="O34" s="12"/>
      <c r="P34" s="43">
        <f>P32+P33</f>
        <v>3.3011280000000003</v>
      </c>
      <c r="Q34" s="14"/>
      <c r="R34" s="14"/>
      <c r="S34" s="234"/>
      <c r="T34" s="14"/>
      <c r="U34" s="9"/>
      <c r="X34" s="4"/>
    </row>
    <row r="35" spans="1:24" ht="17.399999999999999" x14ac:dyDescent="0.35">
      <c r="B35" s="231"/>
      <c r="C35" s="232"/>
      <c r="D35" s="233"/>
      <c r="E35" s="231"/>
      <c r="F35" s="226"/>
      <c r="G35" s="226"/>
      <c r="I35" s="269"/>
      <c r="J35" s="260"/>
      <c r="K35" s="44"/>
      <c r="L35" s="44"/>
      <c r="M35" s="14"/>
      <c r="N35" s="14"/>
      <c r="O35" s="14"/>
      <c r="P35" s="14"/>
      <c r="Q35" s="14"/>
      <c r="R35" s="14"/>
      <c r="S35" s="236"/>
      <c r="T35" s="14"/>
      <c r="U35" s="290" t="s">
        <v>21</v>
      </c>
      <c r="V35" s="287" t="s">
        <v>149</v>
      </c>
      <c r="W35" s="291">
        <v>44971</v>
      </c>
      <c r="X35" s="292"/>
    </row>
    <row r="36" spans="1:24" ht="17.399999999999999" x14ac:dyDescent="0.35">
      <c r="B36" s="226"/>
      <c r="C36" s="226"/>
      <c r="D36" s="226"/>
      <c r="E36" s="226"/>
      <c r="F36" s="226"/>
      <c r="G36" s="226"/>
      <c r="J36" s="260"/>
      <c r="K36" s="44"/>
      <c r="L36" s="44"/>
      <c r="M36" s="36">
        <f>P34</f>
        <v>3.3011280000000003</v>
      </c>
      <c r="N36" s="12">
        <v>3500</v>
      </c>
      <c r="O36" s="12">
        <f t="shared" ref="O36:O41" si="21">M36*N36</f>
        <v>11553.948</v>
      </c>
      <c r="P36" s="14" t="s">
        <v>21</v>
      </c>
      <c r="Q36" s="14"/>
      <c r="R36" s="14"/>
      <c r="S36" s="237"/>
      <c r="T36" s="14"/>
      <c r="U36" s="290" t="s">
        <v>150</v>
      </c>
      <c r="V36" s="287">
        <v>3625</v>
      </c>
      <c r="W36" s="56" t="s">
        <v>151</v>
      </c>
      <c r="X36" s="292"/>
    </row>
    <row r="37" spans="1:24" ht="17.399999999999999" x14ac:dyDescent="0.35">
      <c r="A37" s="226"/>
      <c r="B37" s="226"/>
      <c r="C37" s="226"/>
      <c r="D37" s="226"/>
      <c r="E37" s="226"/>
      <c r="F37" s="226"/>
      <c r="G37" s="226"/>
      <c r="H37" s="226"/>
      <c r="J37" s="260"/>
      <c r="K37" s="44"/>
      <c r="L37" s="44"/>
      <c r="M37" s="244">
        <v>1</v>
      </c>
      <c r="N37" s="12">
        <v>43000</v>
      </c>
      <c r="O37" s="12">
        <f t="shared" si="21"/>
        <v>43000</v>
      </c>
      <c r="P37" s="36" t="s">
        <v>169</v>
      </c>
      <c r="Q37" s="39"/>
      <c r="R37" s="14"/>
      <c r="S37" s="236"/>
      <c r="T37" s="14"/>
      <c r="U37" s="290"/>
      <c r="V37" s="56">
        <v>906.25</v>
      </c>
      <c r="W37" s="56" t="s">
        <v>152</v>
      </c>
      <c r="X37" s="292"/>
    </row>
    <row r="38" spans="1:24" s="226" customFormat="1" ht="17.399999999999999" x14ac:dyDescent="0.35">
      <c r="B38" s="21" t="s">
        <v>148</v>
      </c>
      <c r="J38" s="257"/>
      <c r="K38" s="228"/>
      <c r="L38" s="245"/>
      <c r="M38" s="14"/>
      <c r="N38" s="245">
        <v>41000</v>
      </c>
      <c r="O38" s="12">
        <f t="shared" si="21"/>
        <v>0</v>
      </c>
      <c r="P38" s="36" t="s">
        <v>30</v>
      </c>
      <c r="Q38" s="39"/>
      <c r="S38" s="236"/>
      <c r="T38" s="251"/>
      <c r="U38" s="56"/>
      <c r="V38" s="56">
        <f>V37*20%</f>
        <v>181.25</v>
      </c>
      <c r="W38" s="292" t="s">
        <v>153</v>
      </c>
      <c r="X38" s="56"/>
    </row>
    <row r="39" spans="1:24" s="226" customFormat="1" ht="17.399999999999999" x14ac:dyDescent="0.35">
      <c r="B39" s="21" t="s">
        <v>164</v>
      </c>
      <c r="C39"/>
      <c r="D39"/>
      <c r="E39"/>
      <c r="F39"/>
      <c r="J39" s="257"/>
      <c r="K39" s="228"/>
      <c r="L39" s="245"/>
      <c r="M39" s="14">
        <v>1</v>
      </c>
      <c r="N39" s="245">
        <v>38900</v>
      </c>
      <c r="O39" s="12">
        <f t="shared" si="21"/>
        <v>38900</v>
      </c>
      <c r="P39" s="14" t="s">
        <v>139</v>
      </c>
      <c r="Q39" s="17"/>
      <c r="S39" s="234"/>
      <c r="T39" s="251"/>
      <c r="U39" s="56"/>
      <c r="V39" s="56">
        <f>V37+V38</f>
        <v>1087.5</v>
      </c>
      <c r="W39" s="292" t="s">
        <v>154</v>
      </c>
      <c r="X39" s="56"/>
    </row>
    <row r="40" spans="1:24" s="226" customFormat="1" ht="17.399999999999999" x14ac:dyDescent="0.35">
      <c r="B40" s="26" t="s">
        <v>124</v>
      </c>
      <c r="C40"/>
      <c r="D40"/>
      <c r="E40"/>
      <c r="F40" s="225" t="s">
        <v>15</v>
      </c>
      <c r="J40" s="257"/>
      <c r="K40" s="255"/>
      <c r="L40" s="245"/>
      <c r="M40" s="244"/>
      <c r="N40" s="245">
        <v>900</v>
      </c>
      <c r="O40" s="12">
        <f t="shared" si="21"/>
        <v>0</v>
      </c>
      <c r="P40" s="14" t="s">
        <v>32</v>
      </c>
      <c r="Q40" s="14"/>
      <c r="R40" s="226">
        <v>1.52</v>
      </c>
      <c r="S40" s="234"/>
      <c r="T40" s="234"/>
    </row>
    <row r="41" spans="1:24" s="226" customFormat="1" ht="17.399999999999999" x14ac:dyDescent="0.35">
      <c r="J41" s="282"/>
      <c r="K41" s="255"/>
      <c r="L41" s="245"/>
      <c r="M41" s="261"/>
      <c r="N41" s="12">
        <v>1500</v>
      </c>
      <c r="O41" s="12">
        <f t="shared" si="21"/>
        <v>0</v>
      </c>
      <c r="P41" s="14" t="s">
        <v>22</v>
      </c>
      <c r="Q41" s="14"/>
      <c r="R41">
        <v>2.44</v>
      </c>
      <c r="S41"/>
      <c r="T41" s="234"/>
      <c r="X41" s="227"/>
    </row>
    <row r="42" spans="1:24" s="226" customFormat="1" ht="17.399999999999999" x14ac:dyDescent="0.35">
      <c r="K42" s="255"/>
      <c r="L42" s="245"/>
      <c r="M42" s="14"/>
      <c r="N42" s="12"/>
      <c r="O42" s="12">
        <f>SUM(O36:O41)</f>
        <v>93453.948000000004</v>
      </c>
      <c r="P42" s="36" t="s">
        <v>23</v>
      </c>
      <c r="Q42" s="14"/>
      <c r="R42">
        <f>R40*R41</f>
        <v>3.7088000000000001</v>
      </c>
      <c r="S42"/>
      <c r="T42" s="234"/>
      <c r="X42" s="227"/>
    </row>
    <row r="43" spans="1:24" s="226" customFormat="1" ht="17.399999999999999" x14ac:dyDescent="0.35">
      <c r="L43" s="245"/>
      <c r="M43" s="249" t="s">
        <v>33</v>
      </c>
      <c r="N43" s="12"/>
      <c r="O43" s="250">
        <f>O42*2.2</f>
        <v>205598.68560000003</v>
      </c>
      <c r="P43" s="14" t="s">
        <v>138</v>
      </c>
      <c r="Q43" s="14"/>
      <c r="R43" s="37">
        <f>P34/R42</f>
        <v>0.89007981018119076</v>
      </c>
      <c r="S43"/>
      <c r="T43" s="252"/>
    </row>
    <row r="44" spans="1:24" s="226" customFormat="1" ht="17.399999999999999" x14ac:dyDescent="0.35">
      <c r="G44"/>
      <c r="H44" s="255"/>
      <c r="I44" s="255"/>
      <c r="J44" s="255"/>
      <c r="L44" s="245"/>
      <c r="M44" s="14"/>
      <c r="N44" s="12"/>
      <c r="O44" s="12">
        <f>O43/P32</f>
        <v>74737.611725446579</v>
      </c>
      <c r="P44" s="42" t="s">
        <v>24</v>
      </c>
      <c r="Q44" s="14"/>
      <c r="R44" s="14"/>
      <c r="S44"/>
      <c r="T44" s="234"/>
      <c r="U44" s="56" t="s">
        <v>155</v>
      </c>
      <c r="V44" s="287">
        <v>43650</v>
      </c>
    </row>
    <row r="45" spans="1:24" s="226" customFormat="1" ht="17.399999999999999" x14ac:dyDescent="0.35">
      <c r="G45"/>
      <c r="L45" s="245"/>
      <c r="M45" s="13"/>
      <c r="N45" s="14"/>
      <c r="O45" s="17">
        <f>O43/O42</f>
        <v>2.2000000000000002</v>
      </c>
      <c r="P45" s="15"/>
      <c r="Q45"/>
      <c r="R45"/>
      <c r="S45"/>
      <c r="T45" s="234"/>
      <c r="U45" s="56" t="s">
        <v>157</v>
      </c>
      <c r="V45" s="288" t="s">
        <v>156</v>
      </c>
      <c r="W45" s="56">
        <v>2.4</v>
      </c>
    </row>
    <row r="46" spans="1:24" s="226" customFormat="1" ht="17.399999999999999" x14ac:dyDescent="0.35">
      <c r="D46" s="279"/>
      <c r="E46" s="279"/>
      <c r="F46" s="278"/>
      <c r="G46" s="324"/>
      <c r="H46" s="331"/>
      <c r="L46" s="12"/>
      <c r="T46" s="234"/>
      <c r="U46" s="56" t="s">
        <v>158</v>
      </c>
      <c r="V46" s="289">
        <v>395.37</v>
      </c>
    </row>
    <row r="47" spans="1:24" s="226" customFormat="1" ht="17.399999999999999" x14ac:dyDescent="0.35">
      <c r="B47"/>
      <c r="C47" s="332"/>
      <c r="D47" s="279"/>
      <c r="E47" s="279"/>
      <c r="F47" s="278"/>
      <c r="G47" s="324"/>
      <c r="H47" s="331"/>
      <c r="L47" s="12"/>
      <c r="T47" s="234"/>
      <c r="U47" s="56" t="s">
        <v>153</v>
      </c>
      <c r="V47" s="56">
        <v>474.45</v>
      </c>
    </row>
    <row r="48" spans="1:24" ht="14.4" customHeight="1" x14ac:dyDescent="0.35">
      <c r="D48" s="279"/>
      <c r="E48" s="279"/>
      <c r="F48" s="278"/>
      <c r="G48" s="324"/>
      <c r="H48" s="331"/>
      <c r="L48" s="12"/>
      <c r="U48" s="56"/>
      <c r="V48" s="56"/>
    </row>
    <row r="49" spans="4:20" ht="17.399999999999999" x14ac:dyDescent="0.35">
      <c r="D49" s="279"/>
      <c r="E49" s="279"/>
      <c r="F49" s="278"/>
      <c r="G49" s="324"/>
      <c r="H49" s="331"/>
      <c r="L49" s="245"/>
    </row>
    <row r="50" spans="4:20" ht="17.399999999999999" x14ac:dyDescent="0.35">
      <c r="D50" s="279"/>
      <c r="E50" s="279"/>
      <c r="F50" s="278"/>
      <c r="G50" s="324"/>
      <c r="H50" s="331"/>
      <c r="L50" s="245"/>
      <c r="T50" s="265"/>
    </row>
    <row r="51" spans="4:20" ht="17.399999999999999" x14ac:dyDescent="0.35">
      <c r="D51" s="279"/>
      <c r="E51" s="279"/>
      <c r="F51" s="278"/>
      <c r="G51" s="324"/>
      <c r="H51" s="331"/>
      <c r="L51" s="245"/>
    </row>
    <row r="52" spans="4:20" ht="15" customHeight="1" x14ac:dyDescent="0.35">
      <c r="D52" s="279"/>
      <c r="E52" s="279"/>
      <c r="F52" s="278"/>
      <c r="G52" s="324"/>
      <c r="H52" s="331"/>
    </row>
    <row r="53" spans="4:20" ht="17.399999999999999" x14ac:dyDescent="0.35">
      <c r="D53" s="279"/>
      <c r="E53" s="279"/>
      <c r="F53" s="278"/>
      <c r="G53" s="324"/>
      <c r="H53" s="331"/>
    </row>
    <row r="54" spans="4:20" ht="17.399999999999999" x14ac:dyDescent="0.35">
      <c r="D54" s="279"/>
      <c r="E54" s="279"/>
      <c r="F54" s="278"/>
      <c r="G54" s="324"/>
      <c r="H54" s="331"/>
      <c r="O54">
        <v>40935</v>
      </c>
      <c r="P54" t="s">
        <v>16</v>
      </c>
      <c r="Q54" t="s">
        <v>26</v>
      </c>
    </row>
    <row r="55" spans="4:20" ht="17.399999999999999" x14ac:dyDescent="0.35">
      <c r="D55" s="279"/>
      <c r="E55" s="279"/>
      <c r="F55" s="278"/>
      <c r="G55" s="324"/>
      <c r="H55" s="331"/>
    </row>
    <row r="56" spans="4:20" ht="17.399999999999999" x14ac:dyDescent="0.35">
      <c r="D56" s="279"/>
      <c r="E56" s="279"/>
      <c r="F56" s="278"/>
      <c r="G56" s="324"/>
      <c r="H56" s="331"/>
      <c r="O56" s="51"/>
      <c r="P56" s="51"/>
    </row>
    <row r="57" spans="4:20" ht="17.399999999999999" x14ac:dyDescent="0.35">
      <c r="D57" s="279"/>
      <c r="E57" s="279"/>
      <c r="F57" s="278"/>
      <c r="G57" s="324"/>
      <c r="H57" s="331"/>
      <c r="S57" s="18"/>
      <c r="T57" s="18"/>
    </row>
    <row r="58" spans="4:20" ht="17.399999999999999" x14ac:dyDescent="0.35">
      <c r="D58" s="279"/>
      <c r="E58" s="279"/>
      <c r="F58" s="278"/>
      <c r="G58" s="324"/>
      <c r="H58" s="331"/>
      <c r="S58" s="18"/>
      <c r="T58" s="18"/>
    </row>
    <row r="59" spans="4:20" ht="17.399999999999999" x14ac:dyDescent="0.35">
      <c r="D59" s="279"/>
      <c r="E59" s="279"/>
      <c r="F59" s="278"/>
      <c r="G59" s="324"/>
      <c r="H59" s="331"/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5" spans="3:20" x14ac:dyDescent="0.3">
      <c r="S65" s="18"/>
      <c r="T65" s="18"/>
    </row>
    <row r="68" spans="3:20" x14ac:dyDescent="0.3">
      <c r="O68" s="40"/>
    </row>
    <row r="69" spans="3:20" x14ac:dyDescent="0.3">
      <c r="O69" s="40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145</v>
      </c>
    </row>
    <row r="80" spans="3:20" x14ac:dyDescent="0.3">
      <c r="C80" t="s">
        <v>144</v>
      </c>
    </row>
    <row r="83" spans="3:3" x14ac:dyDescent="0.3">
      <c r="C83" t="s">
        <v>144</v>
      </c>
    </row>
    <row r="160" spans="3:3" x14ac:dyDescent="0.3">
      <c r="C160" t="s">
        <v>144</v>
      </c>
    </row>
    <row r="161" spans="3:3" x14ac:dyDescent="0.3">
      <c r="C161" t="s">
        <v>146</v>
      </c>
    </row>
    <row r="162" spans="3:3" x14ac:dyDescent="0.3">
      <c r="C162" t="s">
        <v>147</v>
      </c>
    </row>
    <row r="587" spans="3:3" x14ac:dyDescent="0.3">
      <c r="C587" t="s">
        <v>144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45894</v>
      </c>
    </row>
    <row r="6" spans="1:31" ht="16.2" thickBot="1" x14ac:dyDescent="0.35">
      <c r="B6" s="137" t="s">
        <v>2</v>
      </c>
      <c r="C6" s="136" t="str">
        <f>'2229'!C10</f>
        <v xml:space="preserve">CONSTRUCTORA ACACIA 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-136591.9044599034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'2229'!H30</f>
        <v>938804</v>
      </c>
      <c r="E11" s="129">
        <f>D11*0.19</f>
        <v>178372.76</v>
      </c>
      <c r="F11" s="128">
        <f>E11+D11</f>
        <v>1117176.76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-30601.904459903395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74532.85827536232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-48601.904459903395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864271.14172463771</v>
      </c>
      <c r="E13" s="218">
        <f>(D11/D12)-1</f>
        <v>11.595840569156493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-57601.904459903395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-96601.904459903395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141910.56215628985</v>
      </c>
      <c r="C15" s="210" t="s">
        <v>121</v>
      </c>
      <c r="D15" s="211">
        <v>0.6</v>
      </c>
      <c r="E15" s="212">
        <f>(100%+D15)*D12</f>
        <v>119252.57324057972</v>
      </c>
      <c r="F15" s="213">
        <f>E15-D12</f>
        <v>44719.714965217398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-96601.904459903395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-56601.904459903395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'2229'!O38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'2229'!O37</f>
        <v>43000</v>
      </c>
      <c r="E19" s="120">
        <f>D19*0.19</f>
        <v>8170</v>
      </c>
      <c r="F19" s="117">
        <f>SUM(D19:E19)</f>
        <v>51170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'2229'!O36</f>
        <v>11553.948</v>
      </c>
      <c r="E20" s="118">
        <f>D20*0.19</f>
        <v>2195.2501200000002</v>
      </c>
      <c r="F20" s="117">
        <f>SUM(D20:E20)</f>
        <v>13749.198120000001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54553.948000000004</v>
      </c>
      <c r="E21" s="113">
        <f>SUM(E18:E20)</f>
        <v>10365.250120000001</v>
      </c>
      <c r="F21" s="112">
        <f>SUM(F18:F20)</f>
        <v>64919.198120000001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168007.50988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938804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54553.948000000004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864271.14172463771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864271.14172463771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2025-07-15T18:45:43Z</cp:lastPrinted>
  <dcterms:created xsi:type="dcterms:W3CDTF">2013-03-18T13:35:42Z</dcterms:created>
  <dcterms:modified xsi:type="dcterms:W3CDTF">2025-08-25T14:40:26Z</dcterms:modified>
</cp:coreProperties>
</file>