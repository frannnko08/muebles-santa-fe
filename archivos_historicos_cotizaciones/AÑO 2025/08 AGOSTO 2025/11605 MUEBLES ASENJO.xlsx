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B9D9B5EB-A958-4EDE-8312-25DEBE8791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L21" i="1"/>
  <c r="M21" i="1"/>
  <c r="N21" i="1"/>
  <c r="J15" i="1"/>
  <c r="J10" i="1"/>
  <c r="O21" i="1" l="1"/>
  <c r="P21" i="1" s="1"/>
  <c r="S21" i="1"/>
  <c r="S26" i="1" s="1"/>
  <c r="M25" i="1"/>
  <c r="T24" i="1"/>
  <c r="K39" i="1"/>
  <c r="P25" i="1" l="1"/>
  <c r="S27" i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R21" i="1" s="1"/>
  <c r="O39" i="1"/>
  <c r="E15" i="3"/>
  <c r="F15" i="3" l="1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<sst xmlns="http://schemas.openxmlformats.org/spreadsheetml/2006/main" count="230" uniqueCount="176">
  <si>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</si>
  <si>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</si>
  <si>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</si>
  <si>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</si>
  <si>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</si>
  <si>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</si>
  <si>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</si>
  <si>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</si>
  <si>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</si>
  <si>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</si>
  <si>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</si>
  <si>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</si>
  <si>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</si>
  <si>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</si>
  <si>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</si>
  <si>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</si>
  <si>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</si>
  <si>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</si>
  <si>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</si>
  <si>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</si>
  <si>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</si>
  <si>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</si>
  <si>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</si>
  <si>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</si>
  <si>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</si>
  <si>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</si>
  <si>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</si>
  <si>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</si>
  <si>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</si>
  <si>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</si>
  <si>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</si>
  <si>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</si>
  <si>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</si>
  <si>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</si>
  <si>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</si>
  <si>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</si>
  <si>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</si>
  <si>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</si>
  <si>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</si>
  <si>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</si>
  <si>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</si>
  <si>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</si>
  <si>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</si>
  <si>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</si>
  <si>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</si>
  <si>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</si>
  <si>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</si>
  <si>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</si>
  <si>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</si>
  <si>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</si>
  <si>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</si>
  <si>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</si>
  <si>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</si>
  <si>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</si>
  <si>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</si>
  <si>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</si>
  <si>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</si>
  <si>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</si>
  <si>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</si>
  <si>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</si>
  <si>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</si>
  <si>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</si>
  <si>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</si>
  <si>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</si>
  <si>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</si>
  <si>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</si>
  <si>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</si>
  <si>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</si>
  <si>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</si>
  <si>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</si>
  <si>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</si>
  <si>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</si>
  <si>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</si>
  <si>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</si>
  <si>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</si>
  <si>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</si>
  <si>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</si>
  <si>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</si>
  <si>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</si>
  <si>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</si>
  <si>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</si>
  <si>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</si>
  <si>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</si>
  <si>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</si>
  <si>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</si>
  <si>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</si>
  <si>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</si>
  <si>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</si>
  <si>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</si>
  <si>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</si>
  <si>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</si>
  <si>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</si>
  <si>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</si>
  <si>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</si>
  <si>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</si>
  <si>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</si>
  <si>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</si>
  <si>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</si>
  <si>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</si>
  <si>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</si>
  <si>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</si>
  <si>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</si>
  <si>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</si>
  <si>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</si>
  <si>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</si>
  <si>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</si>
  <si>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</si>
  <si>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</si>
  <si>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</si>
  <si>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</si>
  <si>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</si>
  <si>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</si>
  <si>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</si>
  <si>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</si>
  <si>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</si>
  <si>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</si>
  <si>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</si>
  <si>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</si>
  <si>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</si>
  <si>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</si>
  <si>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</si>
  <si>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</si>
  <si>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</si>
  <si>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</si>
  <si>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</si>
  <si>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</si>
  <si>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</si>
  <si>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</si>
  <si>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</si>
  <si>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</si>
  <si>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</si>
  <si>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</si>
  <si>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</si>
  <si>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</si>
  <si>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</si>
  <si>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</si>
  <si>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</si>
  <si>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</si>
  <si>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</si>
  <si>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</si>
  <si>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</si>
  <si>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</si>
  <si>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</si>
  <si>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</si>
  <si>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</si>
  <si>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</si>
  <si>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</si>
  <si>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</si>
  <si>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</si>
  <si>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</si>
  <si>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</si>
  <si>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</si>
  <si>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</si>
  <si>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</si>
  <si>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</si>
  <si>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</si>
  <si>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</si>
  <si>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</si>
  <si>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</si>
  <si>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</si>
  <si>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</si>
  <si>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</si>
  <si>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</si>
  <si>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</si>
  <si>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</si>
  <si>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</si>
  <si>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</si>
  <si>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</si>
  <si>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</si>
  <si>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</si>
  <si>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</si>
  <si>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</si>
  <si>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3 DIAS HABILES</t>
  </si>
  <si>
    <t>N° 11605</t>
  </si>
  <si>
    <t>CUB MESA PT 2 LADOS</t>
  </si>
  <si>
    <t>BALARUS CHERRY 10277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</si>
</sst>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30MM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K33" sqref="K3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45894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F13" t="s">
        <v>171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37897.14285714287</v>
      </c>
      <c r="R20" s="258">
        <v>2000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2</v>
      </c>
      <c r="C21" s="330" t="s">
        <v>174</v>
      </c>
      <c r="D21" s="333">
        <v>1.6</v>
      </c>
      <c r="E21" s="333">
        <v>0.7</v>
      </c>
      <c r="F21" s="330" t="s">
        <v>175</v>
      </c>
      <c r="G21" s="331">
        <v>95438</v>
      </c>
      <c r="H21" s="331">
        <f t="shared" ref="H21" si="1">G21*B21</f>
        <v>190876</v>
      </c>
      <c r="I21" s="320"/>
      <c r="J21" s="265">
        <v>19</v>
      </c>
      <c r="K21" s="47"/>
      <c r="L21" s="332">
        <f t="shared" ref="L21" si="2">B21</f>
        <v>2</v>
      </c>
      <c r="M21" s="39">
        <f t="shared" ref="M21" si="3">D21+M$19</f>
        <v>1.6800000000000002</v>
      </c>
      <c r="N21" s="39">
        <f t="shared" ref="N21" si="4">E21+$N$19</f>
        <v>0.7</v>
      </c>
      <c r="O21" s="261">
        <f t="shared" ref="O21" si="5">M21*N21</f>
        <v>1.1759999999999999</v>
      </c>
      <c r="P21" s="259">
        <f t="shared" ref="P21" si="6">O21*L21</f>
        <v>2.3519999999999999</v>
      </c>
      <c r="Q21" s="252">
        <f t="shared" ref="Q21" si="7">Q$20*O21</f>
        <v>44567.040000000015</v>
      </c>
      <c r="R21" s="319">
        <f t="shared" ref="R21" si="8">Q21+R$20</f>
        <v>46567.040000000015</v>
      </c>
      <c r="S21" s="297">
        <f t="shared" ref="S21" si="9">M21*L21</f>
        <v>3.3600000000000003</v>
      </c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332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190876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36266.44</v>
      </c>
      <c r="I25" s="322"/>
      <c r="J25" s="265"/>
      <c r="K25" s="47"/>
      <c r="L25" s="47"/>
      <c r="M25" s="39">
        <f>SUM(M21:M24)</f>
        <v>1.6800000000000002</v>
      </c>
      <c r="N25" s="12"/>
      <c r="O25" s="12"/>
      <c r="P25" s="253">
        <f>SUM(P21:P23)</f>
        <v>2.3519999999999999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227142.44</v>
      </c>
      <c r="I26" s="322"/>
      <c r="J26" s="265"/>
      <c r="K26" s="47"/>
      <c r="L26" s="47"/>
      <c r="M26" s="39"/>
      <c r="N26" s="12"/>
      <c r="O26" s="12"/>
      <c r="P26" s="253">
        <f>P25</f>
        <v>2.3519999999999999</v>
      </c>
      <c r="Q26" s="14"/>
      <c r="R26" s="12"/>
      <c r="S26" s="239">
        <f>SUM(S21:S25)</f>
        <v>3.3600000000000003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0.47039999999999998</v>
      </c>
      <c r="Q27" s="39" t="s">
        <v>130</v>
      </c>
      <c r="R27" s="42"/>
      <c r="S27" s="240">
        <f>S26+T24</f>
        <v>3.3600000000000003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2.8224</v>
      </c>
      <c r="Q28" s="14"/>
      <c r="R28" s="14"/>
      <c r="S28" s="238">
        <f>S27*20%</f>
        <v>0.67200000000000015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4.032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2.8224</v>
      </c>
      <c r="N30" s="12">
        <v>2000</v>
      </c>
      <c r="O30" s="12">
        <f t="shared" ref="O30:O35" si="10">M30*N30</f>
        <v>5644.8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0.8</v>
      </c>
      <c r="N31" s="12">
        <v>46000</v>
      </c>
      <c r="O31" s="12">
        <f t="shared" si="10"/>
        <v>36800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67000</v>
      </c>
      <c r="O32" s="12">
        <f t="shared" si="10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/>
      <c r="N33" s="250">
        <v>23272</v>
      </c>
      <c r="O33" s="12">
        <f t="shared" si="10"/>
        <v>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10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500</v>
      </c>
      <c r="O35" s="12">
        <f t="shared" si="10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42444.800000000003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89134.080000000016</v>
      </c>
      <c r="P37" s="14" t="s">
        <v>140</v>
      </c>
      <c r="Q37" s="14"/>
      <c r="R37" s="40">
        <f>P28/R36</f>
        <v>0.76100086281276957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37897.14285714287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45894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11605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-11935.97170012077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190876</v>
      </c>
      <c r="E11" s="132">
        <f>D11*0.19</f>
        <v>36266.44</v>
      </c>
      <c r="F11" s="131">
        <f>E11+D11</f>
        <v>227142.44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94054.028299879225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72278.890787439625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76054.028299879225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118597.10921256038</v>
      </c>
      <c r="E13" s="221">
        <f>(D11/D12)-1</f>
        <v>1.6408263591279373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67054.028299879225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28054.028299879232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119260.16979927538</v>
      </c>
      <c r="F15" s="216">
        <f>E15-D12</f>
        <v>46981.279011835752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28054.028299879232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68054.028299879225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36800</v>
      </c>
      <c r="E19" s="123">
        <f>D19*0.19</f>
        <v>6992</v>
      </c>
      <c r="F19" s="120">
        <f>SUM(D19:E19)</f>
        <v>43792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5644.8</v>
      </c>
      <c r="E20" s="121">
        <f>D20*0.19</f>
        <v>1072.5119999999999</v>
      </c>
      <c r="F20" s="120">
        <f>SUM(D20:E20)</f>
        <v>6717.3119999999999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42444.800000000003</v>
      </c>
      <c r="E21" s="116">
        <f>SUM(E18:E20)</f>
        <v>8064.5119999999997</v>
      </c>
      <c r="F21" s="115">
        <f>SUM(F18:F20)</f>
        <v>50509.311999999998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28201.928000000004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190876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42444.800000000003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118597.10921256038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118597.10921256038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2025-05-20T16:58:08Z</cp:lastPrinted>
  <dcterms:created xsi:type="dcterms:W3CDTF">2013-03-18T13:35:42Z</dcterms:created>
  <dcterms:modified xsi:type="dcterms:W3CDTF">2025-08-26T13:09:47Z</dcterms:modified>
</cp:coreProperties>
</file>