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9ADEF593-6747-4F1B-8CBD-F7E4306AF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" l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L31" i="1"/>
  <c r="M31" i="1"/>
  <c r="N31" i="1"/>
  <c r="O31" i="1"/>
  <c r="P31" i="1" s="1"/>
  <c r="S31" i="1"/>
  <c r="L32" i="1"/>
  <c r="M32" i="1"/>
  <c r="N32" i="1"/>
  <c r="O32" i="1"/>
  <c r="P32" i="1" s="1"/>
  <c r="S32" i="1"/>
  <c r="L33" i="1"/>
  <c r="M33" i="1"/>
  <c r="N33" i="1"/>
  <c r="O33" i="1"/>
  <c r="P33" i="1" s="1"/>
  <c r="S33" i="1"/>
  <c r="L34" i="1"/>
  <c r="M34" i="1"/>
  <c r="N34" i="1"/>
  <c r="O34" i="1"/>
  <c r="P34" i="1" s="1"/>
  <c r="S34" i="1"/>
  <c r="L35" i="1"/>
  <c r="M35" i="1"/>
  <c r="N35" i="1"/>
  <c r="O35" i="1"/>
  <c r="P35" i="1" s="1"/>
  <c r="S35" i="1"/>
  <c r="L36" i="1"/>
  <c r="M36" i="1"/>
  <c r="N36" i="1"/>
  <c r="O36" i="1"/>
  <c r="P36" i="1" s="1"/>
  <c r="S36" i="1"/>
  <c r="L37" i="1"/>
  <c r="M37" i="1"/>
  <c r="N37" i="1"/>
  <c r="O37" i="1"/>
  <c r="P37" i="1" s="1"/>
  <c r="S37" i="1"/>
  <c r="L38" i="1"/>
  <c r="M38" i="1"/>
  <c r="N38" i="1"/>
  <c r="O38" i="1"/>
  <c r="P38" i="1" s="1"/>
  <c r="S38" i="1"/>
  <c r="L39" i="1"/>
  <c r="M39" i="1"/>
  <c r="N39" i="1"/>
  <c r="O39" i="1"/>
  <c r="P39" i="1" s="1"/>
  <c r="S39" i="1"/>
  <c r="L40" i="1"/>
  <c r="M40" i="1"/>
  <c r="N40" i="1"/>
  <c r="O40" i="1"/>
  <c r="P40" i="1" s="1"/>
  <c r="S40" i="1"/>
  <c r="L41" i="1"/>
  <c r="M41" i="1"/>
  <c r="N41" i="1"/>
  <c r="O41" i="1"/>
  <c r="P41" i="1" s="1"/>
  <c r="S41" i="1"/>
  <c r="L42" i="1"/>
  <c r="M42" i="1"/>
  <c r="N42" i="1"/>
  <c r="O42" i="1"/>
  <c r="P42" i="1" s="1"/>
  <c r="S42" i="1"/>
  <c r="L43" i="1"/>
  <c r="M43" i="1"/>
  <c r="N43" i="1"/>
  <c r="O43" i="1"/>
  <c r="P43" i="1" s="1"/>
  <c r="S43" i="1"/>
  <c r="L44" i="1"/>
  <c r="M44" i="1"/>
  <c r="N44" i="1"/>
  <c r="O44" i="1"/>
  <c r="P44" i="1" s="1"/>
  <c r="S44" i="1"/>
  <c r="L45" i="1"/>
  <c r="M45" i="1"/>
  <c r="N45" i="1"/>
  <c r="O45" i="1"/>
  <c r="P45" i="1" s="1"/>
  <c r="S45" i="1"/>
  <c r="L22" i="1" l="1"/>
  <c r="M22" i="1"/>
  <c r="N22" i="1"/>
  <c r="J58" i="1"/>
  <c r="M21" i="1"/>
  <c r="S22" i="1" l="1"/>
  <c r="M49" i="1"/>
  <c r="O22" i="1"/>
  <c r="P22" i="1" s="1"/>
  <c r="L21" i="1"/>
  <c r="N21" i="1"/>
  <c r="S21" i="1" l="1"/>
  <c r="S49" i="1" s="1"/>
  <c r="T21" i="1"/>
  <c r="T48" i="1" s="1"/>
  <c r="O21" i="1"/>
  <c r="P21" i="1" s="1"/>
  <c r="V56" i="1" l="1"/>
  <c r="V57" i="1" s="1"/>
  <c r="O55" i="1" l="1"/>
  <c r="P50" i="1" l="1"/>
  <c r="N20" i="1"/>
  <c r="L20" i="1"/>
  <c r="P51" i="1" l="1"/>
  <c r="P52" i="1" s="1"/>
  <c r="M54" i="1" s="1"/>
  <c r="O56" i="1"/>
  <c r="R60" i="1"/>
  <c r="R61" i="1" l="1"/>
  <c r="O5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9" i="1"/>
  <c r="O58" i="1"/>
  <c r="F18" i="3" l="1"/>
  <c r="O54" i="1" l="1"/>
  <c r="O60" i="1" s="1"/>
  <c r="O61" i="1" s="1"/>
  <c r="O62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22" i="1"/>
  <c r="G22" i="1" s="1"/>
  <c r="O63" i="1"/>
  <c r="R26" i="1" l="1"/>
  <c r="G26" i="1"/>
  <c r="R25" i="1"/>
  <c r="H25" i="1" s="1"/>
  <c r="G25" i="1"/>
  <c r="R38" i="1"/>
  <c r="H38" i="1" s="1"/>
  <c r="G38" i="1"/>
  <c r="R30" i="1"/>
  <c r="H30" i="1" s="1"/>
  <c r="G30" i="1"/>
  <c r="R37" i="1"/>
  <c r="H37" i="1" s="1"/>
  <c r="G37" i="1"/>
  <c r="R24" i="1"/>
  <c r="G24" i="1"/>
  <c r="H24" i="1" s="1"/>
  <c r="R42" i="1"/>
  <c r="H42" i="1" s="1"/>
  <c r="G42" i="1"/>
  <c r="R34" i="1"/>
  <c r="H34" i="1" s="1"/>
  <c r="G34" i="1"/>
  <c r="R45" i="1"/>
  <c r="H45" i="1" s="1"/>
  <c r="G45" i="1"/>
  <c r="R41" i="1"/>
  <c r="H41" i="1" s="1"/>
  <c r="G41" i="1"/>
  <c r="R33" i="1"/>
  <c r="H33" i="1" s="1"/>
  <c r="G33" i="1"/>
  <c r="R29" i="1"/>
  <c r="H29" i="1" s="1"/>
  <c r="G29" i="1"/>
  <c r="R44" i="1"/>
  <c r="G44" i="1"/>
  <c r="H44" i="1" s="1"/>
  <c r="R40" i="1"/>
  <c r="G40" i="1"/>
  <c r="H40" i="1" s="1"/>
  <c r="R36" i="1"/>
  <c r="G36" i="1"/>
  <c r="H36" i="1" s="1"/>
  <c r="R32" i="1"/>
  <c r="G32" i="1"/>
  <c r="H32" i="1" s="1"/>
  <c r="R28" i="1"/>
  <c r="G28" i="1"/>
  <c r="H28" i="1" s="1"/>
  <c r="R43" i="1"/>
  <c r="G43" i="1"/>
  <c r="H43" i="1" s="1"/>
  <c r="R39" i="1"/>
  <c r="G39" i="1"/>
  <c r="H39" i="1" s="1"/>
  <c r="R35" i="1"/>
  <c r="G35" i="1"/>
  <c r="H35" i="1" s="1"/>
  <c r="R31" i="1"/>
  <c r="G31" i="1"/>
  <c r="H31" i="1" s="1"/>
  <c r="R27" i="1"/>
  <c r="G27" i="1"/>
  <c r="H27" i="1" s="1"/>
  <c r="R23" i="1"/>
  <c r="G23" i="1"/>
  <c r="H23" i="1" s="1"/>
  <c r="R22" i="1"/>
  <c r="Q21" i="1"/>
  <c r="G21" i="1" s="1"/>
  <c r="F15" i="3"/>
  <c r="H26" i="1" l="1"/>
  <c r="H22" i="1"/>
  <c r="R21" i="1"/>
  <c r="H21" i="1" s="1"/>
  <c r="H48" i="1" l="1"/>
  <c r="H49" i="1" s="1"/>
  <c r="H50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<sst xmlns="http://schemas.openxmlformats.org/spreadsheetml/2006/main" count="281" uniqueCount="180">
  <si>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</si>
  <si>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</si>
  <si>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</si>
  <si>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</si>
  <si>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</si>
  <si>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</si>
  <si>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</si>
  <si>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</si>
  <si>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</si>
  <si>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</si>
  <si>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</si>
  <si>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</si>
  <si>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</si>
  <si>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</si>
  <si>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</si>
  <si>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</si>
  <si>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</si>
  <si>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</si>
  <si>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</si>
  <si>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</si>
  <si>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</si>
  <si>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</si>
  <si>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</si>
  <si>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</si>
  <si>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</si>
  <si>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</si>
  <si>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</si>
  <si>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</si>
  <si>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</si>
  <si>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</si>
  <si>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</si>
  <si>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</si>
  <si>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</si>
  <si>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</si>
  <si>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</si>
  <si>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</si>
  <si>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</si>
  <si>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</si>
  <si>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</si>
  <si>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</si>
  <si>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</si>
  <si>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</si>
  <si>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</si>
  <si>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</si>
  <si>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</si>
  <si>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</si>
  <si>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</si>
  <si>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</si>
  <si>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</si>
  <si>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</si>
  <si>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</si>
  <si>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</si>
  <si>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</si>
  <si>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</si>
  <si>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</si>
  <si>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</si>
  <si>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</si>
  <si>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</si>
  <si>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</si>
  <si>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</si>
  <si>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</si>
  <si>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</si>
  <si>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</si>
  <si>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</si>
  <si>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</si>
  <si>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</si>
  <si>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</si>
  <si>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</si>
  <si>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</si>
  <si>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</si>
  <si>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</si>
  <si>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</si>
  <si>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</si>
  <si>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</si>
  <si>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</si>
  <si>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</si>
  <si>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</si>
  <si>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</si>
  <si>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</si>
  <si>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</si>
  <si>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</si>
  <si>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</si>
  <si>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</si>
  <si>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</si>
  <si>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</si>
  <si>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</si>
  <si>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</si>
  <si>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</si>
  <si>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</si>
  <si>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</si>
  <si>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</si>
  <si>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</si>
  <si>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</si>
  <si>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</si>
  <si>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</si>
  <si>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</si>
  <si>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</si>
  <si>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</si>
  <si>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</si>
  <si>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</si>
  <si>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</si>
  <si>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</si>
  <si>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</si>
  <si>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</si>
  <si>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</si>
  <si>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</si>
  <si>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</si>
  <si>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</si>
  <si>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</si>
  <si>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</si>
  <si>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</si>
  <si>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</si>
  <si>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</si>
  <si>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</si>
  <si>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</si>
  <si>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</si>
  <si>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</si>
  <si>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</si>
  <si>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</si>
  <si>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</si>
  <si>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</si>
  <si>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</si>
  <si>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</si>
  <si>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</si>
  <si>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</si>
  <si>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</si>
  <si>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</si>
  <si>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</si>
  <si>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</si>
  <si>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</si>
  <si>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</si>
  <si>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</si>
  <si>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</si>
  <si>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</si>
  <si>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</si>
  <si>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</si>
  <si>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</si>
  <si>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</si>
  <si>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</si>
  <si>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</si>
  <si>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</si>
  <si>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</si>
  <si>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</si>
  <si>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</si>
  <si>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</si>
  <si>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</si>
  <si>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</si>
  <si>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</si>
  <si>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</si>
  <si>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</si>
  <si>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</si>
  <si>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</si>
  <si>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</si>
  <si>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</si>
  <si>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</si>
  <si>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</si>
  <si>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</si>
  <si>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</si>
  <si>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</si>
  <si>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</si>
  <si>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</si>
  <si>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</si>
  <si>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</si>
  <si>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</si>
  <si>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</si>
  <si>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</si>
  <si>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</si>
  <si>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</si>
  <si>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</si>
  <si>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</si>
  <si>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8 DIAS HABILES</t>
  </si>
  <si>
    <t>SI</t>
  </si>
  <si>
    <t>MUEBLES LAZ SPA</t>
  </si>
  <si>
    <t>PR6</t>
  </si>
  <si>
    <t>+569 7793 9434</t>
  </si>
  <si>
    <t>AAG0254@GMAIL.COM</t>
  </si>
  <si>
    <t>N° 11565</t>
  </si>
  <si>
    <t>FRENTE CAJON</t>
  </si>
  <si>
    <t>ALDO ARATA</t>
  </si>
  <si>
    <t>BRITISH BUSH 22107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</si>
</sst>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42" fontId="11" fillId="0" borderId="36" xfId="2" applyNumberFormat="1" applyFont="1" applyFill="1" applyBorder="1" applyAlignment="1">
      <alignment horizontal="center" vertical="center"/>
    </xf>
    <xf numFmtId="42" fontId="11" fillId="0" borderId="27" xfId="2" applyNumberFormat="1" applyFont="1" applyFill="1" applyBorder="1" applyAlignment="1">
      <alignment horizontal="center" vertical="center"/>
    </xf>
    <xf numFmtId="42" fontId="11" fillId="0" borderId="1" xfId="2" applyNumberFormat="1" applyFont="1" applyFill="1" applyBorder="1" applyAlignment="1">
      <alignment horizontal="center" vertical="center"/>
    </xf>
    <xf numFmtId="42" fontId="11" fillId="0" borderId="20" xfId="2" applyNumberFormat="1" applyFont="1" applyFill="1" applyBorder="1" applyAlignment="1">
      <alignment horizontal="center" vertical="center"/>
    </xf>
    <xf numFmtId="42" fontId="11" fillId="0" borderId="33" xfId="2" applyNumberFormat="1" applyFont="1" applyFill="1" applyBorder="1" applyAlignment="1">
      <alignment horizontal="center" vertical="center"/>
    </xf>
    <xf numFmtId="42" fontId="11" fillId="0" borderId="29" xfId="2" applyNumberFormat="1" applyFont="1" applyFill="1" applyBorder="1" applyAlignment="1">
      <alignment horizontal="center" vertical="center"/>
    </xf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7" fontId="0" fillId="21" borderId="0" xfId="0" applyNumberFormat="1" applyFill="1"/>
    <xf numFmtId="166" fontId="3" fillId="21" borderId="0" xfId="0" applyNumberFormat="1" applyFont="1" applyFill="1"/>
    <xf numFmtId="166" fontId="3" fillId="0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167" fontId="0" fillId="13" borderId="0" xfId="0" applyNumberFormat="1" applyFill="1"/>
    <xf numFmtId="166" fontId="3" fillId="13" borderId="0" xfId="0" applyNumberFormat="1" applyFont="1" applyFill="1"/>
    <xf numFmtId="167" fontId="0" fillId="23" borderId="0" xfId="0" applyNumberFormat="1" applyFill="1"/>
    <xf numFmtId="166" fontId="3" fillId="23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51</xdr:row>
      <xdr:rowOff>8194</xdr:rowOff>
    </xdr:from>
    <xdr:to>
      <xdr:col>8</xdr:col>
      <xdr:colOff>8193</xdr:colOff>
      <xdr:row>54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53</xdr:row>
      <xdr:rowOff>154305</xdr:rowOff>
    </xdr:from>
    <xdr:to>
      <xdr:col>7</xdr:col>
      <xdr:colOff>853440</xdr:colOff>
      <xdr:row>53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51</xdr:row>
      <xdr:rowOff>9525</xdr:rowOff>
    </xdr:from>
    <xdr:to>
      <xdr:col>5</xdr:col>
      <xdr:colOff>1745226</xdr:colOff>
      <xdr:row>54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9525</xdr:rowOff>
    </xdr:from>
    <xdr:to>
      <xdr:col>5</xdr:col>
      <xdr:colOff>1728839</xdr:colOff>
      <xdr:row>50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MEDIDAS SIN ENCHAPAR 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35114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G0254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5"/>
  <sheetViews>
    <sheetView tabSelected="1" topLeftCell="A3" zoomScale="93" zoomScaleNormal="93" workbookViewId="0">
      <selection activeCell="J47" sqref="J47"/>
    </sheetView>
  </sheetViews>
  <sheetFormatPr baseColWidth="10" defaultRowHeight="14.4" x14ac:dyDescent="0.3"/>
  <cols>
    <col min="1" max="1" width="6" customWidth="1"/>
    <col min="2" max="2" width="10.5546875" customWidth="1"/>
    <col min="3" max="3" width="28.218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42" t="s">
        <v>125</v>
      </c>
      <c r="C8" s="328"/>
      <c r="D8" s="343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166</v>
      </c>
      <c r="G10" s="271">
        <v>45874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178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 t="s">
        <v>175</v>
      </c>
      <c r="D14" s="305"/>
      <c r="E14" s="305"/>
      <c r="F14" s="305" t="s">
        <v>134</v>
      </c>
      <c r="G14" s="309" t="s">
        <v>171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174</v>
      </c>
      <c r="D15" s="311"/>
      <c r="F15" t="s">
        <v>167</v>
      </c>
      <c r="G15" s="312" t="s">
        <v>171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169</v>
      </c>
      <c r="D17" s="294"/>
      <c r="E17" s="116"/>
      <c r="F17" s="344" t="s">
        <v>162</v>
      </c>
      <c r="G17" s="344"/>
      <c r="H17" s="34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6" t="s">
        <v>95</v>
      </c>
      <c r="C19" s="347"/>
      <c r="D19" s="347"/>
      <c r="E19" s="347"/>
      <c r="F19" s="347"/>
      <c r="G19" s="347"/>
      <c r="H19" s="348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18" t="s">
        <v>7</v>
      </c>
      <c r="C20" s="319" t="s">
        <v>1</v>
      </c>
      <c r="D20" s="319" t="s">
        <v>130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O62</f>
        <v>55617.772008542503</v>
      </c>
      <c r="R20" s="253">
        <v>2000</v>
      </c>
      <c r="S20" s="35"/>
      <c r="T20" s="14" t="s">
        <v>127</v>
      </c>
      <c r="U20" s="9"/>
      <c r="X20" s="4"/>
    </row>
    <row r="21" spans="2:25" ht="18" thickBot="1" x14ac:dyDescent="0.35">
      <c r="B21" s="329">
        <v>1</v>
      </c>
      <c r="C21" s="330" t="s">
        <v>173</v>
      </c>
      <c r="D21" s="331">
        <v>2.302</v>
      </c>
      <c r="E21" s="331">
        <v>0.27500000000000002</v>
      </c>
      <c r="F21" s="330" t="s">
        <v>179</v>
      </c>
      <c r="G21" s="336">
        <f>Q21</f>
        <v>38097.617648131534</v>
      </c>
      <c r="H21" s="337">
        <f>G21*B21</f>
        <v>38097.617648131534</v>
      </c>
      <c r="I21" s="297"/>
      <c r="J21" s="260"/>
      <c r="K21" s="44"/>
      <c r="L21" s="357">
        <f>B21</f>
        <v>1</v>
      </c>
      <c r="M21" s="358">
        <f>D21+M$19</f>
        <v>2.3220000000000001</v>
      </c>
      <c r="N21" s="358">
        <f>E21+$N$19</f>
        <v>0.29500000000000004</v>
      </c>
      <c r="O21" s="256">
        <f t="shared" ref="O21" si="1">M21*N21</f>
        <v>0.6849900000000001</v>
      </c>
      <c r="P21" s="254">
        <f t="shared" ref="P21" si="2">O21*L21</f>
        <v>0.6849900000000001</v>
      </c>
      <c r="Q21" s="247">
        <f t="shared" ref="Q21" si="3">Q$20*O21</f>
        <v>38097.617648131534</v>
      </c>
      <c r="R21" s="296">
        <f t="shared" ref="R21" si="4">Q21+R$20</f>
        <v>40097.617648131534</v>
      </c>
      <c r="S21" s="284">
        <f>M21*L21</f>
        <v>2.3220000000000001</v>
      </c>
      <c r="T21" s="43">
        <f>N21*2*L21*2</f>
        <v>1.1800000000000002</v>
      </c>
      <c r="U21" s="9"/>
      <c r="X21" s="4"/>
    </row>
    <row r="22" spans="2:25" ht="18" thickBot="1" x14ac:dyDescent="0.35">
      <c r="B22" s="332">
        <v>1</v>
      </c>
      <c r="C22" s="323" t="s">
        <v>173</v>
      </c>
      <c r="D22" s="324">
        <v>2.302</v>
      </c>
      <c r="E22" s="324">
        <v>0.52700000000000002</v>
      </c>
      <c r="F22" s="330" t="s">
        <v>179</v>
      </c>
      <c r="G22" s="338">
        <f t="shared" ref="G22:G45" si="5">Q22</f>
        <v>70642.023232298132</v>
      </c>
      <c r="H22" s="339">
        <f t="shared" ref="H22" si="6">G22*B22</f>
        <v>70642.023232298132</v>
      </c>
      <c r="I22" s="297"/>
      <c r="J22" s="260"/>
      <c r="K22" s="44"/>
      <c r="L22" s="357">
        <f t="shared" ref="L22" si="7">B22</f>
        <v>1</v>
      </c>
      <c r="M22" s="358">
        <f t="shared" ref="M22" si="8">D22+M$19</f>
        <v>2.3220000000000001</v>
      </c>
      <c r="N22" s="358">
        <f t="shared" ref="N22" si="9">E22+$N$19</f>
        <v>0.54700000000000004</v>
      </c>
      <c r="O22" s="256">
        <f t="shared" ref="O22" si="10">M22*N22</f>
        <v>1.2701340000000001</v>
      </c>
      <c r="P22" s="254">
        <f t="shared" ref="P22" si="11">O22*L22</f>
        <v>1.2701340000000001</v>
      </c>
      <c r="Q22" s="247">
        <f t="shared" ref="Q22" si="12">Q$20*O22</f>
        <v>70642.023232298132</v>
      </c>
      <c r="R22" s="296">
        <f t="shared" ref="R22" si="13">Q22+R$20</f>
        <v>72642.023232298132</v>
      </c>
      <c r="S22" s="284">
        <f t="shared" ref="S22" si="14">M22*L22</f>
        <v>2.3220000000000001</v>
      </c>
      <c r="T22" s="43"/>
      <c r="U22" s="9"/>
      <c r="X22" s="4"/>
    </row>
    <row r="23" spans="2:25" ht="18" thickBot="1" x14ac:dyDescent="0.35">
      <c r="B23" s="332">
        <v>1</v>
      </c>
      <c r="C23" s="323" t="s">
        <v>173</v>
      </c>
      <c r="D23" s="324">
        <v>1.1339999999999999</v>
      </c>
      <c r="E23" s="324">
        <v>0.59699999999999998</v>
      </c>
      <c r="F23" s="330" t="s">
        <v>179</v>
      </c>
      <c r="G23" s="338">
        <f t="shared" si="5"/>
        <v>39600.85478997841</v>
      </c>
      <c r="H23" s="339">
        <f t="shared" ref="H23:H26" si="15">G23*B23</f>
        <v>39600.85478997841</v>
      </c>
      <c r="I23" s="297"/>
      <c r="J23" s="260"/>
      <c r="K23" s="44"/>
      <c r="L23" s="357">
        <f t="shared" ref="L23:L45" si="16">B23</f>
        <v>1</v>
      </c>
      <c r="M23" s="358">
        <f t="shared" ref="M23:M45" si="17">D23+M$19</f>
        <v>1.1539999999999999</v>
      </c>
      <c r="N23" s="358">
        <f t="shared" ref="N23:N45" si="18">E23+$N$19</f>
        <v>0.61699999999999999</v>
      </c>
      <c r="O23" s="256">
        <f t="shared" ref="O23:O45" si="19">M23*N23</f>
        <v>0.71201799999999993</v>
      </c>
      <c r="P23" s="254">
        <f t="shared" ref="P23:P45" si="20">O23*L23</f>
        <v>0.71201799999999993</v>
      </c>
      <c r="Q23" s="247">
        <f t="shared" ref="Q23:Q45" si="21">Q$20*O23</f>
        <v>39600.85478997841</v>
      </c>
      <c r="R23" s="296">
        <f t="shared" ref="R23:R45" si="22">Q23+R$20</f>
        <v>41600.85478997841</v>
      </c>
      <c r="S23" s="284">
        <f t="shared" ref="S23:S45" si="23">M23*L23</f>
        <v>1.1539999999999999</v>
      </c>
      <c r="T23" s="43"/>
      <c r="U23" s="9"/>
      <c r="X23" s="4"/>
    </row>
    <row r="24" spans="2:25" ht="18" thickBot="1" x14ac:dyDescent="0.35">
      <c r="B24" s="332">
        <v>1</v>
      </c>
      <c r="C24" s="323" t="s">
        <v>173</v>
      </c>
      <c r="D24" s="324">
        <v>2.302</v>
      </c>
      <c r="E24" s="324">
        <v>0.88700000000000001</v>
      </c>
      <c r="F24" s="330" t="s">
        <v>179</v>
      </c>
      <c r="G24" s="338">
        <f t="shared" si="5"/>
        <v>117134.03120967899</v>
      </c>
      <c r="H24" s="339">
        <f t="shared" si="15"/>
        <v>117134.03120967899</v>
      </c>
      <c r="I24" s="297"/>
      <c r="J24" s="260"/>
      <c r="K24" s="44"/>
      <c r="L24" s="360">
        <f t="shared" si="16"/>
        <v>1</v>
      </c>
      <c r="M24" s="361">
        <f t="shared" si="17"/>
        <v>2.3220000000000001</v>
      </c>
      <c r="N24" s="361">
        <f t="shared" si="18"/>
        <v>0.90700000000000003</v>
      </c>
      <c r="O24" s="256">
        <f t="shared" si="19"/>
        <v>2.1060540000000003</v>
      </c>
      <c r="P24" s="254">
        <f t="shared" si="20"/>
        <v>2.1060540000000003</v>
      </c>
      <c r="Q24" s="247">
        <f t="shared" si="21"/>
        <v>117134.03120967899</v>
      </c>
      <c r="R24" s="296">
        <f t="shared" si="22"/>
        <v>119134.03120967899</v>
      </c>
      <c r="S24" s="284">
        <f t="shared" si="23"/>
        <v>2.3220000000000001</v>
      </c>
      <c r="T24" s="43"/>
      <c r="U24" s="9"/>
      <c r="X24" s="4"/>
    </row>
    <row r="25" spans="2:25" ht="18" thickBot="1" x14ac:dyDescent="0.35">
      <c r="B25" s="332">
        <v>1</v>
      </c>
      <c r="C25" s="323" t="s">
        <v>173</v>
      </c>
      <c r="D25" s="324">
        <v>0.67700000000000005</v>
      </c>
      <c r="E25" s="324">
        <v>0.19700000000000001</v>
      </c>
      <c r="F25" s="330" t="s">
        <v>179</v>
      </c>
      <c r="G25" s="338">
        <f t="shared" si="5"/>
        <v>8412.132398520047</v>
      </c>
      <c r="H25" s="339">
        <f t="shared" si="15"/>
        <v>8412.132398520047</v>
      </c>
      <c r="I25" s="297"/>
      <c r="J25" s="260"/>
      <c r="K25" s="44"/>
      <c r="L25" s="357">
        <f t="shared" si="16"/>
        <v>1</v>
      </c>
      <c r="M25" s="358">
        <f t="shared" si="17"/>
        <v>0.69700000000000006</v>
      </c>
      <c r="N25" s="358">
        <f t="shared" si="18"/>
        <v>0.217</v>
      </c>
      <c r="O25" s="256">
        <f t="shared" si="19"/>
        <v>0.15124900000000002</v>
      </c>
      <c r="P25" s="254">
        <f t="shared" si="20"/>
        <v>0.15124900000000002</v>
      </c>
      <c r="Q25" s="247">
        <f t="shared" si="21"/>
        <v>8412.132398520047</v>
      </c>
      <c r="R25" s="296">
        <f t="shared" si="22"/>
        <v>10412.132398520047</v>
      </c>
      <c r="S25" s="284">
        <f t="shared" si="23"/>
        <v>0.69700000000000006</v>
      </c>
      <c r="T25" s="43"/>
      <c r="U25" s="9"/>
      <c r="X25" s="4"/>
    </row>
    <row r="26" spans="2:25" ht="18" thickBot="1" x14ac:dyDescent="0.35">
      <c r="B26" s="332">
        <v>1</v>
      </c>
      <c r="C26" s="323" t="s">
        <v>173</v>
      </c>
      <c r="D26" s="324">
        <v>0.67700000000000005</v>
      </c>
      <c r="E26" s="324">
        <v>0.73599999999999999</v>
      </c>
      <c r="F26" s="330" t="s">
        <v>179</v>
      </c>
      <c r="G26" s="338">
        <f t="shared" si="5"/>
        <v>29306.783840005322</v>
      </c>
      <c r="H26" s="339">
        <f t="shared" si="15"/>
        <v>29306.783840005322</v>
      </c>
      <c r="I26" s="297"/>
      <c r="J26" s="260"/>
      <c r="K26" s="44"/>
      <c r="L26" s="357">
        <f t="shared" si="16"/>
        <v>1</v>
      </c>
      <c r="M26" s="358">
        <f t="shared" si="17"/>
        <v>0.69700000000000006</v>
      </c>
      <c r="N26" s="358">
        <f t="shared" si="18"/>
        <v>0.75600000000000001</v>
      </c>
      <c r="O26" s="256">
        <f t="shared" si="19"/>
        <v>0.52693200000000007</v>
      </c>
      <c r="P26" s="254">
        <f t="shared" si="20"/>
        <v>0.52693200000000007</v>
      </c>
      <c r="Q26" s="247">
        <f t="shared" si="21"/>
        <v>29306.783840005322</v>
      </c>
      <c r="R26" s="296">
        <f t="shared" si="22"/>
        <v>31306.783840005322</v>
      </c>
      <c r="S26" s="284">
        <f t="shared" si="23"/>
        <v>0.69700000000000006</v>
      </c>
      <c r="T26" s="43"/>
      <c r="U26" s="9"/>
      <c r="X26" s="4"/>
    </row>
    <row r="27" spans="2:25" ht="18" thickBot="1" x14ac:dyDescent="0.35">
      <c r="B27" s="332">
        <v>2</v>
      </c>
      <c r="C27" s="323" t="s">
        <v>173</v>
      </c>
      <c r="D27" s="324">
        <v>0.67700000000000005</v>
      </c>
      <c r="E27" s="324">
        <v>0.44700000000000001</v>
      </c>
      <c r="F27" s="330" t="s">
        <v>179</v>
      </c>
      <c r="G27" s="338">
        <f t="shared" si="5"/>
        <v>18103.529171008577</v>
      </c>
      <c r="H27" s="339">
        <f t="shared" ref="H27:H45" si="24">G27*B27</f>
        <v>36207.058342017153</v>
      </c>
      <c r="I27" s="297"/>
      <c r="J27" s="260"/>
      <c r="K27" s="44"/>
      <c r="L27" s="364">
        <f t="shared" si="16"/>
        <v>2</v>
      </c>
      <c r="M27" s="365">
        <f t="shared" si="17"/>
        <v>0.69700000000000006</v>
      </c>
      <c r="N27" s="365">
        <f t="shared" si="18"/>
        <v>0.46700000000000003</v>
      </c>
      <c r="O27" s="256">
        <f t="shared" si="19"/>
        <v>0.32549900000000004</v>
      </c>
      <c r="P27" s="254">
        <f t="shared" si="20"/>
        <v>0.65099800000000008</v>
      </c>
      <c r="Q27" s="247">
        <f t="shared" si="21"/>
        <v>18103.529171008577</v>
      </c>
      <c r="R27" s="296">
        <f t="shared" si="22"/>
        <v>20103.529171008577</v>
      </c>
      <c r="S27" s="284">
        <f t="shared" si="23"/>
        <v>1.3940000000000001</v>
      </c>
      <c r="T27" s="43"/>
      <c r="U27" s="9"/>
      <c r="X27" s="4"/>
    </row>
    <row r="28" spans="2:25" ht="18" thickBot="1" x14ac:dyDescent="0.35">
      <c r="B28" s="332">
        <v>1</v>
      </c>
      <c r="C28" s="323" t="s">
        <v>177</v>
      </c>
      <c r="D28" s="324">
        <v>0.7</v>
      </c>
      <c r="E28" s="324">
        <v>0.44700000000000001</v>
      </c>
      <c r="F28" s="330" t="s">
        <v>179</v>
      </c>
      <c r="G28" s="338">
        <f t="shared" si="5"/>
        <v>18700.919660152329</v>
      </c>
      <c r="H28" s="339">
        <f t="shared" si="24"/>
        <v>18700.919660152329</v>
      </c>
      <c r="I28" s="297"/>
      <c r="J28" s="260"/>
      <c r="K28" s="44"/>
      <c r="L28" s="364">
        <f t="shared" si="16"/>
        <v>1</v>
      </c>
      <c r="M28" s="365">
        <f t="shared" si="17"/>
        <v>0.72</v>
      </c>
      <c r="N28" s="365">
        <f t="shared" si="18"/>
        <v>0.46700000000000003</v>
      </c>
      <c r="O28" s="256">
        <f t="shared" si="19"/>
        <v>0.33623999999999998</v>
      </c>
      <c r="P28" s="254">
        <f t="shared" si="20"/>
        <v>0.33623999999999998</v>
      </c>
      <c r="Q28" s="247">
        <f t="shared" si="21"/>
        <v>18700.919660152329</v>
      </c>
      <c r="R28" s="296">
        <f t="shared" si="22"/>
        <v>20700.919660152329</v>
      </c>
      <c r="S28" s="284">
        <f t="shared" si="23"/>
        <v>0.72</v>
      </c>
      <c r="T28" s="43"/>
      <c r="U28" s="9"/>
      <c r="X28" s="4"/>
    </row>
    <row r="29" spans="2:25" ht="18" thickBot="1" x14ac:dyDescent="0.35">
      <c r="B29" s="332">
        <v>1</v>
      </c>
      <c r="C29" s="323" t="s">
        <v>173</v>
      </c>
      <c r="D29" s="324">
        <v>0.7</v>
      </c>
      <c r="E29" s="324">
        <v>0.79700000000000004</v>
      </c>
      <c r="F29" s="330" t="s">
        <v>179</v>
      </c>
      <c r="G29" s="338">
        <f t="shared" si="5"/>
        <v>32716.59820630504</v>
      </c>
      <c r="H29" s="339">
        <f t="shared" si="24"/>
        <v>32716.59820630504</v>
      </c>
      <c r="I29" s="297"/>
      <c r="J29" s="260"/>
      <c r="K29" s="44"/>
      <c r="L29" s="362">
        <f t="shared" si="16"/>
        <v>1</v>
      </c>
      <c r="M29" s="363">
        <f t="shared" si="17"/>
        <v>0.72</v>
      </c>
      <c r="N29" s="363">
        <f t="shared" si="18"/>
        <v>0.81700000000000006</v>
      </c>
      <c r="O29" s="256">
        <f t="shared" si="19"/>
        <v>0.58823999999999999</v>
      </c>
      <c r="P29" s="254">
        <f t="shared" si="20"/>
        <v>0.58823999999999999</v>
      </c>
      <c r="Q29" s="247">
        <f t="shared" si="21"/>
        <v>32716.59820630504</v>
      </c>
      <c r="R29" s="296">
        <f t="shared" si="22"/>
        <v>34716.59820630504</v>
      </c>
      <c r="S29" s="284">
        <f t="shared" si="23"/>
        <v>0.72</v>
      </c>
      <c r="T29" s="43"/>
      <c r="U29" s="9"/>
      <c r="X29" s="4"/>
    </row>
    <row r="30" spans="2:25" ht="18" thickBot="1" x14ac:dyDescent="0.35">
      <c r="B30" s="332">
        <v>1</v>
      </c>
      <c r="C30" s="323" t="s">
        <v>173</v>
      </c>
      <c r="D30" s="324">
        <v>0.67700000000000005</v>
      </c>
      <c r="E30" s="324">
        <v>0.39700000000000002</v>
      </c>
      <c r="F30" s="330" t="s">
        <v>179</v>
      </c>
      <c r="G30" s="338">
        <f t="shared" si="5"/>
        <v>16165.249816510872</v>
      </c>
      <c r="H30" s="339">
        <f t="shared" si="24"/>
        <v>16165.249816510872</v>
      </c>
      <c r="I30" s="297"/>
      <c r="J30" s="260"/>
      <c r="K30" s="44"/>
      <c r="L30" s="362">
        <f t="shared" si="16"/>
        <v>1</v>
      </c>
      <c r="M30" s="363">
        <f t="shared" si="17"/>
        <v>0.69700000000000006</v>
      </c>
      <c r="N30" s="363">
        <f t="shared" si="18"/>
        <v>0.41700000000000004</v>
      </c>
      <c r="O30" s="256">
        <f t="shared" si="19"/>
        <v>0.29064900000000005</v>
      </c>
      <c r="P30" s="254">
        <f t="shared" si="20"/>
        <v>0.29064900000000005</v>
      </c>
      <c r="Q30" s="247">
        <f t="shared" si="21"/>
        <v>16165.249816510872</v>
      </c>
      <c r="R30" s="296">
        <f t="shared" si="22"/>
        <v>18165.24981651087</v>
      </c>
      <c r="S30" s="284">
        <f t="shared" si="23"/>
        <v>0.69700000000000006</v>
      </c>
      <c r="T30" s="43"/>
      <c r="U30" s="9"/>
      <c r="X30" s="4"/>
    </row>
    <row r="31" spans="2:25" ht="18" thickBot="1" x14ac:dyDescent="0.35">
      <c r="B31" s="332">
        <v>1</v>
      </c>
      <c r="C31" s="323" t="s">
        <v>173</v>
      </c>
      <c r="D31" s="324">
        <v>0.67700000000000005</v>
      </c>
      <c r="E31" s="324">
        <v>0.73</v>
      </c>
      <c r="F31" s="330" t="s">
        <v>179</v>
      </c>
      <c r="G31" s="338">
        <f t="shared" si="5"/>
        <v>29074.190317465596</v>
      </c>
      <c r="H31" s="339">
        <f t="shared" si="24"/>
        <v>29074.190317465596</v>
      </c>
      <c r="I31" s="297"/>
      <c r="J31" s="260"/>
      <c r="K31" s="44"/>
      <c r="L31" s="357">
        <f t="shared" si="16"/>
        <v>1</v>
      </c>
      <c r="M31" s="358">
        <f t="shared" si="17"/>
        <v>0.69700000000000006</v>
      </c>
      <c r="N31" s="358">
        <f t="shared" si="18"/>
        <v>0.75</v>
      </c>
      <c r="O31" s="256">
        <f t="shared" si="19"/>
        <v>0.52275000000000005</v>
      </c>
      <c r="P31" s="254">
        <f t="shared" si="20"/>
        <v>0.52275000000000005</v>
      </c>
      <c r="Q31" s="247">
        <f t="shared" si="21"/>
        <v>29074.190317465596</v>
      </c>
      <c r="R31" s="296">
        <f t="shared" si="22"/>
        <v>31074.190317465596</v>
      </c>
      <c r="S31" s="284">
        <f t="shared" si="23"/>
        <v>0.69700000000000006</v>
      </c>
      <c r="T31" s="43"/>
      <c r="U31" s="9"/>
      <c r="X31" s="4"/>
    </row>
    <row r="32" spans="2:25" ht="18" thickBot="1" x14ac:dyDescent="0.35">
      <c r="B32" s="332">
        <v>1</v>
      </c>
      <c r="C32" s="323" t="s">
        <v>177</v>
      </c>
      <c r="D32" s="324">
        <v>0.7</v>
      </c>
      <c r="E32" s="324">
        <v>0.89700000000000002</v>
      </c>
      <c r="F32" s="330" t="s">
        <v>179</v>
      </c>
      <c r="G32" s="338">
        <f t="shared" si="5"/>
        <v>36721.077790920106</v>
      </c>
      <c r="H32" s="339">
        <f t="shared" si="24"/>
        <v>36721.077790920106</v>
      </c>
      <c r="I32" s="297"/>
      <c r="J32" s="260"/>
      <c r="K32" s="44"/>
      <c r="L32" s="357">
        <f t="shared" si="16"/>
        <v>1</v>
      </c>
      <c r="M32" s="358">
        <f t="shared" si="17"/>
        <v>0.72</v>
      </c>
      <c r="N32" s="358">
        <f t="shared" si="18"/>
        <v>0.91700000000000004</v>
      </c>
      <c r="O32" s="256">
        <f t="shared" si="19"/>
        <v>0.66024000000000005</v>
      </c>
      <c r="P32" s="254">
        <f t="shared" si="20"/>
        <v>0.66024000000000005</v>
      </c>
      <c r="Q32" s="247">
        <f t="shared" si="21"/>
        <v>36721.077790920106</v>
      </c>
      <c r="R32" s="296">
        <f t="shared" si="22"/>
        <v>38721.077790920106</v>
      </c>
      <c r="S32" s="284">
        <f t="shared" si="23"/>
        <v>0.72</v>
      </c>
      <c r="T32" s="43"/>
      <c r="U32" s="9"/>
      <c r="X32" s="4"/>
    </row>
    <row r="33" spans="2:24" ht="18" thickBot="1" x14ac:dyDescent="0.35">
      <c r="B33" s="332">
        <v>1</v>
      </c>
      <c r="C33" s="323" t="s">
        <v>173</v>
      </c>
      <c r="D33" s="324">
        <v>0.67200000000000004</v>
      </c>
      <c r="E33" s="324">
        <v>0.497</v>
      </c>
      <c r="F33" s="330" t="s">
        <v>179</v>
      </c>
      <c r="G33" s="338">
        <f t="shared" si="5"/>
        <v>19898.036584864203</v>
      </c>
      <c r="H33" s="339">
        <f t="shared" si="24"/>
        <v>19898.036584864203</v>
      </c>
      <c r="I33" s="297"/>
      <c r="J33" s="260"/>
      <c r="K33" s="44"/>
      <c r="L33" s="364">
        <f t="shared" si="16"/>
        <v>1</v>
      </c>
      <c r="M33" s="365">
        <f t="shared" si="17"/>
        <v>0.69200000000000006</v>
      </c>
      <c r="N33" s="365">
        <f t="shared" si="18"/>
        <v>0.51700000000000002</v>
      </c>
      <c r="O33" s="256">
        <f t="shared" si="19"/>
        <v>0.35776400000000003</v>
      </c>
      <c r="P33" s="254">
        <f t="shared" si="20"/>
        <v>0.35776400000000003</v>
      </c>
      <c r="Q33" s="247">
        <f t="shared" si="21"/>
        <v>19898.036584864203</v>
      </c>
      <c r="R33" s="296">
        <f t="shared" si="22"/>
        <v>21898.036584864203</v>
      </c>
      <c r="S33" s="284">
        <f t="shared" si="23"/>
        <v>0.69200000000000006</v>
      </c>
      <c r="T33" s="43"/>
      <c r="U33" s="9"/>
      <c r="X33" s="4"/>
    </row>
    <row r="34" spans="2:24" ht="18" thickBot="1" x14ac:dyDescent="0.35">
      <c r="B34" s="332">
        <v>2</v>
      </c>
      <c r="C34" s="323" t="s">
        <v>173</v>
      </c>
      <c r="D34" s="324">
        <v>0.69699999999999995</v>
      </c>
      <c r="E34" s="324">
        <v>0.59</v>
      </c>
      <c r="F34" s="330" t="s">
        <v>179</v>
      </c>
      <c r="G34" s="338">
        <f t="shared" si="5"/>
        <v>24325.544943376233</v>
      </c>
      <c r="H34" s="339">
        <f t="shared" si="24"/>
        <v>48651.089886752467</v>
      </c>
      <c r="I34" s="297"/>
      <c r="J34" s="260"/>
      <c r="K34" s="44"/>
      <c r="L34" s="364">
        <f t="shared" si="16"/>
        <v>2</v>
      </c>
      <c r="M34" s="365">
        <f t="shared" si="17"/>
        <v>0.71699999999999997</v>
      </c>
      <c r="N34" s="365">
        <f t="shared" si="18"/>
        <v>0.61</v>
      </c>
      <c r="O34" s="256">
        <f t="shared" si="19"/>
        <v>0.43736999999999998</v>
      </c>
      <c r="P34" s="254">
        <f t="shared" si="20"/>
        <v>0.87473999999999996</v>
      </c>
      <c r="Q34" s="247">
        <f t="shared" si="21"/>
        <v>24325.544943376233</v>
      </c>
      <c r="R34" s="296">
        <f t="shared" si="22"/>
        <v>26325.544943376233</v>
      </c>
      <c r="S34" s="284">
        <f t="shared" si="23"/>
        <v>1.4339999999999999</v>
      </c>
      <c r="T34" s="43"/>
      <c r="U34" s="9"/>
      <c r="X34" s="4"/>
    </row>
    <row r="35" spans="2:24" ht="18" thickBot="1" x14ac:dyDescent="0.35">
      <c r="B35" s="332">
        <v>1</v>
      </c>
      <c r="C35" s="323" t="s">
        <v>173</v>
      </c>
      <c r="D35" s="324">
        <v>0.7</v>
      </c>
      <c r="E35" s="324">
        <v>1.397</v>
      </c>
      <c r="F35" s="330" t="s">
        <v>179</v>
      </c>
      <c r="G35" s="338">
        <f t="shared" si="5"/>
        <v>56743.475713995402</v>
      </c>
      <c r="H35" s="339">
        <f t="shared" si="24"/>
        <v>56743.475713995402</v>
      </c>
      <c r="I35" s="297"/>
      <c r="J35" s="260"/>
      <c r="K35" s="44"/>
      <c r="L35" s="356">
        <f t="shared" si="16"/>
        <v>1</v>
      </c>
      <c r="M35" s="36">
        <f t="shared" si="17"/>
        <v>0.72</v>
      </c>
      <c r="N35" s="36">
        <f t="shared" si="18"/>
        <v>1.417</v>
      </c>
      <c r="O35" s="256">
        <f t="shared" si="19"/>
        <v>1.02024</v>
      </c>
      <c r="P35" s="254">
        <f t="shared" si="20"/>
        <v>1.02024</v>
      </c>
      <c r="Q35" s="247">
        <f t="shared" si="21"/>
        <v>56743.475713995402</v>
      </c>
      <c r="R35" s="296">
        <f t="shared" si="22"/>
        <v>58743.475713995402</v>
      </c>
      <c r="S35" s="284">
        <f t="shared" si="23"/>
        <v>0.72</v>
      </c>
      <c r="T35" s="43"/>
      <c r="U35" s="9"/>
      <c r="X35" s="4"/>
    </row>
    <row r="36" spans="2:24" ht="18" thickBot="1" x14ac:dyDescent="0.35">
      <c r="B36" s="332">
        <v>1</v>
      </c>
      <c r="C36" s="323" t="s">
        <v>173</v>
      </c>
      <c r="D36" s="324">
        <v>2.302</v>
      </c>
      <c r="E36" s="324">
        <v>0.44</v>
      </c>
      <c r="F36" s="330" t="s">
        <v>179</v>
      </c>
      <c r="G36" s="338">
        <f t="shared" si="5"/>
        <v>59406.454637764429</v>
      </c>
      <c r="H36" s="339">
        <f t="shared" si="24"/>
        <v>59406.454637764429</v>
      </c>
      <c r="I36" s="297"/>
      <c r="J36" s="260"/>
      <c r="K36" s="44"/>
      <c r="L36" s="357">
        <f t="shared" si="16"/>
        <v>1</v>
      </c>
      <c r="M36" s="358">
        <f t="shared" si="17"/>
        <v>2.3220000000000001</v>
      </c>
      <c r="N36" s="358">
        <f t="shared" si="18"/>
        <v>0.46</v>
      </c>
      <c r="O36" s="256">
        <f t="shared" si="19"/>
        <v>1.0681200000000002</v>
      </c>
      <c r="P36" s="254">
        <f t="shared" si="20"/>
        <v>1.0681200000000002</v>
      </c>
      <c r="Q36" s="247">
        <f t="shared" si="21"/>
        <v>59406.454637764429</v>
      </c>
      <c r="R36" s="296">
        <f t="shared" si="22"/>
        <v>61406.454637764429</v>
      </c>
      <c r="S36" s="284">
        <f t="shared" si="23"/>
        <v>2.3220000000000001</v>
      </c>
      <c r="T36" s="43"/>
      <c r="U36" s="9"/>
      <c r="X36" s="4"/>
    </row>
    <row r="37" spans="2:24" ht="18" thickBot="1" x14ac:dyDescent="0.35">
      <c r="B37" s="332">
        <v>2</v>
      </c>
      <c r="C37" s="323" t="s">
        <v>177</v>
      </c>
      <c r="D37" s="324">
        <v>0.7</v>
      </c>
      <c r="E37" s="324">
        <v>0.76200000000000001</v>
      </c>
      <c r="F37" s="330" t="s">
        <v>179</v>
      </c>
      <c r="G37" s="338">
        <f t="shared" si="5"/>
        <v>31315.030351689769</v>
      </c>
      <c r="H37" s="339">
        <f t="shared" si="24"/>
        <v>62630.060703379539</v>
      </c>
      <c r="I37" s="297"/>
      <c r="J37" s="260"/>
      <c r="K37" s="44"/>
      <c r="L37" s="362">
        <f t="shared" si="16"/>
        <v>2</v>
      </c>
      <c r="M37" s="363">
        <f t="shared" si="17"/>
        <v>0.72</v>
      </c>
      <c r="N37" s="363">
        <f t="shared" si="18"/>
        <v>0.78200000000000003</v>
      </c>
      <c r="O37" s="256">
        <f t="shared" si="19"/>
        <v>0.56303999999999998</v>
      </c>
      <c r="P37" s="254">
        <f t="shared" si="20"/>
        <v>1.12608</v>
      </c>
      <c r="Q37" s="247">
        <f t="shared" si="21"/>
        <v>31315.030351689769</v>
      </c>
      <c r="R37" s="296">
        <f t="shared" si="22"/>
        <v>33315.030351689769</v>
      </c>
      <c r="S37" s="284">
        <f t="shared" si="23"/>
        <v>1.44</v>
      </c>
      <c r="T37" s="43"/>
      <c r="U37" s="9"/>
      <c r="X37" s="4"/>
    </row>
    <row r="38" spans="2:24" ht="18" thickBot="1" x14ac:dyDescent="0.35">
      <c r="B38" s="332">
        <v>2</v>
      </c>
      <c r="C38" s="323" t="s">
        <v>173</v>
      </c>
      <c r="D38" s="324">
        <v>0.53500000000000003</v>
      </c>
      <c r="E38" s="324">
        <v>0.47199999999999998</v>
      </c>
      <c r="F38" s="330" t="s">
        <v>179</v>
      </c>
      <c r="G38" s="338">
        <f t="shared" si="5"/>
        <v>15186.988824652617</v>
      </c>
      <c r="H38" s="339">
        <f t="shared" si="24"/>
        <v>30373.977649305234</v>
      </c>
      <c r="I38" s="297"/>
      <c r="J38" s="260"/>
      <c r="K38" s="44"/>
      <c r="L38" s="360">
        <f t="shared" si="16"/>
        <v>2</v>
      </c>
      <c r="M38" s="361">
        <f t="shared" si="17"/>
        <v>0.55500000000000005</v>
      </c>
      <c r="N38" s="361">
        <f t="shared" si="18"/>
        <v>0.49199999999999999</v>
      </c>
      <c r="O38" s="256">
        <f t="shared" si="19"/>
        <v>0.27306000000000002</v>
      </c>
      <c r="P38" s="254">
        <f t="shared" si="20"/>
        <v>0.54612000000000005</v>
      </c>
      <c r="Q38" s="247">
        <f t="shared" si="21"/>
        <v>15186.988824652617</v>
      </c>
      <c r="R38" s="296">
        <f t="shared" si="22"/>
        <v>17186.988824652617</v>
      </c>
      <c r="S38" s="284">
        <f t="shared" si="23"/>
        <v>1.1100000000000001</v>
      </c>
      <c r="T38" s="43"/>
      <c r="U38" s="9"/>
      <c r="X38" s="4"/>
    </row>
    <row r="39" spans="2:24" ht="18" thickBot="1" x14ac:dyDescent="0.35">
      <c r="B39" s="332">
        <v>2</v>
      </c>
      <c r="C39" s="323" t="s">
        <v>173</v>
      </c>
      <c r="D39" s="324">
        <v>0.71499999999999997</v>
      </c>
      <c r="E39" s="324">
        <v>0.36799999999999999</v>
      </c>
      <c r="F39" s="330" t="s">
        <v>179</v>
      </c>
      <c r="G39" s="338">
        <f t="shared" si="5"/>
        <v>15861.07622139615</v>
      </c>
      <c r="H39" s="339">
        <f t="shared" si="24"/>
        <v>31722.1524427923</v>
      </c>
      <c r="I39" s="297"/>
      <c r="J39" s="260"/>
      <c r="K39" s="44"/>
      <c r="L39" s="356">
        <f t="shared" si="16"/>
        <v>2</v>
      </c>
      <c r="M39" s="359">
        <f t="shared" si="17"/>
        <v>0.73499999999999999</v>
      </c>
      <c r="N39" s="359">
        <f t="shared" si="18"/>
        <v>0.38800000000000001</v>
      </c>
      <c r="O39" s="256">
        <f t="shared" si="19"/>
        <v>0.28517999999999999</v>
      </c>
      <c r="P39" s="254">
        <f t="shared" si="20"/>
        <v>0.57035999999999998</v>
      </c>
      <c r="Q39" s="247">
        <f t="shared" si="21"/>
        <v>15861.07622139615</v>
      </c>
      <c r="R39" s="296">
        <f t="shared" si="22"/>
        <v>17861.07622139615</v>
      </c>
      <c r="S39" s="284">
        <f t="shared" si="23"/>
        <v>1.47</v>
      </c>
      <c r="T39" s="43"/>
      <c r="U39" s="9"/>
      <c r="X39" s="4"/>
    </row>
    <row r="40" spans="2:24" ht="18" thickBot="1" x14ac:dyDescent="0.35">
      <c r="B40" s="332">
        <v>1</v>
      </c>
      <c r="C40" s="323" t="s">
        <v>173</v>
      </c>
      <c r="D40" s="324">
        <v>1.137</v>
      </c>
      <c r="E40" s="324">
        <v>0.36899999999999999</v>
      </c>
      <c r="F40" s="330" t="s">
        <v>179</v>
      </c>
      <c r="G40" s="338">
        <f t="shared" si="5"/>
        <v>25032.05750120075</v>
      </c>
      <c r="H40" s="339">
        <f t="shared" si="24"/>
        <v>25032.05750120075</v>
      </c>
      <c r="I40" s="297"/>
      <c r="J40" s="260"/>
      <c r="K40" s="44"/>
      <c r="L40" s="356">
        <f t="shared" si="16"/>
        <v>1</v>
      </c>
      <c r="M40" s="36">
        <f t="shared" si="17"/>
        <v>1.157</v>
      </c>
      <c r="N40" s="36">
        <f t="shared" si="18"/>
        <v>0.38900000000000001</v>
      </c>
      <c r="O40" s="256">
        <f t="shared" si="19"/>
        <v>0.450073</v>
      </c>
      <c r="P40" s="254">
        <f t="shared" si="20"/>
        <v>0.450073</v>
      </c>
      <c r="Q40" s="247">
        <f t="shared" si="21"/>
        <v>25032.05750120075</v>
      </c>
      <c r="R40" s="296">
        <f t="shared" si="22"/>
        <v>27032.05750120075</v>
      </c>
      <c r="S40" s="284">
        <f t="shared" si="23"/>
        <v>1.157</v>
      </c>
      <c r="T40" s="43"/>
      <c r="U40" s="9"/>
      <c r="X40" s="4"/>
    </row>
    <row r="41" spans="2:24" ht="18" thickBot="1" x14ac:dyDescent="0.35">
      <c r="B41" s="332">
        <v>2</v>
      </c>
      <c r="C41" s="323" t="s">
        <v>173</v>
      </c>
      <c r="D41" s="324">
        <v>0.48699999999999999</v>
      </c>
      <c r="E41" s="324">
        <v>0.36699999999999999</v>
      </c>
      <c r="F41" s="330" t="s">
        <v>179</v>
      </c>
      <c r="G41" s="338">
        <f t="shared" si="5"/>
        <v>10912.707428024116</v>
      </c>
      <c r="H41" s="339">
        <f t="shared" si="24"/>
        <v>21825.414856048232</v>
      </c>
      <c r="I41" s="297"/>
      <c r="J41" s="260"/>
      <c r="K41" s="44"/>
      <c r="L41" s="357">
        <f t="shared" si="16"/>
        <v>2</v>
      </c>
      <c r="M41" s="358">
        <f t="shared" si="17"/>
        <v>0.50700000000000001</v>
      </c>
      <c r="N41" s="358">
        <f t="shared" si="18"/>
        <v>0.38700000000000001</v>
      </c>
      <c r="O41" s="256">
        <f t="shared" si="19"/>
        <v>0.19620899999999999</v>
      </c>
      <c r="P41" s="254">
        <f t="shared" si="20"/>
        <v>0.39241799999999999</v>
      </c>
      <c r="Q41" s="247">
        <f t="shared" si="21"/>
        <v>10912.707428024116</v>
      </c>
      <c r="R41" s="296">
        <f t="shared" si="22"/>
        <v>12912.707428024116</v>
      </c>
      <c r="S41" s="284">
        <f t="shared" si="23"/>
        <v>1.014</v>
      </c>
      <c r="T41" s="43"/>
      <c r="U41" s="9"/>
      <c r="X41" s="4"/>
    </row>
    <row r="42" spans="2:24" ht="18" thickBot="1" x14ac:dyDescent="0.35">
      <c r="B42" s="332">
        <v>1</v>
      </c>
      <c r="C42" s="323" t="s">
        <v>173</v>
      </c>
      <c r="D42" s="324">
        <v>0.86199999999999999</v>
      </c>
      <c r="E42" s="324">
        <v>0.36699999999999999</v>
      </c>
      <c r="F42" s="330" t="s">
        <v>179</v>
      </c>
      <c r="G42" s="338">
        <f t="shared" si="5"/>
        <v>18984.236590763849</v>
      </c>
      <c r="H42" s="339">
        <f t="shared" si="24"/>
        <v>18984.236590763849</v>
      </c>
      <c r="I42" s="297"/>
      <c r="J42" s="260"/>
      <c r="K42" s="44"/>
      <c r="L42" s="362">
        <f t="shared" si="16"/>
        <v>1</v>
      </c>
      <c r="M42" s="363">
        <f t="shared" si="17"/>
        <v>0.88200000000000001</v>
      </c>
      <c r="N42" s="363">
        <f t="shared" si="18"/>
        <v>0.38700000000000001</v>
      </c>
      <c r="O42" s="256">
        <f t="shared" si="19"/>
        <v>0.34133400000000003</v>
      </c>
      <c r="P42" s="254">
        <f t="shared" si="20"/>
        <v>0.34133400000000003</v>
      </c>
      <c r="Q42" s="247">
        <f t="shared" si="21"/>
        <v>18984.236590763849</v>
      </c>
      <c r="R42" s="296">
        <f t="shared" si="22"/>
        <v>20984.236590763849</v>
      </c>
      <c r="S42" s="284">
        <f t="shared" si="23"/>
        <v>0.88200000000000001</v>
      </c>
      <c r="T42" s="43"/>
      <c r="U42" s="9"/>
      <c r="X42" s="4"/>
    </row>
    <row r="43" spans="2:24" ht="18" thickBot="1" x14ac:dyDescent="0.35">
      <c r="B43" s="332">
        <v>1</v>
      </c>
      <c r="C43" s="323" t="s">
        <v>173</v>
      </c>
      <c r="D43" s="324">
        <v>0.86199999999999999</v>
      </c>
      <c r="E43" s="324">
        <v>0.36</v>
      </c>
      <c r="F43" s="330" t="s">
        <v>179</v>
      </c>
      <c r="G43" s="338">
        <f t="shared" si="5"/>
        <v>18640.852466383105</v>
      </c>
      <c r="H43" s="339">
        <f t="shared" si="24"/>
        <v>18640.852466383105</v>
      </c>
      <c r="I43" s="297"/>
      <c r="J43" s="260"/>
      <c r="K43" s="44"/>
      <c r="L43" s="362">
        <f t="shared" si="16"/>
        <v>1</v>
      </c>
      <c r="M43" s="363">
        <f t="shared" si="17"/>
        <v>0.88200000000000001</v>
      </c>
      <c r="N43" s="363">
        <f t="shared" si="18"/>
        <v>0.38</v>
      </c>
      <c r="O43" s="256">
        <f t="shared" si="19"/>
        <v>0.33516000000000001</v>
      </c>
      <c r="P43" s="254">
        <f t="shared" si="20"/>
        <v>0.33516000000000001</v>
      </c>
      <c r="Q43" s="247">
        <f t="shared" si="21"/>
        <v>18640.852466383105</v>
      </c>
      <c r="R43" s="296">
        <f t="shared" si="22"/>
        <v>20640.852466383105</v>
      </c>
      <c r="S43" s="284">
        <f t="shared" si="23"/>
        <v>0.88200000000000001</v>
      </c>
      <c r="T43" s="43"/>
      <c r="U43" s="9"/>
      <c r="X43" s="4"/>
    </row>
    <row r="44" spans="2:24" ht="18" thickBot="1" x14ac:dyDescent="0.35">
      <c r="B44" s="332">
        <v>1</v>
      </c>
      <c r="C44" s="323" t="s">
        <v>173</v>
      </c>
      <c r="D44" s="324">
        <v>2.302</v>
      </c>
      <c r="E44" s="324">
        <v>0.1</v>
      </c>
      <c r="F44" s="330" t="s">
        <v>179</v>
      </c>
      <c r="G44" s="338">
        <f t="shared" si="5"/>
        <v>15497.335992460286</v>
      </c>
      <c r="H44" s="339">
        <f t="shared" si="24"/>
        <v>15497.335992460286</v>
      </c>
      <c r="I44" s="297"/>
      <c r="J44" s="260"/>
      <c r="K44" s="44"/>
      <c r="L44" s="356">
        <f t="shared" si="16"/>
        <v>1</v>
      </c>
      <c r="M44" s="36">
        <f t="shared" si="17"/>
        <v>2.3220000000000001</v>
      </c>
      <c r="N44" s="36">
        <f t="shared" si="18"/>
        <v>0.12000000000000001</v>
      </c>
      <c r="O44" s="256">
        <f t="shared" si="19"/>
        <v>0.27864000000000005</v>
      </c>
      <c r="P44" s="254">
        <f t="shared" si="20"/>
        <v>0.27864000000000005</v>
      </c>
      <c r="Q44" s="247">
        <f t="shared" si="21"/>
        <v>15497.335992460286</v>
      </c>
      <c r="R44" s="296">
        <f t="shared" si="22"/>
        <v>17497.335992460285</v>
      </c>
      <c r="S44" s="284">
        <f t="shared" si="23"/>
        <v>2.3220000000000001</v>
      </c>
      <c r="T44" s="43"/>
      <c r="U44" s="9"/>
      <c r="X44" s="4"/>
    </row>
    <row r="45" spans="2:24" ht="18" thickBot="1" x14ac:dyDescent="0.35">
      <c r="B45" s="333">
        <v>1</v>
      </c>
      <c r="C45" s="334" t="s">
        <v>173</v>
      </c>
      <c r="D45" s="335">
        <v>1.45</v>
      </c>
      <c r="E45" s="335">
        <v>0.1</v>
      </c>
      <c r="F45" s="330" t="s">
        <v>179</v>
      </c>
      <c r="G45" s="340">
        <f t="shared" si="5"/>
        <v>9810.9749823068978</v>
      </c>
      <c r="H45" s="341">
        <f t="shared" si="24"/>
        <v>9810.9749823068978</v>
      </c>
      <c r="I45" s="297"/>
      <c r="J45" s="260"/>
      <c r="K45" s="44"/>
      <c r="L45" s="356">
        <f t="shared" si="16"/>
        <v>1</v>
      </c>
      <c r="M45" s="36">
        <f t="shared" si="17"/>
        <v>1.47</v>
      </c>
      <c r="N45" s="36">
        <f t="shared" si="18"/>
        <v>0.12000000000000001</v>
      </c>
      <c r="O45" s="256">
        <f t="shared" si="19"/>
        <v>0.1764</v>
      </c>
      <c r="P45" s="254">
        <f t="shared" si="20"/>
        <v>0.1764</v>
      </c>
      <c r="Q45" s="247">
        <f t="shared" si="21"/>
        <v>9810.9749823068978</v>
      </c>
      <c r="R45" s="296">
        <f t="shared" si="22"/>
        <v>11810.974982306898</v>
      </c>
      <c r="S45" s="284">
        <f t="shared" si="23"/>
        <v>1.47</v>
      </c>
      <c r="T45" s="43"/>
      <c r="U45" s="9"/>
      <c r="X45" s="4"/>
    </row>
    <row r="46" spans="2:24" ht="17.399999999999999" x14ac:dyDescent="0.3">
      <c r="B46" s="278"/>
      <c r="C46" s="278"/>
      <c r="D46" s="279"/>
      <c r="E46" s="279"/>
      <c r="F46" s="278"/>
      <c r="G46" s="297"/>
      <c r="H46" s="297"/>
      <c r="I46" s="297"/>
      <c r="J46" s="260"/>
      <c r="K46" s="44"/>
      <c r="L46" s="356"/>
      <c r="M46" s="36"/>
      <c r="N46" s="36"/>
      <c r="O46" s="256"/>
      <c r="P46" s="254"/>
      <c r="Q46" s="247"/>
      <c r="R46" s="296"/>
      <c r="S46" s="284"/>
      <c r="T46" s="43"/>
      <c r="U46" s="9"/>
      <c r="X46" s="4"/>
    </row>
    <row r="47" spans="2:24" ht="18" thickBot="1" x14ac:dyDescent="0.35">
      <c r="B47" s="278"/>
      <c r="C47" s="278"/>
      <c r="D47" s="279"/>
      <c r="E47" s="279"/>
      <c r="F47" s="278"/>
      <c r="G47" s="260"/>
      <c r="H47" s="298"/>
      <c r="I47" s="300"/>
      <c r="J47" s="229"/>
      <c r="K47" s="44"/>
      <c r="L47" s="44"/>
      <c r="M47" s="36"/>
      <c r="N47" s="36"/>
      <c r="O47" s="256"/>
      <c r="P47" s="254"/>
      <c r="Q47" s="247"/>
      <c r="R47" s="253"/>
      <c r="S47" s="284"/>
      <c r="T47" s="14"/>
      <c r="U47" s="9"/>
      <c r="X47" s="4"/>
    </row>
    <row r="48" spans="2:24" ht="17.399999999999999" x14ac:dyDescent="0.3">
      <c r="B48" s="278"/>
      <c r="C48" s="278"/>
      <c r="D48" s="279"/>
      <c r="E48" s="279"/>
      <c r="F48" s="278"/>
      <c r="G48" s="301" t="s">
        <v>28</v>
      </c>
      <c r="H48" s="325">
        <f>SUM(H21:H47)</f>
        <v>891994.65726000036</v>
      </c>
      <c r="I48" s="299"/>
      <c r="J48" s="260"/>
      <c r="K48" s="316"/>
      <c r="L48" s="44"/>
      <c r="M48" s="36"/>
      <c r="N48" s="36"/>
      <c r="O48" s="256"/>
      <c r="P48" s="254"/>
      <c r="Q48" s="247"/>
      <c r="R48" s="253"/>
      <c r="S48" s="284"/>
      <c r="T48" s="43">
        <f>SUM(T21:T47)</f>
        <v>1.1800000000000002</v>
      </c>
      <c r="U48" s="9"/>
      <c r="X48" s="4"/>
    </row>
    <row r="49" spans="1:24" ht="17.399999999999999" x14ac:dyDescent="0.3">
      <c r="B49" s="272"/>
      <c r="C49" s="275"/>
      <c r="D49" s="276"/>
      <c r="E49" s="276"/>
      <c r="F49" s="277"/>
      <c r="G49" s="283" t="s">
        <v>51</v>
      </c>
      <c r="H49" s="326">
        <f>H48*0.19</f>
        <v>169478.98487940006</v>
      </c>
      <c r="I49" s="299"/>
      <c r="J49" s="260"/>
      <c r="K49" s="316"/>
      <c r="L49" s="44"/>
      <c r="M49" s="36">
        <f>SUM(M21:M22)</f>
        <v>4.6440000000000001</v>
      </c>
      <c r="N49" s="12"/>
      <c r="O49" s="12"/>
      <c r="P49" s="248">
        <f>SUM(P21:P47)</f>
        <v>16.037942999999999</v>
      </c>
      <c r="Q49" s="14"/>
      <c r="R49" s="12"/>
      <c r="S49" s="235">
        <f>SUM(S21:S48)</f>
        <v>31.376999999999999</v>
      </c>
      <c r="T49" s="43"/>
      <c r="U49" s="9"/>
      <c r="X49" s="4"/>
    </row>
    <row r="50" spans="1:24" ht="18" thickBot="1" x14ac:dyDescent="0.35">
      <c r="B50" s="270"/>
      <c r="C50" s="274"/>
      <c r="D50" s="267"/>
      <c r="E50" s="267"/>
      <c r="F50" s="268"/>
      <c r="G50" s="273" t="s">
        <v>6</v>
      </c>
      <c r="H50" s="327">
        <f>H48+H49</f>
        <v>1061473.6421394004</v>
      </c>
      <c r="I50" s="299"/>
      <c r="J50" s="260"/>
      <c r="K50" s="316"/>
      <c r="L50" s="44"/>
      <c r="M50" s="36"/>
      <c r="N50" s="12"/>
      <c r="O50" s="12"/>
      <c r="P50" s="248">
        <f>P49</f>
        <v>16.037942999999999</v>
      </c>
      <c r="Q50" s="14"/>
      <c r="R50" s="12"/>
      <c r="S50" s="235"/>
      <c r="T50" s="43"/>
      <c r="U50" s="9"/>
      <c r="X50" s="4"/>
    </row>
    <row r="51" spans="1:24" ht="17.399999999999999" x14ac:dyDescent="0.3">
      <c r="B51" s="270"/>
      <c r="C51" s="266"/>
      <c r="D51" s="267"/>
      <c r="E51" s="267"/>
      <c r="F51" s="268"/>
      <c r="J51" s="260"/>
      <c r="K51" s="316"/>
      <c r="L51" s="44"/>
      <c r="M51" s="14"/>
      <c r="N51" s="12"/>
      <c r="O51" s="12"/>
      <c r="P51" s="36">
        <f>P50*20%</f>
        <v>3.2075885999999998</v>
      </c>
      <c r="Q51" s="36" t="s">
        <v>129</v>
      </c>
      <c r="R51" s="39"/>
      <c r="S51" s="236"/>
      <c r="T51" s="14"/>
      <c r="U51" s="9"/>
      <c r="X51" s="4"/>
    </row>
    <row r="52" spans="1:24" ht="17.399999999999999" x14ac:dyDescent="0.35">
      <c r="B52" s="264"/>
      <c r="C52" s="226"/>
      <c r="D52" s="226"/>
      <c r="E52" s="229"/>
      <c r="F52" s="230"/>
      <c r="G52" s="226"/>
      <c r="H52" s="269"/>
      <c r="I52" s="269"/>
      <c r="J52" s="260"/>
      <c r="K52" s="44"/>
      <c r="L52" s="44"/>
      <c r="M52" s="14"/>
      <c r="N52" s="12"/>
      <c r="O52" s="12"/>
      <c r="P52" s="43">
        <f>P50+P51</f>
        <v>19.2455316</v>
      </c>
      <c r="Q52" s="14"/>
      <c r="R52" s="14"/>
      <c r="S52" s="234"/>
      <c r="T52" s="14"/>
      <c r="U52" s="9"/>
      <c r="X52" s="4"/>
    </row>
    <row r="53" spans="1:24" ht="17.399999999999999" x14ac:dyDescent="0.35">
      <c r="B53" s="231"/>
      <c r="C53" s="232"/>
      <c r="D53" s="233"/>
      <c r="E53" s="231"/>
      <c r="F53" s="226"/>
      <c r="G53" s="226"/>
      <c r="I53" s="269"/>
      <c r="J53" s="260"/>
      <c r="K53" s="44"/>
      <c r="L53" s="44"/>
      <c r="M53" s="14"/>
      <c r="N53" s="14"/>
      <c r="O53" s="14"/>
      <c r="P53" s="14"/>
      <c r="Q53" s="14"/>
      <c r="R53" s="14"/>
      <c r="S53" s="236"/>
      <c r="T53" s="14"/>
      <c r="U53" s="288" t="s">
        <v>21</v>
      </c>
      <c r="V53" s="285" t="s">
        <v>149</v>
      </c>
      <c r="W53" s="289">
        <v>44971</v>
      </c>
      <c r="X53" s="290"/>
    </row>
    <row r="54" spans="1:24" ht="17.399999999999999" x14ac:dyDescent="0.35">
      <c r="B54" s="226"/>
      <c r="C54" s="226"/>
      <c r="D54" s="226"/>
      <c r="E54" s="226"/>
      <c r="F54" s="226"/>
      <c r="G54" s="226"/>
      <c r="J54" s="260"/>
      <c r="K54" s="44"/>
      <c r="L54" s="44"/>
      <c r="M54" s="36">
        <f>P52</f>
        <v>19.2455316</v>
      </c>
      <c r="N54" s="12">
        <v>3500</v>
      </c>
      <c r="O54" s="12">
        <f t="shared" ref="O54:O59" si="25">M54*N54</f>
        <v>67359.3606</v>
      </c>
      <c r="P54" s="14" t="s">
        <v>21</v>
      </c>
      <c r="Q54" s="14"/>
      <c r="R54" s="14"/>
      <c r="S54" s="237"/>
      <c r="T54" s="14"/>
      <c r="U54" s="288" t="s">
        <v>150</v>
      </c>
      <c r="V54" s="285">
        <v>3625</v>
      </c>
      <c r="W54" s="56" t="s">
        <v>151</v>
      </c>
      <c r="X54" s="290"/>
    </row>
    <row r="55" spans="1:24" ht="17.399999999999999" x14ac:dyDescent="0.35">
      <c r="A55" s="226"/>
      <c r="B55" s="226"/>
      <c r="C55" s="226"/>
      <c r="D55" s="226"/>
      <c r="E55" s="226"/>
      <c r="F55" s="226"/>
      <c r="G55" s="226"/>
      <c r="H55" s="226"/>
      <c r="J55" s="260"/>
      <c r="K55" s="44"/>
      <c r="L55" s="44"/>
      <c r="M55" s="244">
        <v>5.2</v>
      </c>
      <c r="N55" s="12">
        <v>40000</v>
      </c>
      <c r="O55" s="12">
        <f t="shared" si="25"/>
        <v>208000</v>
      </c>
      <c r="P55" s="36" t="s">
        <v>168</v>
      </c>
      <c r="Q55" s="39"/>
      <c r="R55" s="14"/>
      <c r="S55" s="236"/>
      <c r="T55" s="14"/>
      <c r="U55" s="288"/>
      <c r="V55" s="56">
        <v>906.25</v>
      </c>
      <c r="W55" s="56" t="s">
        <v>152</v>
      </c>
      <c r="X55" s="290"/>
    </row>
    <row r="56" spans="1:24" s="226" customFormat="1" ht="17.399999999999999" x14ac:dyDescent="0.35">
      <c r="B56" s="21" t="s">
        <v>148</v>
      </c>
      <c r="J56" s="257"/>
      <c r="K56" s="228"/>
      <c r="L56" s="245"/>
      <c r="M56" s="14"/>
      <c r="N56" s="245">
        <v>80000</v>
      </c>
      <c r="O56" s="12">
        <f t="shared" si="25"/>
        <v>0</v>
      </c>
      <c r="P56" s="36" t="s">
        <v>30</v>
      </c>
      <c r="Q56" s="39"/>
      <c r="S56" s="236"/>
      <c r="T56" s="251"/>
      <c r="U56" s="56"/>
      <c r="V56" s="56">
        <f>V55*20%</f>
        <v>181.25</v>
      </c>
      <c r="W56" s="290" t="s">
        <v>153</v>
      </c>
      <c r="X56" s="56"/>
    </row>
    <row r="57" spans="1:24" s="226" customFormat="1" ht="17.399999999999999" x14ac:dyDescent="0.35">
      <c r="B57" s="21" t="s">
        <v>163</v>
      </c>
      <c r="C57"/>
      <c r="D57"/>
      <c r="E57"/>
      <c r="F57"/>
      <c r="J57" s="257">
        <v>46000</v>
      </c>
      <c r="K57" s="228"/>
      <c r="L57" s="245"/>
      <c r="M57" s="14">
        <v>6</v>
      </c>
      <c r="N57" s="245">
        <v>24900</v>
      </c>
      <c r="O57" s="12">
        <f t="shared" si="25"/>
        <v>149400</v>
      </c>
      <c r="P57" s="14" t="s">
        <v>139</v>
      </c>
      <c r="Q57" s="17"/>
      <c r="S57" s="234"/>
      <c r="T57" s="251"/>
      <c r="U57" s="56"/>
      <c r="V57" s="56">
        <f>V55+V56</f>
        <v>1087.5</v>
      </c>
      <c r="W57" s="290" t="s">
        <v>154</v>
      </c>
      <c r="X57" s="56"/>
    </row>
    <row r="58" spans="1:24" s="226" customFormat="1" ht="17.399999999999999" x14ac:dyDescent="0.35">
      <c r="B58" s="26" t="s">
        <v>124</v>
      </c>
      <c r="C58"/>
      <c r="D58"/>
      <c r="E58"/>
      <c r="F58" s="225" t="s">
        <v>15</v>
      </c>
      <c r="J58" s="257">
        <f>J57/1.19</f>
        <v>38655.462184873948</v>
      </c>
      <c r="K58" s="255"/>
      <c r="L58" s="245"/>
      <c r="M58" s="244"/>
      <c r="N58" s="245">
        <v>900</v>
      </c>
      <c r="O58" s="12">
        <f t="shared" si="25"/>
        <v>0</v>
      </c>
      <c r="P58" s="14" t="s">
        <v>32</v>
      </c>
      <c r="Q58" s="14"/>
      <c r="R58" s="226">
        <v>1.52</v>
      </c>
      <c r="S58" s="234"/>
      <c r="T58" s="234"/>
    </row>
    <row r="59" spans="1:24" s="226" customFormat="1" ht="17.399999999999999" x14ac:dyDescent="0.35">
      <c r="J59" s="282"/>
      <c r="K59" s="255"/>
      <c r="L59" s="245"/>
      <c r="M59" s="261"/>
      <c r="N59" s="12">
        <v>1500</v>
      </c>
      <c r="O59" s="12">
        <f t="shared" si="25"/>
        <v>0</v>
      </c>
      <c r="P59" s="14" t="s">
        <v>22</v>
      </c>
      <c r="Q59" s="14"/>
      <c r="R59">
        <v>2.44</v>
      </c>
      <c r="S59"/>
      <c r="T59" s="234"/>
      <c r="X59" s="227"/>
    </row>
    <row r="60" spans="1:24" s="226" customFormat="1" ht="17.399999999999999" x14ac:dyDescent="0.35">
      <c r="K60" s="255"/>
      <c r="L60" s="245"/>
      <c r="M60" s="14"/>
      <c r="N60" s="12"/>
      <c r="O60" s="12">
        <f>SUM(O54:O59)</f>
        <v>424759.36060000001</v>
      </c>
      <c r="P60" s="36" t="s">
        <v>23</v>
      </c>
      <c r="Q60" s="14"/>
      <c r="R60">
        <f>R58*R59</f>
        <v>3.7088000000000001</v>
      </c>
      <c r="S60"/>
      <c r="T60" s="234"/>
      <c r="X60" s="227"/>
    </row>
    <row r="61" spans="1:24" s="226" customFormat="1" ht="17.399999999999999" x14ac:dyDescent="0.35">
      <c r="L61" s="245"/>
      <c r="M61" s="249" t="s">
        <v>33</v>
      </c>
      <c r="N61" s="12"/>
      <c r="O61" s="250">
        <f>O60*2.1</f>
        <v>891994.65726000012</v>
      </c>
      <c r="P61" s="14" t="s">
        <v>138</v>
      </c>
      <c r="Q61" s="14"/>
      <c r="R61" s="37">
        <f>P52/R60</f>
        <v>5.1891532571182051</v>
      </c>
      <c r="S61"/>
      <c r="T61" s="252"/>
    </row>
    <row r="62" spans="1:24" s="226" customFormat="1" ht="17.399999999999999" x14ac:dyDescent="0.35">
      <c r="G62"/>
      <c r="H62" s="255"/>
      <c r="I62" s="255"/>
      <c r="J62" s="255"/>
      <c r="L62" s="245"/>
      <c r="M62" s="14"/>
      <c r="N62" s="12"/>
      <c r="O62" s="12">
        <f>O61/P50</f>
        <v>55617.772008542503</v>
      </c>
      <c r="P62" s="42" t="s">
        <v>24</v>
      </c>
      <c r="Q62" s="14"/>
      <c r="R62" s="14"/>
      <c r="S62"/>
      <c r="T62" s="234"/>
      <c r="U62" s="56" t="s">
        <v>155</v>
      </c>
      <c r="V62" s="285">
        <v>43650</v>
      </c>
    </row>
    <row r="63" spans="1:24" s="226" customFormat="1" ht="17.399999999999999" x14ac:dyDescent="0.35">
      <c r="G63"/>
      <c r="L63" s="245"/>
      <c r="M63" s="13"/>
      <c r="N63" s="14"/>
      <c r="O63" s="17">
        <f>O61/O60</f>
        <v>2.1</v>
      </c>
      <c r="P63" s="15"/>
      <c r="Q63"/>
      <c r="R63"/>
      <c r="S63"/>
      <c r="T63" s="234"/>
      <c r="U63" s="56" t="s">
        <v>157</v>
      </c>
      <c r="V63" s="286" t="s">
        <v>156</v>
      </c>
      <c r="W63" s="56">
        <v>2.4</v>
      </c>
    </row>
    <row r="64" spans="1:24" s="226" customFormat="1" ht="17.399999999999999" x14ac:dyDescent="0.35">
      <c r="D64" s="279"/>
      <c r="E64" s="279"/>
      <c r="F64" s="278"/>
      <c r="G64" s="317"/>
      <c r="H64" s="321"/>
      <c r="L64" s="12"/>
      <c r="T64" s="234"/>
      <c r="U64" s="56" t="s">
        <v>158</v>
      </c>
      <c r="V64" s="287">
        <v>395.37</v>
      </c>
    </row>
    <row r="65" spans="2:22" s="226" customFormat="1" ht="17.399999999999999" x14ac:dyDescent="0.35">
      <c r="B65"/>
      <c r="C65" s="322"/>
      <c r="D65" s="279"/>
      <c r="E65" s="279"/>
      <c r="F65" s="278"/>
      <c r="G65" s="317"/>
      <c r="H65" s="321"/>
      <c r="L65" s="12"/>
      <c r="T65" s="234"/>
      <c r="U65" s="56" t="s">
        <v>153</v>
      </c>
      <c r="V65" s="56">
        <v>474.45</v>
      </c>
    </row>
    <row r="66" spans="2:22" ht="14.4" customHeight="1" x14ac:dyDescent="0.35">
      <c r="D66" s="279"/>
      <c r="E66" s="279"/>
      <c r="F66" s="278"/>
      <c r="G66" s="317"/>
      <c r="H66" s="321"/>
      <c r="L66" s="12"/>
      <c r="U66" s="56"/>
      <c r="V66" s="56"/>
    </row>
    <row r="67" spans="2:22" ht="17.399999999999999" x14ac:dyDescent="0.35">
      <c r="D67" s="279"/>
      <c r="E67" s="279"/>
      <c r="F67" s="278"/>
      <c r="G67" s="317"/>
      <c r="H67" s="321"/>
      <c r="L67" s="245"/>
    </row>
    <row r="68" spans="2:22" ht="17.399999999999999" x14ac:dyDescent="0.35">
      <c r="D68" s="279"/>
      <c r="E68" s="279"/>
      <c r="F68" s="278"/>
      <c r="G68" s="317"/>
      <c r="H68" s="321"/>
      <c r="L68" s="245"/>
      <c r="T68" s="265"/>
    </row>
    <row r="69" spans="2:22" ht="17.399999999999999" x14ac:dyDescent="0.35">
      <c r="D69" s="279"/>
      <c r="E69" s="279"/>
      <c r="F69" s="278"/>
      <c r="G69" s="317"/>
      <c r="H69" s="321"/>
      <c r="L69" s="245"/>
    </row>
    <row r="70" spans="2:22" ht="15" customHeight="1" x14ac:dyDescent="0.35">
      <c r="D70" s="279"/>
      <c r="E70" s="279"/>
      <c r="F70" s="278"/>
      <c r="G70" s="317"/>
      <c r="H70" s="321"/>
    </row>
    <row r="71" spans="2:22" ht="17.399999999999999" x14ac:dyDescent="0.35">
      <c r="D71" s="279"/>
      <c r="E71" s="279"/>
      <c r="F71" s="278"/>
      <c r="G71" s="317"/>
      <c r="H71" s="321"/>
    </row>
    <row r="72" spans="2:22" ht="17.399999999999999" x14ac:dyDescent="0.35">
      <c r="D72" s="279"/>
      <c r="E72" s="279"/>
      <c r="F72" s="278"/>
      <c r="G72" s="317"/>
      <c r="H72" s="321"/>
      <c r="O72">
        <v>40935</v>
      </c>
      <c r="P72" t="s">
        <v>16</v>
      </c>
      <c r="Q72" t="s">
        <v>26</v>
      </c>
    </row>
    <row r="73" spans="2:22" ht="17.399999999999999" x14ac:dyDescent="0.35">
      <c r="D73" s="279"/>
      <c r="E73" s="279"/>
      <c r="F73" s="278"/>
      <c r="G73" s="317"/>
      <c r="H73" s="321"/>
    </row>
    <row r="74" spans="2:22" ht="17.399999999999999" x14ac:dyDescent="0.35">
      <c r="D74" s="279"/>
      <c r="E74" s="279"/>
      <c r="F74" s="278"/>
      <c r="G74" s="317"/>
      <c r="H74" s="321"/>
      <c r="O74" s="51"/>
      <c r="P74" s="51"/>
    </row>
    <row r="75" spans="2:22" ht="17.399999999999999" x14ac:dyDescent="0.35">
      <c r="D75" s="279"/>
      <c r="E75" s="279"/>
      <c r="F75" s="278"/>
      <c r="G75" s="317"/>
      <c r="H75" s="321"/>
      <c r="S75" s="18"/>
      <c r="T75" s="18"/>
    </row>
    <row r="76" spans="2:22" ht="17.399999999999999" x14ac:dyDescent="0.35">
      <c r="D76" s="279"/>
      <c r="E76" s="279"/>
      <c r="F76" s="278"/>
      <c r="G76" s="317"/>
      <c r="H76" s="321"/>
      <c r="S76" s="18"/>
      <c r="T76" s="18"/>
    </row>
    <row r="77" spans="2:22" ht="17.399999999999999" x14ac:dyDescent="0.35">
      <c r="D77" s="279"/>
      <c r="E77" s="279"/>
      <c r="F77" s="278"/>
      <c r="G77" s="317"/>
      <c r="H77" s="321"/>
      <c r="S77" s="18"/>
      <c r="T77" s="18"/>
    </row>
    <row r="78" spans="2:22" x14ac:dyDescent="0.3">
      <c r="S78" s="18"/>
      <c r="T78" s="18"/>
    </row>
    <row r="79" spans="2:22" x14ac:dyDescent="0.3">
      <c r="S79" s="18"/>
      <c r="T79" s="18"/>
    </row>
    <row r="80" spans="2:22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6" spans="15:20" x14ac:dyDescent="0.3">
      <c r="O86" s="40"/>
    </row>
    <row r="87" spans="15:20" x14ac:dyDescent="0.3">
      <c r="O87" s="40"/>
    </row>
    <row r="88" spans="15:20" x14ac:dyDescent="0.3">
      <c r="O88" s="6"/>
    </row>
    <row r="89" spans="15:20" x14ac:dyDescent="0.3">
      <c r="O89" s="6"/>
    </row>
    <row r="97" spans="3:3" x14ac:dyDescent="0.3">
      <c r="C97" t="s">
        <v>145</v>
      </c>
    </row>
    <row r="98" spans="3:3" x14ac:dyDescent="0.3">
      <c r="C98" t="s">
        <v>144</v>
      </c>
    </row>
    <row r="101" spans="3:3" x14ac:dyDescent="0.3">
      <c r="C101" t="s">
        <v>144</v>
      </c>
    </row>
    <row r="178" spans="3:3" x14ac:dyDescent="0.3">
      <c r="C178" t="s">
        <v>144</v>
      </c>
    </row>
    <row r="179" spans="3:3" x14ac:dyDescent="0.3">
      <c r="C179" t="s">
        <v>146</v>
      </c>
    </row>
    <row r="180" spans="3:3" x14ac:dyDescent="0.3">
      <c r="C180" t="s">
        <v>147</v>
      </c>
    </row>
    <row r="605" spans="3:3" x14ac:dyDescent="0.3">
      <c r="C605" t="s">
        <v>144</v>
      </c>
    </row>
  </sheetData>
  <mergeCells count="2">
    <mergeCell ref="F17:H17"/>
    <mergeCell ref="B19:H19"/>
  </mergeCells>
  <phoneticPr fontId="33" type="noConversion"/>
  <hyperlinks>
    <hyperlink ref="F58" r:id="rId1" xr:uid="{00000000-0004-0000-0000-000000000000}"/>
    <hyperlink ref="C14" r:id="rId2" xr:uid="{7925F7E2-4474-490A-8CAA-82A3D6150C2C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45874</v>
      </c>
    </row>
    <row r="6" spans="1:31" ht="16.2" thickBot="1" x14ac:dyDescent="0.35">
      <c r="B6" s="137" t="s">
        <v>2</v>
      </c>
      <c r="C6" s="136" t="str">
        <f>'2229'!C10</f>
        <v>MUEBLES LAZ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50" t="s">
        <v>98</v>
      </c>
      <c r="I7" s="351"/>
      <c r="J7" s="351"/>
      <c r="K7" s="352"/>
      <c r="N7" s="72"/>
      <c r="O7" s="34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-69908.903976570102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'2229'!H48</f>
        <v>891994.65726000036</v>
      </c>
      <c r="E11" s="129">
        <f>D11*0.19</f>
        <v>169478.98487940006</v>
      </c>
      <c r="F11" s="128">
        <f>E11+D11</f>
        <v>1061473.6421394004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36081.096023429898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295338.27087536233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18081.096023429898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596656.38638463803</v>
      </c>
      <c r="E13" s="218">
        <f>(D11/D12)-1</f>
        <v>2.0202474424198038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9081.0960234298982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-29918.903976570102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562324.06774668989</v>
      </c>
      <c r="C15" s="210" t="s">
        <v>121</v>
      </c>
      <c r="D15" s="211">
        <v>0.6</v>
      </c>
      <c r="E15" s="212">
        <f>(100%+D15)*D12</f>
        <v>472541.23340057977</v>
      </c>
      <c r="F15" s="213">
        <f>E15-D12</f>
        <v>177202.96252521744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-29918.903976570102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10081.096023429898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'2229'!O56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'2229'!O55</f>
        <v>208000</v>
      </c>
      <c r="E19" s="120">
        <f>D19*0.19</f>
        <v>39520</v>
      </c>
      <c r="F19" s="117">
        <f>SUM(D19:E19)</f>
        <v>247520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'2229'!O54</f>
        <v>67359.3606</v>
      </c>
      <c r="E20" s="118">
        <f>D20*0.19</f>
        <v>12798.278514</v>
      </c>
      <c r="F20" s="117">
        <f>SUM(D20:E20)</f>
        <v>80157.639114000005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275359.36060000001</v>
      </c>
      <c r="E21" s="113">
        <f>SUM(E18:E20)</f>
        <v>52318.278513999998</v>
      </c>
      <c r="F21" s="112">
        <f>SUM(F18:F20)</f>
        <v>327677.63911400002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117160.70636540005</v>
      </c>
    </row>
    <row r="41" spans="2:16" ht="15" thickBot="1" x14ac:dyDescent="0.35">
      <c r="H41" s="353" t="s">
        <v>60</v>
      </c>
      <c r="I41" s="354"/>
      <c r="J41" s="354"/>
      <c r="K41" s="354"/>
      <c r="L41" s="354"/>
      <c r="M41" s="35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891994.65726000036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275359.36060000001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596656.38638463803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596656.38638463803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2025-08-05T00:27:39Z</cp:lastPrinted>
  <dcterms:created xsi:type="dcterms:W3CDTF">2013-03-18T13:35:42Z</dcterms:created>
  <dcterms:modified xsi:type="dcterms:W3CDTF">2025-08-05T18:48:26Z</dcterms:modified>
</cp:coreProperties>
</file>