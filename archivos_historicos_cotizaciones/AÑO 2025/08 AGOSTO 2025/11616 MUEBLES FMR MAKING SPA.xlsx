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B4C9D8DD-FA23-40FA-8D07-1651EBCA77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" l="1"/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l="1"/>
  <c r="O38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G21" i="1" s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<sst xmlns="http://schemas.openxmlformats.org/spreadsheetml/2006/main" count="232" uniqueCount="177">
  <si>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</si>
  <si>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</si>
  <si>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</si>
  <si>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</si>
  <si>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</si>
  <si>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</si>
  <si>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</si>
  <si>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</si>
  <si>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</si>
  <si>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</si>
  <si>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</si>
  <si>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</si>
  <si>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</si>
  <si>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</si>
  <si>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</si>
  <si>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</si>
  <si>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</si>
  <si>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</si>
  <si>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</si>
  <si>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</si>
  <si>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</si>
  <si>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</si>
  <si>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</si>
  <si>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</si>
  <si>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</si>
  <si>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</si>
  <si>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</si>
  <si>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</si>
  <si>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</si>
  <si>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</si>
  <si>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</si>
  <si>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</si>
  <si>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</si>
  <si>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</si>
  <si>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</si>
  <si>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</si>
  <si>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</si>
  <si>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</si>
  <si>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</si>
  <si>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</si>
  <si>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</si>
  <si>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</si>
  <si>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</si>
  <si>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</si>
  <si>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</si>
  <si>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</si>
  <si>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</si>
  <si>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</si>
  <si>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</si>
  <si>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</si>
  <si>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</si>
  <si>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</si>
  <si>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</si>
  <si>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</si>
  <si>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</si>
  <si>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</si>
  <si>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</si>
  <si>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</si>
  <si>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</si>
  <si>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</si>
  <si>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</si>
  <si>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</si>
  <si>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</si>
  <si>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</si>
  <si>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</si>
  <si>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</si>
  <si>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</si>
  <si>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</si>
  <si>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</si>
  <si>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</si>
  <si>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</si>
  <si>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</si>
  <si>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</si>
  <si>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</si>
  <si>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</si>
  <si>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</si>
  <si>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</si>
  <si>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</si>
  <si>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</si>
  <si>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</si>
  <si>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</si>
  <si>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</si>
  <si>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</si>
  <si>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</si>
  <si>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</si>
  <si>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</si>
  <si>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</si>
  <si>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</si>
  <si>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</si>
  <si>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</si>
  <si>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</si>
  <si>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</si>
  <si>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</si>
  <si>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</si>
  <si>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</si>
  <si>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</si>
  <si>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</si>
  <si>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</si>
  <si>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</si>
  <si>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</si>
  <si>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</si>
  <si>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</si>
  <si>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</si>
  <si>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</si>
  <si>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</si>
  <si>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</si>
  <si>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</si>
  <si>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</si>
  <si>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</si>
  <si>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</si>
  <si>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</si>
  <si>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</si>
  <si>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</si>
  <si>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</si>
  <si>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</si>
  <si>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</si>
  <si>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</si>
  <si>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</si>
  <si>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</si>
  <si>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</si>
  <si>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</si>
  <si>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</si>
  <si>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</si>
  <si>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</si>
  <si>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</si>
  <si>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</si>
  <si>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</si>
  <si>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</si>
  <si>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</si>
  <si>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</si>
  <si>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</si>
  <si>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</si>
  <si>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</si>
  <si>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</si>
  <si>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</si>
  <si>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</si>
  <si>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</si>
  <si>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</si>
  <si>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</si>
  <si>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</si>
  <si>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</si>
  <si>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</si>
  <si>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</si>
  <si>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</si>
  <si>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</si>
  <si>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</si>
  <si>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</si>
  <si>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</si>
  <si>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</si>
  <si>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</si>
  <si>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</si>
  <si>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</si>
  <si>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</si>
  <si>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</si>
  <si>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</si>
  <si>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</si>
  <si>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</si>
  <si>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</si>
  <si>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</si>
  <si>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</si>
  <si>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</si>
  <si>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</si>
  <si>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</si>
  <si>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</si>
  <si>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</si>
  <si>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</si>
  <si>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</si>
  <si>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</si>
  <si>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</si>
  <si>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MUEBLES FMR MAKING SPA</t>
  </si>
  <si>
    <t>569 2062 2586</t>
  </si>
  <si>
    <t>MELAMIL 15MM</t>
  </si>
  <si>
    <t>YUSBEE CASTAÑEDA</t>
  </si>
  <si>
    <t>5 DIAS HABILES</t>
  </si>
  <si>
    <t>N° 11616</t>
  </si>
  <si>
    <t>PR6</t>
  </si>
  <si>
    <t>LATTE 2167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</si>
</sst>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22" fillId="0" borderId="0" xfId="0" applyFont="1" applyBorder="1"/>
    <xf numFmtId="0" fontId="0" fillId="0" borderId="0" xfId="0" applyBorder="1"/>
    <xf numFmtId="166" fontId="32" fillId="0" borderId="0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66" fontId="22" fillId="0" borderId="0" xfId="0" applyNumberFormat="1" applyFont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PUERTAS SE ENTREGAN CORTADAS A LA MEDIDA Y ENCHAPADAS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3" t="s">
        <v>125</v>
      </c>
      <c r="C8" s="324"/>
      <c r="D8" s="325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4" t="s">
        <v>159</v>
      </c>
      <c r="C10" s="306" t="s">
        <v>169</v>
      </c>
      <c r="D10" s="240"/>
      <c r="E10" s="240"/>
      <c r="F10" s="241" t="s">
        <v>167</v>
      </c>
      <c r="G10" s="272">
        <v>45895</v>
      </c>
      <c r="H10" s="242"/>
      <c r="K10" s="1"/>
      <c r="R10" s="2"/>
      <c r="S10" s="3"/>
      <c r="T10" s="3"/>
      <c r="U10" s="4"/>
      <c r="V10" s="2"/>
      <c r="W10" s="3"/>
    </row>
    <row r="11" spans="2:24" ht="16.8" x14ac:dyDescent="0.4">
      <c r="B11" s="281" t="s">
        <v>12</v>
      </c>
      <c r="C11" s="307"/>
      <c r="F11" t="s">
        <v>166</v>
      </c>
      <c r="G11" s="308" t="s">
        <v>173</v>
      </c>
      <c r="H11" s="282"/>
      <c r="Q11" s="19"/>
      <c r="R11" s="22" t="s">
        <v>18</v>
      </c>
      <c r="S11" s="19"/>
    </row>
    <row r="12" spans="2:24" x14ac:dyDescent="0.3">
      <c r="B12" s="243" t="s">
        <v>142</v>
      </c>
      <c r="C12" s="309"/>
      <c r="D12" s="310"/>
      <c r="E12" s="310"/>
      <c r="F12" s="310" t="s">
        <v>126</v>
      </c>
      <c r="G12" s="311" t="s">
        <v>133</v>
      </c>
      <c r="H12" s="244"/>
      <c r="Q12" s="19"/>
      <c r="R12" s="22"/>
      <c r="S12" s="19"/>
    </row>
    <row r="13" spans="2:24" x14ac:dyDescent="0.3">
      <c r="B13" s="281" t="s">
        <v>143</v>
      </c>
      <c r="C13" t="s">
        <v>172</v>
      </c>
      <c r="F13" t="s">
        <v>165</v>
      </c>
      <c r="G13" s="312" t="s">
        <v>133</v>
      </c>
      <c r="H13" s="282"/>
      <c r="Q13" s="19"/>
      <c r="R13" s="22"/>
      <c r="S13" s="19"/>
    </row>
    <row r="14" spans="2:24" x14ac:dyDescent="0.3">
      <c r="B14" s="243" t="s">
        <v>137</v>
      </c>
      <c r="C14" s="313"/>
      <c r="D14" s="310"/>
      <c r="E14" s="310"/>
      <c r="F14" s="310" t="s">
        <v>134</v>
      </c>
      <c r="G14" s="314" t="s">
        <v>133</v>
      </c>
      <c r="H14" s="244"/>
      <c r="K14" s="26"/>
      <c r="Q14" s="20"/>
      <c r="R14" s="23" t="s">
        <v>17</v>
      </c>
      <c r="S14" s="20"/>
    </row>
    <row r="15" spans="2:24" ht="15.6" x14ac:dyDescent="0.3">
      <c r="B15" s="281" t="s">
        <v>4</v>
      </c>
      <c r="C15" s="315" t="s">
        <v>170</v>
      </c>
      <c r="D15" s="316"/>
      <c r="F15" t="s">
        <v>168</v>
      </c>
      <c r="G15" s="317" t="s">
        <v>133</v>
      </c>
      <c r="H15" s="282"/>
    </row>
    <row r="16" spans="2:24" ht="16.8" x14ac:dyDescent="0.4">
      <c r="B16" s="298" t="s">
        <v>3</v>
      </c>
      <c r="C16" s="318"/>
      <c r="D16" s="310"/>
      <c r="E16" s="310"/>
      <c r="F16" s="319" t="s">
        <v>128</v>
      </c>
      <c r="G16" s="320" t="s">
        <v>160</v>
      </c>
      <c r="H16" s="244"/>
    </row>
    <row r="17" spans="1:25" ht="15" thickBot="1" x14ac:dyDescent="0.35">
      <c r="B17" s="295" t="s">
        <v>13</v>
      </c>
      <c r="C17" s="296" t="s">
        <v>163</v>
      </c>
      <c r="D17" s="297"/>
      <c r="E17" s="116"/>
      <c r="F17" s="329" t="s">
        <v>162</v>
      </c>
      <c r="G17" s="329"/>
      <c r="H17" s="330"/>
      <c r="I17" s="259"/>
      <c r="J17" s="259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1" t="s">
        <v>95</v>
      </c>
      <c r="C19" s="332"/>
      <c r="D19" s="332"/>
      <c r="E19" s="332"/>
      <c r="F19" s="332"/>
      <c r="G19" s="332"/>
      <c r="H19" s="333"/>
      <c r="I19" s="260"/>
      <c r="J19" s="260"/>
      <c r="K19" s="5"/>
      <c r="L19" s="246"/>
      <c r="M19" s="14">
        <v>0.02</v>
      </c>
      <c r="N19" s="14"/>
      <c r="O19" s="14"/>
      <c r="P19" s="247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130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1"/>
      <c r="J20" s="261"/>
      <c r="K20" s="44"/>
      <c r="L20" s="264" t="str">
        <f>B20</f>
        <v>UNIDAD</v>
      </c>
      <c r="M20" s="263" t="s">
        <v>130</v>
      </c>
      <c r="N20" s="36" t="str">
        <f t="shared" ref="N20" si="0">E20</f>
        <v>ANCHO</v>
      </c>
      <c r="O20" s="257" t="s">
        <v>131</v>
      </c>
      <c r="P20" s="255" t="s">
        <v>16</v>
      </c>
      <c r="Q20" s="248">
        <f>O38</f>
        <v>79892.18959513538</v>
      </c>
      <c r="R20" s="254">
        <v>3000</v>
      </c>
      <c r="S20" s="35"/>
      <c r="T20" s="14" t="s">
        <v>127</v>
      </c>
      <c r="U20" s="9"/>
      <c r="X20" s="4"/>
    </row>
    <row r="21" spans="1:25" ht="18" thickBot="1" x14ac:dyDescent="0.35">
      <c r="B21" s="341">
        <v>12</v>
      </c>
      <c r="C21" s="342" t="s">
        <v>175</v>
      </c>
      <c r="D21" s="343">
        <v>0.251</v>
      </c>
      <c r="E21" s="343">
        <v>0.497</v>
      </c>
      <c r="F21" s="342" t="s">
        <v>176</v>
      </c>
      <c r="G21" s="344">
        <f>R21</f>
        <v>13760.439339999999</v>
      </c>
      <c r="H21" s="345">
        <f>G21*B21</f>
        <v>165125.27208</v>
      </c>
      <c r="I21" s="300"/>
      <c r="J21" s="261"/>
      <c r="K21" s="44"/>
      <c r="L21" s="44">
        <f>B21</f>
        <v>12</v>
      </c>
      <c r="M21" s="36">
        <f>D21+M$19</f>
        <v>0.27100000000000002</v>
      </c>
      <c r="N21" s="36">
        <f>E21+$N$19</f>
        <v>0.497</v>
      </c>
      <c r="O21" s="257">
        <f t="shared" ref="O21" si="1">M21*N21</f>
        <v>0.134687</v>
      </c>
      <c r="P21" s="255">
        <f t="shared" ref="P21" si="2">O21*L21</f>
        <v>1.616244</v>
      </c>
      <c r="Q21" s="248">
        <f t="shared" ref="Q21" si="3">Q$20*O21</f>
        <v>10760.439339999999</v>
      </c>
      <c r="R21" s="299">
        <f t="shared" ref="R21" si="4">Q21+R$20</f>
        <v>13760.439339999999</v>
      </c>
      <c r="S21" s="287">
        <f>M21*L21</f>
        <v>3.2520000000000002</v>
      </c>
      <c r="T21" s="43">
        <f>N21*2*L21*2</f>
        <v>23.856000000000002</v>
      </c>
      <c r="U21" s="9"/>
      <c r="X21" s="4"/>
    </row>
    <row r="22" spans="1:25" ht="17.399999999999999" x14ac:dyDescent="0.3">
      <c r="B22" s="279"/>
      <c r="C22" s="279"/>
      <c r="D22" s="280"/>
      <c r="E22" s="280"/>
      <c r="F22" s="279"/>
      <c r="G22" s="300"/>
      <c r="H22" s="300"/>
      <c r="I22" s="300"/>
      <c r="J22" s="261"/>
      <c r="K22" s="44"/>
      <c r="L22" s="44"/>
      <c r="M22" s="36"/>
      <c r="N22" s="36"/>
      <c r="O22" s="257"/>
      <c r="P22" s="255"/>
      <c r="Q22" s="248"/>
      <c r="R22" s="299"/>
      <c r="S22" s="287"/>
      <c r="T22" s="43"/>
      <c r="U22" s="9"/>
      <c r="X22" s="4"/>
    </row>
    <row r="23" spans="1:25" ht="18" thickBot="1" x14ac:dyDescent="0.35">
      <c r="B23" s="279"/>
      <c r="C23" s="279"/>
      <c r="D23" s="280"/>
      <c r="E23" s="280"/>
      <c r="F23" s="279"/>
      <c r="G23" s="261"/>
      <c r="H23" s="301"/>
      <c r="I23" s="303"/>
      <c r="J23" s="230"/>
      <c r="K23" s="44"/>
      <c r="L23" s="44"/>
      <c r="M23" s="36"/>
      <c r="N23" s="36"/>
      <c r="O23" s="257"/>
      <c r="P23" s="255"/>
      <c r="Q23" s="248"/>
      <c r="R23" s="254"/>
      <c r="S23" s="287"/>
      <c r="T23" s="14"/>
      <c r="U23" s="9"/>
      <c r="X23" s="4"/>
    </row>
    <row r="24" spans="1:25" ht="17.399999999999999" x14ac:dyDescent="0.3">
      <c r="B24" s="279"/>
      <c r="C24" s="279"/>
      <c r="D24" s="280"/>
      <c r="E24" s="280"/>
      <c r="F24" s="279"/>
      <c r="G24" s="304" t="s">
        <v>28</v>
      </c>
      <c r="H24" s="305">
        <f>SUM(H21:H23)</f>
        <v>165125.27208</v>
      </c>
      <c r="I24" s="302"/>
      <c r="J24" s="261"/>
      <c r="K24" s="321"/>
      <c r="L24" s="44"/>
      <c r="M24" s="36"/>
      <c r="N24" s="36"/>
      <c r="O24" s="257"/>
      <c r="P24" s="255"/>
      <c r="Q24" s="248"/>
      <c r="R24" s="254"/>
      <c r="S24" s="287"/>
      <c r="T24" s="43">
        <f>SUM(T21:T23)</f>
        <v>23.856000000000002</v>
      </c>
      <c r="U24" s="9"/>
      <c r="X24" s="4"/>
    </row>
    <row r="25" spans="1:25" ht="17.399999999999999" x14ac:dyDescent="0.3">
      <c r="B25" s="273"/>
      <c r="C25" s="276"/>
      <c r="D25" s="277"/>
      <c r="E25" s="277"/>
      <c r="F25" s="278"/>
      <c r="G25" s="286" t="s">
        <v>51</v>
      </c>
      <c r="H25" s="284">
        <f>H24*19%</f>
        <v>31373.8016952</v>
      </c>
      <c r="I25" s="302"/>
      <c r="J25" s="261"/>
      <c r="K25" s="321"/>
      <c r="L25" s="44"/>
      <c r="M25" s="36">
        <f>SUM(M21:M21)</f>
        <v>0.27100000000000002</v>
      </c>
      <c r="N25" s="12"/>
      <c r="O25" s="12"/>
      <c r="P25" s="249">
        <f>SUM(P21:P23)</f>
        <v>1.616244</v>
      </c>
      <c r="Q25" s="14"/>
      <c r="R25" s="12"/>
      <c r="S25" s="236">
        <f>SUM(S21:S24)</f>
        <v>3.2520000000000002</v>
      </c>
      <c r="T25" s="43"/>
      <c r="U25" s="9"/>
      <c r="X25" s="4"/>
    </row>
    <row r="26" spans="1:25" ht="18" thickBot="1" x14ac:dyDescent="0.35">
      <c r="B26" s="271"/>
      <c r="C26" s="275"/>
      <c r="D26" s="268"/>
      <c r="E26" s="268"/>
      <c r="F26" s="269"/>
      <c r="G26" s="274" t="s">
        <v>6</v>
      </c>
      <c r="H26" s="285">
        <f>H24+H25</f>
        <v>196499.0737752</v>
      </c>
      <c r="I26" s="302"/>
      <c r="J26" s="261"/>
      <c r="K26" s="321"/>
      <c r="L26" s="44"/>
      <c r="M26" s="36"/>
      <c r="N26" s="12"/>
      <c r="O26" s="12"/>
      <c r="P26" s="249">
        <f>P25</f>
        <v>1.616244</v>
      </c>
      <c r="Q26" s="14"/>
      <c r="R26" s="12"/>
      <c r="S26" s="236"/>
      <c r="T26" s="43"/>
      <c r="U26" s="9"/>
      <c r="X26" s="4"/>
    </row>
    <row r="27" spans="1:25" ht="17.399999999999999" x14ac:dyDescent="0.3">
      <c r="B27" s="271"/>
      <c r="C27" s="267"/>
      <c r="D27" s="268"/>
      <c r="E27" s="268"/>
      <c r="F27" s="269"/>
      <c r="J27" s="261"/>
      <c r="K27" s="321"/>
      <c r="L27" s="44"/>
      <c r="M27" s="14"/>
      <c r="N27" s="12"/>
      <c r="O27" s="12"/>
      <c r="P27" s="36">
        <f>P26*20%</f>
        <v>0.3232488</v>
      </c>
      <c r="Q27" s="36" t="s">
        <v>129</v>
      </c>
      <c r="R27" s="39"/>
      <c r="S27" s="237"/>
      <c r="T27" s="14"/>
      <c r="U27" s="9"/>
      <c r="X27" s="4"/>
    </row>
    <row r="28" spans="1:25" ht="17.399999999999999" x14ac:dyDescent="0.35">
      <c r="B28" s="265"/>
      <c r="C28" s="227"/>
      <c r="D28" s="227"/>
      <c r="E28" s="230"/>
      <c r="F28" s="231"/>
      <c r="G28" s="227"/>
      <c r="H28" s="270"/>
      <c r="I28" s="270"/>
      <c r="J28" s="261"/>
      <c r="K28" s="44"/>
      <c r="L28" s="44"/>
      <c r="M28" s="14"/>
      <c r="N28" s="12"/>
      <c r="O28" s="12"/>
      <c r="P28" s="43">
        <f>P26+P27</f>
        <v>1.9394928</v>
      </c>
      <c r="Q28" s="14"/>
      <c r="R28" s="14"/>
      <c r="S28" s="235"/>
      <c r="T28" s="14"/>
      <c r="U28" s="9"/>
      <c r="X28" s="4"/>
    </row>
    <row r="29" spans="1:25" ht="17.399999999999999" x14ac:dyDescent="0.35">
      <c r="B29" s="232"/>
      <c r="C29" s="233"/>
      <c r="D29" s="234"/>
      <c r="E29" s="232"/>
      <c r="F29" s="227"/>
      <c r="G29" s="227"/>
      <c r="I29" s="270"/>
      <c r="J29" s="261"/>
      <c r="K29" s="44"/>
      <c r="L29" s="44"/>
      <c r="M29" s="14"/>
      <c r="N29" s="14"/>
      <c r="O29" s="14"/>
      <c r="P29" s="14"/>
      <c r="Q29" s="14"/>
      <c r="R29" s="14"/>
      <c r="S29" s="237"/>
      <c r="T29" s="14"/>
      <c r="U29" s="291" t="s">
        <v>21</v>
      </c>
      <c r="V29" s="288" t="s">
        <v>149</v>
      </c>
      <c r="W29" s="292">
        <v>44971</v>
      </c>
      <c r="X29" s="293"/>
    </row>
    <row r="30" spans="1:25" ht="17.399999999999999" x14ac:dyDescent="0.35">
      <c r="B30" s="227"/>
      <c r="C30" s="227"/>
      <c r="D30" s="227"/>
      <c r="E30" s="227"/>
      <c r="F30" s="227"/>
      <c r="G30" s="227"/>
      <c r="J30" s="261"/>
      <c r="K30" s="44"/>
      <c r="L30" s="44"/>
      <c r="M30" s="36">
        <f>P28</f>
        <v>1.9394928</v>
      </c>
      <c r="N30" s="12">
        <v>3500</v>
      </c>
      <c r="O30" s="12">
        <f t="shared" ref="O30:O35" si="5">M30*N30</f>
        <v>6788.2248</v>
      </c>
      <c r="P30" s="14" t="s">
        <v>21</v>
      </c>
      <c r="Q30" s="14"/>
      <c r="R30" s="14"/>
      <c r="S30" s="238"/>
      <c r="T30" s="14"/>
      <c r="U30" s="291" t="s">
        <v>150</v>
      </c>
      <c r="V30" s="288">
        <v>3625</v>
      </c>
      <c r="W30" s="56" t="s">
        <v>151</v>
      </c>
      <c r="X30" s="293"/>
    </row>
    <row r="31" spans="1:25" ht="17.399999999999999" x14ac:dyDescent="0.35">
      <c r="A31" s="227"/>
      <c r="B31" s="227"/>
      <c r="C31" s="227"/>
      <c r="D31" s="227"/>
      <c r="E31" s="227"/>
      <c r="F31" s="227"/>
      <c r="G31" s="227"/>
      <c r="H31" s="227"/>
      <c r="J31" s="261"/>
      <c r="K31" s="44"/>
      <c r="L31" s="44"/>
      <c r="M31" s="245">
        <v>0.6</v>
      </c>
      <c r="N31" s="12">
        <v>40000</v>
      </c>
      <c r="O31" s="12">
        <f t="shared" si="5"/>
        <v>24000</v>
      </c>
      <c r="P31" s="36" t="s">
        <v>171</v>
      </c>
      <c r="Q31" s="39"/>
      <c r="R31" s="14"/>
      <c r="S31" s="237"/>
      <c r="T31" s="14"/>
      <c r="U31" s="291"/>
      <c r="V31" s="56">
        <v>906.25</v>
      </c>
      <c r="W31" s="56" t="s">
        <v>152</v>
      </c>
      <c r="X31" s="293"/>
    </row>
    <row r="32" spans="1:25" s="227" customFormat="1" ht="17.399999999999999" x14ac:dyDescent="0.35">
      <c r="B32" s="21" t="s">
        <v>148</v>
      </c>
      <c r="J32" s="258"/>
      <c r="K32" s="229"/>
      <c r="L32" s="246"/>
      <c r="M32" s="14"/>
      <c r="N32" s="246">
        <v>30637</v>
      </c>
      <c r="O32" s="12">
        <f t="shared" si="5"/>
        <v>0</v>
      </c>
      <c r="P32" s="36" t="s">
        <v>30</v>
      </c>
      <c r="Q32" s="39"/>
      <c r="S32" s="237"/>
      <c r="T32" s="252"/>
      <c r="U32" s="56"/>
      <c r="V32" s="56">
        <f>V31*20%</f>
        <v>181.25</v>
      </c>
      <c r="W32" s="293" t="s">
        <v>153</v>
      </c>
      <c r="X32" s="56"/>
    </row>
    <row r="33" spans="2:24" s="227" customFormat="1" ht="17.399999999999999" x14ac:dyDescent="0.35">
      <c r="B33" s="21" t="s">
        <v>164</v>
      </c>
      <c r="C33"/>
      <c r="D33"/>
      <c r="E33"/>
      <c r="F33"/>
      <c r="J33" s="258"/>
      <c r="K33" s="229"/>
      <c r="L33" s="246"/>
      <c r="M33" s="14">
        <v>1</v>
      </c>
      <c r="N33" s="246">
        <v>30700</v>
      </c>
      <c r="O33" s="12">
        <f t="shared" si="5"/>
        <v>30700</v>
      </c>
      <c r="P33" s="14" t="s">
        <v>139</v>
      </c>
      <c r="Q33" s="17"/>
      <c r="S33" s="235"/>
      <c r="T33" s="252"/>
      <c r="U33" s="56"/>
      <c r="V33" s="56">
        <f>V31+V32</f>
        <v>1087.5</v>
      </c>
      <c r="W33" s="293" t="s">
        <v>154</v>
      </c>
      <c r="X33" s="56"/>
    </row>
    <row r="34" spans="2:24" s="227" customFormat="1" ht="17.399999999999999" x14ac:dyDescent="0.35">
      <c r="B34" s="26" t="s">
        <v>124</v>
      </c>
      <c r="C34"/>
      <c r="D34"/>
      <c r="E34"/>
      <c r="F34" s="226" t="s">
        <v>15</v>
      </c>
      <c r="J34" s="258"/>
      <c r="K34" s="256"/>
      <c r="L34" s="246"/>
      <c r="M34" s="245"/>
      <c r="N34" s="246">
        <v>900</v>
      </c>
      <c r="O34" s="12">
        <f t="shared" si="5"/>
        <v>0</v>
      </c>
      <c r="P34" s="14" t="s">
        <v>32</v>
      </c>
      <c r="Q34" s="14"/>
      <c r="R34" s="227">
        <v>1.52</v>
      </c>
      <c r="S34" s="235"/>
      <c r="T34" s="235"/>
    </row>
    <row r="35" spans="2:24" s="227" customFormat="1" ht="17.399999999999999" x14ac:dyDescent="0.35">
      <c r="J35" s="283"/>
      <c r="K35" s="256"/>
      <c r="L35" s="246"/>
      <c r="M35" s="262"/>
      <c r="N35" s="12">
        <v>1000</v>
      </c>
      <c r="O35" s="12">
        <f t="shared" si="5"/>
        <v>0</v>
      </c>
      <c r="P35" s="14" t="s">
        <v>22</v>
      </c>
      <c r="Q35" s="14"/>
      <c r="R35">
        <v>2.44</v>
      </c>
      <c r="S35"/>
      <c r="T35" s="235"/>
      <c r="X35" s="228"/>
    </row>
    <row r="36" spans="2:24" s="227" customFormat="1" ht="17.399999999999999" x14ac:dyDescent="0.35">
      <c r="K36" s="256"/>
      <c r="L36" s="246"/>
      <c r="M36" s="14"/>
      <c r="N36" s="12"/>
      <c r="O36" s="12">
        <f>SUM(O30:O35)</f>
        <v>61488.224799999996</v>
      </c>
      <c r="P36" s="36" t="s">
        <v>23</v>
      </c>
      <c r="Q36" s="14"/>
      <c r="R36">
        <f>R34*R35</f>
        <v>3.7088000000000001</v>
      </c>
      <c r="S36"/>
      <c r="T36" s="235"/>
      <c r="X36" s="228"/>
    </row>
    <row r="37" spans="2:24" s="227" customFormat="1" ht="17.399999999999999" x14ac:dyDescent="0.35">
      <c r="L37" s="246"/>
      <c r="M37" s="250" t="s">
        <v>33</v>
      </c>
      <c r="N37" s="12"/>
      <c r="O37" s="251">
        <f>O36*2.1</f>
        <v>129125.27208</v>
      </c>
      <c r="P37" s="14" t="s">
        <v>138</v>
      </c>
      <c r="Q37" s="14"/>
      <c r="R37" s="37">
        <f>P28/R36</f>
        <v>0.52294348576358929</v>
      </c>
      <c r="S37"/>
      <c r="T37" s="253"/>
    </row>
    <row r="38" spans="2:24" s="227" customFormat="1" ht="17.399999999999999" x14ac:dyDescent="0.35">
      <c r="G38"/>
      <c r="H38" s="256"/>
      <c r="I38" s="256"/>
      <c r="J38" s="256"/>
      <c r="L38" s="246"/>
      <c r="M38" s="14"/>
      <c r="N38" s="12"/>
      <c r="O38" s="12">
        <f>O37/P26</f>
        <v>79892.18959513538</v>
      </c>
      <c r="P38" s="42" t="s">
        <v>24</v>
      </c>
      <c r="Q38" s="14"/>
      <c r="R38" s="14"/>
      <c r="S38"/>
      <c r="T38" s="235"/>
      <c r="U38" s="56" t="s">
        <v>155</v>
      </c>
      <c r="V38" s="288">
        <v>43650</v>
      </c>
    </row>
    <row r="39" spans="2:24" s="227" customFormat="1" ht="17.399999999999999" x14ac:dyDescent="0.35">
      <c r="D39" s="346"/>
      <c r="E39" s="346"/>
      <c r="F39" s="346"/>
      <c r="G39" s="347"/>
      <c r="H39" s="346"/>
      <c r="L39" s="246"/>
      <c r="M39" s="13"/>
      <c r="N39" s="14"/>
      <c r="O39" s="17">
        <f>O37/O36</f>
        <v>2.1</v>
      </c>
      <c r="P39" s="15"/>
      <c r="Q39"/>
      <c r="R39"/>
      <c r="S39"/>
      <c r="T39" s="235"/>
      <c r="U39" s="56" t="s">
        <v>157</v>
      </c>
      <c r="V39" s="289" t="s">
        <v>156</v>
      </c>
      <c r="W39" s="56">
        <v>2.4</v>
      </c>
    </row>
    <row r="40" spans="2:24" s="227" customFormat="1" ht="17.399999999999999" x14ac:dyDescent="0.35">
      <c r="D40" s="348"/>
      <c r="E40" s="348"/>
      <c r="F40" s="349"/>
      <c r="G40" s="322"/>
      <c r="H40" s="350"/>
      <c r="L40" s="12"/>
      <c r="T40" s="235"/>
      <c r="U40" s="56" t="s">
        <v>158</v>
      </c>
      <c r="V40" s="290">
        <v>395.37</v>
      </c>
    </row>
    <row r="41" spans="2:24" s="227" customFormat="1" ht="17.399999999999999" x14ac:dyDescent="0.35">
      <c r="B41"/>
      <c r="C41" s="225"/>
      <c r="D41" s="348"/>
      <c r="E41" s="348"/>
      <c r="F41" s="349"/>
      <c r="G41" s="322"/>
      <c r="H41" s="350"/>
      <c r="L41" s="12"/>
      <c r="T41" s="235"/>
      <c r="U41" s="56" t="s">
        <v>153</v>
      </c>
      <c r="V41" s="56">
        <v>474.45</v>
      </c>
    </row>
    <row r="42" spans="2:24" ht="14.4" customHeight="1" x14ac:dyDescent="0.35">
      <c r="D42" s="348"/>
      <c r="E42" s="348"/>
      <c r="F42" s="349"/>
      <c r="G42" s="322"/>
      <c r="H42" s="350"/>
      <c r="L42" s="12"/>
      <c r="U42" s="56"/>
      <c r="V42" s="56"/>
    </row>
    <row r="43" spans="2:24" ht="17.399999999999999" x14ac:dyDescent="0.35">
      <c r="D43" s="348"/>
      <c r="E43" s="348"/>
      <c r="F43" s="349"/>
      <c r="G43" s="322"/>
      <c r="H43" s="350"/>
      <c r="L43" s="246"/>
    </row>
    <row r="44" spans="2:24" ht="17.399999999999999" x14ac:dyDescent="0.35">
      <c r="D44" s="348"/>
      <c r="E44" s="348"/>
      <c r="F44" s="349"/>
      <c r="G44" s="322"/>
      <c r="H44" s="350"/>
      <c r="L44" s="246"/>
      <c r="T44" s="266"/>
    </row>
    <row r="45" spans="2:24" ht="17.399999999999999" x14ac:dyDescent="0.35">
      <c r="D45" s="348"/>
      <c r="E45" s="348"/>
      <c r="F45" s="349"/>
      <c r="G45" s="322"/>
      <c r="H45" s="350"/>
      <c r="L45" s="246"/>
    </row>
    <row r="46" spans="2:24" ht="15" customHeight="1" x14ac:dyDescent="0.35">
      <c r="D46" s="348"/>
      <c r="E46" s="348"/>
      <c r="F46" s="349"/>
      <c r="G46" s="322"/>
      <c r="H46" s="350"/>
    </row>
    <row r="47" spans="2:24" ht="17.399999999999999" x14ac:dyDescent="0.35">
      <c r="D47" s="348"/>
      <c r="E47" s="348"/>
      <c r="F47" s="349"/>
      <c r="G47" s="322"/>
      <c r="H47" s="350"/>
    </row>
    <row r="48" spans="2:24" ht="17.399999999999999" x14ac:dyDescent="0.35">
      <c r="D48" s="348"/>
      <c r="E48" s="348"/>
      <c r="F48" s="349"/>
      <c r="G48" s="322"/>
      <c r="H48" s="350"/>
      <c r="O48">
        <v>40935</v>
      </c>
      <c r="P48" t="s">
        <v>16</v>
      </c>
      <c r="Q48" t="s">
        <v>26</v>
      </c>
    </row>
    <row r="49" spans="4:20" ht="17.399999999999999" x14ac:dyDescent="0.35">
      <c r="D49" s="348"/>
      <c r="E49" s="348"/>
      <c r="F49" s="349"/>
      <c r="G49" s="322"/>
      <c r="H49" s="350"/>
    </row>
    <row r="50" spans="4:20" ht="17.399999999999999" x14ac:dyDescent="0.35">
      <c r="D50" s="348"/>
      <c r="E50" s="348"/>
      <c r="F50" s="349"/>
      <c r="G50" s="322"/>
      <c r="H50" s="350"/>
      <c r="O50" s="51"/>
      <c r="P50" s="51"/>
    </row>
    <row r="51" spans="4:20" ht="17.399999999999999" x14ac:dyDescent="0.35">
      <c r="D51" s="348"/>
      <c r="E51" s="348"/>
      <c r="F51" s="349"/>
      <c r="G51" s="322"/>
      <c r="H51" s="350"/>
      <c r="S51" s="18"/>
      <c r="T51" s="18"/>
    </row>
    <row r="52" spans="4:20" ht="17.399999999999999" x14ac:dyDescent="0.35">
      <c r="D52" s="348"/>
      <c r="E52" s="348"/>
      <c r="F52" s="349"/>
      <c r="G52" s="322"/>
      <c r="H52" s="350"/>
      <c r="S52" s="18"/>
      <c r="T52" s="18"/>
    </row>
    <row r="53" spans="4:20" ht="17.399999999999999" x14ac:dyDescent="0.35">
      <c r="D53" s="348"/>
      <c r="E53" s="348"/>
      <c r="F53" s="349"/>
      <c r="G53" s="322"/>
      <c r="H53" s="350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45895</v>
      </c>
    </row>
    <row r="6" spans="1:31" ht="16.2" thickBot="1" x14ac:dyDescent="0.35">
      <c r="B6" s="137" t="s">
        <v>2</v>
      </c>
      <c r="C6" s="136" t="str">
        <f>'2229'!C10</f>
        <v>MUEBLES FMR MAKING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5" t="s">
        <v>98</v>
      </c>
      <c r="I7" s="336"/>
      <c r="J7" s="336"/>
      <c r="K7" s="337"/>
      <c r="N7" s="72"/>
      <c r="O7" s="33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-1668.9835440096649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165125.27208</v>
      </c>
      <c r="E11" s="129">
        <f>D11*0.19</f>
        <v>31373.8016952</v>
      </c>
      <c r="F11" s="128">
        <f>E11+D11</f>
        <v>196499.0737752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104321.01645599034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103407.58054396135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86321.016455990335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61717.691536038648</v>
      </c>
      <c r="E13" s="218">
        <f>(D11/D12)-1</f>
        <v>0.59683914091579382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77321.016455990335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38321.016455990335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184582.53127097097</v>
      </c>
      <c r="C15" s="210" t="s">
        <v>121</v>
      </c>
      <c r="D15" s="211">
        <v>0.5</v>
      </c>
      <c r="E15" s="212">
        <f>(100%+D15)*D12</f>
        <v>155111.37081594201</v>
      </c>
      <c r="F15" s="213">
        <f>E15-D12</f>
        <v>51703.790271980659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38321.016455990335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78321.016455990335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24000</v>
      </c>
      <c r="E19" s="120">
        <f>D19*0.19</f>
        <v>4560</v>
      </c>
      <c r="F19" s="117">
        <f>SUM(D19:E19)</f>
        <v>28560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6788.2248</v>
      </c>
      <c r="E20" s="118">
        <f>D20*0.19</f>
        <v>1289.762712</v>
      </c>
      <c r="F20" s="117">
        <f>SUM(D20:E20)</f>
        <v>8077.9875119999997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30788.2248</v>
      </c>
      <c r="E21" s="113">
        <f>SUM(E18:E20)</f>
        <v>5849.7627119999997</v>
      </c>
      <c r="F21" s="112">
        <f>SUM(F18:F20)</f>
        <v>36637.987512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25524.0389832</v>
      </c>
    </row>
    <row r="41" spans="2:16" ht="15" thickBot="1" x14ac:dyDescent="0.35">
      <c r="H41" s="338" t="s">
        <v>60</v>
      </c>
      <c r="I41" s="339"/>
      <c r="J41" s="339"/>
      <c r="K41" s="339"/>
      <c r="L41" s="339"/>
      <c r="M41" s="340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165125.27208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30788.2248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61717.691536038648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61717.691536038648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2025-08-26T16:45:30Z</cp:lastPrinted>
  <dcterms:created xsi:type="dcterms:W3CDTF">2013-03-18T13:35:42Z</dcterms:created>
  <dcterms:modified xsi:type="dcterms:W3CDTF">2025-08-26T16:45:54Z</dcterms:modified>
</cp:coreProperties>
</file>