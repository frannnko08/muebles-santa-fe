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B03D7763-BD84-4A8E-8357-37EB99C89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M21" i="1"/>
  <c r="M26" i="1" l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40" i="1" l="1"/>
  <c r="Q21" i="1" l="1"/>
  <c r="F15" i="3"/>
  <c r="R21" i="1" l="1"/>
  <c r="H21" i="1" l="1"/>
  <c r="H25" i="1" s="1"/>
  <c r="H26" i="1" s="1"/>
  <c r="H27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<sst xmlns="http://schemas.openxmlformats.org/spreadsheetml/2006/main" count="231" uniqueCount="176">
  <si>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</si>
  <si>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</si>
  <si>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</si>
  <si>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</si>
  <si>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</si>
  <si>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</si>
  <si>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</si>
  <si>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</si>
  <si>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</si>
  <si>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</si>
  <si>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</si>
  <si>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</si>
  <si>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</si>
  <si>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</si>
  <si>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</si>
  <si>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</si>
  <si>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</si>
  <si>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</si>
  <si>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</si>
  <si>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</si>
  <si>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</si>
  <si>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</si>
  <si>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</si>
  <si>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</si>
  <si>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</si>
  <si>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</si>
  <si>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</si>
  <si>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</si>
  <si>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</si>
  <si>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</si>
  <si>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</si>
  <si>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</si>
  <si>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</si>
  <si>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</si>
  <si>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</si>
  <si>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</si>
  <si>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</si>
  <si>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</si>
  <si>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</si>
  <si>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</si>
  <si>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</si>
  <si>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</si>
  <si>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</si>
  <si>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</si>
  <si>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</si>
  <si>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</si>
  <si>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</si>
  <si>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</si>
  <si>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</si>
  <si>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</si>
  <si>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</si>
  <si>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</si>
  <si>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</si>
  <si>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</si>
  <si>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</si>
  <si>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</si>
  <si>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</si>
  <si>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</si>
  <si>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</si>
  <si>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</si>
  <si>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</si>
  <si>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</si>
  <si>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</si>
  <si>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</si>
  <si>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</si>
  <si>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</si>
  <si>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</si>
  <si>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</si>
  <si>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</si>
  <si>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</si>
  <si>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</si>
  <si>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</si>
  <si>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</si>
  <si>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</si>
  <si>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</si>
  <si>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</si>
  <si>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</si>
  <si>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</si>
  <si>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</si>
  <si>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</si>
  <si>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</si>
  <si>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</si>
  <si>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</si>
  <si>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</si>
  <si>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</si>
  <si>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</si>
  <si>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</si>
  <si>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</si>
  <si>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</si>
  <si>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</si>
  <si>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</si>
  <si>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</si>
  <si>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</si>
  <si>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</si>
  <si>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</si>
  <si>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</si>
  <si>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</si>
  <si>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</si>
  <si>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</si>
  <si>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</si>
  <si>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</si>
  <si>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</si>
  <si>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</si>
  <si>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</si>
  <si>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</si>
  <si>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</si>
  <si>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</si>
  <si>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</si>
  <si>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</si>
  <si>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</si>
  <si>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</si>
  <si>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</si>
  <si>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</si>
  <si>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</si>
  <si>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</si>
  <si>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</si>
  <si>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</si>
  <si>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</si>
  <si>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</si>
  <si>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</si>
  <si>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</si>
  <si>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</si>
  <si>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</si>
  <si>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</si>
  <si>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</si>
  <si>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</si>
  <si>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</si>
  <si>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</si>
  <si>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</si>
  <si>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</si>
  <si>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</si>
  <si>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</si>
  <si>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</si>
  <si>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</si>
  <si>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</si>
  <si>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</si>
  <si>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</si>
  <si>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</si>
  <si>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</si>
  <si>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</si>
  <si>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</si>
  <si>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</si>
  <si>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</si>
  <si>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</si>
  <si>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</si>
  <si>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</si>
  <si>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</si>
  <si>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</si>
  <si>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</si>
  <si>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</si>
  <si>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</si>
  <si>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</si>
  <si>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</si>
  <si>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</si>
  <si>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</si>
  <si>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</si>
  <si>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</si>
  <si>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</si>
  <si>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</si>
  <si>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</si>
  <si>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</si>
  <si>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</si>
  <si>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</si>
  <si>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</si>
  <si>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</si>
  <si>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</si>
  <si>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</si>
  <si>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</si>
  <si>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</si>
  <si>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</si>
  <si>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5 DIAS HABILES</t>
  </si>
  <si>
    <t>N° 11571</t>
  </si>
  <si>
    <t>NAIROBI HERNANDEZ</t>
  </si>
  <si>
    <t>+569 8466 2944</t>
  </si>
  <si>
    <t>CUB C/R 30 CMS FTE R6</t>
  </si>
  <si>
    <t>PUNK STONE 40289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</si>
</sst>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0" xfId="0" applyFont="1" applyBorder="1" applyAlignment="1">
      <alignment horizontal="center" vertical="center"/>
    </xf>
    <xf numFmtId="166" fontId="31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CORTADA</a:t>
          </a:r>
          <a:r>
            <a:rPr lang="es-CL" sz="1200" b="1" baseline="0"/>
            <a:t> A LA MEDIDA Y ENCHAPADA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166</v>
      </c>
      <c r="G10" s="271">
        <v>45875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>
        <v>0.3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43202.231404958671</v>
      </c>
      <c r="R20" s="253">
        <v>2000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3</v>
      </c>
      <c r="C21" s="322" t="s">
        <v>174</v>
      </c>
      <c r="D21" s="323">
        <v>3</v>
      </c>
      <c r="E21" s="323">
        <v>0.8</v>
      </c>
      <c r="F21" s="322" t="s">
        <v>175</v>
      </c>
      <c r="G21" s="324">
        <v>163489</v>
      </c>
      <c r="H21" s="324">
        <f>G21*B21</f>
        <v>490467</v>
      </c>
      <c r="I21" s="297"/>
      <c r="J21" s="260"/>
      <c r="K21" s="44"/>
      <c r="L21" s="44">
        <f>B21</f>
        <v>3</v>
      </c>
      <c r="M21" s="36">
        <f>D21+M$19</f>
        <v>3.08</v>
      </c>
      <c r="N21" s="36">
        <f>E21+$N$19</f>
        <v>1.1000000000000001</v>
      </c>
      <c r="O21" s="256">
        <f t="shared" ref="O21" si="1">M21*N21</f>
        <v>3.3880000000000003</v>
      </c>
      <c r="P21" s="254">
        <f t="shared" ref="P21" si="2">O21*L21</f>
        <v>10.164000000000001</v>
      </c>
      <c r="Q21" s="247">
        <f t="shared" ref="Q21" si="3">Q$20*O21</f>
        <v>146369.16</v>
      </c>
      <c r="R21" s="296">
        <f t="shared" ref="R21" si="4">Q21+R$20</f>
        <v>148369.16</v>
      </c>
      <c r="S21" s="284">
        <f>M21*L21</f>
        <v>9.24</v>
      </c>
      <c r="T21" s="43">
        <f>N21*2*L21*2</f>
        <v>13.200000000000001</v>
      </c>
      <c r="U21" s="9"/>
      <c r="X21" s="4"/>
    </row>
    <row r="22" spans="1:25" ht="17.399999999999999" x14ac:dyDescent="0.3">
      <c r="B22" s="344"/>
      <c r="C22" s="344"/>
      <c r="D22" s="345"/>
      <c r="E22" s="345"/>
      <c r="F22" s="344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490467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13.200000000000001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93188.73</v>
      </c>
      <c r="I26" s="299"/>
      <c r="J26" s="260"/>
      <c r="K26" s="315"/>
      <c r="L26" s="44"/>
      <c r="M26" s="36">
        <f>SUM(M21:M21)</f>
        <v>3.08</v>
      </c>
      <c r="N26" s="12"/>
      <c r="O26" s="12"/>
      <c r="P26" s="248">
        <f>SUM(P21:P24)</f>
        <v>10.164000000000001</v>
      </c>
      <c r="Q26" s="14"/>
      <c r="R26" s="12"/>
      <c r="S26" s="235">
        <f>SUM(S21:S25)</f>
        <v>9.24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583655.73</v>
      </c>
      <c r="I27" s="299"/>
      <c r="J27" s="260"/>
      <c r="K27" s="315"/>
      <c r="L27" s="44"/>
      <c r="M27" s="36"/>
      <c r="N27" s="12"/>
      <c r="O27" s="12"/>
      <c r="P27" s="248">
        <f>P26</f>
        <v>10.164000000000001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2.0328000000000004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12.196800000000001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12.196800000000001</v>
      </c>
      <c r="N31" s="12">
        <v>3500</v>
      </c>
      <c r="O31" s="12">
        <f t="shared" ref="O31:O36" si="5">M31*N31</f>
        <v>42688.800000000003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3.3</v>
      </c>
      <c r="N32" s="12">
        <v>23500</v>
      </c>
      <c r="O32" s="12">
        <f t="shared" si="5"/>
        <v>77550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3</v>
      </c>
      <c r="N34" s="245">
        <v>25000</v>
      </c>
      <c r="O34" s="12">
        <f t="shared" si="5"/>
        <v>75000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9.24</v>
      </c>
      <c r="N36" s="12">
        <v>1500</v>
      </c>
      <c r="O36" s="12">
        <f t="shared" si="5"/>
        <v>13860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209098.8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439107.48</v>
      </c>
      <c r="P38" s="14" t="s">
        <v>138</v>
      </c>
      <c r="Q38" s="14"/>
      <c r="R38" s="37">
        <f>P29/R37</f>
        <v>3.2886108714408975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43202.231404958671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45875</v>
      </c>
    </row>
    <row r="6" spans="1:31" ht="16.2" thickBot="1" x14ac:dyDescent="0.35">
      <c r="B6" s="137" t="s">
        <v>2</v>
      </c>
      <c r="C6" s="136" t="str">
        <f>'2229'!C10</f>
        <v>NAIROBI HERNANDEZ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11571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-44353.110593236714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490467</v>
      </c>
      <c r="E11" s="129">
        <f>D11*0.19</f>
        <v>93188.73</v>
      </c>
      <c r="F11" s="128">
        <f>E11+D11</f>
        <v>583655.73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61636.889406763286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140217.7102753623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43636.889406763286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350249.2897246377</v>
      </c>
      <c r="E13" s="218">
        <f>(D11/D12)-1</f>
        <v>2.497896228920093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34636.889406763286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-4363.1105932367136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266974.52036428981</v>
      </c>
      <c r="C15" s="210" t="s">
        <v>121</v>
      </c>
      <c r="D15" s="211">
        <v>0.6</v>
      </c>
      <c r="E15" s="212">
        <f>(100%+D15)*D12</f>
        <v>224348.3364405797</v>
      </c>
      <c r="F15" s="213">
        <f>E15-D12</f>
        <v>84130.6261652174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-4363.1105932367136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35636.889406763286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77550</v>
      </c>
      <c r="E19" s="120">
        <f>D19*0.19</f>
        <v>14734.5</v>
      </c>
      <c r="F19" s="117">
        <f>SUM(D19:E19)</f>
        <v>92284.5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42688.800000000003</v>
      </c>
      <c r="E20" s="118">
        <f>D20*0.19</f>
        <v>8110.8720000000003</v>
      </c>
      <c r="F20" s="117">
        <f>SUM(D20:E20)</f>
        <v>50799.672000000006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120238.8</v>
      </c>
      <c r="E21" s="113">
        <f>SUM(E18:E20)</f>
        <v>22845.371999999999</v>
      </c>
      <c r="F21" s="112">
        <f>SUM(F18:F20)</f>
        <v>143084.17200000002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70343.357999999993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490467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120238.8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350249.2897246377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350249.2897246377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2025-08-07T14:33:31Z</cp:lastPrinted>
  <dcterms:created xsi:type="dcterms:W3CDTF">2013-03-18T13:35:42Z</dcterms:created>
  <dcterms:modified xsi:type="dcterms:W3CDTF">2025-08-07T14:46:31Z</dcterms:modified>
</cp:coreProperties>
</file>