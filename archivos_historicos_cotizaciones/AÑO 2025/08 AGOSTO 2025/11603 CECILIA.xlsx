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B8346197-4FE6-4797-B1BC-B647019DF255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<sst xmlns="http://schemas.openxmlformats.org/spreadsheetml/2006/main" count="231" uniqueCount="176">
  <si>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</si>
  <si>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</si>
  <si>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</si>
  <si>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</si>
  <si>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</si>
  <si>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</si>
  <si>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</si>
  <si>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</si>
  <si>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</si>
  <si>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</si>
  <si>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</si>
  <si>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</si>
  <si>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</si>
  <si>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</si>
  <si>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</si>
  <si>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</si>
  <si>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</si>
  <si>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</si>
  <si>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</si>
  <si>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</si>
  <si>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</si>
  <si>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</si>
  <si>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</si>
  <si>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</si>
  <si>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</si>
  <si>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</si>
  <si>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</si>
  <si>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</si>
  <si>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</si>
  <si>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</si>
  <si>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</si>
  <si>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</si>
  <si>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</si>
  <si>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</si>
  <si>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</si>
  <si>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</si>
  <si>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</si>
  <si>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</si>
  <si>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</si>
  <si>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</si>
  <si>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</si>
  <si>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</si>
  <si>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</si>
  <si>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</si>
  <si>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</si>
  <si>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</si>
  <si>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</si>
  <si>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</si>
  <si>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</si>
  <si>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</si>
  <si>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</si>
  <si>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</si>
  <si>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</si>
  <si>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</si>
  <si>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</si>
  <si>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</si>
  <si>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</si>
  <si>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</si>
  <si>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</si>
  <si>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</si>
  <si>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</si>
  <si>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</si>
  <si>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</si>
  <si>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</si>
  <si>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</si>
  <si>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</si>
  <si>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</si>
  <si>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</si>
  <si>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</si>
  <si>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</si>
  <si>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</si>
  <si>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</si>
  <si>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</si>
  <si>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</si>
  <si>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</si>
  <si>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</si>
  <si>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</si>
  <si>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</si>
  <si>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</si>
  <si>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</si>
  <si>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</si>
  <si>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</si>
  <si>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</si>
  <si>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</si>
  <si>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</si>
  <si>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</si>
  <si>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</si>
  <si>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</si>
  <si>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</si>
  <si>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</si>
  <si>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</si>
  <si>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</si>
  <si>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</si>
  <si>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</si>
  <si>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</si>
  <si>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</si>
  <si>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</si>
  <si>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</si>
  <si>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</si>
  <si>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</si>
  <si>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</si>
  <si>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</si>
  <si>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</si>
  <si>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</si>
  <si>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</si>
  <si>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</si>
  <si>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</si>
  <si>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</si>
  <si>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</si>
  <si>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</si>
  <si>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</si>
  <si>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</si>
  <si>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</si>
  <si>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</si>
  <si>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</si>
  <si>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</si>
  <si>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</si>
  <si>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</si>
  <si>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</si>
  <si>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</si>
  <si>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</si>
  <si>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</si>
  <si>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</si>
  <si>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</si>
  <si>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</si>
  <si>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</si>
  <si>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</si>
  <si>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</si>
  <si>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</si>
  <si>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</si>
  <si>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</si>
  <si>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</si>
  <si>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</si>
  <si>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</si>
  <si>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</si>
  <si>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</si>
  <si>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</si>
  <si>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</si>
  <si>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</si>
  <si>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</si>
  <si>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</si>
  <si>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</si>
  <si>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</si>
  <si>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</si>
  <si>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</si>
  <si>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</si>
  <si>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</si>
  <si>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</si>
  <si>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</si>
  <si>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</si>
  <si>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</si>
  <si>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</si>
  <si>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</si>
  <si>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</si>
  <si>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</si>
  <si>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</si>
  <si>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</si>
  <si>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</si>
  <si>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</si>
  <si>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</si>
  <si>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</si>
  <si>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</si>
  <si>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</si>
  <si>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</si>
  <si>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</si>
  <si>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</si>
  <si>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</si>
  <si>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</si>
  <si>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</si>
  <si>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</si>
  <si>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CLASSIC 3111 BR</t>
  </si>
  <si>
    <t>CECILIA</t>
  </si>
  <si>
    <t>+569 8228 4128</t>
  </si>
  <si>
    <t>CUB MESA 2 LADOS</t>
  </si>
  <si>
    <t>5 DIAS HABILES</t>
  </si>
  <si>
    <t>N° 11603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</si>
</sst>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CORTADAS A LA MEDIDA Y ENCHAPADAS EN LOS COSTADOS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2 PLANCHAS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45887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172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120708.63433092534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6">
        <v>1</v>
      </c>
      <c r="C21" s="326" t="s">
        <v>173</v>
      </c>
      <c r="D21" s="327">
        <v>1</v>
      </c>
      <c r="E21" s="327">
        <v>0.26500000000000001</v>
      </c>
      <c r="F21" s="326" t="s">
        <v>170</v>
      </c>
      <c r="G21" s="328">
        <f>R21</f>
        <v>38090</v>
      </c>
      <c r="H21" s="328">
        <f>G21*B21</f>
        <v>38090</v>
      </c>
      <c r="I21" s="297"/>
      <c r="J21" s="260"/>
      <c r="K21" s="44"/>
      <c r="L21" s="44">
        <f>B21</f>
        <v>1</v>
      </c>
      <c r="M21" s="36">
        <f>D21+M$19</f>
        <v>1.02</v>
      </c>
      <c r="N21" s="36">
        <f>E21+$N$19</f>
        <v>0.28500000000000003</v>
      </c>
      <c r="O21" s="256">
        <f t="shared" ref="O21" si="1">M21*N21</f>
        <v>0.29070000000000001</v>
      </c>
      <c r="P21" s="254">
        <f t="shared" ref="P21" si="2">O21*L21</f>
        <v>0.29070000000000001</v>
      </c>
      <c r="Q21" s="247">
        <f t="shared" ref="Q21" si="3">Q$20*O21</f>
        <v>35090</v>
      </c>
      <c r="R21" s="296">
        <f t="shared" ref="R21" si="4">Q21+R$20</f>
        <v>38090</v>
      </c>
      <c r="S21" s="284">
        <f>M21*L21</f>
        <v>1.02</v>
      </c>
      <c r="T21" s="43">
        <f>N21*2*L21*2</f>
        <v>1.1400000000000001</v>
      </c>
      <c r="U21" s="9"/>
      <c r="X21" s="4"/>
    </row>
    <row r="22" spans="1:25" ht="17.399999999999999" x14ac:dyDescent="0.3">
      <c r="B22" s="278"/>
      <c r="C22" s="278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9">
        <f>SUM(H21:H23)</f>
        <v>38090</v>
      </c>
      <c r="I24" s="299"/>
      <c r="J24" s="260"/>
      <c r="K24" s="316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1.1400000000000001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30">
        <f>H24*19%</f>
        <v>7237.1</v>
      </c>
      <c r="I25" s="299"/>
      <c r="J25" s="260"/>
      <c r="K25" s="316"/>
      <c r="L25" s="44"/>
      <c r="M25" s="36">
        <f>SUM(M21:M21)</f>
        <v>1.02</v>
      </c>
      <c r="N25" s="12"/>
      <c r="O25" s="12"/>
      <c r="P25" s="248">
        <f>SUM(P21:P23)</f>
        <v>0.29070000000000001</v>
      </c>
      <c r="Q25" s="14"/>
      <c r="R25" s="12"/>
      <c r="S25" s="235">
        <f>SUM(S21:S24)</f>
        <v>1.02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31">
        <f>H24+H25</f>
        <v>45327.1</v>
      </c>
      <c r="I26" s="299"/>
      <c r="J26" s="260"/>
      <c r="K26" s="316"/>
      <c r="L26" s="44"/>
      <c r="M26" s="36"/>
      <c r="N26" s="12"/>
      <c r="O26" s="12"/>
      <c r="P26" s="248">
        <f>P25</f>
        <v>0.29070000000000001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6"/>
      <c r="L27" s="44"/>
      <c r="M27" s="14"/>
      <c r="N27" s="12"/>
      <c r="O27" s="12"/>
      <c r="P27" s="36">
        <f>P26*20%</f>
        <v>5.8140000000000004E-2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0.34884000000000004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v>0.7</v>
      </c>
      <c r="N30" s="12">
        <v>3500</v>
      </c>
      <c r="O30" s="12">
        <f t="shared" ref="O30:O35" si="5">M30*N30</f>
        <v>2450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0.3</v>
      </c>
      <c r="N31" s="12">
        <v>25000</v>
      </c>
      <c r="O31" s="12">
        <f t="shared" si="5"/>
        <v>7500</v>
      </c>
      <c r="P31" s="36" t="s">
        <v>169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164</v>
      </c>
      <c r="C33"/>
      <c r="D33"/>
      <c r="E33"/>
      <c r="F33"/>
      <c r="J33" s="257">
        <v>46000</v>
      </c>
      <c r="K33" s="228"/>
      <c r="L33" s="245"/>
      <c r="M33" s="14">
        <v>0.3</v>
      </c>
      <c r="N33" s="245">
        <v>20000</v>
      </c>
      <c r="O33" s="12">
        <f t="shared" si="5"/>
        <v>6000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15950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O36*2.2</f>
        <v>35090</v>
      </c>
      <c r="P37" s="14" t="s">
        <v>138</v>
      </c>
      <c r="Q37" s="14"/>
      <c r="R37" s="37">
        <f>P28/R36</f>
        <v>9.4057377049180338E-2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120708.63433092534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2.2000000000000002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7"/>
      <c r="H40" s="324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5"/>
      <c r="D41" s="279"/>
      <c r="E41" s="279"/>
      <c r="F41" s="278"/>
      <c r="G41" s="317"/>
      <c r="H41" s="324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7"/>
      <c r="H42" s="324"/>
      <c r="L42" s="12"/>
      <c r="U42" s="56"/>
      <c r="V42" s="56"/>
    </row>
    <row r="43" spans="2:24" ht="17.399999999999999" x14ac:dyDescent="0.35">
      <c r="D43" s="279"/>
      <c r="E43" s="279"/>
      <c r="F43" s="278"/>
      <c r="G43" s="317"/>
      <c r="H43" s="324"/>
      <c r="L43" s="245"/>
    </row>
    <row r="44" spans="2:24" ht="17.399999999999999" x14ac:dyDescent="0.35">
      <c r="D44" s="279"/>
      <c r="E44" s="279"/>
      <c r="F44" s="278"/>
      <c r="G44" s="317"/>
      <c r="H44" s="324"/>
      <c r="L44" s="245"/>
      <c r="T44" s="265"/>
    </row>
    <row r="45" spans="2:24" ht="17.399999999999999" x14ac:dyDescent="0.35">
      <c r="D45" s="279"/>
      <c r="E45" s="279"/>
      <c r="F45" s="278"/>
      <c r="G45" s="317"/>
      <c r="H45" s="324"/>
      <c r="L45" s="245"/>
    </row>
    <row r="46" spans="2:24" ht="15" customHeight="1" x14ac:dyDescent="0.35">
      <c r="D46" s="279"/>
      <c r="E46" s="279"/>
      <c r="F46" s="278"/>
      <c r="G46" s="317"/>
      <c r="H46" s="324"/>
    </row>
    <row r="47" spans="2:24" ht="17.399999999999999" x14ac:dyDescent="0.35">
      <c r="D47" s="279"/>
      <c r="E47" s="279"/>
      <c r="F47" s="278"/>
      <c r="G47" s="317"/>
      <c r="H47" s="324"/>
    </row>
    <row r="48" spans="2:24" ht="17.399999999999999" x14ac:dyDescent="0.35">
      <c r="D48" s="279"/>
      <c r="E48" s="279"/>
      <c r="F48" s="278"/>
      <c r="G48" s="317"/>
      <c r="H48" s="324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7"/>
      <c r="H49" s="324"/>
    </row>
    <row r="50" spans="4:20" ht="17.399999999999999" x14ac:dyDescent="0.35">
      <c r="D50" s="279"/>
      <c r="E50" s="279"/>
      <c r="F50" s="278"/>
      <c r="G50" s="317"/>
      <c r="H50" s="324"/>
      <c r="O50" s="51"/>
      <c r="P50" s="51"/>
    </row>
    <row r="51" spans="4:20" ht="17.399999999999999" x14ac:dyDescent="0.35">
      <c r="D51" s="279"/>
      <c r="E51" s="279"/>
      <c r="F51" s="278"/>
      <c r="G51" s="317"/>
      <c r="H51" s="324"/>
      <c r="S51" s="18"/>
      <c r="T51" s="18"/>
    </row>
    <row r="52" spans="4:20" ht="17.399999999999999" x14ac:dyDescent="0.35">
      <c r="D52" s="279"/>
      <c r="E52" s="279"/>
      <c r="F52" s="278"/>
      <c r="G52" s="317"/>
      <c r="H52" s="324"/>
      <c r="S52" s="18"/>
      <c r="T52" s="18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45887</v>
      </c>
    </row>
    <row r="6" spans="1:31" ht="16.2" thickBot="1" x14ac:dyDescent="0.35">
      <c r="B6" s="137" t="s">
        <v>2</v>
      </c>
      <c r="C6" s="136" t="str">
        <f>'2229'!C10</f>
        <v>CECILIA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11603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1632.7094067632861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38090</v>
      </c>
      <c r="E11" s="129">
        <f>D11*0.19</f>
        <v>7237.1</v>
      </c>
      <c r="F11" s="128">
        <f>E11+D11</f>
        <v>45327.1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107622.70940676329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29928.910275362319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89622.709406763286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8161.0897246376808</v>
      </c>
      <c r="E13" s="218">
        <f>(D11/D12)-1</f>
        <v>0.27268248825470742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80622.709406763286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41622.709406763286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56984.645164289861</v>
      </c>
      <c r="C15" s="210" t="s">
        <v>121</v>
      </c>
      <c r="D15" s="211">
        <v>0.6</v>
      </c>
      <c r="E15" s="212">
        <f>(100%+D15)*D12</f>
        <v>47886.256440579717</v>
      </c>
      <c r="F15" s="213">
        <f>E15-D12</f>
        <v>17957.346165217397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41622.709406763286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81622.709406763286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7500</v>
      </c>
      <c r="E19" s="120">
        <f>D19*0.19</f>
        <v>1425</v>
      </c>
      <c r="F19" s="117">
        <f>SUM(D19:E19)</f>
        <v>8925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2450</v>
      </c>
      <c r="E20" s="118">
        <f>D20*0.19</f>
        <v>465.5</v>
      </c>
      <c r="F20" s="117">
        <f>SUM(D20:E20)</f>
        <v>2915.5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9950</v>
      </c>
      <c r="E21" s="113">
        <f>SUM(E18:E20)</f>
        <v>1890.5</v>
      </c>
      <c r="F21" s="112">
        <f>SUM(F18:F20)</f>
        <v>11840.5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5346.6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38090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9950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8161.0897246376808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8161.0897246376808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2025-08-18T20:06:03Z</cp:lastPrinted>
  <dcterms:created xsi:type="dcterms:W3CDTF">2013-03-18T13:35:42Z</dcterms:created>
  <dcterms:modified xsi:type="dcterms:W3CDTF">2025-08-19T21:06:38Z</dcterms:modified>
</cp:coreProperties>
</file>