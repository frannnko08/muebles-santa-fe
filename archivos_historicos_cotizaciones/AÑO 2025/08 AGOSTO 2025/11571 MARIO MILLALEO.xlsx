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95E3428A-8D7A-43FF-BD75-66E6302E8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8" i="3" s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G21" i="1" s="1"/>
  <c r="F15" i="3"/>
  <c r="R21" i="1" l="1"/>
  <c r="H21" i="1" l="1"/>
  <c r="H24" i="1" s="1"/>
  <c r="H25" i="1" s="1"/>
  <c r="H26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<sst xmlns="http://schemas.openxmlformats.org/spreadsheetml/2006/main" count="230" uniqueCount="175">
  <si>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</si>
  <si>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</si>
  <si>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</si>
  <si>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</si>
  <si>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</si>
  <si>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</si>
  <si>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</si>
  <si>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</si>
  <si>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</si>
  <si>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</si>
  <si>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</si>
  <si>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</si>
  <si>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</si>
  <si>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</si>
  <si>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</si>
  <si>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</si>
  <si>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</si>
  <si>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</si>
  <si>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</si>
  <si>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</si>
  <si>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</si>
  <si>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</si>
  <si>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</si>
  <si>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</si>
  <si>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</si>
  <si>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</si>
  <si>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</si>
  <si>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</si>
  <si>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</si>
  <si>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</si>
  <si>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</si>
  <si>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</si>
  <si>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</si>
  <si>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</si>
  <si>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</si>
  <si>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</si>
  <si>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</si>
  <si>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</si>
  <si>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</si>
  <si>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</si>
  <si>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</si>
  <si>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</si>
  <si>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</si>
  <si>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</si>
  <si>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</si>
  <si>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</si>
  <si>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</si>
  <si>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</si>
  <si>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</si>
  <si>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</si>
  <si>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</si>
  <si>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</si>
  <si>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</si>
  <si>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</si>
  <si>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</si>
  <si>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</si>
  <si>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</si>
  <si>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</si>
  <si>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</si>
  <si>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</si>
  <si>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</si>
  <si>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</si>
  <si>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</si>
  <si>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</si>
  <si>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</si>
  <si>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</si>
  <si>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</si>
  <si>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</si>
  <si>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</si>
  <si>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</si>
  <si>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</si>
  <si>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</si>
  <si>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</si>
  <si>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</si>
  <si>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</si>
  <si>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</si>
  <si>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</si>
  <si>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</si>
  <si>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</si>
  <si>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</si>
  <si>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</si>
  <si>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</si>
  <si>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</si>
  <si>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</si>
  <si>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</si>
  <si>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</si>
  <si>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</si>
  <si>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</si>
  <si>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</si>
  <si>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</si>
  <si>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</si>
  <si>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</si>
  <si>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</si>
  <si>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</si>
  <si>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</si>
  <si>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</si>
  <si>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</si>
  <si>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</si>
  <si>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</si>
  <si>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</si>
  <si>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</si>
  <si>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</si>
  <si>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</si>
  <si>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</si>
  <si>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</si>
  <si>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</si>
  <si>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</si>
  <si>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</si>
  <si>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</si>
  <si>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</si>
  <si>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</si>
  <si>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</si>
  <si>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</si>
  <si>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</si>
  <si>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</si>
  <si>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</si>
  <si>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</si>
  <si>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</si>
  <si>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</si>
  <si>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</si>
  <si>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</si>
  <si>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</si>
  <si>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</si>
  <si>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</si>
  <si>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</si>
  <si>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</si>
  <si>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</si>
  <si>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</si>
  <si>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</si>
  <si>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</si>
  <si>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</si>
  <si>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</si>
  <si>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</si>
  <si>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</si>
  <si>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</si>
  <si>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</si>
  <si>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</si>
  <si>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</si>
  <si>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</si>
  <si>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</si>
  <si>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</si>
  <si>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</si>
  <si>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</si>
  <si>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</si>
  <si>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</si>
  <si>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</si>
  <si>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</si>
  <si>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</si>
  <si>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</si>
  <si>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</si>
  <si>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</si>
  <si>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</si>
  <si>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</si>
  <si>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</si>
  <si>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</si>
  <si>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</si>
  <si>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</si>
  <si>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</si>
  <si>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</si>
  <si>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</si>
  <si>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</si>
  <si>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</si>
  <si>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</si>
  <si>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</si>
  <si>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</si>
  <si>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</si>
  <si>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</si>
  <si>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</si>
  <si>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</si>
  <si>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</si>
  <si>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5 DIAS HABILES</t>
  </si>
  <si>
    <t>NEW BLACK GRANITE 42009 BR</t>
  </si>
  <si>
    <t>+56 9 2189 1629</t>
  </si>
  <si>
    <t>N° 11573</t>
  </si>
  <si>
    <t>CUB CON RESPALDO FRENTE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</si>
</sst>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19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6" fontId="31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F19" zoomScale="93" zoomScaleNormal="93" workbookViewId="0">
      <selection activeCell="J36" sqref="J36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6" t="s">
        <v>125</v>
      </c>
      <c r="C8" s="325"/>
      <c r="D8" s="327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/>
      <c r="D10" s="239"/>
      <c r="E10" s="239"/>
      <c r="F10" s="240" t="s">
        <v>166</v>
      </c>
      <c r="G10" s="271">
        <v>45877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28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172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29" t="s">
        <v>162</v>
      </c>
      <c r="G17" s="329"/>
      <c r="H17" s="330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51016.044303797469</v>
      </c>
      <c r="R20" s="253">
        <v>2000</v>
      </c>
      <c r="S20" s="35"/>
      <c r="T20" s="14" t="s">
        <v>127</v>
      </c>
      <c r="U20" s="9"/>
      <c r="X20" s="4"/>
    </row>
    <row r="21" spans="1:25" ht="18" thickBot="1" x14ac:dyDescent="0.35">
      <c r="B21" s="341">
        <v>1</v>
      </c>
      <c r="C21" s="342" t="s">
        <v>174</v>
      </c>
      <c r="D21" s="343">
        <v>1.5</v>
      </c>
      <c r="E21" s="343">
        <v>0.6</v>
      </c>
      <c r="F21" s="342" t="s">
        <v>171</v>
      </c>
      <c r="G21" s="344">
        <f>Q21</f>
        <v>48363.21</v>
      </c>
      <c r="H21" s="345">
        <f>G21*B21</f>
        <v>48363.21</v>
      </c>
      <c r="I21" s="297"/>
      <c r="J21" s="260"/>
      <c r="K21" s="44"/>
      <c r="L21" s="44">
        <f>B21</f>
        <v>1</v>
      </c>
      <c r="M21" s="36">
        <f>D21+M$19</f>
        <v>1.58</v>
      </c>
      <c r="N21" s="36">
        <f>E21+$N$19</f>
        <v>0.6</v>
      </c>
      <c r="O21" s="256">
        <f t="shared" ref="O21" si="1">M21*N21</f>
        <v>0.94799999999999995</v>
      </c>
      <c r="P21" s="254">
        <f t="shared" ref="P21" si="2">O21*L21</f>
        <v>0.94799999999999995</v>
      </c>
      <c r="Q21" s="247">
        <f t="shared" ref="Q21" si="3">Q$20*O21</f>
        <v>48363.21</v>
      </c>
      <c r="R21" s="296">
        <f t="shared" ref="R21" si="4">Q21+R$20</f>
        <v>50363.21</v>
      </c>
      <c r="S21" s="284">
        <f>M21*L21</f>
        <v>1.58</v>
      </c>
      <c r="T21" s="43">
        <f>N21*2*L21*2</f>
        <v>2.4</v>
      </c>
      <c r="U21" s="9"/>
      <c r="X21" s="4"/>
    </row>
    <row r="22" spans="1:25" ht="17.399999999999999" x14ac:dyDescent="0.3">
      <c r="B22" s="278"/>
      <c r="C22" s="278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2">
        <f>SUM(H21:H23)</f>
        <v>48363.21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2.4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3">
        <f>H24*19%</f>
        <v>9189.0098999999991</v>
      </c>
      <c r="I25" s="299"/>
      <c r="J25" s="260"/>
      <c r="K25" s="315"/>
      <c r="L25" s="44"/>
      <c r="M25" s="36">
        <f>SUM(M21:M21)</f>
        <v>1.58</v>
      </c>
      <c r="N25" s="12"/>
      <c r="O25" s="12"/>
      <c r="P25" s="248">
        <f>SUM(P21:P23)</f>
        <v>0.94799999999999995</v>
      </c>
      <c r="Q25" s="14"/>
      <c r="R25" s="12"/>
      <c r="S25" s="235">
        <f>SUM(S21:S24)</f>
        <v>1.58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4">
        <f>H24+H25</f>
        <v>57552.219899999996</v>
      </c>
      <c r="I26" s="299"/>
      <c r="J26" s="260"/>
      <c r="K26" s="315"/>
      <c r="L26" s="44"/>
      <c r="M26" s="36"/>
      <c r="N26" s="12"/>
      <c r="O26" s="12"/>
      <c r="P26" s="248">
        <f>P25</f>
        <v>0.94799999999999995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0.18959999999999999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1.1375999999999999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1.1375999999999999</v>
      </c>
      <c r="N30" s="12">
        <v>3500</v>
      </c>
      <c r="O30" s="12">
        <f t="shared" ref="O30:O35" si="5">M30*N30</f>
        <v>3981.6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0.3</v>
      </c>
      <c r="N31" s="12">
        <v>23500</v>
      </c>
      <c r="O31" s="12">
        <f t="shared" si="5"/>
        <v>7050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/>
      <c r="K33" s="228"/>
      <c r="L33" s="245"/>
      <c r="M33" s="14">
        <v>0.5</v>
      </c>
      <c r="N33" s="245">
        <v>19497</v>
      </c>
      <c r="O33" s="12">
        <f t="shared" si="5"/>
        <v>9748.5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/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1.5</v>
      </c>
      <c r="N35" s="12">
        <v>1500</v>
      </c>
      <c r="O35" s="12">
        <f t="shared" si="5"/>
        <v>2250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23030.1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48363.21</v>
      </c>
      <c r="P37" s="14" t="s">
        <v>138</v>
      </c>
      <c r="Q37" s="14"/>
      <c r="R37" s="37">
        <f>P28/R36</f>
        <v>0.30672993960310613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51016.044303797469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45877</v>
      </c>
    </row>
    <row r="6" spans="1:31" ht="16.2" thickBot="1" x14ac:dyDescent="0.35">
      <c r="B6" s="137" t="s">
        <v>2</v>
      </c>
      <c r="C6" s="136">
        <f>'2229'!C10</f>
        <v>0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11573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-201.7012159420301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48363.21</v>
      </c>
      <c r="E11" s="129">
        <f>D11*0.19</f>
        <v>9189.0098999999991</v>
      </c>
      <c r="F11" s="128">
        <f>E11+D11</f>
        <v>57552.219899999996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105788.29878405797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33680.716217391302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87788.298784057974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14682.493782608697</v>
      </c>
      <c r="E13" s="218">
        <f>(D11/D12)-1</f>
        <v>0.43593175655294636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78788.298784057974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39788.298784057974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56112.0732181739</v>
      </c>
      <c r="C15" s="210" t="s">
        <v>121</v>
      </c>
      <c r="D15" s="211">
        <v>0.4</v>
      </c>
      <c r="E15" s="212">
        <f>(100%+D15)*D12</f>
        <v>47153.002704347819</v>
      </c>
      <c r="F15" s="213">
        <f>E15-D12</f>
        <v>13472.286486956516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39788.298784057974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79788.298784057974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9748.5</v>
      </c>
      <c r="E18" s="120">
        <f>D18*0.19</f>
        <v>1852.2149999999999</v>
      </c>
      <c r="F18" s="117">
        <f>SUM(D18:E18)</f>
        <v>11600.715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7050</v>
      </c>
      <c r="E19" s="120">
        <f>D19*0.19</f>
        <v>1339.5</v>
      </c>
      <c r="F19" s="117">
        <f>SUM(D19:E19)</f>
        <v>8389.5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3981.6</v>
      </c>
      <c r="E20" s="118">
        <f>D20*0.19</f>
        <v>756.50400000000002</v>
      </c>
      <c r="F20" s="117">
        <f>SUM(D20:E20)</f>
        <v>4738.1040000000003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20780.099999999999</v>
      </c>
      <c r="E21" s="113">
        <f>SUM(E18:E20)</f>
        <v>3948.2190000000001</v>
      </c>
      <c r="F21" s="112">
        <f>SUM(F18:F20)</f>
        <v>24728.319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0.1</v>
      </c>
      <c r="F28" s="95">
        <f t="shared" si="4"/>
        <v>169.08212560386474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0.1</v>
      </c>
      <c r="F29" s="95">
        <f t="shared" si="4"/>
        <v>241.54589371980674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1.1000000000000001</v>
      </c>
      <c r="F33" s="82">
        <f>SUM(F23:F32)</f>
        <v>2772.9468599033817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5208.8287777777778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5208.8287777777778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1.1000000000000001</v>
      </c>
      <c r="I37" s="201">
        <f>32609.69/9</f>
        <v>3623.2988888888885</v>
      </c>
      <c r="J37" s="184" t="s">
        <v>45</v>
      </c>
      <c r="K37" s="146">
        <f>I37*H37</f>
        <v>3985.6287777777779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10127.669357487923</v>
      </c>
      <c r="H38" s="193">
        <f>$E$33</f>
        <v>1.1000000000000001</v>
      </c>
      <c r="I38" s="171">
        <v>967</v>
      </c>
      <c r="J38" s="181" t="s">
        <v>43</v>
      </c>
      <c r="K38" s="86">
        <f>I38*H38</f>
        <v>1063.7</v>
      </c>
    </row>
    <row r="39" spans="2:16" ht="15" thickBot="1" x14ac:dyDescent="0.35">
      <c r="H39" s="197">
        <f>$E$33</f>
        <v>1.1000000000000001</v>
      </c>
      <c r="I39" s="203">
        <v>145</v>
      </c>
      <c r="J39" s="182" t="s">
        <v>44</v>
      </c>
      <c r="K39" s="81">
        <f>I39*H39</f>
        <v>159.5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5240.7908999999991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1.1000000000000001</v>
      </c>
      <c r="H42" s="74" t="s">
        <v>58</v>
      </c>
      <c r="I42" s="156" t="s">
        <v>57</v>
      </c>
      <c r="J42" s="157"/>
      <c r="K42" s="157"/>
      <c r="L42" s="158"/>
      <c r="M42" s="73">
        <f>D11</f>
        <v>48363.21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20780.099999999999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2772.9468599033817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10127.669357487923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14682.493782608697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14682.493782608697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2025-08-08T15:51:10Z</cp:lastPrinted>
  <dcterms:created xsi:type="dcterms:W3CDTF">2013-03-18T13:35:42Z</dcterms:created>
  <dcterms:modified xsi:type="dcterms:W3CDTF">2025-08-08T16:13:53Z</dcterms:modified>
</cp:coreProperties>
</file>