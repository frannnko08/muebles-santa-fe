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A7603B4E-3AA8-4A74-A33F-AC5046685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H25" i="1"/>
  <c r="H26" i="1"/>
  <c r="B28" i="3"/>
  <c r="D29" i="3" s="1"/>
  <c r="N16" i="3"/>
  <c r="J42" i="1"/>
  <c r="J40" i="1"/>
  <c r="J39" i="1"/>
  <c r="K18" i="3"/>
  <c r="I27" i="3" l="1"/>
  <c r="I39" i="3"/>
  <c r="A23" i="3"/>
  <c r="A22" i="3"/>
  <c r="A21" i="3"/>
  <c r="B23" i="3"/>
  <c r="D24" i="3" s="1"/>
  <c r="O20" i="3"/>
  <c r="O21" i="3" s="1"/>
  <c r="J36" i="1"/>
  <c r="M21" i="1"/>
  <c r="L21" i="1" l="1"/>
  <c r="M27" i="1" s="1"/>
  <c r="N21" i="1"/>
  <c r="S21" i="1" l="1"/>
  <c r="S27" i="1" s="1"/>
  <c r="T21" i="1"/>
  <c r="T24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7" i="1"/>
  <c r="O36" i="1"/>
  <c r="F18" i="3" l="1"/>
  <c r="O32" i="1" l="1"/>
  <c r="O38" i="1" s="1"/>
  <c r="O39" i="1" s="1"/>
  <c r="O40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41" i="1" l="1"/>
  <c r="Q21" i="1" l="1"/>
  <c r="G21" i="1" s="1"/>
  <c r="F15" i="3"/>
  <c r="R21" i="1" l="1"/>
  <c r="H21" i="1" l="1"/>
  <c r="H24" i="1" s="1"/>
  <c r="X9" i="3" l="1"/>
  <c r="X15" i="3" s="1"/>
  <c r="H27" i="1" l="1"/>
  <c r="H28" i="1" s="1"/>
  <c r="X14" i="3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<sst xmlns="http://schemas.openxmlformats.org/spreadsheetml/2006/main" count="238" uniqueCount="183">
  <si>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</si>
  <si>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</si>
  <si>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</si>
  <si>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</si>
  <si>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</si>
  <si>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</si>
  <si>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</si>
  <si>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</si>
  <si>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</si>
  <si>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</si>
  <si>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</si>
  <si>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</si>
  <si>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</si>
  <si>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</si>
  <si>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</si>
  <si>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</si>
  <si>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</si>
  <si>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</si>
  <si>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</si>
  <si>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</si>
  <si>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</si>
  <si>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</si>
  <si>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</si>
  <si>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</si>
  <si>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</si>
  <si>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</si>
  <si>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</si>
  <si>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</si>
  <si>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</si>
  <si>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</si>
  <si>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</si>
  <si>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</si>
  <si>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</si>
  <si>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</si>
  <si>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</si>
  <si>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</si>
  <si>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</si>
  <si>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</si>
  <si>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</si>
  <si>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</si>
  <si>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</si>
  <si>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</si>
  <si>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</si>
  <si>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</si>
  <si>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</si>
  <si>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</si>
  <si>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</si>
  <si>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</si>
  <si>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</si>
  <si>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</si>
  <si>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</si>
  <si>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</si>
  <si>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</si>
  <si>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</si>
  <si>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</si>
  <si>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</si>
  <si>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</si>
  <si>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</si>
  <si>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</si>
  <si>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</si>
  <si>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</si>
  <si>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</si>
  <si>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</si>
  <si>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</si>
  <si>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</si>
  <si>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</si>
  <si>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</si>
  <si>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</si>
  <si>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</si>
  <si>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</si>
  <si>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</si>
  <si>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</si>
  <si>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</si>
  <si>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</si>
  <si>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</si>
  <si>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</si>
  <si>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</si>
  <si>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</si>
  <si>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</si>
  <si>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</si>
  <si>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</si>
  <si>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</si>
  <si>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</si>
  <si>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</si>
  <si>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</si>
  <si>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</si>
  <si>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</si>
  <si>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</si>
  <si>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</si>
  <si>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</si>
  <si>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</si>
  <si>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</si>
  <si>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</si>
  <si>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</si>
  <si>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</si>
  <si>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</si>
  <si>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</si>
  <si>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</si>
  <si>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</si>
  <si>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</si>
  <si>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</si>
  <si>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</si>
  <si>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</si>
  <si>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</si>
  <si>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</si>
  <si>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</si>
  <si>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</si>
  <si>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</si>
  <si>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</si>
  <si>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</si>
  <si>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</si>
  <si>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</si>
  <si>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</si>
  <si>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</si>
  <si>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</si>
  <si>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</si>
  <si>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</si>
  <si>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</si>
  <si>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</si>
  <si>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</si>
  <si>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</si>
  <si>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</si>
  <si>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</si>
  <si>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</si>
  <si>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</si>
  <si>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</si>
  <si>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</si>
  <si>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</si>
  <si>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</si>
  <si>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</si>
  <si>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</si>
  <si>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</si>
  <si>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</si>
  <si>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</si>
  <si>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</si>
  <si>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</si>
  <si>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</si>
  <si>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</si>
  <si>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</si>
  <si>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</si>
  <si>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</si>
  <si>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</si>
  <si>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</si>
  <si>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</si>
  <si>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</si>
  <si>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</si>
  <si>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</si>
  <si>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</si>
  <si>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</si>
  <si>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</si>
  <si>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</si>
  <si>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</si>
  <si>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</si>
  <si>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</si>
  <si>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</si>
  <si>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</si>
  <si>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</si>
  <si>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</si>
  <si>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</si>
  <si>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</si>
  <si>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</si>
  <si>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</si>
  <si>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</si>
  <si>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</si>
  <si>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</si>
  <si>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</si>
  <si>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</si>
  <si>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FRANCISCO ERRAZURIS</t>
  </si>
  <si>
    <t>+569 5659 4946</t>
  </si>
  <si>
    <t>GALAXIA GRAFITO 0491 MT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</si>
  <si>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</si>
  <si>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</si>
  <si>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</si>
  <si>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</si>
  <si>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</si>
  <si>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</si>
  <si>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N° 11574</t>
  </si>
  <si>
    <t>SUB TOTAL</t>
  </si>
  <si>
    <t>DESCUENTO 7%</t>
  </si>
  <si>
    <t>CUB CON RESPALDO FRENTE 90° R6</t>
  </si>
  <si>
    <t>BEMAS</t>
  </si>
  <si>
    <t>FRANCISCO.ERRAZURIS@BEMAS.CL</t>
  </si>
  <si>
    <t>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</si>
</sst>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6" fontId="29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0" fontId="5" fillId="18" borderId="35" xfId="0" applyFont="1" applyFill="1" applyBorder="1" applyAlignment="1">
      <alignment horizont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8" borderId="14" xfId="8" applyFont="1" applyFill="1" applyBorder="1"/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7" borderId="35" xfId="0" applyFont="1" applyFill="1" applyBorder="1" applyAlignment="1">
      <alignment horizontal="center"/>
    </xf>
    <xf numFmtId="42" fontId="37" fillId="17" borderId="14" xfId="8" applyFont="1" applyFill="1" applyBorder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FRENTE 4CM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RANCISCO.ERRAZURIS@BEMA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45" t="s">
        <v>122</v>
      </c>
      <c r="C8" s="346"/>
      <c r="D8" s="347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180</v>
      </c>
      <c r="D10" s="236"/>
      <c r="E10" s="236"/>
      <c r="F10" s="237" t="s">
        <v>163</v>
      </c>
      <c r="G10" s="268">
        <v>45877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182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Q12" s="19"/>
      <c r="R12" s="22"/>
      <c r="S12" s="19"/>
    </row>
    <row r="13" spans="2:24" x14ac:dyDescent="0.3">
      <c r="B13" s="276" t="s">
        <v>140</v>
      </c>
      <c r="C13" t="s">
        <v>167</v>
      </c>
      <c r="F13" t="s">
        <v>161</v>
      </c>
      <c r="G13" s="301" t="s">
        <v>130</v>
      </c>
      <c r="H13" s="277"/>
      <c r="Q13" s="19"/>
      <c r="R13" s="22"/>
      <c r="S13" s="19"/>
    </row>
    <row r="14" spans="2:24" x14ac:dyDescent="0.3">
      <c r="B14" s="239" t="s">
        <v>134</v>
      </c>
      <c r="C14" s="348" t="s">
        <v>181</v>
      </c>
      <c r="D14" s="299"/>
      <c r="E14" s="299"/>
      <c r="F14" s="299" t="s">
        <v>131</v>
      </c>
      <c r="G14" s="302" t="s">
        <v>130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168</v>
      </c>
      <c r="D15" s="304"/>
      <c r="F15" t="s">
        <v>164</v>
      </c>
      <c r="G15" s="305" t="s">
        <v>130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</row>
    <row r="17" spans="2:25" ht="15" thickBot="1" x14ac:dyDescent="0.35">
      <c r="B17" s="287" t="s">
        <v>13</v>
      </c>
      <c r="C17" s="288" t="s">
        <v>166</v>
      </c>
      <c r="D17" s="289"/>
      <c r="E17" s="113"/>
      <c r="F17" s="349" t="s">
        <v>159</v>
      </c>
      <c r="G17" s="349"/>
      <c r="H17" s="350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51" t="s">
        <v>92</v>
      </c>
      <c r="C19" s="352"/>
      <c r="D19" s="352"/>
      <c r="E19" s="352"/>
      <c r="F19" s="352"/>
      <c r="G19" s="352"/>
      <c r="H19" s="353"/>
      <c r="I19" s="256"/>
      <c r="J19" s="256"/>
      <c r="K19" s="5"/>
      <c r="L19" s="242"/>
      <c r="M19" s="14">
        <v>0.08</v>
      </c>
      <c r="N19" s="14">
        <v>0.3</v>
      </c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2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O40</f>
        <v>50763.058408889628</v>
      </c>
      <c r="R20" s="250">
        <v>2000</v>
      </c>
      <c r="S20" s="35"/>
      <c r="T20" s="14" t="s">
        <v>124</v>
      </c>
      <c r="U20" s="9"/>
      <c r="X20" s="4"/>
    </row>
    <row r="21" spans="2:25" ht="18" thickBot="1" x14ac:dyDescent="0.35">
      <c r="B21" s="316">
        <v>283</v>
      </c>
      <c r="C21" s="317" t="s">
        <v>179</v>
      </c>
      <c r="D21" s="318">
        <v>2.5</v>
      </c>
      <c r="E21" s="318">
        <v>0.6</v>
      </c>
      <c r="F21" s="317" t="s">
        <v>169</v>
      </c>
      <c r="G21" s="319">
        <f>Q21</f>
        <v>117871.82162544169</v>
      </c>
      <c r="H21" s="320">
        <f>G21*B21</f>
        <v>33357725.52</v>
      </c>
      <c r="I21" s="292"/>
      <c r="J21" s="257"/>
      <c r="K21" s="44"/>
      <c r="L21" s="44">
        <f>B21</f>
        <v>283</v>
      </c>
      <c r="M21" s="36">
        <f>D21+M$19</f>
        <v>2.58</v>
      </c>
      <c r="N21" s="36">
        <f>E21+$N$19</f>
        <v>0.89999999999999991</v>
      </c>
      <c r="O21" s="253">
        <f t="shared" ref="O21" si="1">M21*N21</f>
        <v>2.3219999999999996</v>
      </c>
      <c r="P21" s="251">
        <f t="shared" ref="P21" si="2">O21*L21</f>
        <v>657.12599999999986</v>
      </c>
      <c r="Q21" s="244">
        <f t="shared" ref="Q21" si="3">Q$20*O21</f>
        <v>117871.82162544169</v>
      </c>
      <c r="R21" s="291">
        <f t="shared" ref="R21" si="4">Q21+R$20</f>
        <v>119871.82162544169</v>
      </c>
      <c r="S21" s="279">
        <f>M21*L21</f>
        <v>730.14</v>
      </c>
      <c r="T21" s="43">
        <f>N21*2*L21*2</f>
        <v>1018.8</v>
      </c>
      <c r="U21" s="9"/>
      <c r="X21" s="4"/>
    </row>
    <row r="22" spans="2:25" ht="17.399999999999999" x14ac:dyDescent="0.3">
      <c r="B22" s="274"/>
      <c r="C22" s="274"/>
      <c r="D22" s="275"/>
      <c r="E22" s="275"/>
      <c r="F22" s="274"/>
      <c r="G22" s="292"/>
      <c r="H22" s="292"/>
      <c r="I22" s="292"/>
      <c r="J22" s="257"/>
      <c r="K22" s="44"/>
      <c r="L22" s="44"/>
      <c r="M22" s="36"/>
      <c r="N22" s="36"/>
      <c r="O22" s="253"/>
      <c r="P22" s="251"/>
      <c r="Q22" s="244"/>
      <c r="R22" s="291"/>
      <c r="S22" s="279"/>
      <c r="T22" s="43"/>
      <c r="U22" s="9"/>
      <c r="X22" s="4"/>
    </row>
    <row r="23" spans="2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/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2:25" ht="17.399999999999999" x14ac:dyDescent="0.3">
      <c r="B24" s="274"/>
      <c r="C24" s="274"/>
      <c r="D24" s="275"/>
      <c r="E24" s="275"/>
      <c r="F24" s="274"/>
      <c r="G24" s="343" t="s">
        <v>177</v>
      </c>
      <c r="H24" s="344">
        <f>SUM(H21:H23)</f>
        <v>33357725.52</v>
      </c>
      <c r="I24" s="294"/>
      <c r="J24" s="332"/>
      <c r="K24" s="309"/>
      <c r="L24" s="44"/>
      <c r="M24" s="36"/>
      <c r="N24" s="36"/>
      <c r="O24" s="253"/>
      <c r="P24" s="251"/>
      <c r="Q24" s="244"/>
      <c r="R24" s="250"/>
      <c r="S24" s="279"/>
      <c r="T24" s="43">
        <f>SUM(T21:T23)</f>
        <v>1018.8</v>
      </c>
      <c r="U24" s="9"/>
      <c r="X24" s="4"/>
    </row>
    <row r="25" spans="2:25" ht="17.399999999999999" x14ac:dyDescent="0.3">
      <c r="B25" s="274"/>
      <c r="C25" s="274"/>
      <c r="D25" s="275"/>
      <c r="E25" s="275"/>
      <c r="F25" s="274"/>
      <c r="G25" s="341" t="s">
        <v>178</v>
      </c>
      <c r="H25" s="342">
        <f>H24*0.07</f>
        <v>2335040.7864000001</v>
      </c>
      <c r="I25" s="294"/>
      <c r="J25" s="257"/>
      <c r="K25" s="309"/>
      <c r="L25" s="44"/>
      <c r="M25" s="36"/>
      <c r="N25" s="36"/>
      <c r="O25" s="253"/>
      <c r="P25" s="251"/>
      <c r="Q25" s="244"/>
      <c r="R25" s="250"/>
      <c r="S25" s="279"/>
      <c r="T25" s="43"/>
      <c r="U25" s="9"/>
      <c r="X25" s="4"/>
    </row>
    <row r="26" spans="2:25" ht="17.399999999999999" x14ac:dyDescent="0.3">
      <c r="B26" s="274"/>
      <c r="C26" s="274"/>
      <c r="D26" s="275"/>
      <c r="E26" s="275"/>
      <c r="F26" s="274"/>
      <c r="G26" s="333" t="s">
        <v>28</v>
      </c>
      <c r="H26" s="336">
        <f>H24-H25</f>
        <v>31022684.733599998</v>
      </c>
      <c r="I26" s="294"/>
      <c r="J26" s="257"/>
      <c r="K26" s="309"/>
      <c r="L26" s="44"/>
      <c r="M26" s="36"/>
      <c r="N26" s="36"/>
      <c r="O26" s="253"/>
      <c r="P26" s="251"/>
      <c r="Q26" s="244"/>
      <c r="R26" s="250"/>
      <c r="S26" s="279"/>
      <c r="T26" s="43"/>
      <c r="U26" s="9"/>
      <c r="X26" s="4"/>
    </row>
    <row r="27" spans="2:25" ht="17.399999999999999" x14ac:dyDescent="0.3">
      <c r="B27" s="269"/>
      <c r="C27" s="271"/>
      <c r="D27" s="272"/>
      <c r="E27" s="272"/>
      <c r="F27" s="273"/>
      <c r="G27" s="334" t="s">
        <v>51</v>
      </c>
      <c r="H27" s="337">
        <f>(H24-H25)*19%</f>
        <v>5894310.0993839996</v>
      </c>
      <c r="I27" s="294"/>
      <c r="J27" s="257"/>
      <c r="K27" s="309"/>
      <c r="L27" s="44"/>
      <c r="M27" s="36">
        <f>SUM(M21:M21)*L21</f>
        <v>730.14</v>
      </c>
      <c r="N27" s="12"/>
      <c r="O27" s="12"/>
      <c r="P27" s="245">
        <f>SUM(P21:P23)</f>
        <v>657.12599999999986</v>
      </c>
      <c r="Q27" s="14"/>
      <c r="R27" s="12"/>
      <c r="S27" s="232">
        <f>SUM(S21:S24)</f>
        <v>730.14</v>
      </c>
      <c r="T27" s="43"/>
      <c r="U27" s="9"/>
      <c r="X27" s="4"/>
    </row>
    <row r="28" spans="2:25" ht="18" thickBot="1" x14ac:dyDescent="0.35">
      <c r="B28" s="267"/>
      <c r="C28" s="270"/>
      <c r="D28" s="264"/>
      <c r="E28" s="264"/>
      <c r="F28" s="265"/>
      <c r="G28" s="335" t="s">
        <v>6</v>
      </c>
      <c r="H28" s="338">
        <f>(H24-H25)+H27</f>
        <v>36916994.832984</v>
      </c>
      <c r="I28" s="294"/>
      <c r="J28" s="257"/>
      <c r="K28" s="309"/>
      <c r="L28" s="44"/>
      <c r="M28" s="36"/>
      <c r="N28" s="12"/>
      <c r="O28" s="12"/>
      <c r="P28" s="245">
        <f>P27</f>
        <v>657.12599999999986</v>
      </c>
      <c r="Q28" s="14"/>
      <c r="R28" s="12"/>
      <c r="S28" s="232"/>
      <c r="T28" s="43"/>
      <c r="U28" s="9"/>
      <c r="X28" s="4"/>
    </row>
    <row r="29" spans="2:25" ht="17.399999999999999" x14ac:dyDescent="0.3">
      <c r="B29" s="267"/>
      <c r="C29" s="263"/>
      <c r="D29" s="264"/>
      <c r="E29" s="264"/>
      <c r="F29" s="265"/>
      <c r="J29" s="257"/>
      <c r="K29" s="309"/>
      <c r="L29" s="44"/>
      <c r="M29" s="14"/>
      <c r="N29" s="12"/>
      <c r="O29" s="12"/>
      <c r="P29" s="36">
        <f>P28*20%</f>
        <v>131.42519999999999</v>
      </c>
      <c r="Q29" s="36" t="s">
        <v>126</v>
      </c>
      <c r="R29" s="39"/>
      <c r="S29" s="233"/>
      <c r="T29" s="14"/>
      <c r="U29" s="9"/>
      <c r="X29" s="4"/>
    </row>
    <row r="30" spans="2:25" ht="17.399999999999999" x14ac:dyDescent="0.35">
      <c r="B30" s="261"/>
      <c r="C30" s="223"/>
      <c r="D30" s="223"/>
      <c r="E30" s="226"/>
      <c r="F30" s="227"/>
      <c r="G30" s="223"/>
      <c r="H30" s="266"/>
      <c r="I30" s="266"/>
      <c r="J30" s="257"/>
      <c r="K30" s="44"/>
      <c r="L30" s="44"/>
      <c r="M30" s="14"/>
      <c r="N30" s="12"/>
      <c r="O30" s="12"/>
      <c r="P30" s="43">
        <f>P28+P29</f>
        <v>788.55119999999988</v>
      </c>
      <c r="Q30" s="14"/>
      <c r="R30" s="14"/>
      <c r="S30" s="231"/>
      <c r="T30" s="14"/>
      <c r="U30" s="9"/>
      <c r="X30" s="4"/>
    </row>
    <row r="31" spans="2:25" ht="17.399999999999999" x14ac:dyDescent="0.35">
      <c r="B31" s="228"/>
      <c r="C31" s="229"/>
      <c r="D31" s="230"/>
      <c r="E31" s="228"/>
      <c r="F31" s="223"/>
      <c r="G31" s="223"/>
      <c r="I31" s="266"/>
      <c r="J31" s="257"/>
      <c r="K31" s="44"/>
      <c r="L31" s="44"/>
      <c r="M31" s="14"/>
      <c r="N31" s="14"/>
      <c r="O31" s="14"/>
      <c r="P31" s="14"/>
      <c r="Q31" s="14"/>
      <c r="R31" s="14"/>
      <c r="S31" s="233"/>
      <c r="T31" s="14"/>
      <c r="U31" s="283" t="s">
        <v>21</v>
      </c>
      <c r="V31" s="280" t="s">
        <v>146</v>
      </c>
      <c r="W31" s="284">
        <v>44971</v>
      </c>
      <c r="X31" s="285"/>
    </row>
    <row r="32" spans="2:25" ht="17.399999999999999" x14ac:dyDescent="0.35">
      <c r="B32" s="223"/>
      <c r="C32" s="223"/>
      <c r="D32" s="223"/>
      <c r="E32" s="223"/>
      <c r="F32" s="223"/>
      <c r="G32" s="223"/>
      <c r="J32" s="257"/>
      <c r="K32" s="44"/>
      <c r="L32" s="44"/>
      <c r="M32" s="36">
        <f>P30</f>
        <v>788.55119999999988</v>
      </c>
      <c r="N32" s="12">
        <v>3500</v>
      </c>
      <c r="O32" s="12">
        <f t="shared" ref="O32:O37" si="5">M32*N32</f>
        <v>2759929.1999999997</v>
      </c>
      <c r="P32" s="14" t="s">
        <v>21</v>
      </c>
      <c r="Q32" s="14"/>
      <c r="R32" s="14"/>
      <c r="S32" s="234"/>
      <c r="T32" s="14"/>
      <c r="U32" s="283" t="s">
        <v>147</v>
      </c>
      <c r="V32" s="280">
        <v>3625</v>
      </c>
      <c r="W32" s="56" t="s">
        <v>148</v>
      </c>
      <c r="X32" s="285"/>
    </row>
    <row r="33" spans="1:24" ht="17.399999999999999" x14ac:dyDescent="0.35">
      <c r="A33" s="223"/>
      <c r="B33" s="223"/>
      <c r="C33" s="223"/>
      <c r="D33" s="223"/>
      <c r="E33" s="223"/>
      <c r="F33" s="223"/>
      <c r="G33" s="223"/>
      <c r="H33" s="223"/>
      <c r="J33" s="257"/>
      <c r="K33" s="44"/>
      <c r="L33" s="44"/>
      <c r="M33" s="241">
        <v>212.7</v>
      </c>
      <c r="N33" s="12">
        <v>23500</v>
      </c>
      <c r="O33" s="12">
        <f t="shared" si="5"/>
        <v>4998450</v>
      </c>
      <c r="P33" s="36" t="s">
        <v>165</v>
      </c>
      <c r="Q33" s="39"/>
      <c r="R33" s="14"/>
      <c r="S33" s="233"/>
      <c r="T33" s="14"/>
      <c r="U33" s="283"/>
      <c r="V33" s="56">
        <v>906.25</v>
      </c>
      <c r="W33" s="56" t="s">
        <v>149</v>
      </c>
      <c r="X33" s="285"/>
    </row>
    <row r="34" spans="1:24" s="223" customFormat="1" ht="17.399999999999999" x14ac:dyDescent="0.35">
      <c r="B34" s="21" t="s">
        <v>145</v>
      </c>
      <c r="J34" s="254"/>
      <c r="K34" s="225"/>
      <c r="L34" s="242"/>
      <c r="M34" s="14">
        <v>141</v>
      </c>
      <c r="N34" s="242">
        <v>54782</v>
      </c>
      <c r="O34" s="12">
        <f t="shared" si="5"/>
        <v>7724262</v>
      </c>
      <c r="P34" s="36" t="s">
        <v>30</v>
      </c>
      <c r="Q34" s="39"/>
      <c r="S34" s="233"/>
      <c r="T34" s="248"/>
      <c r="U34" s="56"/>
      <c r="V34" s="56">
        <f>V33*20%</f>
        <v>181.25</v>
      </c>
      <c r="W34" s="285" t="s">
        <v>150</v>
      </c>
      <c r="X34" s="56"/>
    </row>
    <row r="35" spans="1:24" s="223" customFormat="1" ht="17.399999999999999" x14ac:dyDescent="0.35">
      <c r="B35" s="21" t="s">
        <v>160</v>
      </c>
      <c r="C35"/>
      <c r="D35"/>
      <c r="E35"/>
      <c r="F35"/>
      <c r="J35" s="254">
        <v>46000</v>
      </c>
      <c r="K35" s="225"/>
      <c r="L35" s="242"/>
      <c r="M35" s="14">
        <v>1</v>
      </c>
      <c r="N35" s="242">
        <v>36990</v>
      </c>
      <c r="O35" s="12">
        <f t="shared" si="5"/>
        <v>36990</v>
      </c>
      <c r="P35" s="14" t="s">
        <v>136</v>
      </c>
      <c r="Q35" s="17"/>
      <c r="S35" s="231"/>
      <c r="T35" s="248"/>
      <c r="U35" s="56"/>
      <c r="V35" s="56">
        <f>V33+V34</f>
        <v>1087.5</v>
      </c>
      <c r="W35" s="285" t="s">
        <v>151</v>
      </c>
      <c r="X35" s="56"/>
    </row>
    <row r="36" spans="1:24" s="223" customFormat="1" ht="17.399999999999999" x14ac:dyDescent="0.35">
      <c r="B36" s="26" t="s">
        <v>121</v>
      </c>
      <c r="C36"/>
      <c r="D36"/>
      <c r="E36"/>
      <c r="F36" s="222" t="s">
        <v>15</v>
      </c>
      <c r="J36" s="254">
        <f>J35/1.19</f>
        <v>38655.462184873948</v>
      </c>
      <c r="K36" s="252"/>
      <c r="L36" s="242"/>
      <c r="M36" s="241"/>
      <c r="N36" s="242">
        <v>900</v>
      </c>
      <c r="O36" s="12">
        <f t="shared" si="5"/>
        <v>0</v>
      </c>
      <c r="P36" s="14" t="s">
        <v>32</v>
      </c>
      <c r="Q36" s="14"/>
      <c r="R36" s="223">
        <v>1.52</v>
      </c>
      <c r="S36" s="231"/>
      <c r="T36" s="231"/>
    </row>
    <row r="37" spans="1:24" s="223" customFormat="1" ht="17.399999999999999" x14ac:dyDescent="0.35">
      <c r="J37" s="278"/>
      <c r="K37" s="252"/>
      <c r="L37" s="242"/>
      <c r="M37" s="258">
        <v>730</v>
      </c>
      <c r="N37" s="12">
        <v>500</v>
      </c>
      <c r="O37" s="12">
        <f t="shared" si="5"/>
        <v>365000</v>
      </c>
      <c r="P37" s="14" t="s">
        <v>22</v>
      </c>
      <c r="Q37" s="14"/>
      <c r="R37">
        <v>2.44</v>
      </c>
      <c r="S37"/>
      <c r="T37" s="231"/>
      <c r="X37" s="224"/>
    </row>
    <row r="38" spans="1:24" s="223" customFormat="1" ht="17.399999999999999" x14ac:dyDescent="0.35">
      <c r="K38" s="252"/>
      <c r="L38" s="242"/>
      <c r="M38" s="14"/>
      <c r="N38" s="12"/>
      <c r="O38" s="12">
        <f>SUM(O32:O37)</f>
        <v>15884631.199999999</v>
      </c>
      <c r="P38" s="36" t="s">
        <v>23</v>
      </c>
      <c r="Q38" s="14"/>
      <c r="R38">
        <f>R36*R37</f>
        <v>3.7088000000000001</v>
      </c>
      <c r="S38"/>
      <c r="T38" s="231"/>
      <c r="X38" s="224"/>
    </row>
    <row r="39" spans="1:24" s="223" customFormat="1" ht="17.399999999999999" x14ac:dyDescent="0.35">
      <c r="J39" s="223">
        <f>1520/33</f>
        <v>46.060606060606062</v>
      </c>
      <c r="L39" s="242"/>
      <c r="M39" s="246" t="s">
        <v>33</v>
      </c>
      <c r="N39" s="12"/>
      <c r="O39" s="247">
        <f>O38*2.1</f>
        <v>33357725.52</v>
      </c>
      <c r="P39" s="14" t="s">
        <v>135</v>
      </c>
      <c r="Q39" s="14"/>
      <c r="R39" s="37">
        <f>P30/R38</f>
        <v>212.61626402070746</v>
      </c>
      <c r="S39"/>
      <c r="T39" s="249"/>
    </row>
    <row r="40" spans="1:24" s="223" customFormat="1" ht="17.399999999999999" x14ac:dyDescent="0.35">
      <c r="G40"/>
      <c r="H40" s="252"/>
      <c r="I40" s="252"/>
      <c r="J40" s="339">
        <f>283/J39</f>
        <v>6.1440789473684205</v>
      </c>
      <c r="L40" s="242"/>
      <c r="M40" s="14"/>
      <c r="N40" s="12"/>
      <c r="O40" s="12">
        <f>O39/P28</f>
        <v>50763.058408889628</v>
      </c>
      <c r="P40" s="42" t="s">
        <v>24</v>
      </c>
      <c r="Q40" s="14"/>
      <c r="R40" s="14"/>
      <c r="S40"/>
      <c r="T40" s="231"/>
      <c r="U40" s="56" t="s">
        <v>152</v>
      </c>
      <c r="V40" s="280">
        <v>43650</v>
      </c>
    </row>
    <row r="41" spans="1:24" s="223" customFormat="1" ht="17.399999999999999" x14ac:dyDescent="0.35">
      <c r="G41"/>
      <c r="J41" s="223">
        <v>45950</v>
      </c>
      <c r="L41" s="242"/>
      <c r="M41" s="13"/>
      <c r="N41" s="14"/>
      <c r="O41" s="17">
        <f>O39/O38</f>
        <v>2.1</v>
      </c>
      <c r="P41" s="15"/>
      <c r="Q41"/>
      <c r="R41"/>
      <c r="S41"/>
      <c r="T41" s="231"/>
      <c r="U41" s="56" t="s">
        <v>154</v>
      </c>
      <c r="V41" s="281" t="s">
        <v>153</v>
      </c>
      <c r="W41" s="56">
        <v>2.4</v>
      </c>
    </row>
    <row r="42" spans="1:24" s="223" customFormat="1" ht="17.399999999999999" x14ac:dyDescent="0.35">
      <c r="D42" s="275"/>
      <c r="E42" s="275"/>
      <c r="F42" s="274"/>
      <c r="G42" s="310"/>
      <c r="H42" s="314"/>
      <c r="J42" s="340">
        <f>J41*7</f>
        <v>321650</v>
      </c>
      <c r="L42" s="12"/>
      <c r="T42" s="231"/>
      <c r="U42" s="56" t="s">
        <v>155</v>
      </c>
      <c r="V42" s="282">
        <v>395.37</v>
      </c>
    </row>
    <row r="43" spans="1:24" s="223" customFormat="1" ht="17.399999999999999" x14ac:dyDescent="0.35">
      <c r="B43"/>
      <c r="C43" s="315"/>
      <c r="D43" s="275"/>
      <c r="E43" s="275"/>
      <c r="F43" s="274"/>
      <c r="G43" s="310"/>
      <c r="H43" s="314"/>
      <c r="L43" s="12"/>
      <c r="T43" s="231"/>
      <c r="U43" s="56" t="s">
        <v>150</v>
      </c>
      <c r="V43" s="56">
        <v>474.45</v>
      </c>
    </row>
    <row r="44" spans="1:24" ht="14.4" customHeight="1" x14ac:dyDescent="0.35">
      <c r="D44" s="275"/>
      <c r="E44" s="275"/>
      <c r="F44" s="274"/>
      <c r="G44" s="310"/>
      <c r="H44" s="314"/>
      <c r="L44" s="12"/>
      <c r="U44" s="56"/>
      <c r="V44" s="56"/>
    </row>
    <row r="45" spans="1:24" ht="17.399999999999999" x14ac:dyDescent="0.35">
      <c r="D45" s="275"/>
      <c r="E45" s="275"/>
      <c r="F45" s="274"/>
      <c r="G45" s="310"/>
      <c r="H45" s="314"/>
      <c r="L45" s="242"/>
    </row>
    <row r="46" spans="1:24" ht="17.399999999999999" x14ac:dyDescent="0.35">
      <c r="D46" s="275"/>
      <c r="E46" s="275"/>
      <c r="F46" s="274"/>
      <c r="G46" s="310"/>
      <c r="H46" s="314"/>
      <c r="L46" s="242"/>
      <c r="T46" s="262"/>
    </row>
    <row r="47" spans="1:24" ht="17.399999999999999" x14ac:dyDescent="0.35">
      <c r="D47" s="275"/>
      <c r="E47" s="275"/>
      <c r="F47" s="274"/>
      <c r="G47" s="310"/>
      <c r="H47" s="314"/>
      <c r="L47" s="242"/>
    </row>
    <row r="48" spans="1:24" ht="15" customHeight="1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</row>
    <row r="50" spans="4:20" ht="17.399999999999999" x14ac:dyDescent="0.35">
      <c r="D50" s="275"/>
      <c r="E50" s="275"/>
      <c r="F50" s="274"/>
      <c r="G50" s="310"/>
      <c r="H50" s="314"/>
      <c r="O50">
        <v>40935</v>
      </c>
      <c r="P50" t="s">
        <v>16</v>
      </c>
      <c r="Q50" t="s">
        <v>26</v>
      </c>
    </row>
    <row r="51" spans="4:20" ht="17.399999999999999" x14ac:dyDescent="0.35">
      <c r="D51" s="275"/>
      <c r="E51" s="275"/>
      <c r="F51" s="274"/>
      <c r="G51" s="310"/>
      <c r="H51" s="314"/>
    </row>
    <row r="52" spans="4:20" ht="17.399999999999999" x14ac:dyDescent="0.35">
      <c r="D52" s="275"/>
      <c r="E52" s="275"/>
      <c r="F52" s="274"/>
      <c r="G52" s="310"/>
      <c r="H52" s="314"/>
      <c r="O52" s="51"/>
      <c r="P52" s="51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ht="17.399999999999999" x14ac:dyDescent="0.35">
      <c r="D54" s="275"/>
      <c r="E54" s="275"/>
      <c r="F54" s="274"/>
      <c r="G54" s="310"/>
      <c r="H54" s="314"/>
      <c r="S54" s="18"/>
      <c r="T54" s="18"/>
    </row>
    <row r="55" spans="4:20" ht="17.399999999999999" x14ac:dyDescent="0.35">
      <c r="D55" s="275"/>
      <c r="E55" s="275"/>
      <c r="F55" s="274"/>
      <c r="G55" s="310"/>
      <c r="H55" s="314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142</v>
      </c>
    </row>
    <row r="76" spans="3:15" x14ac:dyDescent="0.3">
      <c r="C76" t="s">
        <v>141</v>
      </c>
    </row>
    <row r="79" spans="3:15" x14ac:dyDescent="0.3">
      <c r="C79" t="s">
        <v>141</v>
      </c>
    </row>
    <row r="156" spans="3:3" x14ac:dyDescent="0.3">
      <c r="C156" t="s">
        <v>141</v>
      </c>
    </row>
    <row r="157" spans="3:3" x14ac:dyDescent="0.3">
      <c r="C157" t="s">
        <v>143</v>
      </c>
    </row>
    <row r="158" spans="3:3" x14ac:dyDescent="0.3">
      <c r="C158" t="s">
        <v>144</v>
      </c>
    </row>
    <row r="583" spans="3:3" x14ac:dyDescent="0.3">
      <c r="C583" t="s">
        <v>141</v>
      </c>
    </row>
  </sheetData>
  <mergeCells count="2">
    <mergeCell ref="F17:H17"/>
    <mergeCell ref="B19:H19"/>
  </mergeCells>
  <phoneticPr fontId="31" type="noConversion"/>
  <hyperlinks>
    <hyperlink ref="F36" r:id="rId1" xr:uid="{00000000-0004-0000-0000-000000000000}"/>
    <hyperlink ref="C14" r:id="rId2" xr:uid="{BBA9B635-DA68-4F61-AA09-76D89D40464D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13" workbookViewId="0">
      <selection activeCell="D42" sqref="D4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45877</v>
      </c>
    </row>
    <row r="6" spans="1:31" ht="16.2" thickBot="1" x14ac:dyDescent="0.35">
      <c r="B6" s="134" t="s">
        <v>2</v>
      </c>
      <c r="C6" s="133" t="str">
        <f>'2229'!C10</f>
        <v>BEMAS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9" t="s">
        <v>95</v>
      </c>
      <c r="I7" s="360"/>
      <c r="J7" s="360"/>
      <c r="K7" s="361"/>
      <c r="N7" s="72"/>
      <c r="O7" s="358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11574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8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>
        <f>(E15-D11)/X8</f>
        <v>148938.6060379073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>
        <f>'2229'!H26</f>
        <v>31022684.733599998</v>
      </c>
      <c r="E11" s="126">
        <f>D11*0.19</f>
        <v>5894310.0993839996</v>
      </c>
      <c r="F11" s="125">
        <f>E11+D11</f>
        <v>36916994.832984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>
        <f t="shared" ref="X11:X16" si="2">V11+$X$9</f>
        <v>254928.6060379073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C12" s="131" t="s">
        <v>94</v>
      </c>
      <c r="D12" s="130">
        <f>SUM(M45:M47)</f>
        <v>18237895.068472825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>
        <f t="shared" si="2"/>
        <v>236928.6060379073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>
        <f>D11-D12</f>
        <v>12784789.665127173</v>
      </c>
      <c r="E13" s="215">
        <f>(D11/D12)-1</f>
        <v>0.70100138295168546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>
        <f t="shared" si="2"/>
        <v>227928.6060379073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>
        <f t="shared" si="2"/>
        <v>188928.6060379073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37980416.480094656</v>
      </c>
      <c r="C15" s="207" t="s">
        <v>118</v>
      </c>
      <c r="D15" s="208">
        <v>0.75</v>
      </c>
      <c r="E15" s="209">
        <f>(100%+D15)*D12</f>
        <v>31916316.369827442</v>
      </c>
      <c r="F15" s="210">
        <f>E15-D12</f>
        <v>13678421.301354617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>
        <f t="shared" si="2"/>
        <v>188928.6060379073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>
        <f t="shared" si="2"/>
        <v>228928.6060379073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173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170</v>
      </c>
      <c r="D18" s="116">
        <f>'2229'!O34</f>
        <v>7724262</v>
      </c>
      <c r="E18" s="117">
        <f>D18*0.19</f>
        <v>1467609.78</v>
      </c>
      <c r="F18" s="114">
        <f>SUM(D18:E18)</f>
        <v>9191871.7799999993</v>
      </c>
      <c r="H18" s="326">
        <v>6</v>
      </c>
      <c r="I18" s="325">
        <v>543</v>
      </c>
      <c r="J18" s="6" t="s">
        <v>174</v>
      </c>
      <c r="K18" s="327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171</v>
      </c>
      <c r="D19" s="116">
        <f>'2229'!O35</f>
        <v>36990</v>
      </c>
      <c r="E19" s="117">
        <f>D19*0.19</f>
        <v>7028.1</v>
      </c>
      <c r="F19" s="114">
        <f>SUM(D19:E19)</f>
        <v>44018.1</v>
      </c>
      <c r="H19" s="329"/>
      <c r="I19" s="328"/>
      <c r="J19" s="144" t="s">
        <v>175</v>
      </c>
      <c r="K19" s="330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21"/>
      <c r="C20" s="76" t="s">
        <v>31</v>
      </c>
      <c r="D20" s="116">
        <f>'2229'!O33</f>
        <v>4998450</v>
      </c>
      <c r="E20" s="117">
        <f>D20*0.19</f>
        <v>949705.5</v>
      </c>
      <c r="F20" s="114">
        <f>SUM(D20:E20)</f>
        <v>5948155.5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21">
        <f>1300000*1.2</f>
        <v>1560000</v>
      </c>
      <c r="B21" s="113"/>
      <c r="C21" s="71" t="s">
        <v>21</v>
      </c>
      <c r="D21" s="116">
        <f>'2229'!O32</f>
        <v>2759929.1999999997</v>
      </c>
      <c r="E21" s="115">
        <f>D21*0.19</f>
        <v>524386.54799999995</v>
      </c>
      <c r="F21" s="114">
        <f>SUM(D21:E21)</f>
        <v>3284315.7479999997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21">
        <f>1300000*1.2</f>
        <v>1560000</v>
      </c>
      <c r="B22" s="108" t="s">
        <v>80</v>
      </c>
      <c r="C22" s="112" t="s">
        <v>6</v>
      </c>
      <c r="D22" s="111">
        <f>SUM(D18:D21)</f>
        <v>15519631.199999999</v>
      </c>
      <c r="E22" s="110">
        <f>SUM(E18:E21)</f>
        <v>2948729.9279999998</v>
      </c>
      <c r="F22" s="109">
        <f>SUM(F18:F21)</f>
        <v>18468361.127999999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21">
        <f>950000*1.2</f>
        <v>1140000</v>
      </c>
      <c r="B23" s="322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172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21">
        <v>450000</v>
      </c>
      <c r="B24" s="322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21">
        <v>450000</v>
      </c>
      <c r="B25" s="322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31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21"/>
      <c r="B26" s="322">
        <f>A24/23</f>
        <v>19565.217391304348</v>
      </c>
      <c r="C26" s="76" t="s">
        <v>73</v>
      </c>
      <c r="D26" s="95">
        <f t="shared" si="4"/>
        <v>6195.652173913043</v>
      </c>
      <c r="E26" s="94">
        <v>23.6</v>
      </c>
      <c r="F26" s="93">
        <f t="shared" si="5"/>
        <v>146217.39130434784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21">
        <v>350000</v>
      </c>
      <c r="B27" s="322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21">
        <v>500000</v>
      </c>
      <c r="B28" s="322">
        <f>A28/23</f>
        <v>21739.130434782608</v>
      </c>
      <c r="C28" s="76" t="s">
        <v>70</v>
      </c>
      <c r="D28" s="95">
        <f t="shared" si="4"/>
        <v>2445.6521739130435</v>
      </c>
      <c r="E28" s="94">
        <v>14.2</v>
      </c>
      <c r="F28" s="93">
        <f t="shared" si="5"/>
        <v>34728.260869565216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21"/>
      <c r="B29" s="322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21">
        <v>450000</v>
      </c>
      <c r="B30" s="323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21">
        <v>350000</v>
      </c>
      <c r="B31" s="323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21">
        <f>A21+A24+A27+A28+A30</f>
        <v>3310000</v>
      </c>
      <c r="B32" s="323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21"/>
      <c r="B33" s="321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227.70000000000002</v>
      </c>
      <c r="F34" s="81">
        <f>SUM(F24:F33)</f>
        <v>957179.34782608715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1680502.564125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24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1680502.564125</v>
      </c>
    </row>
    <row r="39" spans="1:16" ht="15" thickBot="1" x14ac:dyDescent="0.35">
      <c r="C39" s="68" t="s">
        <v>6</v>
      </c>
      <c r="D39" s="67">
        <f>SUM(D35:D38)</f>
        <v>1761084.5206467393</v>
      </c>
      <c r="H39" s="193">
        <f>$E$34</f>
        <v>227.70000000000002</v>
      </c>
      <c r="I39" s="198">
        <f>39130.69/8</f>
        <v>4891.3362500000003</v>
      </c>
      <c r="J39" s="181" t="s">
        <v>45</v>
      </c>
      <c r="K39" s="143">
        <f>I39*H39</f>
        <v>1113757.2641250002</v>
      </c>
    </row>
    <row r="40" spans="1:16" ht="15" thickBot="1" x14ac:dyDescent="0.35">
      <c r="B40" s="65" t="s">
        <v>52</v>
      </c>
      <c r="C40" s="64" t="s">
        <v>51</v>
      </c>
      <c r="D40" s="63">
        <f>E11-E22</f>
        <v>2945580.1713839998</v>
      </c>
      <c r="H40" s="190">
        <f>$E$34</f>
        <v>227.70000000000002</v>
      </c>
      <c r="I40" s="168">
        <v>967</v>
      </c>
      <c r="J40" s="178" t="s">
        <v>43</v>
      </c>
      <c r="K40" s="85">
        <f>I40*H40</f>
        <v>220185.90000000002</v>
      </c>
    </row>
    <row r="41" spans="1:16" ht="15" thickBot="1" x14ac:dyDescent="0.35">
      <c r="H41" s="194">
        <f>$E$34</f>
        <v>227.70000000000002</v>
      </c>
      <c r="I41" s="200">
        <v>1522</v>
      </c>
      <c r="J41" s="179" t="s">
        <v>44</v>
      </c>
      <c r="K41" s="80">
        <f>I41*H41</f>
        <v>346559.4</v>
      </c>
    </row>
    <row r="42" spans="1:16" ht="15" thickBot="1" x14ac:dyDescent="0.35">
      <c r="B42" s="72" t="s">
        <v>46</v>
      </c>
      <c r="C42" s="72"/>
      <c r="D42" s="201">
        <f>E34</f>
        <v>227.70000000000002</v>
      </c>
    </row>
    <row r="43" spans="1:16" ht="15" thickBot="1" x14ac:dyDescent="0.35">
      <c r="D43" s="54"/>
      <c r="H43" s="355" t="s">
        <v>60</v>
      </c>
      <c r="I43" s="356"/>
      <c r="J43" s="356"/>
      <c r="K43" s="356"/>
      <c r="L43" s="356"/>
      <c r="M43" s="357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>
        <f>D11</f>
        <v>31022684.733599998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15519631.199999999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957179.34782608715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1761084.5206467393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>
        <f>M44-(SUM(M45:M47))</f>
        <v>12784789.665127173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>
        <f>M48-SUM(M49:M50)</f>
        <v>12784789.665127173</v>
      </c>
    </row>
    <row r="52" spans="3:13" x14ac:dyDescent="0.3">
      <c r="D52" s="54"/>
      <c r="I52" s="354"/>
      <c r="J52" s="354"/>
      <c r="K52" s="354"/>
      <c r="L52" s="354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2025-08-08T23:32:34Z</cp:lastPrinted>
  <dcterms:created xsi:type="dcterms:W3CDTF">2013-03-18T13:35:42Z</dcterms:created>
  <dcterms:modified xsi:type="dcterms:W3CDTF">2025-08-08T23:32:40Z</dcterms:modified>
</cp:coreProperties>
</file>