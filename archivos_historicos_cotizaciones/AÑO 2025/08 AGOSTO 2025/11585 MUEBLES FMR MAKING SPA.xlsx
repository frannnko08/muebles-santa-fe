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D9E574D7-C5FB-4A45-A9C2-D882C7B73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N34" i="1"/>
  <c r="M34" i="1"/>
  <c r="S34" i="1" s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H53" i="1"/>
  <c r="G53" i="1"/>
  <c r="O34" i="1" l="1"/>
  <c r="P34" i="1"/>
  <c r="L27" i="1"/>
  <c r="M27" i="1"/>
  <c r="S27" i="1" s="1"/>
  <c r="N27" i="1"/>
  <c r="L28" i="1"/>
  <c r="M28" i="1"/>
  <c r="S28" i="1" s="1"/>
  <c r="N28" i="1"/>
  <c r="L29" i="1"/>
  <c r="M29" i="1"/>
  <c r="N29" i="1"/>
  <c r="L30" i="1"/>
  <c r="M30" i="1"/>
  <c r="N30" i="1"/>
  <c r="O30" i="1" s="1"/>
  <c r="P30" i="1" s="1"/>
  <c r="L31" i="1"/>
  <c r="M31" i="1"/>
  <c r="N31" i="1"/>
  <c r="L32" i="1"/>
  <c r="M32" i="1"/>
  <c r="N32" i="1"/>
  <c r="L33" i="1"/>
  <c r="M33" i="1"/>
  <c r="N33" i="1"/>
  <c r="L35" i="1"/>
  <c r="M35" i="1"/>
  <c r="N35" i="1"/>
  <c r="S35" i="1" l="1"/>
  <c r="S30" i="1"/>
  <c r="O35" i="1"/>
  <c r="P35" i="1" s="1"/>
  <c r="O27" i="1"/>
  <c r="P27" i="1" s="1"/>
  <c r="S31" i="1"/>
  <c r="O28" i="1"/>
  <c r="P28" i="1" s="1"/>
  <c r="O33" i="1"/>
  <c r="P33" i="1" s="1"/>
  <c r="S33" i="1"/>
  <c r="O32" i="1"/>
  <c r="P32" i="1" s="1"/>
  <c r="S32" i="1"/>
  <c r="O31" i="1"/>
  <c r="P31" i="1" s="1"/>
  <c r="O29" i="1"/>
  <c r="P29" i="1" s="1"/>
  <c r="S29" i="1"/>
  <c r="L23" i="1"/>
  <c r="M23" i="1"/>
  <c r="N23" i="1"/>
  <c r="L24" i="1"/>
  <c r="M24" i="1"/>
  <c r="N24" i="1"/>
  <c r="L25" i="1"/>
  <c r="M25" i="1"/>
  <c r="N25" i="1"/>
  <c r="L26" i="1"/>
  <c r="M26" i="1"/>
  <c r="N26" i="1"/>
  <c r="N22" i="1"/>
  <c r="M22" i="1"/>
  <c r="L22" i="1"/>
  <c r="L21" i="1"/>
  <c r="N21" i="1"/>
  <c r="O23" i="1" l="1"/>
  <c r="P23" i="1" s="1"/>
  <c r="O26" i="1"/>
  <c r="P26" i="1" s="1"/>
  <c r="S23" i="1"/>
  <c r="S26" i="1"/>
  <c r="O24" i="1"/>
  <c r="P24" i="1" s="1"/>
  <c r="O25" i="1"/>
  <c r="P25" i="1" s="1"/>
  <c r="S25" i="1"/>
  <c r="S24" i="1"/>
  <c r="S22" i="1"/>
  <c r="O22" i="1"/>
  <c r="P22" i="1" s="1"/>
  <c r="M21" i="1"/>
  <c r="M38" i="1" s="1"/>
  <c r="S21" i="1" l="1"/>
  <c r="S38" i="1" s="1"/>
  <c r="T21" i="1"/>
  <c r="T37" i="1" s="1"/>
  <c r="O21" i="1"/>
  <c r="P21" i="1" s="1"/>
  <c r="P38" i="1" s="1"/>
  <c r="V45" i="1" l="1"/>
  <c r="V46" i="1" s="1"/>
  <c r="O44" i="1" l="1"/>
  <c r="P39" i="1" l="1"/>
  <c r="N20" i="1"/>
  <c r="L20" i="1"/>
  <c r="P40" i="1" l="1"/>
  <c r="P41" i="1" s="1"/>
  <c r="M43" i="1" s="1"/>
  <c r="O45" i="1"/>
  <c r="R49" i="1"/>
  <c r="R50" i="1" l="1"/>
  <c r="O4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8" i="1"/>
  <c r="O47" i="1"/>
  <c r="F18" i="3" l="1"/>
  <c r="O43" i="1" l="1"/>
  <c r="O49" i="1" s="1"/>
  <c r="O50" i="1" s="1"/>
  <c r="O51" i="1" s="1"/>
  <c r="D20" i="3" l="1"/>
  <c r="E20" i="3" s="1"/>
  <c r="E21" i="3" s="1"/>
  <c r="Q20" i="1" l="1"/>
  <c r="Q34" i="1" s="1"/>
  <c r="D21" i="3"/>
  <c r="M43" i="3" s="1"/>
  <c r="D12" i="3" s="1"/>
  <c r="E15" i="3" s="1"/>
  <c r="A15" i="3" s="1"/>
  <c r="F20" i="3"/>
  <c r="F21" i="3" s="1"/>
  <c r="R34" i="1" l="1"/>
  <c r="G34" i="1"/>
  <c r="H34" i="1" s="1"/>
  <c r="Q27" i="1"/>
  <c r="G27" i="1" s="1"/>
  <c r="Q28" i="1"/>
  <c r="G28" i="1" s="1"/>
  <c r="Q29" i="1"/>
  <c r="G29" i="1" s="1"/>
  <c r="Q30" i="1"/>
  <c r="G30" i="1" s="1"/>
  <c r="Q31" i="1"/>
  <c r="G31" i="1" s="1"/>
  <c r="Q32" i="1"/>
  <c r="G32" i="1" s="1"/>
  <c r="Q33" i="1"/>
  <c r="G33" i="1" s="1"/>
  <c r="Q35" i="1"/>
  <c r="G35" i="1" s="1"/>
  <c r="Q23" i="1"/>
  <c r="G23" i="1" s="1"/>
  <c r="Q24" i="1"/>
  <c r="G24" i="1" s="1"/>
  <c r="Q25" i="1"/>
  <c r="G25" i="1" s="1"/>
  <c r="Q26" i="1"/>
  <c r="G26" i="1" s="1"/>
  <c r="Q22" i="1"/>
  <c r="G22" i="1" s="1"/>
  <c r="O52" i="1"/>
  <c r="R32" i="1" l="1"/>
  <c r="H32" i="1" s="1"/>
  <c r="R31" i="1"/>
  <c r="H31" i="1" s="1"/>
  <c r="R27" i="1"/>
  <c r="H27" i="1" s="1"/>
  <c r="R35" i="1"/>
  <c r="H35" i="1" s="1"/>
  <c r="R30" i="1"/>
  <c r="H30" i="1" s="1"/>
  <c r="R33" i="1"/>
  <c r="H33" i="1" s="1"/>
  <c r="R29" i="1"/>
  <c r="H29" i="1" s="1"/>
  <c r="R28" i="1"/>
  <c r="H28" i="1" s="1"/>
  <c r="R26" i="1"/>
  <c r="H26" i="1"/>
  <c r="R25" i="1"/>
  <c r="H25" i="1" s="1"/>
  <c r="R24" i="1"/>
  <c r="H24" i="1" s="1"/>
  <c r="R22" i="1"/>
  <c r="H22" i="1" s="1"/>
  <c r="R23" i="1"/>
  <c r="H23" i="1" s="1"/>
  <c r="Q21" i="1"/>
  <c r="G21" i="1" s="1"/>
  <c r="F15" i="3"/>
  <c r="R21" i="1" l="1"/>
  <c r="H21" i="1" l="1"/>
  <c r="H37" i="1" l="1"/>
  <c r="H38" i="1" s="1"/>
  <c r="H39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<sst xmlns="http://schemas.openxmlformats.org/spreadsheetml/2006/main" count="259" uniqueCount="177">
  <si>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</si>
  <si>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</si>
  <si>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</si>
  <si>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</si>
  <si>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</si>
  <si>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</si>
  <si>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</si>
  <si>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</si>
  <si>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</si>
  <si>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</si>
  <si>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</si>
  <si>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</si>
  <si>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</si>
  <si>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</si>
  <si>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</si>
  <si>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</si>
  <si>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</si>
  <si>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</si>
  <si>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</si>
  <si>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</si>
  <si>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</si>
  <si>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</si>
  <si>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</si>
  <si>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</si>
  <si>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</si>
  <si>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</si>
  <si>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</si>
  <si>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</si>
  <si>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</si>
  <si>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</si>
  <si>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</si>
  <si>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</si>
  <si>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</si>
  <si>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</si>
  <si>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</si>
  <si>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</si>
  <si>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</si>
  <si>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</si>
  <si>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</si>
  <si>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</si>
  <si>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</si>
  <si>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</si>
  <si>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</si>
  <si>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</si>
  <si>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</si>
  <si>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</si>
  <si>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</si>
  <si>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</si>
  <si>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</si>
  <si>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</si>
  <si>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</si>
  <si>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</si>
  <si>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</si>
  <si>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</si>
  <si>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</si>
  <si>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</si>
  <si>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</si>
  <si>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</si>
  <si>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</si>
  <si>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</si>
  <si>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</si>
  <si>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</si>
  <si>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</si>
  <si>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</si>
  <si>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</si>
  <si>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</si>
  <si>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</si>
  <si>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</si>
  <si>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</si>
  <si>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</si>
  <si>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</si>
  <si>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</si>
  <si>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</si>
  <si>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</si>
  <si>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</si>
  <si>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</si>
  <si>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</si>
  <si>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</si>
  <si>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</si>
  <si>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</si>
  <si>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</si>
  <si>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</si>
  <si>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</si>
  <si>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</si>
  <si>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</si>
  <si>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</si>
  <si>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</si>
  <si>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</si>
  <si>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</si>
  <si>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</si>
  <si>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</si>
  <si>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</si>
  <si>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</si>
  <si>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</si>
  <si>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</si>
  <si>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</si>
  <si>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</si>
  <si>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</si>
  <si>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</si>
  <si>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</si>
  <si>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</si>
  <si>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</si>
  <si>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</si>
  <si>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</si>
  <si>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</si>
  <si>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</si>
  <si>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</si>
  <si>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</si>
  <si>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</si>
  <si>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</si>
  <si>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</si>
  <si>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</si>
  <si>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</si>
  <si>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</si>
  <si>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</si>
  <si>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</si>
  <si>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</si>
  <si>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</si>
  <si>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</si>
  <si>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</si>
  <si>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</si>
  <si>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</si>
  <si>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</si>
  <si>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</si>
  <si>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</si>
  <si>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</si>
  <si>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</si>
  <si>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</si>
  <si>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</si>
  <si>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</si>
  <si>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</si>
  <si>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</si>
  <si>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</si>
  <si>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</si>
  <si>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</si>
  <si>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</si>
  <si>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</si>
  <si>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</si>
  <si>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</si>
  <si>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</si>
  <si>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</si>
  <si>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</si>
  <si>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</si>
  <si>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</si>
  <si>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</si>
  <si>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</si>
  <si>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</si>
  <si>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</si>
  <si>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</si>
  <si>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</si>
  <si>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</si>
  <si>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</si>
  <si>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</si>
  <si>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</si>
  <si>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</si>
  <si>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</si>
  <si>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</si>
  <si>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</si>
  <si>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</si>
  <si>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</si>
  <si>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</si>
  <si>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</si>
  <si>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</si>
  <si>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</si>
  <si>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</si>
  <si>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</si>
  <si>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</si>
  <si>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</si>
  <si>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</si>
  <si>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</t>
  </si>
  <si>
    <t>3 DIAS HABILES</t>
  </si>
  <si>
    <t>PUERTA POSTFORMADA R6</t>
  </si>
  <si>
    <t>MUEBLES FMR MAKING SPA</t>
  </si>
  <si>
    <t>569 2062 2586</t>
  </si>
  <si>
    <t>MELAMIL 15MM</t>
  </si>
  <si>
    <t>LATTE 1267</t>
  </si>
  <si>
    <t>N° 11585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</si>
</sst>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8194</xdr:rowOff>
    </xdr:from>
    <xdr:to>
      <xdr:col>8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5</xdr:col>
      <xdr:colOff>1745226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36</xdr:row>
      <xdr:rowOff>9525</xdr:rowOff>
    </xdr:from>
    <xdr:to>
      <xdr:col>5</xdr:col>
      <xdr:colOff>1728839</xdr:colOff>
      <xdr:row>39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 Y ENCHAPADAS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15MM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4"/>
  <sheetViews>
    <sheetView tabSelected="1" topLeftCell="C27" zoomScale="93" zoomScaleNormal="93" workbookViewId="0">
      <selection activeCell="L44" sqref="L44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125</v>
      </c>
      <c r="C8" s="328"/>
      <c r="D8" s="329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4" t="s">
        <v>159</v>
      </c>
      <c r="C10" s="309" t="s">
        <v>172</v>
      </c>
      <c r="D10" s="240"/>
      <c r="E10" s="240"/>
      <c r="F10" s="241" t="s">
        <v>167</v>
      </c>
      <c r="G10" s="272">
        <v>45881</v>
      </c>
      <c r="H10" s="242"/>
      <c r="K10" s="1"/>
      <c r="R10" s="2"/>
      <c r="S10" s="3"/>
      <c r="T10" s="3"/>
      <c r="U10" s="4"/>
      <c r="V10" s="2"/>
      <c r="W10" s="3"/>
    </row>
    <row r="11" spans="2:24" ht="16.8" x14ac:dyDescent="0.4">
      <c r="B11" s="281" t="s">
        <v>12</v>
      </c>
      <c r="C11" s="310"/>
      <c r="F11" t="s">
        <v>166</v>
      </c>
      <c r="G11" s="311" t="s">
        <v>170</v>
      </c>
      <c r="H11" s="282"/>
      <c r="Q11" s="19"/>
      <c r="R11" s="22" t="s">
        <v>18</v>
      </c>
      <c r="S11" s="19"/>
    </row>
    <row r="12" spans="2:24" x14ac:dyDescent="0.3">
      <c r="B12" s="243" t="s">
        <v>142</v>
      </c>
      <c r="C12" s="312"/>
      <c r="D12" s="313"/>
      <c r="E12" s="313"/>
      <c r="F12" s="313" t="s">
        <v>126</v>
      </c>
      <c r="G12" s="314" t="s">
        <v>133</v>
      </c>
      <c r="H12" s="244"/>
      <c r="Q12" s="19"/>
      <c r="R12" s="22"/>
      <c r="S12" s="19"/>
    </row>
    <row r="13" spans="2:24" x14ac:dyDescent="0.3">
      <c r="B13" s="281" t="s">
        <v>143</v>
      </c>
      <c r="F13" t="s">
        <v>165</v>
      </c>
      <c r="G13" s="315" t="s">
        <v>133</v>
      </c>
      <c r="H13" s="282"/>
      <c r="Q13" s="19"/>
      <c r="R13" s="22"/>
      <c r="S13" s="19"/>
    </row>
    <row r="14" spans="2:24" x14ac:dyDescent="0.3">
      <c r="B14" s="243" t="s">
        <v>137</v>
      </c>
      <c r="C14" s="316"/>
      <c r="D14" s="313"/>
      <c r="E14" s="313"/>
      <c r="F14" s="313" t="s">
        <v>134</v>
      </c>
      <c r="G14" s="317" t="s">
        <v>169</v>
      </c>
      <c r="H14" s="244"/>
      <c r="K14" s="26"/>
      <c r="Q14" s="20"/>
      <c r="R14" s="23" t="s">
        <v>17</v>
      </c>
      <c r="S14" s="20"/>
    </row>
    <row r="15" spans="2:24" ht="15.6" x14ac:dyDescent="0.3">
      <c r="B15" s="281" t="s">
        <v>4</v>
      </c>
      <c r="C15" s="318" t="s">
        <v>173</v>
      </c>
      <c r="D15" s="319"/>
      <c r="F15" t="s">
        <v>168</v>
      </c>
      <c r="G15" s="320" t="s">
        <v>133</v>
      </c>
      <c r="H15" s="282"/>
    </row>
    <row r="16" spans="2:24" ht="16.8" x14ac:dyDescent="0.4">
      <c r="B16" s="298" t="s">
        <v>3</v>
      </c>
      <c r="C16" s="321"/>
      <c r="D16" s="313"/>
      <c r="E16" s="313"/>
      <c r="F16" s="322" t="s">
        <v>128</v>
      </c>
      <c r="G16" s="323" t="s">
        <v>160</v>
      </c>
      <c r="H16" s="244"/>
    </row>
    <row r="17" spans="2:25" ht="15" thickBot="1" x14ac:dyDescent="0.35">
      <c r="B17" s="295" t="s">
        <v>13</v>
      </c>
      <c r="C17" s="296" t="s">
        <v>163</v>
      </c>
      <c r="D17" s="297"/>
      <c r="E17" s="116"/>
      <c r="F17" s="333" t="s">
        <v>162</v>
      </c>
      <c r="G17" s="333"/>
      <c r="H17" s="334"/>
      <c r="I17" s="259"/>
      <c r="J17" s="259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0"/>
      <c r="J19" s="260"/>
      <c r="K19" s="5"/>
      <c r="L19" s="246"/>
      <c r="M19" s="14">
        <v>0.05</v>
      </c>
      <c r="N19" s="14"/>
      <c r="O19" s="14"/>
      <c r="P19" s="247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30" t="s">
        <v>7</v>
      </c>
      <c r="C20" s="331" t="s">
        <v>1</v>
      </c>
      <c r="D20" s="331" t="s">
        <v>130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1"/>
      <c r="J20" s="261"/>
      <c r="K20" s="44"/>
      <c r="L20" s="264" t="str">
        <f>B20</f>
        <v>UNIDAD</v>
      </c>
      <c r="M20" s="263" t="s">
        <v>130</v>
      </c>
      <c r="N20" s="36" t="str">
        <f t="shared" ref="N20" si="0">E20</f>
        <v>ANCHO</v>
      </c>
      <c r="O20" s="257" t="s">
        <v>131</v>
      </c>
      <c r="P20" s="255" t="s">
        <v>16</v>
      </c>
      <c r="Q20" s="248">
        <f>O51</f>
        <v>66344.797055510338</v>
      </c>
      <c r="R20" s="254">
        <v>3000</v>
      </c>
      <c r="S20" s="35"/>
      <c r="T20" s="14" t="s">
        <v>127</v>
      </c>
      <c r="U20" s="9"/>
      <c r="X20" s="4"/>
    </row>
    <row r="21" spans="2:25" ht="17.399999999999999" x14ac:dyDescent="0.3">
      <c r="B21" s="306">
        <v>12</v>
      </c>
      <c r="C21" s="306" t="s">
        <v>171</v>
      </c>
      <c r="D21" s="307">
        <v>0.497</v>
      </c>
      <c r="E21" s="307">
        <v>0.251</v>
      </c>
      <c r="F21" s="306" t="s">
        <v>175</v>
      </c>
      <c r="G21" s="308">
        <f>Q21</f>
        <v>9108.9416013304035</v>
      </c>
      <c r="H21" s="308">
        <f>G21*B21</f>
        <v>109307.29921596484</v>
      </c>
      <c r="I21" s="300"/>
      <c r="J21" s="261"/>
      <c r="K21" s="44"/>
      <c r="L21" s="44">
        <f>B21</f>
        <v>12</v>
      </c>
      <c r="M21" s="36">
        <f>D21+M$19</f>
        <v>0.54700000000000004</v>
      </c>
      <c r="N21" s="36">
        <f>E21+$N$19</f>
        <v>0.251</v>
      </c>
      <c r="O21" s="257">
        <f t="shared" ref="O21" si="1">M21*N21</f>
        <v>0.137297</v>
      </c>
      <c r="P21" s="255">
        <f t="shared" ref="P21" si="2">O21*L21</f>
        <v>1.647564</v>
      </c>
      <c r="Q21" s="248">
        <f t="shared" ref="Q21" si="3">Q$20*O21</f>
        <v>9108.9416013304035</v>
      </c>
      <c r="R21" s="299">
        <f t="shared" ref="R21" si="4">Q21+R$20</f>
        <v>12108.941601330404</v>
      </c>
      <c r="S21" s="287">
        <f>M21*L21</f>
        <v>6.5640000000000001</v>
      </c>
      <c r="T21" s="43">
        <f>N21*2*L21*2</f>
        <v>12.048</v>
      </c>
      <c r="U21" s="9"/>
      <c r="X21" s="4"/>
    </row>
    <row r="22" spans="2:25" ht="17.399999999999999" x14ac:dyDescent="0.3">
      <c r="B22" s="306">
        <v>2</v>
      </c>
      <c r="C22" s="306" t="s">
        <v>171</v>
      </c>
      <c r="D22" s="307">
        <v>0.59299999999999997</v>
      </c>
      <c r="E22" s="307">
        <v>0.22500000000000001</v>
      </c>
      <c r="F22" s="306" t="s">
        <v>175</v>
      </c>
      <c r="G22" s="308">
        <f t="shared" ref="G22:G35" si="5">Q22</f>
        <v>9598.4335140059575</v>
      </c>
      <c r="H22" s="308">
        <f t="shared" ref="H22:H26" si="6">G22*B22</f>
        <v>19196.867028011915</v>
      </c>
      <c r="I22" s="300"/>
      <c r="J22" s="261"/>
      <c r="K22" s="44"/>
      <c r="L22" s="44">
        <f t="shared" ref="L22" si="7">B22</f>
        <v>2</v>
      </c>
      <c r="M22" s="36">
        <f t="shared" ref="M22" si="8">D22+M$19</f>
        <v>0.64300000000000002</v>
      </c>
      <c r="N22" s="36">
        <f t="shared" ref="N22" si="9">E22+$N$19</f>
        <v>0.22500000000000001</v>
      </c>
      <c r="O22" s="257">
        <f t="shared" ref="O22" si="10">M22*N22</f>
        <v>0.144675</v>
      </c>
      <c r="P22" s="255">
        <f t="shared" ref="P22" si="11">O22*L22</f>
        <v>0.28935</v>
      </c>
      <c r="Q22" s="248">
        <f t="shared" ref="Q22" si="12">Q$20*O22</f>
        <v>9598.4335140059575</v>
      </c>
      <c r="R22" s="299">
        <f t="shared" ref="R22" si="13">Q22+R$20</f>
        <v>12598.433514005957</v>
      </c>
      <c r="S22" s="287">
        <f t="shared" ref="S22" si="14">M22*L22</f>
        <v>1.286</v>
      </c>
      <c r="T22" s="43"/>
      <c r="U22" s="9"/>
      <c r="X22" s="4"/>
    </row>
    <row r="23" spans="2:25" ht="17.399999999999999" x14ac:dyDescent="0.3">
      <c r="B23" s="306">
        <v>2</v>
      </c>
      <c r="C23" s="306" t="s">
        <v>171</v>
      </c>
      <c r="D23" s="307">
        <v>0.59299999999999997</v>
      </c>
      <c r="E23" s="307">
        <v>0.15</v>
      </c>
      <c r="F23" s="306" t="s">
        <v>175</v>
      </c>
      <c r="G23" s="308">
        <f t="shared" si="5"/>
        <v>6398.9556760039713</v>
      </c>
      <c r="H23" s="308">
        <f t="shared" si="6"/>
        <v>12797.911352007943</v>
      </c>
      <c r="I23" s="300"/>
      <c r="J23" s="261"/>
      <c r="K23" s="44"/>
      <c r="L23" s="44">
        <f t="shared" ref="L23:L26" si="15">B23</f>
        <v>2</v>
      </c>
      <c r="M23" s="36">
        <f t="shared" ref="M23:M26" si="16">D23+M$19</f>
        <v>0.64300000000000002</v>
      </c>
      <c r="N23" s="36">
        <f t="shared" ref="N23:N26" si="17">E23+$N$19</f>
        <v>0.15</v>
      </c>
      <c r="O23" s="257">
        <f t="shared" ref="O23:O26" si="18">M23*N23</f>
        <v>9.6449999999999994E-2</v>
      </c>
      <c r="P23" s="255">
        <f t="shared" ref="P23:P26" si="19">O23*L23</f>
        <v>0.19289999999999999</v>
      </c>
      <c r="Q23" s="248">
        <f t="shared" ref="Q23:Q26" si="20">Q$20*O23</f>
        <v>6398.9556760039713</v>
      </c>
      <c r="R23" s="299">
        <f t="shared" ref="R23:R26" si="21">Q23+R$20</f>
        <v>9398.9556760039704</v>
      </c>
      <c r="S23" s="287">
        <f t="shared" ref="S23:S26" si="22">M23*L23</f>
        <v>1.286</v>
      </c>
      <c r="T23" s="43"/>
      <c r="U23" s="9"/>
      <c r="X23" s="4"/>
    </row>
    <row r="24" spans="2:25" ht="17.399999999999999" x14ac:dyDescent="0.3">
      <c r="B24" s="306">
        <v>1</v>
      </c>
      <c r="C24" s="306" t="s">
        <v>171</v>
      </c>
      <c r="D24" s="307">
        <v>0.35199999999999998</v>
      </c>
      <c r="E24" s="307">
        <v>0.76</v>
      </c>
      <c r="F24" s="306" t="s">
        <v>175</v>
      </c>
      <c r="G24" s="308">
        <f t="shared" si="5"/>
        <v>20269.662396399515</v>
      </c>
      <c r="H24" s="308">
        <f t="shared" si="6"/>
        <v>20269.662396399515</v>
      </c>
      <c r="I24" s="300"/>
      <c r="J24" s="261"/>
      <c r="K24" s="44"/>
      <c r="L24" s="44">
        <f t="shared" si="15"/>
        <v>1</v>
      </c>
      <c r="M24" s="36">
        <f t="shared" si="16"/>
        <v>0.40199999999999997</v>
      </c>
      <c r="N24" s="36">
        <f t="shared" si="17"/>
        <v>0.76</v>
      </c>
      <c r="O24" s="257">
        <f t="shared" si="18"/>
        <v>0.30551999999999996</v>
      </c>
      <c r="P24" s="255">
        <f t="shared" si="19"/>
        <v>0.30551999999999996</v>
      </c>
      <c r="Q24" s="248">
        <f t="shared" si="20"/>
        <v>20269.662396399515</v>
      </c>
      <c r="R24" s="299">
        <f t="shared" si="21"/>
        <v>23269.662396399515</v>
      </c>
      <c r="S24" s="287">
        <f t="shared" si="22"/>
        <v>0.40199999999999997</v>
      </c>
      <c r="T24" s="43"/>
      <c r="U24" s="9"/>
      <c r="X24" s="4"/>
    </row>
    <row r="25" spans="2:25" ht="17.399999999999999" x14ac:dyDescent="0.3">
      <c r="B25" s="306">
        <v>2</v>
      </c>
      <c r="C25" s="306" t="s">
        <v>171</v>
      </c>
      <c r="D25" s="307">
        <v>0.34499999999999997</v>
      </c>
      <c r="E25" s="307">
        <v>0.76</v>
      </c>
      <c r="F25" s="306" t="s">
        <v>175</v>
      </c>
      <c r="G25" s="308">
        <f t="shared" si="5"/>
        <v>19916.708076064202</v>
      </c>
      <c r="H25" s="308">
        <f t="shared" si="6"/>
        <v>39833.416152128404</v>
      </c>
      <c r="I25" s="300"/>
      <c r="J25" s="261"/>
      <c r="K25" s="44"/>
      <c r="L25" s="44">
        <f t="shared" si="15"/>
        <v>2</v>
      </c>
      <c r="M25" s="36">
        <f t="shared" si="16"/>
        <v>0.39499999999999996</v>
      </c>
      <c r="N25" s="36">
        <f t="shared" si="17"/>
        <v>0.76</v>
      </c>
      <c r="O25" s="257">
        <f t="shared" si="18"/>
        <v>0.30019999999999997</v>
      </c>
      <c r="P25" s="255">
        <f t="shared" si="19"/>
        <v>0.60039999999999993</v>
      </c>
      <c r="Q25" s="248">
        <f t="shared" si="20"/>
        <v>19916.708076064202</v>
      </c>
      <c r="R25" s="299">
        <f t="shared" si="21"/>
        <v>22916.708076064202</v>
      </c>
      <c r="S25" s="287">
        <f t="shared" si="22"/>
        <v>0.78999999999999992</v>
      </c>
      <c r="T25" s="43"/>
      <c r="U25" s="9"/>
      <c r="X25" s="4"/>
    </row>
    <row r="26" spans="2:25" ht="17.399999999999999" x14ac:dyDescent="0.3">
      <c r="B26" s="306">
        <v>4</v>
      </c>
      <c r="C26" s="306" t="s">
        <v>171</v>
      </c>
      <c r="D26" s="307">
        <v>0.39800000000000002</v>
      </c>
      <c r="E26" s="307">
        <v>0.125</v>
      </c>
      <c r="F26" s="306" t="s">
        <v>175</v>
      </c>
      <c r="G26" s="308">
        <f t="shared" si="5"/>
        <v>3715.308635108579</v>
      </c>
      <c r="H26" s="308">
        <f t="shared" si="6"/>
        <v>14861.234540434316</v>
      </c>
      <c r="I26" s="300"/>
      <c r="J26" s="261"/>
      <c r="K26" s="44"/>
      <c r="L26" s="44">
        <f t="shared" si="15"/>
        <v>4</v>
      </c>
      <c r="M26" s="36">
        <f t="shared" si="16"/>
        <v>0.44800000000000001</v>
      </c>
      <c r="N26" s="36">
        <f t="shared" si="17"/>
        <v>0.125</v>
      </c>
      <c r="O26" s="257">
        <f t="shared" si="18"/>
        <v>5.6000000000000001E-2</v>
      </c>
      <c r="P26" s="255">
        <f t="shared" si="19"/>
        <v>0.224</v>
      </c>
      <c r="Q26" s="248">
        <f t="shared" si="20"/>
        <v>3715.308635108579</v>
      </c>
      <c r="R26" s="299">
        <f t="shared" si="21"/>
        <v>6715.3086351085785</v>
      </c>
      <c r="S26" s="287">
        <f t="shared" si="22"/>
        <v>1.792</v>
      </c>
      <c r="T26" s="43"/>
      <c r="U26" s="9"/>
      <c r="X26" s="4"/>
    </row>
    <row r="27" spans="2:25" ht="17.399999999999999" x14ac:dyDescent="0.3">
      <c r="B27" s="306">
        <v>1</v>
      </c>
      <c r="C27" s="306" t="s">
        <v>171</v>
      </c>
      <c r="D27" s="307">
        <v>0.39800000000000002</v>
      </c>
      <c r="E27" s="307">
        <v>0.248</v>
      </c>
      <c r="F27" s="306" t="s">
        <v>175</v>
      </c>
      <c r="G27" s="308">
        <f t="shared" si="5"/>
        <v>7371.1723320554211</v>
      </c>
      <c r="H27" s="308">
        <f t="shared" ref="H27:H31" si="23">G27*B27</f>
        <v>7371.1723320554211</v>
      </c>
      <c r="I27" s="300"/>
      <c r="J27" s="261"/>
      <c r="K27" s="44"/>
      <c r="L27" s="44">
        <f t="shared" ref="L27:L35" si="24">B27</f>
        <v>1</v>
      </c>
      <c r="M27" s="36">
        <f t="shared" ref="M27:M35" si="25">D27+M$19</f>
        <v>0.44800000000000001</v>
      </c>
      <c r="N27" s="36">
        <f t="shared" ref="N27:N35" si="26">E27+$N$19</f>
        <v>0.248</v>
      </c>
      <c r="O27" s="257">
        <f t="shared" ref="O27:O35" si="27">M27*N27</f>
        <v>0.11110400000000001</v>
      </c>
      <c r="P27" s="255">
        <f t="shared" ref="P27:P35" si="28">O27*L27</f>
        <v>0.11110400000000001</v>
      </c>
      <c r="Q27" s="248">
        <f t="shared" ref="Q27:Q35" si="29">Q$20*O27</f>
        <v>7371.1723320554211</v>
      </c>
      <c r="R27" s="299">
        <f t="shared" ref="R27:R35" si="30">Q27+R$20</f>
        <v>10371.172332055421</v>
      </c>
      <c r="S27" s="287">
        <f t="shared" ref="S27:S35" si="31">M27*L27</f>
        <v>0.44800000000000001</v>
      </c>
      <c r="T27" s="43"/>
      <c r="U27" s="9"/>
      <c r="X27" s="4"/>
    </row>
    <row r="28" spans="2:25" ht="17.399999999999999" x14ac:dyDescent="0.3">
      <c r="B28" s="306">
        <v>4</v>
      </c>
      <c r="C28" s="306" t="s">
        <v>171</v>
      </c>
      <c r="D28" s="307">
        <v>0.64800000000000002</v>
      </c>
      <c r="E28" s="307">
        <v>0.125</v>
      </c>
      <c r="F28" s="306" t="s">
        <v>175</v>
      </c>
      <c r="G28" s="308">
        <f t="shared" si="5"/>
        <v>5788.5835430932775</v>
      </c>
      <c r="H28" s="308">
        <f t="shared" si="23"/>
        <v>23154.33417237311</v>
      </c>
      <c r="I28" s="300"/>
      <c r="J28" s="261"/>
      <c r="K28" s="44"/>
      <c r="L28" s="44">
        <f t="shared" si="24"/>
        <v>4</v>
      </c>
      <c r="M28" s="36">
        <f t="shared" si="25"/>
        <v>0.69800000000000006</v>
      </c>
      <c r="N28" s="36">
        <f t="shared" si="26"/>
        <v>0.125</v>
      </c>
      <c r="O28" s="257">
        <f t="shared" si="27"/>
        <v>8.7250000000000008E-2</v>
      </c>
      <c r="P28" s="255">
        <f t="shared" si="28"/>
        <v>0.34900000000000003</v>
      </c>
      <c r="Q28" s="248">
        <f t="shared" si="29"/>
        <v>5788.5835430932775</v>
      </c>
      <c r="R28" s="299">
        <f t="shared" si="30"/>
        <v>8788.5835430932784</v>
      </c>
      <c r="S28" s="287">
        <f t="shared" si="31"/>
        <v>2.7920000000000003</v>
      </c>
      <c r="T28" s="43"/>
      <c r="U28" s="9"/>
      <c r="X28" s="4"/>
    </row>
    <row r="29" spans="2:25" ht="17.399999999999999" x14ac:dyDescent="0.3">
      <c r="B29" s="306">
        <v>1</v>
      </c>
      <c r="C29" s="306" t="s">
        <v>171</v>
      </c>
      <c r="D29" s="307">
        <v>0.64800000000000002</v>
      </c>
      <c r="E29" s="307">
        <v>0.248</v>
      </c>
      <c r="F29" s="306" t="s">
        <v>175</v>
      </c>
      <c r="G29" s="308">
        <f t="shared" si="5"/>
        <v>11484.549749497062</v>
      </c>
      <c r="H29" s="308">
        <f t="shared" si="23"/>
        <v>11484.549749497062</v>
      </c>
      <c r="I29" s="300"/>
      <c r="J29" s="261"/>
      <c r="K29" s="44"/>
      <c r="L29" s="44">
        <f t="shared" si="24"/>
        <v>1</v>
      </c>
      <c r="M29" s="36">
        <f t="shared" si="25"/>
        <v>0.69800000000000006</v>
      </c>
      <c r="N29" s="36">
        <f t="shared" si="26"/>
        <v>0.248</v>
      </c>
      <c r="O29" s="257">
        <f t="shared" si="27"/>
        <v>0.17310400000000001</v>
      </c>
      <c r="P29" s="255">
        <f t="shared" si="28"/>
        <v>0.17310400000000001</v>
      </c>
      <c r="Q29" s="248">
        <f t="shared" si="29"/>
        <v>11484.549749497062</v>
      </c>
      <c r="R29" s="299">
        <f t="shared" si="30"/>
        <v>14484.549749497062</v>
      </c>
      <c r="S29" s="287">
        <f t="shared" si="31"/>
        <v>0.69800000000000006</v>
      </c>
      <c r="T29" s="43"/>
      <c r="U29" s="9"/>
      <c r="X29" s="4"/>
    </row>
    <row r="30" spans="2:25" ht="17.399999999999999" x14ac:dyDescent="0.3">
      <c r="B30" s="306">
        <v>4</v>
      </c>
      <c r="C30" s="306" t="s">
        <v>171</v>
      </c>
      <c r="D30" s="307">
        <v>0.44800000000000001</v>
      </c>
      <c r="E30" s="307">
        <v>0.125</v>
      </c>
      <c r="F30" s="306" t="s">
        <v>175</v>
      </c>
      <c r="G30" s="308">
        <f t="shared" si="5"/>
        <v>4129.9636167055187</v>
      </c>
      <c r="H30" s="308">
        <f t="shared" si="23"/>
        <v>16519.854466822075</v>
      </c>
      <c r="I30" s="300"/>
      <c r="J30" s="261"/>
      <c r="K30" s="44"/>
      <c r="L30" s="44">
        <f t="shared" si="24"/>
        <v>4</v>
      </c>
      <c r="M30" s="36">
        <f t="shared" si="25"/>
        <v>0.498</v>
      </c>
      <c r="N30" s="36">
        <f t="shared" si="26"/>
        <v>0.125</v>
      </c>
      <c r="O30" s="257">
        <f t="shared" si="27"/>
        <v>6.225E-2</v>
      </c>
      <c r="P30" s="255">
        <f t="shared" si="28"/>
        <v>0.249</v>
      </c>
      <c r="Q30" s="248">
        <f t="shared" si="29"/>
        <v>4129.9636167055187</v>
      </c>
      <c r="R30" s="299">
        <f t="shared" si="30"/>
        <v>7129.9636167055187</v>
      </c>
      <c r="S30" s="287">
        <f t="shared" si="31"/>
        <v>1.992</v>
      </c>
      <c r="T30" s="43"/>
      <c r="U30" s="9"/>
      <c r="X30" s="4"/>
    </row>
    <row r="31" spans="2:25" ht="17.399999999999999" x14ac:dyDescent="0.3">
      <c r="B31" s="306">
        <v>1</v>
      </c>
      <c r="C31" s="306" t="s">
        <v>171</v>
      </c>
      <c r="D31" s="307">
        <v>0.44800000000000001</v>
      </c>
      <c r="E31" s="307">
        <v>0.248</v>
      </c>
      <c r="F31" s="306" t="s">
        <v>175</v>
      </c>
      <c r="G31" s="308">
        <f t="shared" si="5"/>
        <v>8193.8478155437497</v>
      </c>
      <c r="H31" s="308">
        <f t="shared" si="23"/>
        <v>8193.8478155437497</v>
      </c>
      <c r="I31" s="300"/>
      <c r="J31" s="261"/>
      <c r="K31" s="44"/>
      <c r="L31" s="44">
        <f t="shared" si="24"/>
        <v>1</v>
      </c>
      <c r="M31" s="36">
        <f t="shared" si="25"/>
        <v>0.498</v>
      </c>
      <c r="N31" s="36">
        <f t="shared" si="26"/>
        <v>0.248</v>
      </c>
      <c r="O31" s="257">
        <f t="shared" si="27"/>
        <v>0.123504</v>
      </c>
      <c r="P31" s="255">
        <f t="shared" si="28"/>
        <v>0.123504</v>
      </c>
      <c r="Q31" s="248">
        <f t="shared" si="29"/>
        <v>8193.8478155437497</v>
      </c>
      <c r="R31" s="299">
        <f t="shared" si="30"/>
        <v>11193.84781554375</v>
      </c>
      <c r="S31" s="287">
        <f t="shared" si="31"/>
        <v>0.498</v>
      </c>
      <c r="T31" s="43"/>
      <c r="U31" s="9"/>
      <c r="X31" s="4"/>
    </row>
    <row r="32" spans="2:25" ht="17.399999999999999" x14ac:dyDescent="0.3">
      <c r="B32" s="306">
        <v>6</v>
      </c>
      <c r="C32" s="306" t="s">
        <v>171</v>
      </c>
      <c r="D32" s="307">
        <v>0.34599999999999997</v>
      </c>
      <c r="E32" s="307">
        <v>0.76</v>
      </c>
      <c r="F32" s="306" t="s">
        <v>175</v>
      </c>
      <c r="G32" s="308">
        <f t="shared" si="5"/>
        <v>19967.130121826387</v>
      </c>
      <c r="H32" s="308">
        <f t="shared" ref="H32:H35" si="32">G32*B32</f>
        <v>119802.78073095833</v>
      </c>
      <c r="I32" s="300"/>
      <c r="J32" s="261"/>
      <c r="K32" s="44"/>
      <c r="L32" s="44">
        <f t="shared" si="24"/>
        <v>6</v>
      </c>
      <c r="M32" s="36">
        <f t="shared" si="25"/>
        <v>0.39599999999999996</v>
      </c>
      <c r="N32" s="36">
        <f t="shared" si="26"/>
        <v>0.76</v>
      </c>
      <c r="O32" s="257">
        <f t="shared" si="27"/>
        <v>0.30095999999999995</v>
      </c>
      <c r="P32" s="255">
        <f t="shared" si="28"/>
        <v>1.8057599999999998</v>
      </c>
      <c r="Q32" s="248">
        <f t="shared" si="29"/>
        <v>19967.130121826387</v>
      </c>
      <c r="R32" s="299">
        <f t="shared" si="30"/>
        <v>22967.130121826387</v>
      </c>
      <c r="S32" s="287">
        <f t="shared" si="31"/>
        <v>2.3759999999999999</v>
      </c>
      <c r="T32" s="43"/>
      <c r="U32" s="9"/>
      <c r="X32" s="4"/>
    </row>
    <row r="33" spans="1:24" ht="17.399999999999999" x14ac:dyDescent="0.3">
      <c r="B33" s="306">
        <v>1</v>
      </c>
      <c r="C33" s="306" t="s">
        <v>171</v>
      </c>
      <c r="D33" s="307">
        <v>0.39900000000000002</v>
      </c>
      <c r="E33" s="307">
        <v>0.5</v>
      </c>
      <c r="F33" s="306" t="s">
        <v>175</v>
      </c>
      <c r="G33" s="308">
        <f t="shared" si="5"/>
        <v>14894.406938962071</v>
      </c>
      <c r="H33" s="308">
        <f t="shared" si="32"/>
        <v>14894.406938962071</v>
      </c>
      <c r="I33" s="300"/>
      <c r="J33" s="261"/>
      <c r="K33" s="44"/>
      <c r="L33" s="44">
        <f t="shared" si="24"/>
        <v>1</v>
      </c>
      <c r="M33" s="36">
        <f t="shared" si="25"/>
        <v>0.44900000000000001</v>
      </c>
      <c r="N33" s="36">
        <f t="shared" si="26"/>
        <v>0.5</v>
      </c>
      <c r="O33" s="257">
        <f t="shared" si="27"/>
        <v>0.22450000000000001</v>
      </c>
      <c r="P33" s="255">
        <f t="shared" si="28"/>
        <v>0.22450000000000001</v>
      </c>
      <c r="Q33" s="248">
        <f t="shared" si="29"/>
        <v>14894.406938962071</v>
      </c>
      <c r="R33" s="299">
        <f t="shared" si="30"/>
        <v>17894.406938962071</v>
      </c>
      <c r="S33" s="287">
        <f t="shared" si="31"/>
        <v>0.44900000000000001</v>
      </c>
      <c r="T33" s="43"/>
      <c r="U33" s="9"/>
      <c r="X33" s="4"/>
    </row>
    <row r="34" spans="1:24" ht="17.399999999999999" x14ac:dyDescent="0.3">
      <c r="B34" s="306">
        <v>1</v>
      </c>
      <c r="C34" s="306" t="s">
        <v>171</v>
      </c>
      <c r="D34" s="307">
        <v>0.38400000000000001</v>
      </c>
      <c r="E34" s="307">
        <v>0.5</v>
      </c>
      <c r="F34" s="306" t="s">
        <v>175</v>
      </c>
      <c r="G34" s="308">
        <f t="shared" si="5"/>
        <v>14396.820961045743</v>
      </c>
      <c r="H34" s="308">
        <f t="shared" si="32"/>
        <v>14396.820961045743</v>
      </c>
      <c r="I34" s="300"/>
      <c r="J34" s="261"/>
      <c r="K34" s="44"/>
      <c r="L34" s="44">
        <f t="shared" si="24"/>
        <v>1</v>
      </c>
      <c r="M34" s="36">
        <f t="shared" si="25"/>
        <v>0.434</v>
      </c>
      <c r="N34" s="36">
        <f t="shared" si="26"/>
        <v>0.5</v>
      </c>
      <c r="O34" s="257">
        <f t="shared" si="27"/>
        <v>0.217</v>
      </c>
      <c r="P34" s="255">
        <f t="shared" si="28"/>
        <v>0.217</v>
      </c>
      <c r="Q34" s="248">
        <f t="shared" si="29"/>
        <v>14396.820961045743</v>
      </c>
      <c r="R34" s="299">
        <f t="shared" si="30"/>
        <v>17396.820961045742</v>
      </c>
      <c r="S34" s="287">
        <f t="shared" si="31"/>
        <v>0.434</v>
      </c>
      <c r="T34" s="43"/>
      <c r="U34" s="9"/>
      <c r="X34" s="4"/>
    </row>
    <row r="35" spans="1:24" ht="17.399999999999999" x14ac:dyDescent="0.3">
      <c r="B35" s="306">
        <v>1</v>
      </c>
      <c r="C35" s="306" t="s">
        <v>171</v>
      </c>
      <c r="D35" s="307">
        <v>0.39300000000000002</v>
      </c>
      <c r="E35" s="307">
        <v>0.5</v>
      </c>
      <c r="F35" s="306" t="s">
        <v>175</v>
      </c>
      <c r="G35" s="308">
        <f t="shared" si="5"/>
        <v>14695.37254779554</v>
      </c>
      <c r="H35" s="308">
        <f t="shared" si="32"/>
        <v>14695.37254779554</v>
      </c>
      <c r="I35" s="300"/>
      <c r="J35" s="261"/>
      <c r="K35" s="44"/>
      <c r="L35" s="44">
        <f t="shared" si="24"/>
        <v>1</v>
      </c>
      <c r="M35" s="36">
        <f t="shared" si="25"/>
        <v>0.443</v>
      </c>
      <c r="N35" s="36">
        <f t="shared" si="26"/>
        <v>0.5</v>
      </c>
      <c r="O35" s="257">
        <f t="shared" si="27"/>
        <v>0.2215</v>
      </c>
      <c r="P35" s="255">
        <f t="shared" si="28"/>
        <v>0.2215</v>
      </c>
      <c r="Q35" s="248">
        <f t="shared" si="29"/>
        <v>14695.37254779554</v>
      </c>
      <c r="R35" s="299">
        <f t="shared" si="30"/>
        <v>17695.372547795538</v>
      </c>
      <c r="S35" s="287">
        <f t="shared" si="31"/>
        <v>0.443</v>
      </c>
      <c r="T35" s="43"/>
      <c r="U35" s="9"/>
      <c r="X35" s="4"/>
    </row>
    <row r="36" spans="1:24" ht="18" thickBot="1" x14ac:dyDescent="0.35">
      <c r="B36" s="279"/>
      <c r="C36" s="279"/>
      <c r="D36" s="280"/>
      <c r="E36" s="280"/>
      <c r="F36" s="279"/>
      <c r="G36" s="261"/>
      <c r="H36" s="301"/>
      <c r="I36" s="303"/>
      <c r="J36" s="230"/>
      <c r="K36" s="44"/>
      <c r="L36" s="44"/>
      <c r="M36" s="36"/>
      <c r="N36" s="36"/>
      <c r="O36" s="257"/>
      <c r="P36" s="255"/>
      <c r="Q36" s="248"/>
      <c r="R36" s="254"/>
      <c r="S36" s="287"/>
      <c r="T36" s="14"/>
      <c r="U36" s="9"/>
      <c r="X36" s="4"/>
    </row>
    <row r="37" spans="1:24" ht="17.399999999999999" x14ac:dyDescent="0.3">
      <c r="B37" s="279"/>
      <c r="C37" s="279"/>
      <c r="D37" s="280"/>
      <c r="E37" s="280"/>
      <c r="F37" s="279"/>
      <c r="G37" s="304" t="s">
        <v>28</v>
      </c>
      <c r="H37" s="305">
        <f>SUM(H21:H36)</f>
        <v>446779.53040000005</v>
      </c>
      <c r="I37" s="302"/>
      <c r="J37" s="261"/>
      <c r="K37" s="324"/>
      <c r="L37" s="44"/>
      <c r="M37" s="36"/>
      <c r="N37" s="36"/>
      <c r="O37" s="257"/>
      <c r="P37" s="255"/>
      <c r="Q37" s="248"/>
      <c r="R37" s="254"/>
      <c r="S37" s="287"/>
      <c r="T37" s="43">
        <f>SUM(T21:T36)</f>
        <v>12.048</v>
      </c>
      <c r="U37" s="9"/>
      <c r="X37" s="4"/>
    </row>
    <row r="38" spans="1:24" ht="17.399999999999999" x14ac:dyDescent="0.3">
      <c r="B38" s="273"/>
      <c r="C38" s="276"/>
      <c r="D38" s="277"/>
      <c r="E38" s="277"/>
      <c r="F38" s="278"/>
      <c r="G38" s="286" t="s">
        <v>51</v>
      </c>
      <c r="H38" s="284">
        <f>H37*19%</f>
        <v>84888.110776000016</v>
      </c>
      <c r="I38" s="302"/>
      <c r="J38" s="261"/>
      <c r="K38" s="324"/>
      <c r="L38" s="44"/>
      <c r="M38" s="36">
        <f>SUM(M21:M26)</f>
        <v>3.0779999999999998</v>
      </c>
      <c r="N38" s="12"/>
      <c r="O38" s="12"/>
      <c r="P38" s="249">
        <f>SUM(P21:P36)</f>
        <v>6.7342059999999995</v>
      </c>
      <c r="Q38" s="14"/>
      <c r="R38" s="12"/>
      <c r="S38" s="236">
        <f>SUM(S21:S37)</f>
        <v>22.250000000000004</v>
      </c>
      <c r="T38" s="43"/>
      <c r="U38" s="9"/>
      <c r="X38" s="4"/>
    </row>
    <row r="39" spans="1:24" ht="18" thickBot="1" x14ac:dyDescent="0.35">
      <c r="B39" s="271"/>
      <c r="C39" s="275"/>
      <c r="D39" s="268"/>
      <c r="E39" s="268"/>
      <c r="F39" s="269"/>
      <c r="G39" s="274" t="s">
        <v>6</v>
      </c>
      <c r="H39" s="285">
        <f>H37+H38</f>
        <v>531667.641176</v>
      </c>
      <c r="I39" s="302"/>
      <c r="J39" s="261"/>
      <c r="K39" s="324"/>
      <c r="L39" s="44"/>
      <c r="M39" s="36"/>
      <c r="N39" s="12"/>
      <c r="O39" s="12"/>
      <c r="P39" s="249">
        <f>P38</f>
        <v>6.7342059999999995</v>
      </c>
      <c r="Q39" s="14"/>
      <c r="R39" s="12"/>
      <c r="S39" s="236"/>
      <c r="T39" s="43"/>
      <c r="U39" s="9"/>
      <c r="X39" s="4"/>
    </row>
    <row r="40" spans="1:24" ht="17.399999999999999" x14ac:dyDescent="0.3">
      <c r="B40" s="271"/>
      <c r="C40" s="267"/>
      <c r="D40" s="268"/>
      <c r="E40" s="268"/>
      <c r="F40" s="269"/>
      <c r="J40" s="261"/>
      <c r="K40" s="324"/>
      <c r="L40" s="44"/>
      <c r="M40" s="14"/>
      <c r="N40" s="12"/>
      <c r="O40" s="12"/>
      <c r="P40" s="36">
        <f>P39*20%</f>
        <v>1.3468412000000001</v>
      </c>
      <c r="Q40" s="36" t="s">
        <v>129</v>
      </c>
      <c r="R40" s="39"/>
      <c r="S40" s="237"/>
      <c r="T40" s="14"/>
      <c r="U40" s="9"/>
      <c r="X40" s="4"/>
    </row>
    <row r="41" spans="1:24" ht="17.399999999999999" x14ac:dyDescent="0.35">
      <c r="B41" s="265"/>
      <c r="C41" s="227"/>
      <c r="D41" s="227"/>
      <c r="E41" s="230"/>
      <c r="F41" s="231"/>
      <c r="G41" s="227"/>
      <c r="H41" s="270"/>
      <c r="I41" s="270"/>
      <c r="J41" s="261"/>
      <c r="K41" s="44"/>
      <c r="L41" s="44"/>
      <c r="M41" s="14"/>
      <c r="N41" s="12"/>
      <c r="O41" s="12"/>
      <c r="P41" s="43">
        <f>P39+P40</f>
        <v>8.0810472000000004</v>
      </c>
      <c r="Q41" s="14"/>
      <c r="R41" s="14"/>
      <c r="S41" s="235"/>
      <c r="T41" s="14"/>
      <c r="U41" s="9"/>
      <c r="X41" s="4"/>
    </row>
    <row r="42" spans="1:24" ht="17.399999999999999" x14ac:dyDescent="0.35">
      <c r="B42" s="232"/>
      <c r="C42" s="233"/>
      <c r="D42" s="234"/>
      <c r="E42" s="232"/>
      <c r="F42" s="227"/>
      <c r="G42" s="227"/>
      <c r="I42" s="270"/>
      <c r="J42" s="261"/>
      <c r="K42" s="44"/>
      <c r="L42" s="44"/>
      <c r="M42" s="14"/>
      <c r="N42" s="14"/>
      <c r="O42" s="14"/>
      <c r="P42" s="14"/>
      <c r="Q42" s="14"/>
      <c r="R42" s="14"/>
      <c r="S42" s="237"/>
      <c r="T42" s="14"/>
      <c r="U42" s="291" t="s">
        <v>21</v>
      </c>
      <c r="V42" s="288" t="s">
        <v>149</v>
      </c>
      <c r="W42" s="292">
        <v>44971</v>
      </c>
      <c r="X42" s="293"/>
    </row>
    <row r="43" spans="1:24" ht="17.399999999999999" x14ac:dyDescent="0.35">
      <c r="B43" s="227"/>
      <c r="C43" s="227"/>
      <c r="D43" s="227"/>
      <c r="E43" s="227"/>
      <c r="F43" s="227"/>
      <c r="G43" s="227"/>
      <c r="J43" s="261"/>
      <c r="K43" s="44"/>
      <c r="L43" s="44"/>
      <c r="M43" s="36">
        <f>P41</f>
        <v>8.0810472000000004</v>
      </c>
      <c r="N43" s="12">
        <v>3500</v>
      </c>
      <c r="O43" s="12">
        <f t="shared" ref="O43:O48" si="33">M43*N43</f>
        <v>28283.665200000003</v>
      </c>
      <c r="P43" s="14" t="s">
        <v>21</v>
      </c>
      <c r="Q43" s="14"/>
      <c r="R43" s="14"/>
      <c r="S43" s="238"/>
      <c r="T43" s="14"/>
      <c r="U43" s="291" t="s">
        <v>150</v>
      </c>
      <c r="V43" s="288">
        <v>3625</v>
      </c>
      <c r="W43" s="56" t="s">
        <v>151</v>
      </c>
      <c r="X43" s="293"/>
    </row>
    <row r="44" spans="1:24" ht="17.399999999999999" x14ac:dyDescent="0.35">
      <c r="A44" s="227"/>
      <c r="B44" s="227"/>
      <c r="C44" s="227"/>
      <c r="D44" s="227"/>
      <c r="E44" s="227"/>
      <c r="F44" s="227"/>
      <c r="G44" s="227"/>
      <c r="H44" s="227"/>
      <c r="J44" s="261"/>
      <c r="K44" s="44"/>
      <c r="L44" s="44"/>
      <c r="M44" s="245">
        <v>2.2999999999999998</v>
      </c>
      <c r="N44" s="12">
        <v>31547</v>
      </c>
      <c r="O44" s="12">
        <f t="shared" si="33"/>
        <v>72558.099999999991</v>
      </c>
      <c r="P44" s="36" t="s">
        <v>174</v>
      </c>
      <c r="Q44" s="39"/>
      <c r="R44" s="14"/>
      <c r="S44" s="237"/>
      <c r="T44" s="14"/>
      <c r="U44" s="291"/>
      <c r="V44" s="56">
        <v>906.25</v>
      </c>
      <c r="W44" s="56" t="s">
        <v>152</v>
      </c>
      <c r="X44" s="293"/>
    </row>
    <row r="45" spans="1:24" s="227" customFormat="1" ht="17.399999999999999" x14ac:dyDescent="0.35">
      <c r="B45" s="21" t="s">
        <v>148</v>
      </c>
      <c r="J45" s="258"/>
      <c r="K45" s="229"/>
      <c r="L45" s="246"/>
      <c r="M45" s="14">
        <v>4</v>
      </c>
      <c r="N45" s="246">
        <v>30637</v>
      </c>
      <c r="O45" s="12">
        <f t="shared" si="33"/>
        <v>122548</v>
      </c>
      <c r="P45" s="36" t="s">
        <v>30</v>
      </c>
      <c r="Q45" s="39"/>
      <c r="S45" s="237"/>
      <c r="T45" s="252"/>
      <c r="U45" s="56"/>
      <c r="V45" s="56">
        <f>V44*20%</f>
        <v>181.25</v>
      </c>
      <c r="W45" s="293" t="s">
        <v>153</v>
      </c>
      <c r="X45" s="56"/>
    </row>
    <row r="46" spans="1:24" s="227" customFormat="1" ht="17.399999999999999" x14ac:dyDescent="0.35">
      <c r="B46" s="21" t="s">
        <v>164</v>
      </c>
      <c r="C46"/>
      <c r="D46"/>
      <c r="E46"/>
      <c r="F46"/>
      <c r="J46" s="258"/>
      <c r="K46" s="229"/>
      <c r="L46" s="246"/>
      <c r="M46" s="14"/>
      <c r="N46" s="246">
        <v>22025</v>
      </c>
      <c r="O46" s="12">
        <f t="shared" si="33"/>
        <v>0</v>
      </c>
      <c r="P46" s="14" t="s">
        <v>139</v>
      </c>
      <c r="Q46" s="17"/>
      <c r="S46" s="235"/>
      <c r="T46" s="252"/>
      <c r="U46" s="56"/>
      <c r="V46" s="56">
        <f>V44+V45</f>
        <v>1087.5</v>
      </c>
      <c r="W46" s="293" t="s">
        <v>154</v>
      </c>
      <c r="X46" s="56"/>
    </row>
    <row r="47" spans="1:24" s="227" customFormat="1" ht="17.399999999999999" x14ac:dyDescent="0.35">
      <c r="B47" s="26" t="s">
        <v>124</v>
      </c>
      <c r="C47"/>
      <c r="D47"/>
      <c r="E47"/>
      <c r="F47" s="226" t="s">
        <v>15</v>
      </c>
      <c r="J47" s="258"/>
      <c r="K47" s="256"/>
      <c r="L47" s="246"/>
      <c r="M47" s="245"/>
      <c r="N47" s="246">
        <v>900</v>
      </c>
      <c r="O47" s="12">
        <f t="shared" si="33"/>
        <v>0</v>
      </c>
      <c r="P47" s="14" t="s">
        <v>32</v>
      </c>
      <c r="Q47" s="14"/>
      <c r="R47" s="227">
        <v>1.52</v>
      </c>
      <c r="S47" s="235"/>
      <c r="T47" s="235"/>
    </row>
    <row r="48" spans="1:24" s="227" customFormat="1" ht="17.399999999999999" x14ac:dyDescent="0.35">
      <c r="J48" s="283"/>
      <c r="K48" s="256"/>
      <c r="L48" s="246"/>
      <c r="M48" s="262"/>
      <c r="N48" s="12">
        <v>1500</v>
      </c>
      <c r="O48" s="12">
        <f t="shared" si="33"/>
        <v>0</v>
      </c>
      <c r="P48" s="14" t="s">
        <v>22</v>
      </c>
      <c r="Q48" s="14"/>
      <c r="R48">
        <v>2.44</v>
      </c>
      <c r="S48"/>
      <c r="T48" s="235"/>
      <c r="X48" s="228"/>
    </row>
    <row r="49" spans="2:24" s="227" customFormat="1" ht="17.399999999999999" x14ac:dyDescent="0.35">
      <c r="K49" s="256"/>
      <c r="L49" s="246"/>
      <c r="M49" s="14"/>
      <c r="N49" s="12"/>
      <c r="O49" s="12">
        <f>SUM(O43:O48)</f>
        <v>223389.76519999999</v>
      </c>
      <c r="P49" s="36" t="s">
        <v>23</v>
      </c>
      <c r="Q49" s="14"/>
      <c r="R49">
        <f>R47*R48</f>
        <v>3.7088000000000001</v>
      </c>
      <c r="S49"/>
      <c r="T49" s="235"/>
      <c r="X49" s="228"/>
    </row>
    <row r="50" spans="2:24" s="227" customFormat="1" ht="17.399999999999999" x14ac:dyDescent="0.35">
      <c r="L50" s="246"/>
      <c r="M50" s="250" t="s">
        <v>33</v>
      </c>
      <c r="N50" s="12"/>
      <c r="O50" s="251">
        <f>O49*2</f>
        <v>446779.53039999999</v>
      </c>
      <c r="P50" s="14" t="s">
        <v>138</v>
      </c>
      <c r="Q50" s="14"/>
      <c r="R50" s="37">
        <f>P41/R49</f>
        <v>2.1788845987920622</v>
      </c>
      <c r="S50"/>
      <c r="T50" s="253"/>
    </row>
    <row r="51" spans="2:24" s="227" customFormat="1" ht="17.399999999999999" x14ac:dyDescent="0.35">
      <c r="G51"/>
      <c r="H51" s="256"/>
      <c r="I51" s="256"/>
      <c r="J51" s="256"/>
      <c r="L51" s="246"/>
      <c r="M51" s="14"/>
      <c r="N51" s="12"/>
      <c r="O51" s="12">
        <f>O50/P39</f>
        <v>66344.797055510338</v>
      </c>
      <c r="P51" s="42" t="s">
        <v>24</v>
      </c>
      <c r="Q51" s="14"/>
      <c r="R51" s="14"/>
      <c r="S51"/>
      <c r="T51" s="235"/>
      <c r="U51" s="56" t="s">
        <v>155</v>
      </c>
      <c r="V51" s="288">
        <v>43650</v>
      </c>
    </row>
    <row r="52" spans="2:24" s="227" customFormat="1" ht="17.399999999999999" x14ac:dyDescent="0.35">
      <c r="G52"/>
      <c r="L52" s="246"/>
      <c r="M52" s="13"/>
      <c r="N52" s="14"/>
      <c r="O52" s="17">
        <f>O50/O49</f>
        <v>2</v>
      </c>
      <c r="P52" s="15"/>
      <c r="Q52"/>
      <c r="R52"/>
      <c r="S52"/>
      <c r="T52" s="235"/>
      <c r="U52" s="56" t="s">
        <v>157</v>
      </c>
      <c r="V52" s="289" t="s">
        <v>156</v>
      </c>
      <c r="W52" s="56">
        <v>2.4</v>
      </c>
    </row>
    <row r="53" spans="2:24" s="227" customFormat="1" ht="17.399999999999999" x14ac:dyDescent="0.35">
      <c r="D53" s="307">
        <v>0.49299999999999999</v>
      </c>
      <c r="E53" s="307">
        <v>0.251</v>
      </c>
      <c r="F53" s="306">
        <v>12</v>
      </c>
      <c r="G53" s="326">
        <f>D53+0.04</f>
        <v>0.53300000000000003</v>
      </c>
      <c r="H53" s="325">
        <f>E53+0.09</f>
        <v>0.34099999999999997</v>
      </c>
      <c r="L53" s="12"/>
      <c r="T53" s="235"/>
      <c r="U53" s="56" t="s">
        <v>158</v>
      </c>
      <c r="V53" s="290">
        <v>395.37</v>
      </c>
    </row>
    <row r="54" spans="2:24" s="227" customFormat="1" ht="17.399999999999999" x14ac:dyDescent="0.35">
      <c r="B54"/>
      <c r="C54" s="225"/>
      <c r="D54" s="307">
        <v>0.39800000000000002</v>
      </c>
      <c r="E54" s="307">
        <v>0.125</v>
      </c>
      <c r="F54" s="306">
        <v>4</v>
      </c>
      <c r="G54" s="326">
        <f t="shared" ref="G54:G66" si="34">D54+0.04</f>
        <v>0.438</v>
      </c>
      <c r="H54" s="325">
        <f t="shared" ref="H54:H66" si="35">E54+0.09</f>
        <v>0.215</v>
      </c>
      <c r="L54" s="12"/>
      <c r="T54" s="235"/>
      <c r="U54" s="56" t="s">
        <v>153</v>
      </c>
      <c r="V54" s="56">
        <v>474.45</v>
      </c>
    </row>
    <row r="55" spans="2:24" ht="14.4" customHeight="1" x14ac:dyDescent="0.35">
      <c r="D55" s="307">
        <v>0.39800000000000002</v>
      </c>
      <c r="E55" s="307">
        <v>0.248</v>
      </c>
      <c r="F55" s="306">
        <v>1</v>
      </c>
      <c r="G55" s="326">
        <f t="shared" si="34"/>
        <v>0.438</v>
      </c>
      <c r="H55" s="325">
        <f t="shared" si="35"/>
        <v>0.33799999999999997</v>
      </c>
      <c r="L55" s="12"/>
      <c r="U55" s="56"/>
      <c r="V55" s="56"/>
    </row>
    <row r="56" spans="2:24" ht="17.399999999999999" x14ac:dyDescent="0.35">
      <c r="D56" s="307">
        <v>0.64800000000000002</v>
      </c>
      <c r="E56" s="307">
        <v>0.125</v>
      </c>
      <c r="F56" s="306">
        <v>4</v>
      </c>
      <c r="G56" s="326">
        <f t="shared" si="34"/>
        <v>0.68800000000000006</v>
      </c>
      <c r="H56" s="325">
        <f t="shared" si="35"/>
        <v>0.215</v>
      </c>
      <c r="L56" s="246"/>
    </row>
    <row r="57" spans="2:24" ht="17.399999999999999" x14ac:dyDescent="0.35">
      <c r="D57" s="307">
        <v>0.64800000000000002</v>
      </c>
      <c r="E57" s="307">
        <v>0.248</v>
      </c>
      <c r="F57" s="306">
        <v>1</v>
      </c>
      <c r="G57" s="326">
        <f t="shared" si="34"/>
        <v>0.68800000000000006</v>
      </c>
      <c r="H57" s="325">
        <f t="shared" si="35"/>
        <v>0.33799999999999997</v>
      </c>
      <c r="L57" s="246"/>
      <c r="T57" s="266"/>
    </row>
    <row r="58" spans="2:24" ht="17.399999999999999" x14ac:dyDescent="0.35">
      <c r="D58" s="307">
        <v>0.44800000000000001</v>
      </c>
      <c r="E58" s="307">
        <v>0.125</v>
      </c>
      <c r="F58" s="306">
        <v>4</v>
      </c>
      <c r="G58" s="326">
        <f t="shared" si="34"/>
        <v>0.48799999999999999</v>
      </c>
      <c r="H58" s="325">
        <f t="shared" si="35"/>
        <v>0.215</v>
      </c>
      <c r="L58" s="246"/>
    </row>
    <row r="59" spans="2:24" ht="15" customHeight="1" x14ac:dyDescent="0.35">
      <c r="D59" s="307">
        <v>0.44800000000000001</v>
      </c>
      <c r="E59" s="307">
        <v>0.248</v>
      </c>
      <c r="F59" s="306">
        <v>1</v>
      </c>
      <c r="G59" s="326">
        <f t="shared" si="34"/>
        <v>0.48799999999999999</v>
      </c>
      <c r="H59" s="325">
        <f t="shared" si="35"/>
        <v>0.33799999999999997</v>
      </c>
    </row>
    <row r="60" spans="2:24" ht="17.399999999999999" x14ac:dyDescent="0.35">
      <c r="D60" s="307">
        <v>0.76</v>
      </c>
      <c r="E60" s="307">
        <v>0.34599999999999997</v>
      </c>
      <c r="F60" s="306">
        <v>6</v>
      </c>
      <c r="G60" s="326">
        <f t="shared" si="34"/>
        <v>0.8</v>
      </c>
      <c r="H60" s="325">
        <f t="shared" si="35"/>
        <v>0.43599999999999994</v>
      </c>
    </row>
    <row r="61" spans="2:24" ht="17.399999999999999" x14ac:dyDescent="0.35">
      <c r="D61" s="307">
        <v>0.5</v>
      </c>
      <c r="E61" s="307">
        <v>0.38200000000000001</v>
      </c>
      <c r="F61" s="306">
        <v>1</v>
      </c>
      <c r="G61" s="326">
        <f t="shared" si="34"/>
        <v>0.54</v>
      </c>
      <c r="H61" s="325">
        <f t="shared" si="35"/>
        <v>0.47199999999999998</v>
      </c>
      <c r="O61">
        <v>40935</v>
      </c>
      <c r="P61" t="s">
        <v>16</v>
      </c>
      <c r="Q61" t="s">
        <v>26</v>
      </c>
    </row>
    <row r="62" spans="2:24" ht="17.399999999999999" x14ac:dyDescent="0.35">
      <c r="D62" s="307">
        <v>0.5</v>
      </c>
      <c r="E62" s="307">
        <v>0.39</v>
      </c>
      <c r="F62" s="306">
        <v>2</v>
      </c>
      <c r="G62" s="326">
        <f t="shared" si="34"/>
        <v>0.54</v>
      </c>
      <c r="H62" s="325">
        <f t="shared" si="35"/>
        <v>0.48</v>
      </c>
    </row>
    <row r="63" spans="2:24" ht="17.399999999999999" x14ac:dyDescent="0.35">
      <c r="D63" s="307">
        <v>0.59</v>
      </c>
      <c r="E63" s="307">
        <v>0.22500000000000001</v>
      </c>
      <c r="F63" s="306">
        <v>2</v>
      </c>
      <c r="G63" s="326">
        <f t="shared" si="34"/>
        <v>0.63</v>
      </c>
      <c r="H63" s="325">
        <f t="shared" si="35"/>
        <v>0.315</v>
      </c>
      <c r="O63" s="51"/>
      <c r="P63" s="51"/>
    </row>
    <row r="64" spans="2:24" ht="17.399999999999999" x14ac:dyDescent="0.35">
      <c r="D64" s="307">
        <v>0.59</v>
      </c>
      <c r="E64" s="307">
        <v>0.15</v>
      </c>
      <c r="F64" s="306">
        <v>2</v>
      </c>
      <c r="G64" s="326">
        <f t="shared" si="34"/>
        <v>0.63</v>
      </c>
      <c r="H64" s="325">
        <f t="shared" si="35"/>
        <v>0.24</v>
      </c>
      <c r="S64" s="18"/>
      <c r="T64" s="18"/>
    </row>
    <row r="65" spans="4:20" ht="17.399999999999999" x14ac:dyDescent="0.35">
      <c r="D65" s="307">
        <v>0.76</v>
      </c>
      <c r="E65" s="307">
        <v>0.35</v>
      </c>
      <c r="F65" s="306">
        <v>1</v>
      </c>
      <c r="G65" s="326">
        <f t="shared" si="34"/>
        <v>0.8</v>
      </c>
      <c r="H65" s="325">
        <f t="shared" si="35"/>
        <v>0.43999999999999995</v>
      </c>
      <c r="S65" s="18"/>
      <c r="T65" s="18"/>
    </row>
    <row r="66" spans="4:20" ht="17.399999999999999" x14ac:dyDescent="0.35">
      <c r="D66" s="307">
        <v>0.76</v>
      </c>
      <c r="E66" s="307">
        <v>0.34300000000000003</v>
      </c>
      <c r="F66" s="306">
        <v>2</v>
      </c>
      <c r="G66" s="326">
        <f t="shared" si="34"/>
        <v>0.8</v>
      </c>
      <c r="H66" s="325">
        <f t="shared" si="35"/>
        <v>0.43300000000000005</v>
      </c>
      <c r="S66" s="18"/>
      <c r="T66" s="18"/>
    </row>
    <row r="67" spans="4:20" x14ac:dyDescent="0.3">
      <c r="S67" s="18"/>
      <c r="T67" s="18"/>
    </row>
    <row r="68" spans="4:20" x14ac:dyDescent="0.3">
      <c r="S68" s="18"/>
      <c r="T68" s="18"/>
    </row>
    <row r="69" spans="4:20" x14ac:dyDescent="0.3">
      <c r="S69" s="18"/>
      <c r="T69" s="18"/>
    </row>
    <row r="70" spans="4:20" x14ac:dyDescent="0.3">
      <c r="S70" s="18"/>
      <c r="T70" s="18"/>
    </row>
    <row r="71" spans="4:20" x14ac:dyDescent="0.3">
      <c r="S71" s="18"/>
      <c r="T71" s="18"/>
    </row>
    <row r="72" spans="4:20" x14ac:dyDescent="0.3">
      <c r="S72" s="18"/>
      <c r="T72" s="18"/>
    </row>
    <row r="75" spans="4:20" x14ac:dyDescent="0.3">
      <c r="O75" s="40"/>
    </row>
    <row r="76" spans="4:20" x14ac:dyDescent="0.3">
      <c r="O76" s="40"/>
    </row>
    <row r="77" spans="4:20" x14ac:dyDescent="0.3">
      <c r="O77" s="6"/>
    </row>
    <row r="78" spans="4:20" x14ac:dyDescent="0.3">
      <c r="O78" s="6"/>
    </row>
    <row r="86" spans="3:3" x14ac:dyDescent="0.3">
      <c r="C86" t="s">
        <v>145</v>
      </c>
    </row>
    <row r="87" spans="3:3" x14ac:dyDescent="0.3">
      <c r="C87" t="s">
        <v>144</v>
      </c>
    </row>
    <row r="90" spans="3:3" x14ac:dyDescent="0.3">
      <c r="C90" t="s">
        <v>144</v>
      </c>
    </row>
    <row r="167" spans="3:3" x14ac:dyDescent="0.3">
      <c r="C167" t="s">
        <v>144</v>
      </c>
    </row>
    <row r="168" spans="3:3" x14ac:dyDescent="0.3">
      <c r="C168" t="s">
        <v>146</v>
      </c>
    </row>
    <row r="169" spans="3:3" x14ac:dyDescent="0.3">
      <c r="C169" t="s">
        <v>147</v>
      </c>
    </row>
    <row r="594" spans="3:3" x14ac:dyDescent="0.3">
      <c r="C594" t="s">
        <v>144</v>
      </c>
    </row>
  </sheetData>
  <mergeCells count="2">
    <mergeCell ref="F17:H17"/>
    <mergeCell ref="B19:H19"/>
  </mergeCells>
  <phoneticPr fontId="34" type="noConversion"/>
  <hyperlinks>
    <hyperlink ref="F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45881</v>
      </c>
    </row>
    <row r="6" spans="1:31" ht="16.2" thickBot="1" x14ac:dyDescent="0.35">
      <c r="B6" s="137" t="s">
        <v>2</v>
      </c>
      <c r="C6" s="136" t="str">
        <f>'2229'!C10</f>
        <v>MUEBLES FMR MAKING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11585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-460.97483067634556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'2229'!H37</f>
        <v>446779.53040000005</v>
      </c>
      <c r="E11" s="129">
        <f>D11*0.19</f>
        <v>84888.110776000016</v>
      </c>
      <c r="F11" s="128">
        <f>E11+D11</f>
        <v>531667.641176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105529.02516932365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296009.12094396132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87529.02516932365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150770.40945603873</v>
      </c>
      <c r="E13" s="218">
        <f>(D11/D12)-1</f>
        <v>0.50934379648585781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78529.02516932365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39529.025169323657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528376.28088497091</v>
      </c>
      <c r="C15" s="210" t="s">
        <v>121</v>
      </c>
      <c r="D15" s="211">
        <v>0.5</v>
      </c>
      <c r="E15" s="212">
        <f>(100%+D15)*D12</f>
        <v>444013.68141594197</v>
      </c>
      <c r="F15" s="213">
        <f>E15-D12</f>
        <v>148004.56047198066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39529.025169323657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79529.02516932365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'2229'!O45</f>
        <v>122548</v>
      </c>
      <c r="E18" s="120">
        <f>D18*0.19</f>
        <v>23284.12</v>
      </c>
      <c r="F18" s="117">
        <f>SUM(D18:E18)</f>
        <v>145832.12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'2229'!O44</f>
        <v>72558.099999999991</v>
      </c>
      <c r="E19" s="120">
        <f>D19*0.19</f>
        <v>13786.038999999999</v>
      </c>
      <c r="F19" s="117">
        <f>SUM(D19:E19)</f>
        <v>86344.138999999996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'2229'!O43</f>
        <v>28283.665200000003</v>
      </c>
      <c r="E20" s="118">
        <f>D20*0.19</f>
        <v>5373.896388000001</v>
      </c>
      <c r="F20" s="117">
        <f>SUM(D20:E20)</f>
        <v>33657.561588000004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223389.76519999997</v>
      </c>
      <c r="E21" s="113">
        <f>SUM(E18:E20)</f>
        <v>42444.055388000001</v>
      </c>
      <c r="F21" s="112">
        <f>SUM(F18:F20)</f>
        <v>265833.820588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42444.055388000015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446779.53040000005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223389.76519999997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150770.40945603873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150770.40945603873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2025-07-15T15:35:31Z</cp:lastPrinted>
  <dcterms:created xsi:type="dcterms:W3CDTF">2013-03-18T13:35:42Z</dcterms:created>
  <dcterms:modified xsi:type="dcterms:W3CDTF">2025-08-12T14:48:14Z</dcterms:modified>
</cp:coreProperties>
</file>