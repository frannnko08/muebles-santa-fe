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8 AGOSTO 2025\"/>
    </mc:Choice>
  </mc:AlternateContent>
  <xr:revisionPtr revIDLastSave="0" documentId="13_ncr:1_{CC1E5D1A-2B88-430E-ACDD-3F8F748C0C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H27" i="1"/>
  <c r="L27" i="1"/>
  <c r="L22" i="1" l="1"/>
  <c r="M22" i="1"/>
  <c r="N22" i="1"/>
  <c r="L23" i="1"/>
  <c r="M23" i="1"/>
  <c r="N23" i="1"/>
  <c r="L24" i="1"/>
  <c r="M24" i="1"/>
  <c r="O24" i="1" s="1"/>
  <c r="P24" i="1" s="1"/>
  <c r="N24" i="1"/>
  <c r="O22" i="1" l="1"/>
  <c r="P22" i="1" s="1"/>
  <c r="O23" i="1"/>
  <c r="P23" i="1" s="1"/>
  <c r="J39" i="1"/>
  <c r="M21" i="1"/>
  <c r="M30" i="1" s="1"/>
  <c r="L21" i="1" l="1"/>
  <c r="N21" i="1"/>
  <c r="S21" i="1" l="1"/>
  <c r="S30" i="1" s="1"/>
  <c r="T21" i="1"/>
  <c r="T29" i="1" s="1"/>
  <c r="O21" i="1"/>
  <c r="P21" i="1" s="1"/>
  <c r="P30" i="1" s="1"/>
  <c r="V37" i="1" l="1"/>
  <c r="V38" i="1" s="1"/>
  <c r="O36" i="1" l="1"/>
  <c r="P31" i="1" l="1"/>
  <c r="N20" i="1"/>
  <c r="L20" i="1"/>
  <c r="P32" i="1" l="1"/>
  <c r="P33" i="1" s="1"/>
  <c r="M35" i="1" s="1"/>
  <c r="O37" i="1"/>
  <c r="R41" i="1"/>
  <c r="R42" i="1" l="1"/>
  <c r="O38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0" i="1"/>
  <c r="O39" i="1"/>
  <c r="F18" i="3" l="1"/>
  <c r="O35" i="1" l="1"/>
  <c r="O41" i="1" s="1"/>
  <c r="O42" i="1" s="1"/>
  <c r="O43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4" i="1" l="1"/>
  <c r="R24" i="1" s="1"/>
  <c r="G24" i="1" s="1"/>
  <c r="H24" i="1" s="1"/>
  <c r="Q23" i="1"/>
  <c r="R23" i="1" s="1"/>
  <c r="G23" i="1" s="1"/>
  <c r="H23" i="1" s="1"/>
  <c r="Q22" i="1"/>
  <c r="R22" i="1" s="1"/>
  <c r="G22" i="1" s="1"/>
  <c r="H22" i="1" s="1"/>
  <c r="O44" i="1"/>
  <c r="Q21" i="1" l="1"/>
  <c r="F15" i="3"/>
  <c r="R21" i="1" l="1"/>
  <c r="G21" i="1" s="1"/>
  <c r="H21" i="1" l="1"/>
  <c r="H29" i="1" s="1"/>
  <c r="H30" i="1" l="1"/>
  <c r="H31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<sst xmlns="http://schemas.openxmlformats.org/spreadsheetml/2006/main" count="241" uniqueCount="180">
  <si>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</si>
  <si>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</si>
  <si>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</si>
  <si>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</si>
  <si>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</si>
  <si>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</si>
  <si>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</si>
  <si>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</si>
  <si>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</si>
  <si>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</si>
  <si>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</si>
  <si>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</si>
  <si>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</si>
  <si>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</si>
  <si>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</si>
  <si>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</si>
  <si>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</si>
  <si>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</si>
  <si>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</si>
  <si>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</si>
  <si>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</si>
  <si>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</si>
  <si>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</si>
  <si>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</si>
  <si>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</si>
  <si>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</si>
  <si>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</si>
  <si>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</si>
  <si>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</si>
  <si>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</si>
  <si>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</si>
  <si>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</si>
  <si>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</si>
  <si>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</si>
  <si>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</si>
  <si>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</si>
  <si>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</si>
  <si>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</si>
  <si>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</si>
  <si>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</si>
  <si>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</si>
  <si>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</si>
  <si>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</si>
  <si>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</si>
  <si>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</si>
  <si>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</si>
  <si>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</si>
  <si>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</si>
  <si>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</si>
  <si>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</si>
  <si>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</si>
  <si>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</si>
  <si>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</si>
  <si>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</si>
  <si>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</si>
  <si>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</si>
  <si>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</si>
  <si>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</si>
  <si>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</si>
  <si>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</si>
  <si>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</si>
  <si>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</si>
  <si>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</si>
  <si>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</si>
  <si>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</si>
  <si>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</si>
  <si>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</si>
  <si>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</si>
  <si>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</si>
  <si>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</si>
  <si>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</si>
  <si>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</si>
  <si>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</si>
  <si>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</si>
  <si>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</si>
  <si>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</si>
  <si>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</si>
  <si>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</si>
  <si>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</si>
  <si>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</si>
  <si>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</si>
  <si>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</si>
  <si>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</si>
  <si>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</si>
  <si>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</si>
  <si>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</si>
  <si>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</si>
  <si>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</si>
  <si>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</si>
  <si>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</si>
  <si>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</si>
  <si>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</si>
  <si>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</si>
  <si>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</si>
  <si>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</si>
  <si>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</si>
  <si>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</si>
  <si>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</si>
  <si>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</si>
  <si>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</si>
  <si>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</si>
  <si>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</si>
  <si>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</si>
  <si>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</si>
  <si>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</si>
  <si>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</si>
  <si>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</si>
  <si>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</si>
  <si>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</si>
  <si>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</si>
  <si>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</si>
  <si>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</si>
  <si>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</si>
  <si>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</si>
  <si>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</si>
  <si>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</si>
  <si>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</si>
  <si>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</si>
  <si>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</si>
  <si>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</si>
  <si>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</si>
  <si>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</si>
  <si>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</si>
  <si>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</si>
  <si>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</si>
  <si>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</si>
  <si>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</si>
  <si>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</si>
  <si>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</si>
  <si>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</si>
  <si>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</si>
  <si>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</si>
  <si>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</si>
  <si>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</si>
  <si>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</si>
  <si>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</si>
  <si>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</si>
  <si>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</si>
  <si>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</si>
  <si>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</si>
  <si>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</si>
  <si>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</si>
  <si>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</si>
  <si>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</si>
  <si>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</si>
  <si>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</si>
  <si>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</si>
  <si>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</si>
  <si>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</si>
  <si>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</si>
  <si>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</si>
  <si>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</si>
  <si>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</si>
  <si>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</si>
  <si>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</si>
  <si>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</si>
  <si>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</si>
  <si>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</si>
  <si>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</si>
  <si>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</si>
  <si>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</si>
  <si>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</si>
  <si>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</si>
  <si>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</si>
  <si>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</si>
  <si>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</si>
  <si>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</si>
  <si>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</si>
  <si>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</si>
  <si>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</si>
  <si>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5 DIAS HABILES</t>
  </si>
  <si>
    <t>CUB MESA 3 LADOS</t>
  </si>
  <si>
    <t>CUB CON RESPALDO FTE 90°</t>
  </si>
  <si>
    <t>HAYA</t>
  </si>
  <si>
    <t>SERVICIO CORTE</t>
  </si>
  <si>
    <t>DIEGO LOBOS</t>
  </si>
  <si>
    <t>SI</t>
  </si>
  <si>
    <t>PR12</t>
  </si>
  <si>
    <t>BLANCO 22191 MT</t>
  </si>
  <si>
    <t>N° 11604A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</si>
</sst>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6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8" fillId="0" borderId="27" xfId="8" applyFont="1" applyFill="1" applyBorder="1"/>
    <xf numFmtId="42" fontId="38" fillId="18" borderId="20" xfId="8" applyFont="1" applyFill="1" applyBorder="1"/>
    <xf numFmtId="42" fontId="38" fillId="0" borderId="29" xfId="8" applyFont="1" applyFill="1" applyBorder="1"/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32" fillId="0" borderId="25" xfId="0" applyFont="1" applyBorder="1" applyAlignment="1">
      <alignment horizontal="center" vertical="center"/>
    </xf>
    <xf numFmtId="0" fontId="32" fillId="0" borderId="42" xfId="0" applyFont="1" applyBorder="1" applyAlignment="1">
      <alignment horizontal="center" vertical="center"/>
    </xf>
    <xf numFmtId="166" fontId="32" fillId="0" borderId="42" xfId="0" applyNumberFormat="1" applyFont="1" applyBorder="1" applyAlignment="1">
      <alignment horizontal="center" vertical="center"/>
    </xf>
    <xf numFmtId="167" fontId="11" fillId="0" borderId="42" xfId="2" applyNumberFormat="1" applyFont="1" applyFill="1" applyBorder="1" applyAlignment="1">
      <alignment horizontal="center" vertical="center"/>
    </xf>
    <xf numFmtId="167" fontId="11" fillId="0" borderId="10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32</xdr:row>
      <xdr:rowOff>8194</xdr:rowOff>
    </xdr:from>
    <xdr:to>
      <xdr:col>8</xdr:col>
      <xdr:colOff>8193</xdr:colOff>
      <xdr:row>35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1745226</xdr:colOff>
      <xdr:row>35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28</xdr:row>
      <xdr:rowOff>9525</xdr:rowOff>
    </xdr:from>
    <xdr:to>
      <xdr:col>5</xdr:col>
      <xdr:colOff>1728839</xdr:colOff>
      <xdr:row>31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ENTREGAN CORTADAS A LA MEDIDA Y ENCHAPADAS CON REGRUESO EN LOS COSTADOS. PUERTA PR12 CORTADA A LA MEDIDA Y ENCHAPADA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282398</xdr:colOff>
      <xdr:row>5</xdr:row>
      <xdr:rowOff>171227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1964981</xdr:colOff>
      <xdr:row>5</xdr:row>
      <xdr:rowOff>130524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6"/>
  <sheetViews>
    <sheetView tabSelected="1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1.6640625" customWidth="1"/>
    <col min="4" max="4" width="12.886718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18" t="s">
        <v>125</v>
      </c>
      <c r="C8" s="319"/>
      <c r="D8" s="320" t="s">
        <v>179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239" t="s">
        <v>175</v>
      </c>
      <c r="D10" s="239"/>
      <c r="E10" s="239"/>
      <c r="F10" s="240" t="s">
        <v>167</v>
      </c>
      <c r="G10" s="271">
        <v>45889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166</v>
      </c>
      <c r="G11" s="303" t="s">
        <v>170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165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08"/>
      <c r="D14" s="305"/>
      <c r="E14" s="305"/>
      <c r="F14" s="305" t="s">
        <v>134</v>
      </c>
      <c r="G14" s="309" t="s">
        <v>176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0"/>
      <c r="D15" s="311"/>
      <c r="F15" t="s">
        <v>168</v>
      </c>
      <c r="G15" s="312" t="s">
        <v>133</v>
      </c>
      <c r="H15" s="281"/>
    </row>
    <row r="16" spans="2:24" ht="16.8" x14ac:dyDescent="0.4">
      <c r="B16" s="295" t="s">
        <v>3</v>
      </c>
      <c r="C16" s="313"/>
      <c r="D16" s="305"/>
      <c r="E16" s="305"/>
      <c r="F16" s="314" t="s">
        <v>128</v>
      </c>
      <c r="G16" s="315" t="s">
        <v>160</v>
      </c>
      <c r="H16" s="243"/>
    </row>
    <row r="17" spans="2:25" ht="15" thickBot="1" x14ac:dyDescent="0.35">
      <c r="B17" s="292" t="s">
        <v>13</v>
      </c>
      <c r="C17" s="293" t="s">
        <v>163</v>
      </c>
      <c r="D17" s="294"/>
      <c r="E17" s="116"/>
      <c r="F17" s="349" t="s">
        <v>162</v>
      </c>
      <c r="G17" s="349"/>
      <c r="H17" s="350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51" t="s">
        <v>95</v>
      </c>
      <c r="C19" s="352"/>
      <c r="D19" s="352"/>
      <c r="E19" s="352"/>
      <c r="F19" s="352"/>
      <c r="G19" s="352"/>
      <c r="H19" s="353"/>
      <c r="I19" s="259"/>
      <c r="J19" s="259"/>
      <c r="K19" s="5"/>
      <c r="L19" s="245"/>
      <c r="M19" s="14">
        <v>0.02</v>
      </c>
      <c r="N19" s="14">
        <v>0.02</v>
      </c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8" thickBot="1" x14ac:dyDescent="0.35">
      <c r="B20" s="321" t="s">
        <v>7</v>
      </c>
      <c r="C20" s="322" t="s">
        <v>1</v>
      </c>
      <c r="D20" s="322" t="s">
        <v>130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O43</f>
        <v>63591.377845550589</v>
      </c>
      <c r="R20" s="253">
        <v>3000</v>
      </c>
      <c r="S20" s="35"/>
      <c r="T20" s="14" t="s">
        <v>127</v>
      </c>
      <c r="U20" s="9"/>
      <c r="X20" s="4"/>
    </row>
    <row r="21" spans="2:25" ht="17.399999999999999" x14ac:dyDescent="0.3">
      <c r="B21" s="332">
        <v>1</v>
      </c>
      <c r="C21" s="333" t="s">
        <v>171</v>
      </c>
      <c r="D21" s="334">
        <v>1.66</v>
      </c>
      <c r="E21" s="334">
        <v>0.25</v>
      </c>
      <c r="F21" s="333" t="s">
        <v>173</v>
      </c>
      <c r="G21" s="335">
        <f>R21</f>
        <v>31845.048990741747</v>
      </c>
      <c r="H21" s="336">
        <f>G21*B21</f>
        <v>31845.048990741747</v>
      </c>
      <c r="I21" s="297"/>
      <c r="J21" s="260"/>
      <c r="K21" s="44"/>
      <c r="L21" s="44">
        <f>B21</f>
        <v>1</v>
      </c>
      <c r="M21" s="36">
        <f>D21+M$19</f>
        <v>1.68</v>
      </c>
      <c r="N21" s="36">
        <f>E21+$N$19</f>
        <v>0.27</v>
      </c>
      <c r="O21" s="256">
        <f t="shared" ref="O21" si="1">M21*N21</f>
        <v>0.4536</v>
      </c>
      <c r="P21" s="254">
        <f t="shared" ref="P21" si="2">O21*L21</f>
        <v>0.4536</v>
      </c>
      <c r="Q21" s="247">
        <f t="shared" ref="Q21" si="3">Q$20*O21</f>
        <v>28845.048990741747</v>
      </c>
      <c r="R21" s="296">
        <f t="shared" ref="R21" si="4">Q21+R$20</f>
        <v>31845.048990741747</v>
      </c>
      <c r="S21" s="284">
        <f>M21*L21</f>
        <v>1.68</v>
      </c>
      <c r="T21" s="43">
        <f>N21*2*L21*2</f>
        <v>1.08</v>
      </c>
      <c r="U21" s="9"/>
      <c r="X21" s="4"/>
    </row>
    <row r="22" spans="2:25" ht="17.399999999999999" x14ac:dyDescent="0.3">
      <c r="B22" s="337">
        <v>1</v>
      </c>
      <c r="C22" s="326" t="s">
        <v>172</v>
      </c>
      <c r="D22" s="327">
        <v>1.88</v>
      </c>
      <c r="E22" s="327">
        <v>0.50700000000000001</v>
      </c>
      <c r="F22" s="326" t="s">
        <v>173</v>
      </c>
      <c r="G22" s="328">
        <f t="shared" ref="G22:G24" si="5">R22</f>
        <v>66674.046636749816</v>
      </c>
      <c r="H22" s="338">
        <f t="shared" ref="H22:H24" si="6">G22*B22</f>
        <v>66674.046636749816</v>
      </c>
      <c r="I22" s="297"/>
      <c r="J22" s="260"/>
      <c r="K22" s="44"/>
      <c r="L22" s="44">
        <f t="shared" ref="L22:L27" si="7">B22</f>
        <v>1</v>
      </c>
      <c r="M22" s="36">
        <f t="shared" ref="M22:M24" si="8">D22+M$19</f>
        <v>1.9</v>
      </c>
      <c r="N22" s="36">
        <f t="shared" ref="N22:N24" si="9">E22+$N$19</f>
        <v>0.52700000000000002</v>
      </c>
      <c r="O22" s="256">
        <f t="shared" ref="O22:O24" si="10">M22*N22</f>
        <v>1.0013000000000001</v>
      </c>
      <c r="P22" s="254">
        <f t="shared" ref="P22:P24" si="11">O22*L22</f>
        <v>1.0013000000000001</v>
      </c>
      <c r="Q22" s="247">
        <f t="shared" ref="Q22:Q24" si="12">Q$20*O22</f>
        <v>63674.046636749808</v>
      </c>
      <c r="R22" s="296">
        <f t="shared" ref="R22:R24" si="13">Q22+R$20</f>
        <v>66674.046636749816</v>
      </c>
      <c r="S22" s="284"/>
      <c r="T22" s="43"/>
      <c r="U22" s="9"/>
      <c r="X22" s="4"/>
    </row>
    <row r="23" spans="2:25" ht="17.399999999999999" x14ac:dyDescent="0.3">
      <c r="B23" s="337">
        <v>1</v>
      </c>
      <c r="C23" s="326" t="s">
        <v>172</v>
      </c>
      <c r="D23" s="327">
        <v>0.39600000000000002</v>
      </c>
      <c r="E23" s="327">
        <v>0.56000000000000005</v>
      </c>
      <c r="F23" s="326" t="s">
        <v>173</v>
      </c>
      <c r="G23" s="328">
        <f t="shared" si="5"/>
        <v>18343.327646574449</v>
      </c>
      <c r="H23" s="338">
        <f t="shared" si="6"/>
        <v>18343.327646574449</v>
      </c>
      <c r="I23" s="297"/>
      <c r="J23" s="260"/>
      <c r="K23" s="44"/>
      <c r="L23" s="44">
        <f t="shared" si="7"/>
        <v>1</v>
      </c>
      <c r="M23" s="36">
        <f t="shared" si="8"/>
        <v>0.41600000000000004</v>
      </c>
      <c r="N23" s="36">
        <f t="shared" si="9"/>
        <v>0.58000000000000007</v>
      </c>
      <c r="O23" s="256">
        <f t="shared" si="10"/>
        <v>0.24128000000000005</v>
      </c>
      <c r="P23" s="254">
        <f t="shared" si="11"/>
        <v>0.24128000000000005</v>
      </c>
      <c r="Q23" s="247">
        <f t="shared" si="12"/>
        <v>15343.327646574449</v>
      </c>
      <c r="R23" s="296">
        <f t="shared" si="13"/>
        <v>18343.327646574449</v>
      </c>
      <c r="S23" s="284"/>
      <c r="T23" s="43"/>
      <c r="U23" s="9"/>
      <c r="X23" s="4"/>
    </row>
    <row r="24" spans="2:25" ht="17.399999999999999" x14ac:dyDescent="0.3">
      <c r="B24" s="344">
        <v>1</v>
      </c>
      <c r="C24" s="345" t="s">
        <v>172</v>
      </c>
      <c r="D24" s="346">
        <v>0.502</v>
      </c>
      <c r="E24" s="346">
        <v>0.6</v>
      </c>
      <c r="F24" s="345" t="s">
        <v>173</v>
      </c>
      <c r="G24" s="347">
        <f t="shared" si="5"/>
        <v>23580.713525933992</v>
      </c>
      <c r="H24" s="348">
        <f t="shared" si="6"/>
        <v>23580.713525933992</v>
      </c>
      <c r="I24" s="297"/>
      <c r="J24" s="260"/>
      <c r="K24" s="44"/>
      <c r="L24" s="44">
        <f t="shared" si="7"/>
        <v>1</v>
      </c>
      <c r="M24" s="36">
        <f t="shared" si="8"/>
        <v>0.52200000000000002</v>
      </c>
      <c r="N24" s="36">
        <f t="shared" si="9"/>
        <v>0.62</v>
      </c>
      <c r="O24" s="256">
        <f t="shared" si="10"/>
        <v>0.32363999999999998</v>
      </c>
      <c r="P24" s="254">
        <f t="shared" si="11"/>
        <v>0.32363999999999998</v>
      </c>
      <c r="Q24" s="247">
        <f t="shared" si="12"/>
        <v>20580.713525933992</v>
      </c>
      <c r="R24" s="296">
        <f t="shared" si="13"/>
        <v>23580.713525933992</v>
      </c>
      <c r="S24" s="284"/>
      <c r="T24" s="43"/>
      <c r="U24" s="9"/>
      <c r="X24" s="4"/>
    </row>
    <row r="25" spans="2:25" ht="17.399999999999999" x14ac:dyDescent="0.3">
      <c r="B25" s="344">
        <v>1</v>
      </c>
      <c r="C25" s="345" t="s">
        <v>177</v>
      </c>
      <c r="D25" s="346">
        <v>0.74</v>
      </c>
      <c r="E25" s="346">
        <v>0.44</v>
      </c>
      <c r="F25" s="345" t="s">
        <v>178</v>
      </c>
      <c r="G25" s="347">
        <v>26772</v>
      </c>
      <c r="H25" s="348">
        <v>26772</v>
      </c>
      <c r="I25" s="297"/>
      <c r="J25" s="260"/>
      <c r="K25" s="44"/>
      <c r="L25" s="44"/>
      <c r="M25" s="36"/>
      <c r="N25" s="36"/>
      <c r="O25" s="256"/>
      <c r="P25" s="254"/>
      <c r="Q25" s="247"/>
      <c r="R25" s="296"/>
      <c r="S25" s="284"/>
      <c r="T25" s="43"/>
      <c r="U25" s="9"/>
      <c r="X25" s="4"/>
    </row>
    <row r="26" spans="2:25" ht="17.399999999999999" x14ac:dyDescent="0.3">
      <c r="B26" s="344">
        <v>1</v>
      </c>
      <c r="C26" s="345" t="s">
        <v>177</v>
      </c>
      <c r="D26" s="346">
        <v>0.74</v>
      </c>
      <c r="E26" s="346">
        <v>0.4</v>
      </c>
      <c r="F26" s="345" t="s">
        <v>178</v>
      </c>
      <c r="G26" s="347">
        <v>22686</v>
      </c>
      <c r="H26" s="348">
        <f>G26*B26</f>
        <v>22686</v>
      </c>
      <c r="I26" s="297"/>
      <c r="J26" s="260"/>
      <c r="K26" s="44"/>
      <c r="L26" s="44"/>
      <c r="M26" s="36"/>
      <c r="N26" s="36"/>
      <c r="O26" s="256"/>
      <c r="P26" s="254"/>
      <c r="Q26" s="247"/>
      <c r="R26" s="296"/>
      <c r="S26" s="284"/>
      <c r="T26" s="43"/>
      <c r="U26" s="9"/>
      <c r="X26" s="4"/>
    </row>
    <row r="27" spans="2:25" ht="18" thickBot="1" x14ac:dyDescent="0.35">
      <c r="B27" s="339">
        <v>1</v>
      </c>
      <c r="C27" s="340" t="s">
        <v>174</v>
      </c>
      <c r="D27" s="341"/>
      <c r="E27" s="341"/>
      <c r="F27" s="340"/>
      <c r="G27" s="342">
        <v>10000</v>
      </c>
      <c r="H27" s="343">
        <f>G27*B27</f>
        <v>10000</v>
      </c>
      <c r="I27" s="297"/>
      <c r="J27" s="260"/>
      <c r="K27" s="44"/>
      <c r="L27" s="44">
        <f t="shared" si="7"/>
        <v>1</v>
      </c>
      <c r="M27" s="36"/>
      <c r="N27" s="36"/>
      <c r="O27" s="256"/>
      <c r="P27" s="254"/>
      <c r="Q27" s="247"/>
      <c r="R27" s="296"/>
      <c r="S27" s="284"/>
      <c r="T27" s="43"/>
      <c r="U27" s="9"/>
      <c r="X27" s="4"/>
    </row>
    <row r="28" spans="2:25" ht="18" thickBot="1" x14ac:dyDescent="0.35">
      <c r="B28" s="278"/>
      <c r="C28" s="278"/>
      <c r="D28" s="279"/>
      <c r="E28" s="279"/>
      <c r="F28" s="278"/>
      <c r="G28" s="260"/>
      <c r="H28" s="298"/>
      <c r="I28" s="300"/>
      <c r="J28" s="229"/>
      <c r="K28" s="44"/>
      <c r="L28" s="44"/>
      <c r="M28" s="36"/>
      <c r="N28" s="36"/>
      <c r="O28" s="256"/>
      <c r="P28" s="254"/>
      <c r="Q28" s="247"/>
      <c r="R28" s="253"/>
      <c r="S28" s="284"/>
      <c r="T28" s="14"/>
      <c r="U28" s="9"/>
      <c r="X28" s="4"/>
    </row>
    <row r="29" spans="2:25" ht="17.399999999999999" x14ac:dyDescent="0.3">
      <c r="B29" s="278"/>
      <c r="C29" s="278"/>
      <c r="D29" s="279"/>
      <c r="E29" s="279"/>
      <c r="F29" s="278"/>
      <c r="G29" s="301" t="s">
        <v>28</v>
      </c>
      <c r="H29" s="329">
        <f>SUM(H21:H28)</f>
        <v>199901.13680000001</v>
      </c>
      <c r="I29" s="299"/>
      <c r="J29" s="260"/>
      <c r="K29" s="316"/>
      <c r="L29" s="44"/>
      <c r="M29" s="36"/>
      <c r="N29" s="36"/>
      <c r="O29" s="256"/>
      <c r="P29" s="254"/>
      <c r="Q29" s="247"/>
      <c r="R29" s="253"/>
      <c r="S29" s="284"/>
      <c r="T29" s="43">
        <f>SUM(T21:T28)</f>
        <v>1.08</v>
      </c>
      <c r="U29" s="9"/>
      <c r="X29" s="4"/>
    </row>
    <row r="30" spans="2:25" ht="17.399999999999999" x14ac:dyDescent="0.3">
      <c r="B30" s="272"/>
      <c r="C30" s="275"/>
      <c r="D30" s="276"/>
      <c r="E30" s="276"/>
      <c r="F30" s="277"/>
      <c r="G30" s="283" t="s">
        <v>51</v>
      </c>
      <c r="H30" s="330">
        <f>H29*19%</f>
        <v>37981.215992000005</v>
      </c>
      <c r="I30" s="299"/>
      <c r="J30" s="260"/>
      <c r="K30" s="316"/>
      <c r="L30" s="44"/>
      <c r="M30" s="36">
        <f>SUM(M21:M24)</f>
        <v>4.5179999999999998</v>
      </c>
      <c r="N30" s="12"/>
      <c r="O30" s="12"/>
      <c r="P30" s="248">
        <f>SUM(P21:P28)</f>
        <v>2.0198200000000002</v>
      </c>
      <c r="Q30" s="14"/>
      <c r="R30" s="12"/>
      <c r="S30" s="235">
        <f>SUM(S21:S29)</f>
        <v>1.68</v>
      </c>
      <c r="T30" s="43"/>
      <c r="U30" s="9"/>
      <c r="X30" s="4"/>
    </row>
    <row r="31" spans="2:25" ht="18" thickBot="1" x14ac:dyDescent="0.35">
      <c r="B31" s="270"/>
      <c r="C31" s="274"/>
      <c r="D31" s="267"/>
      <c r="E31" s="267"/>
      <c r="F31" s="268"/>
      <c r="G31" s="273" t="s">
        <v>6</v>
      </c>
      <c r="H31" s="331">
        <f>H29+H30</f>
        <v>237882.35279200002</v>
      </c>
      <c r="I31" s="299"/>
      <c r="J31" s="260"/>
      <c r="K31" s="316"/>
      <c r="L31" s="44"/>
      <c r="M31" s="36"/>
      <c r="N31" s="12"/>
      <c r="O31" s="12"/>
      <c r="P31" s="248">
        <f>P30</f>
        <v>2.0198200000000002</v>
      </c>
      <c r="Q31" s="14"/>
      <c r="R31" s="12"/>
      <c r="S31" s="235"/>
      <c r="T31" s="43"/>
      <c r="U31" s="9"/>
      <c r="X31" s="4"/>
    </row>
    <row r="32" spans="2:25" ht="17.399999999999999" x14ac:dyDescent="0.3">
      <c r="B32" s="270"/>
      <c r="C32" s="266"/>
      <c r="D32" s="267"/>
      <c r="E32" s="267"/>
      <c r="F32" s="268"/>
      <c r="J32" s="260"/>
      <c r="K32" s="316"/>
      <c r="L32" s="44"/>
      <c r="M32" s="14"/>
      <c r="N32" s="12"/>
      <c r="O32" s="12"/>
      <c r="P32" s="36">
        <f>P31*20%</f>
        <v>0.40396400000000005</v>
      </c>
      <c r="Q32" s="36" t="s">
        <v>129</v>
      </c>
      <c r="R32" s="39"/>
      <c r="S32" s="236"/>
      <c r="T32" s="14"/>
      <c r="U32" s="9"/>
      <c r="X32" s="4"/>
    </row>
    <row r="33" spans="1:24" ht="17.399999999999999" x14ac:dyDescent="0.35">
      <c r="B33" s="264"/>
      <c r="C33" s="226"/>
      <c r="D33" s="226"/>
      <c r="E33" s="229"/>
      <c r="F33" s="230"/>
      <c r="G33" s="226"/>
      <c r="H33" s="269"/>
      <c r="I33" s="269"/>
      <c r="J33" s="260"/>
      <c r="K33" s="44"/>
      <c r="L33" s="44"/>
      <c r="M33" s="14"/>
      <c r="N33" s="12"/>
      <c r="O33" s="12"/>
      <c r="P33" s="43">
        <f>P31+P32</f>
        <v>2.4237840000000004</v>
      </c>
      <c r="Q33" s="14"/>
      <c r="R33" s="14"/>
      <c r="S33" s="234"/>
      <c r="T33" s="14"/>
      <c r="U33" s="9"/>
      <c r="X33" s="4"/>
    </row>
    <row r="34" spans="1:24" ht="17.399999999999999" x14ac:dyDescent="0.35">
      <c r="B34" s="231"/>
      <c r="C34" s="232"/>
      <c r="D34" s="233"/>
      <c r="E34" s="231"/>
      <c r="F34" s="226"/>
      <c r="G34" s="226"/>
      <c r="I34" s="269"/>
      <c r="J34" s="260"/>
      <c r="K34" s="44"/>
      <c r="L34" s="44"/>
      <c r="M34" s="14"/>
      <c r="N34" s="14"/>
      <c r="O34" s="14"/>
      <c r="P34" s="14"/>
      <c r="Q34" s="14"/>
      <c r="R34" s="14"/>
      <c r="S34" s="236"/>
      <c r="T34" s="14"/>
      <c r="U34" s="288" t="s">
        <v>21</v>
      </c>
      <c r="V34" s="285" t="s">
        <v>149</v>
      </c>
      <c r="W34" s="289">
        <v>44971</v>
      </c>
      <c r="X34" s="290"/>
    </row>
    <row r="35" spans="1:24" ht="17.399999999999999" x14ac:dyDescent="0.35">
      <c r="B35" s="226"/>
      <c r="C35" s="226"/>
      <c r="D35" s="226"/>
      <c r="E35" s="226"/>
      <c r="F35" s="226"/>
      <c r="G35" s="226"/>
      <c r="J35" s="260"/>
      <c r="K35" s="44"/>
      <c r="L35" s="44"/>
      <c r="M35" s="36">
        <f>P33</f>
        <v>2.4237840000000004</v>
      </c>
      <c r="N35" s="12">
        <v>3500</v>
      </c>
      <c r="O35" s="12">
        <f t="shared" ref="O35:O40" si="14">M35*N35</f>
        <v>8483.2440000000006</v>
      </c>
      <c r="P35" s="14" t="s">
        <v>21</v>
      </c>
      <c r="Q35" s="14"/>
      <c r="R35" s="14"/>
      <c r="S35" s="237"/>
      <c r="T35" s="14"/>
      <c r="U35" s="288" t="s">
        <v>150</v>
      </c>
      <c r="V35" s="285">
        <v>3625</v>
      </c>
      <c r="W35" s="56" t="s">
        <v>151</v>
      </c>
      <c r="X35" s="290"/>
    </row>
    <row r="36" spans="1:24" ht="17.399999999999999" x14ac:dyDescent="0.35">
      <c r="A36" s="226"/>
      <c r="B36" s="226"/>
      <c r="C36" s="226"/>
      <c r="D36" s="226"/>
      <c r="E36" s="226"/>
      <c r="F36" s="226"/>
      <c r="G36" s="226"/>
      <c r="H36" s="226"/>
      <c r="J36" s="260"/>
      <c r="K36" s="44"/>
      <c r="L36" s="44"/>
      <c r="M36" s="244">
        <v>0.65400000000000003</v>
      </c>
      <c r="N36" s="12">
        <v>25000</v>
      </c>
      <c r="O36" s="12">
        <f t="shared" si="14"/>
        <v>16350</v>
      </c>
      <c r="P36" s="36" t="s">
        <v>169</v>
      </c>
      <c r="Q36" s="39"/>
      <c r="R36" s="14"/>
      <c r="S36" s="236"/>
      <c r="T36" s="14"/>
      <c r="U36" s="288"/>
      <c r="V36" s="56">
        <v>906.25</v>
      </c>
      <c r="W36" s="56" t="s">
        <v>152</v>
      </c>
      <c r="X36" s="290"/>
    </row>
    <row r="37" spans="1:24" s="226" customFormat="1" ht="17.399999999999999" x14ac:dyDescent="0.35">
      <c r="B37" s="21" t="s">
        <v>148</v>
      </c>
      <c r="J37" s="257"/>
      <c r="K37" s="228"/>
      <c r="L37" s="245"/>
      <c r="M37" s="14"/>
      <c r="N37" s="245">
        <v>80000</v>
      </c>
      <c r="O37" s="12">
        <f t="shared" si="14"/>
        <v>0</v>
      </c>
      <c r="P37" s="36" t="s">
        <v>30</v>
      </c>
      <c r="Q37" s="39"/>
      <c r="S37" s="236"/>
      <c r="T37" s="251"/>
      <c r="U37" s="56"/>
      <c r="V37" s="56">
        <f>V36*20%</f>
        <v>181.25</v>
      </c>
      <c r="W37" s="290" t="s">
        <v>153</v>
      </c>
      <c r="X37" s="56"/>
    </row>
    <row r="38" spans="1:24" s="226" customFormat="1" ht="17.399999999999999" x14ac:dyDescent="0.35">
      <c r="B38" s="21" t="s">
        <v>164</v>
      </c>
      <c r="C38"/>
      <c r="D38"/>
      <c r="E38"/>
      <c r="F38"/>
      <c r="J38" s="257">
        <v>46000</v>
      </c>
      <c r="K38" s="228"/>
      <c r="L38" s="245"/>
      <c r="M38" s="14">
        <v>1</v>
      </c>
      <c r="N38" s="245">
        <v>29200</v>
      </c>
      <c r="O38" s="12">
        <f t="shared" si="14"/>
        <v>29200</v>
      </c>
      <c r="P38" s="14" t="s">
        <v>139</v>
      </c>
      <c r="Q38" s="17"/>
      <c r="S38" s="234"/>
      <c r="T38" s="251"/>
      <c r="U38" s="56"/>
      <c r="V38" s="56">
        <f>V36+V37</f>
        <v>1087.5</v>
      </c>
      <c r="W38" s="290" t="s">
        <v>154</v>
      </c>
      <c r="X38" s="56"/>
    </row>
    <row r="39" spans="1:24" s="226" customFormat="1" ht="17.399999999999999" x14ac:dyDescent="0.35">
      <c r="B39" s="26" t="s">
        <v>124</v>
      </c>
      <c r="C39"/>
      <c r="D39"/>
      <c r="E39"/>
      <c r="F39" s="225" t="s">
        <v>15</v>
      </c>
      <c r="J39" s="257">
        <f>J38/1.19</f>
        <v>38655.462184873948</v>
      </c>
      <c r="K39" s="255"/>
      <c r="L39" s="245"/>
      <c r="M39" s="244"/>
      <c r="N39" s="245">
        <v>900</v>
      </c>
      <c r="O39" s="12">
        <f t="shared" si="14"/>
        <v>0</v>
      </c>
      <c r="P39" s="14" t="s">
        <v>32</v>
      </c>
      <c r="Q39" s="14"/>
      <c r="R39" s="226">
        <v>1.52</v>
      </c>
      <c r="S39" s="234"/>
      <c r="T39" s="234"/>
    </row>
    <row r="40" spans="1:24" s="226" customFormat="1" ht="17.399999999999999" x14ac:dyDescent="0.35">
      <c r="J40" s="282"/>
      <c r="K40" s="255"/>
      <c r="L40" s="245"/>
      <c r="M40" s="261">
        <v>2.9</v>
      </c>
      <c r="N40" s="12">
        <v>1500</v>
      </c>
      <c r="O40" s="12">
        <f t="shared" si="14"/>
        <v>4350</v>
      </c>
      <c r="P40" s="14" t="s">
        <v>22</v>
      </c>
      <c r="Q40" s="14"/>
      <c r="R40">
        <v>2.44</v>
      </c>
      <c r="S40"/>
      <c r="T40" s="234"/>
      <c r="X40" s="227"/>
    </row>
    <row r="41" spans="1:24" s="226" customFormat="1" ht="17.399999999999999" x14ac:dyDescent="0.35">
      <c r="K41" s="255"/>
      <c r="L41" s="245"/>
      <c r="M41" s="14"/>
      <c r="N41" s="12"/>
      <c r="O41" s="12">
        <f>SUM(O35:O40)</f>
        <v>58383.243999999999</v>
      </c>
      <c r="P41" s="36" t="s">
        <v>23</v>
      </c>
      <c r="Q41" s="14"/>
      <c r="R41">
        <f>R39*R40</f>
        <v>3.7088000000000001</v>
      </c>
      <c r="S41"/>
      <c r="T41" s="234"/>
      <c r="X41" s="227"/>
    </row>
    <row r="42" spans="1:24" s="226" customFormat="1" ht="17.399999999999999" x14ac:dyDescent="0.35">
      <c r="L42" s="245"/>
      <c r="M42" s="249" t="s">
        <v>33</v>
      </c>
      <c r="N42" s="12"/>
      <c r="O42" s="250">
        <f>O41*2.2</f>
        <v>128443.13680000001</v>
      </c>
      <c r="P42" s="14" t="s">
        <v>138</v>
      </c>
      <c r="Q42" s="14"/>
      <c r="R42" s="37">
        <f>P33/R41</f>
        <v>0.65352243313201042</v>
      </c>
      <c r="S42"/>
      <c r="T42" s="252"/>
    </row>
    <row r="43" spans="1:24" s="226" customFormat="1" ht="17.399999999999999" x14ac:dyDescent="0.35">
      <c r="G43" s="3"/>
      <c r="H43" s="255"/>
      <c r="I43" s="255"/>
      <c r="J43" s="255"/>
      <c r="L43" s="245"/>
      <c r="M43" s="14"/>
      <c r="N43" s="12"/>
      <c r="O43" s="12">
        <f>O42/P31</f>
        <v>63591.377845550589</v>
      </c>
      <c r="P43" s="42" t="s">
        <v>24</v>
      </c>
      <c r="Q43" s="14"/>
      <c r="R43" s="14"/>
      <c r="S43"/>
      <c r="T43" s="234"/>
      <c r="U43" s="56" t="s">
        <v>155</v>
      </c>
      <c r="V43" s="285">
        <v>43650</v>
      </c>
    </row>
    <row r="44" spans="1:24" s="226" customFormat="1" ht="17.399999999999999" x14ac:dyDescent="0.35">
      <c r="G44"/>
      <c r="L44" s="245"/>
      <c r="M44" s="13"/>
      <c r="N44" s="14"/>
      <c r="O44" s="17">
        <f>O42/O41</f>
        <v>2.2000000000000002</v>
      </c>
      <c r="P44" s="15"/>
      <c r="Q44"/>
      <c r="R44"/>
      <c r="S44"/>
      <c r="T44" s="234"/>
      <c r="U44" s="56" t="s">
        <v>157</v>
      </c>
      <c r="V44" s="286" t="s">
        <v>156</v>
      </c>
      <c r="W44" s="56">
        <v>2.4</v>
      </c>
    </row>
    <row r="45" spans="1:24" s="226" customFormat="1" ht="17.399999999999999" x14ac:dyDescent="0.35">
      <c r="D45" s="279"/>
      <c r="E45" s="279"/>
      <c r="F45" s="278"/>
      <c r="G45" s="317"/>
      <c r="H45" s="324"/>
      <c r="L45" s="12"/>
      <c r="T45" s="234"/>
      <c r="U45" s="56" t="s">
        <v>158</v>
      </c>
      <c r="V45" s="287">
        <v>395.37</v>
      </c>
    </row>
    <row r="46" spans="1:24" s="226" customFormat="1" ht="17.399999999999999" x14ac:dyDescent="0.35">
      <c r="B46"/>
      <c r="C46" s="325"/>
      <c r="D46" s="279"/>
      <c r="E46" s="279"/>
      <c r="F46" s="278"/>
      <c r="G46" s="317"/>
      <c r="H46" s="324"/>
      <c r="L46" s="12"/>
      <c r="T46" s="234"/>
      <c r="U46" s="56" t="s">
        <v>153</v>
      </c>
      <c r="V46" s="56">
        <v>474.45</v>
      </c>
    </row>
    <row r="47" spans="1:24" ht="14.4" customHeight="1" x14ac:dyDescent="0.35">
      <c r="D47" s="279"/>
      <c r="E47" s="279"/>
      <c r="F47" s="278"/>
      <c r="G47" s="317"/>
      <c r="H47" s="324"/>
      <c r="L47" s="12"/>
      <c r="U47" s="56"/>
      <c r="V47" s="56"/>
    </row>
    <row r="48" spans="1:24" ht="17.399999999999999" x14ac:dyDescent="0.35">
      <c r="D48" s="279"/>
      <c r="E48" s="279"/>
      <c r="F48" s="278"/>
      <c r="G48" s="317"/>
      <c r="H48" s="324"/>
      <c r="L48" s="245"/>
    </row>
    <row r="49" spans="4:20" ht="17.399999999999999" x14ac:dyDescent="0.35">
      <c r="D49" s="279"/>
      <c r="E49" s="279"/>
      <c r="F49" s="278"/>
      <c r="G49" s="317"/>
      <c r="H49" s="324"/>
      <c r="L49" s="245"/>
      <c r="T49" s="265"/>
    </row>
    <row r="50" spans="4:20" ht="17.399999999999999" x14ac:dyDescent="0.35">
      <c r="D50" s="279"/>
      <c r="E50" s="279"/>
      <c r="F50" s="278"/>
      <c r="G50" s="317"/>
      <c r="H50" s="324"/>
      <c r="L50" s="245"/>
    </row>
    <row r="51" spans="4:20" ht="15" customHeight="1" x14ac:dyDescent="0.35">
      <c r="D51" s="279"/>
      <c r="E51" s="279"/>
      <c r="F51" s="278"/>
      <c r="G51" s="317"/>
      <c r="H51" s="324"/>
    </row>
    <row r="52" spans="4:20" ht="17.399999999999999" x14ac:dyDescent="0.35">
      <c r="D52" s="279"/>
      <c r="E52" s="279"/>
      <c r="F52" s="278"/>
      <c r="G52" s="317"/>
      <c r="H52" s="324"/>
    </row>
    <row r="53" spans="4:20" ht="17.399999999999999" x14ac:dyDescent="0.35">
      <c r="D53" s="279"/>
      <c r="E53" s="279"/>
      <c r="F53" s="278"/>
      <c r="G53" s="317"/>
      <c r="H53" s="324"/>
      <c r="O53">
        <v>40935</v>
      </c>
      <c r="P53" t="s">
        <v>16</v>
      </c>
      <c r="Q53" t="s">
        <v>26</v>
      </c>
    </row>
    <row r="54" spans="4:20" ht="17.399999999999999" x14ac:dyDescent="0.35">
      <c r="D54" s="279"/>
      <c r="E54" s="279"/>
      <c r="F54" s="278"/>
      <c r="G54" s="317"/>
      <c r="H54" s="324"/>
    </row>
    <row r="55" spans="4:20" ht="17.399999999999999" x14ac:dyDescent="0.35">
      <c r="D55" s="279"/>
      <c r="E55" s="279"/>
      <c r="F55" s="278"/>
      <c r="G55" s="317"/>
      <c r="H55" s="324"/>
      <c r="O55" s="51"/>
      <c r="P55" s="51"/>
    </row>
    <row r="56" spans="4:20" ht="17.399999999999999" x14ac:dyDescent="0.35">
      <c r="D56" s="279"/>
      <c r="E56" s="279"/>
      <c r="F56" s="278"/>
      <c r="G56" s="317"/>
      <c r="H56" s="324"/>
      <c r="S56" s="18"/>
      <c r="T56" s="18"/>
    </row>
    <row r="57" spans="4:20" ht="17.399999999999999" x14ac:dyDescent="0.35">
      <c r="D57" s="279"/>
      <c r="E57" s="279"/>
      <c r="F57" s="278"/>
      <c r="G57" s="317"/>
      <c r="H57" s="324"/>
      <c r="S57" s="18"/>
      <c r="T57" s="18"/>
    </row>
    <row r="58" spans="4:20" ht="17.399999999999999" x14ac:dyDescent="0.35">
      <c r="D58" s="279"/>
      <c r="E58" s="279"/>
      <c r="F58" s="278"/>
      <c r="G58" s="317"/>
      <c r="H58" s="324"/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1" spans="4:20" x14ac:dyDescent="0.3">
      <c r="S61" s="18"/>
      <c r="T61" s="18"/>
    </row>
    <row r="62" spans="4:20" x14ac:dyDescent="0.3">
      <c r="S62" s="18"/>
      <c r="T62" s="18"/>
    </row>
    <row r="63" spans="4:20" x14ac:dyDescent="0.3">
      <c r="S63" s="18"/>
      <c r="T63" s="18"/>
    </row>
    <row r="64" spans="4:20" x14ac:dyDescent="0.3">
      <c r="S64" s="18"/>
      <c r="T64" s="18"/>
    </row>
    <row r="67" spans="3:15" x14ac:dyDescent="0.3">
      <c r="O67" s="40"/>
    </row>
    <row r="68" spans="3:15" x14ac:dyDescent="0.3">
      <c r="O68" s="40"/>
    </row>
    <row r="69" spans="3:15" x14ac:dyDescent="0.3">
      <c r="O69" s="6"/>
    </row>
    <row r="70" spans="3:15" x14ac:dyDescent="0.3">
      <c r="O70" s="6"/>
    </row>
    <row r="78" spans="3:15" x14ac:dyDescent="0.3">
      <c r="C78" t="s">
        <v>145</v>
      </c>
    </row>
    <row r="79" spans="3:15" x14ac:dyDescent="0.3">
      <c r="C79" t="s">
        <v>144</v>
      </c>
    </row>
    <row r="82" spans="3:3" x14ac:dyDescent="0.3">
      <c r="C82" t="s">
        <v>144</v>
      </c>
    </row>
    <row r="159" spans="3:3" x14ac:dyDescent="0.3">
      <c r="C159" t="s">
        <v>144</v>
      </c>
    </row>
    <row r="160" spans="3:3" x14ac:dyDescent="0.3">
      <c r="C160" t="s">
        <v>146</v>
      </c>
    </row>
    <row r="161" spans="3:3" x14ac:dyDescent="0.3">
      <c r="C161" t="s">
        <v>147</v>
      </c>
    </row>
    <row r="586" spans="3:3" x14ac:dyDescent="0.3">
      <c r="C586" t="s">
        <v>144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45889</v>
      </c>
    </row>
    <row r="6" spans="1:31" ht="16.2" thickBot="1" x14ac:dyDescent="0.35">
      <c r="B6" s="137" t="s">
        <v>2</v>
      </c>
      <c r="C6" s="136" t="str">
        <f>'2229'!C10</f>
        <v>DIEGO LOBOS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55" t="s">
        <v>98</v>
      </c>
      <c r="I7" s="356"/>
      <c r="J7" s="356"/>
      <c r="K7" s="357"/>
      <c r="N7" s="72"/>
      <c r="O7" s="354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11604A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54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-21366.948326570047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'2229'!H29</f>
        <v>199901.13680000001</v>
      </c>
      <c r="E11" s="129">
        <f>D11*0.19</f>
        <v>37981.215992000005</v>
      </c>
      <c r="F11" s="128">
        <f>E11+D11</f>
        <v>237882.35279200002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84623.05167342996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44812.154275362322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66623.05167342996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155088.98252463769</v>
      </c>
      <c r="E13" s="218">
        <f>(D11/D12)-1</f>
        <v>3.4608687092266273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57623.051673429953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18623.051673429953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85322.341740289863</v>
      </c>
      <c r="C15" s="210" t="s">
        <v>121</v>
      </c>
      <c r="D15" s="211">
        <v>0.6</v>
      </c>
      <c r="E15" s="212">
        <f>(100%+D15)*D12</f>
        <v>71699.446840579723</v>
      </c>
      <c r="F15" s="213">
        <f>E15-D12</f>
        <v>26887.292565217402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18623.051673429953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58623.051673429953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'2229'!O37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'2229'!O36</f>
        <v>16350</v>
      </c>
      <c r="E19" s="120">
        <f>D19*0.19</f>
        <v>3106.5</v>
      </c>
      <c r="F19" s="117">
        <f>SUM(D19:E19)</f>
        <v>19456.5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'2229'!O35</f>
        <v>8483.2440000000006</v>
      </c>
      <c r="E20" s="118">
        <f>D20*0.19</f>
        <v>1611.81636</v>
      </c>
      <c r="F20" s="117">
        <f>SUM(D20:E20)</f>
        <v>10095.060360000001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24833.243999999999</v>
      </c>
      <c r="E21" s="113">
        <f>SUM(E18:E20)</f>
        <v>4718.3163599999998</v>
      </c>
      <c r="F21" s="112">
        <f>SUM(F18:F20)</f>
        <v>29551.560360000003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33262.899632000008</v>
      </c>
    </row>
    <row r="41" spans="2:16" ht="15" thickBot="1" x14ac:dyDescent="0.35">
      <c r="H41" s="358" t="s">
        <v>60</v>
      </c>
      <c r="I41" s="359"/>
      <c r="J41" s="359"/>
      <c r="K41" s="359"/>
      <c r="L41" s="359"/>
      <c r="M41" s="360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199901.13680000001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24833.243999999999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155088.98252463769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155088.98252463769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2025-08-25T14:32:34Z</cp:lastPrinted>
  <dcterms:created xsi:type="dcterms:W3CDTF">2013-03-18T13:35:42Z</dcterms:created>
  <dcterms:modified xsi:type="dcterms:W3CDTF">2025-08-25T14:32:39Z</dcterms:modified>
</cp:coreProperties>
</file>