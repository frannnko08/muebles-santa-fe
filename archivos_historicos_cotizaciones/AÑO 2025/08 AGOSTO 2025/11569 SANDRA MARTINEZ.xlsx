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58914139-55A1-4280-9842-F31D084B7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s="1"/>
  <c r="H25" i="1" s="1"/>
  <c r="H26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<sst xmlns="http://schemas.openxmlformats.org/spreadsheetml/2006/main" count="232" uniqueCount="177">
  <si>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</si>
  <si>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</si>
  <si>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</si>
  <si>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</si>
  <si>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</si>
  <si>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</si>
  <si>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</si>
  <si>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</si>
  <si>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</si>
  <si>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</si>
  <si>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</si>
  <si>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</si>
  <si>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</si>
  <si>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</si>
  <si>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</si>
  <si>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</si>
  <si>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</si>
  <si>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</si>
  <si>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</si>
  <si>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</si>
  <si>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</si>
  <si>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</si>
  <si>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</si>
  <si>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</si>
  <si>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</si>
  <si>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</si>
  <si>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</si>
  <si>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</si>
  <si>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</si>
  <si>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</si>
  <si>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</si>
  <si>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</si>
  <si>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</si>
  <si>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</si>
  <si>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</si>
  <si>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</si>
  <si>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</si>
  <si>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</si>
  <si>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</si>
  <si>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</si>
  <si>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</si>
  <si>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</si>
  <si>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</si>
  <si>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</si>
  <si>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</si>
  <si>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</si>
  <si>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</si>
  <si>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</si>
  <si>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</si>
  <si>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</si>
  <si>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</si>
  <si>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</si>
  <si>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</si>
  <si>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</si>
  <si>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</si>
  <si>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</si>
  <si>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</si>
  <si>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</si>
  <si>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</si>
  <si>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</si>
  <si>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</si>
  <si>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</si>
  <si>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</si>
  <si>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</si>
  <si>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</si>
  <si>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</si>
  <si>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</si>
  <si>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</si>
  <si>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</si>
  <si>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</si>
  <si>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</si>
  <si>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</si>
  <si>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</si>
  <si>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</si>
  <si>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</si>
  <si>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</si>
  <si>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</si>
  <si>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</si>
  <si>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</si>
  <si>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</si>
  <si>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</si>
  <si>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</si>
  <si>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</si>
  <si>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</si>
  <si>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</si>
  <si>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</si>
  <si>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</si>
  <si>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</si>
  <si>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</si>
  <si>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</si>
  <si>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</si>
  <si>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</si>
  <si>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</si>
  <si>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</si>
  <si>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</si>
  <si>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</si>
  <si>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</si>
  <si>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</si>
  <si>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</si>
  <si>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</si>
  <si>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</si>
  <si>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</si>
  <si>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</si>
  <si>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</si>
  <si>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</si>
  <si>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</si>
  <si>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</si>
  <si>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</si>
  <si>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</si>
  <si>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</si>
  <si>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</si>
  <si>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</si>
  <si>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</si>
  <si>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</si>
  <si>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</si>
  <si>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</si>
  <si>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</si>
  <si>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</si>
  <si>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</si>
  <si>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</si>
  <si>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</si>
  <si>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</si>
  <si>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</si>
  <si>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</si>
  <si>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</si>
  <si>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</si>
  <si>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</si>
  <si>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</si>
  <si>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</si>
  <si>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</si>
  <si>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</si>
  <si>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</si>
  <si>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</si>
  <si>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</si>
  <si>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</si>
  <si>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</si>
  <si>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</si>
  <si>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</si>
  <si>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</si>
  <si>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</si>
  <si>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</si>
  <si>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</si>
  <si>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</si>
  <si>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</si>
  <si>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</si>
  <si>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</si>
  <si>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</si>
  <si>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</si>
  <si>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</si>
  <si>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</si>
  <si>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</si>
  <si>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</si>
  <si>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</si>
  <si>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</si>
  <si>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</si>
  <si>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</si>
  <si>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</si>
  <si>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</si>
  <si>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</si>
  <si>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</si>
  <si>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</si>
  <si>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</si>
  <si>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</si>
  <si>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</si>
  <si>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</si>
  <si>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</si>
  <si>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</si>
  <si>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</si>
  <si>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</si>
  <si>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</si>
  <si>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5 DIAS HABILES</t>
  </si>
  <si>
    <t>CUB SIN RESPALDO FTE 90°</t>
  </si>
  <si>
    <t>SANDRA MARTINEZ</t>
  </si>
  <si>
    <t>N° 11569</t>
  </si>
  <si>
    <t>+569 9822 5456</t>
  </si>
  <si>
    <t>titamartinezk@gmail.com</t>
  </si>
  <si>
    <t>ASTRAL 3030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</si>
</sst>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CORTADA</a:t>
          </a:r>
          <a:r>
            <a:rPr lang="es-CL" sz="1200" b="1" baseline="0"/>
            <a:t> A LA MEDIDA Y ENCHAPADA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itamartinezk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41" t="s">
        <v>125</v>
      </c>
      <c r="C8" s="328"/>
      <c r="D8" s="342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166</v>
      </c>
      <c r="G10" s="271">
        <v>45875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43" t="s">
        <v>175</v>
      </c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174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29" t="s">
        <v>162</v>
      </c>
      <c r="G17" s="329"/>
      <c r="H17" s="330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55424.147250698974</v>
      </c>
      <c r="R20" s="253">
        <v>2000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22" t="s">
        <v>171</v>
      </c>
      <c r="D21" s="323">
        <v>0.66</v>
      </c>
      <c r="E21" s="323">
        <v>0.57999999999999996</v>
      </c>
      <c r="F21" s="322" t="s">
        <v>176</v>
      </c>
      <c r="G21" s="324">
        <f>R21</f>
        <v>25788.043999999998</v>
      </c>
      <c r="H21" s="324">
        <f>G21*B21</f>
        <v>25788.043999999998</v>
      </c>
      <c r="I21" s="297"/>
      <c r="J21" s="260"/>
      <c r="K21" s="44"/>
      <c r="L21" s="44">
        <f>B21</f>
        <v>1</v>
      </c>
      <c r="M21" s="36">
        <f>D21+M$19</f>
        <v>0.74</v>
      </c>
      <c r="N21" s="36">
        <f>E21+$N$19</f>
        <v>0.57999999999999996</v>
      </c>
      <c r="O21" s="256">
        <f t="shared" ref="O21" si="1">M21*N21</f>
        <v>0.42919999999999997</v>
      </c>
      <c r="P21" s="254">
        <f t="shared" ref="P21" si="2">O21*L21</f>
        <v>0.42919999999999997</v>
      </c>
      <c r="Q21" s="247">
        <f t="shared" ref="Q21" si="3">Q$20*O21</f>
        <v>23788.043999999998</v>
      </c>
      <c r="R21" s="296">
        <f t="shared" ref="R21" si="4">Q21+R$20</f>
        <v>25788.043999999998</v>
      </c>
      <c r="S21" s="284">
        <f>M21*L21</f>
        <v>0.74</v>
      </c>
      <c r="T21" s="43">
        <f>N21*2*L21*2</f>
        <v>2.3199999999999998</v>
      </c>
      <c r="U21" s="9"/>
      <c r="X21" s="4"/>
    </row>
    <row r="22" spans="1:25" ht="17.399999999999999" x14ac:dyDescent="0.3">
      <c r="B22" s="278"/>
      <c r="C22" s="278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25788.043999999998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2.3199999999999998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>
        <f>H24*19%</f>
        <v>4899.7283600000001</v>
      </c>
      <c r="I25" s="299"/>
      <c r="J25" s="260"/>
      <c r="K25" s="315"/>
      <c r="L25" s="44"/>
      <c r="M25" s="36">
        <f>SUM(M21:M21)</f>
        <v>0.74</v>
      </c>
      <c r="N25" s="12"/>
      <c r="O25" s="12"/>
      <c r="P25" s="248">
        <f>SUM(P21:P23)</f>
        <v>0.42919999999999997</v>
      </c>
      <c r="Q25" s="14"/>
      <c r="R25" s="12"/>
      <c r="S25" s="235">
        <f>SUM(S21:S24)</f>
        <v>0.74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30687.772359999999</v>
      </c>
      <c r="I26" s="299"/>
      <c r="J26" s="260"/>
      <c r="K26" s="315"/>
      <c r="L26" s="44"/>
      <c r="M26" s="36"/>
      <c r="N26" s="12"/>
      <c r="O26" s="12"/>
      <c r="P26" s="248">
        <f>P25</f>
        <v>0.42919999999999997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8.584E-2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0.51503999999999994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0.51503999999999994</v>
      </c>
      <c r="N30" s="12">
        <v>3500</v>
      </c>
      <c r="O30" s="12">
        <f t="shared" ref="O30:O35" si="5">M30*N30</f>
        <v>1802.6399999999999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0.15</v>
      </c>
      <c r="N31" s="12">
        <v>23500</v>
      </c>
      <c r="O31" s="12">
        <f t="shared" si="5"/>
        <v>3525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46000</v>
      </c>
      <c r="K33" s="228"/>
      <c r="L33" s="245"/>
      <c r="M33" s="14">
        <v>0.3</v>
      </c>
      <c r="N33" s="245">
        <v>20000</v>
      </c>
      <c r="O33" s="12">
        <f t="shared" si="5"/>
        <v>6000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11327.64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23788.043999999998</v>
      </c>
      <c r="P37" s="14" t="s">
        <v>138</v>
      </c>
      <c r="Q37" s="14"/>
      <c r="R37" s="37">
        <f>P28/R36</f>
        <v>0.13886971527178602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55424.147250698974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  <hyperlink ref="C14" r:id="rId2" display="mailto:titamartinezk@gmail.com" xr:uid="{A45CC15D-83D3-4CE9-8EC5-F7779DE3281C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45875</v>
      </c>
    </row>
    <row r="6" spans="1:31" ht="16.2" thickBot="1" x14ac:dyDescent="0.35">
      <c r="B6" s="137" t="s">
        <v>2</v>
      </c>
      <c r="C6" s="136" t="str">
        <f>'2229'!C10</f>
        <v>SANDRA MARTINEZ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2450.4060734299524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25788.043999999998</v>
      </c>
      <c r="E11" s="129">
        <f>D11*0.19</f>
        <v>4899.7283600000001</v>
      </c>
      <c r="F11" s="128">
        <f>E11+D11</f>
        <v>30687.772359999999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108440.40607342996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25306.550275362319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90440.406073429956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481.49372463767941</v>
      </c>
      <c r="E13" s="218">
        <f>(D11/D12)-1</f>
        <v>1.9026446489091242E-2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81440.406073429956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42440.406073429949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48183.671724289852</v>
      </c>
      <c r="C15" s="210" t="s">
        <v>121</v>
      </c>
      <c r="D15" s="211">
        <v>0.6</v>
      </c>
      <c r="E15" s="212">
        <f>(100%+D15)*D12</f>
        <v>40490.480440579711</v>
      </c>
      <c r="F15" s="213">
        <f>E15-D12</f>
        <v>15183.930165217393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42440.406073429949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82440.406073429956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3525</v>
      </c>
      <c r="E19" s="120">
        <f>D19*0.19</f>
        <v>669.75</v>
      </c>
      <c r="F19" s="117">
        <f>SUM(D19:E19)</f>
        <v>4194.75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1802.6399999999999</v>
      </c>
      <c r="E20" s="118">
        <f>D20*0.19</f>
        <v>342.5016</v>
      </c>
      <c r="F20" s="117">
        <f>SUM(D20:E20)</f>
        <v>2145.1415999999999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5327.6399999999994</v>
      </c>
      <c r="E21" s="113">
        <f>SUM(E18:E20)</f>
        <v>1012.2516000000001</v>
      </c>
      <c r="F21" s="112">
        <f>SUM(F18:F20)</f>
        <v>6339.8915999999999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3887.47676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25788.043999999998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5327.6399999999994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481.49372463767941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481.49372463767941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2025-08-06T13:00:31Z</cp:lastPrinted>
  <dcterms:created xsi:type="dcterms:W3CDTF">2013-03-18T13:35:42Z</dcterms:created>
  <dcterms:modified xsi:type="dcterms:W3CDTF">2025-08-06T13:00:36Z</dcterms:modified>
</cp:coreProperties>
</file>