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F2C834C0-F27F-4048-AA16-1711A9E2B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1" l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7" i="1"/>
  <c r="M27" i="1"/>
  <c r="N27" i="1"/>
  <c r="O27" i="1"/>
  <c r="P27" i="1" s="1"/>
  <c r="S27" i="1"/>
  <c r="L28" i="1"/>
  <c r="M28" i="1"/>
  <c r="N28" i="1"/>
  <c r="O28" i="1"/>
  <c r="P28" i="1" s="1"/>
  <c r="S28" i="1"/>
  <c r="L29" i="1"/>
  <c r="M29" i="1"/>
  <c r="N29" i="1"/>
  <c r="O29" i="1"/>
  <c r="P29" i="1" s="1"/>
  <c r="S29" i="1"/>
  <c r="L30" i="1"/>
  <c r="M30" i="1"/>
  <c r="N30" i="1"/>
  <c r="O30" i="1"/>
  <c r="P30" i="1" s="1"/>
  <c r="S30" i="1"/>
  <c r="L31" i="1"/>
  <c r="M31" i="1"/>
  <c r="O31" i="1" s="1"/>
  <c r="P31" i="1" s="1"/>
  <c r="N31" i="1"/>
  <c r="L32" i="1"/>
  <c r="M32" i="1"/>
  <c r="N32" i="1"/>
  <c r="O32" i="1"/>
  <c r="P32" i="1" s="1"/>
  <c r="S32" i="1"/>
  <c r="L33" i="1"/>
  <c r="M33" i="1"/>
  <c r="N33" i="1"/>
  <c r="O33" i="1"/>
  <c r="P33" i="1" s="1"/>
  <c r="S33" i="1"/>
  <c r="S31" i="1" l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L21" i="1" l="1"/>
  <c r="N21" i="1"/>
  <c r="S21" i="1" l="1"/>
  <c r="S36" i="1" s="1"/>
  <c r="T21" i="1"/>
  <c r="T35" i="1" s="1"/>
  <c r="O21" i="1"/>
  <c r="P21" i="1" s="1"/>
  <c r="P36" i="1" s="1"/>
  <c r="V43" i="1" l="1"/>
  <c r="V44" i="1" s="1"/>
  <c r="O42" i="1" l="1"/>
  <c r="P37" i="1" l="1"/>
  <c r="N20" i="1"/>
  <c r="L20" i="1"/>
  <c r="P38" i="1" l="1"/>
  <c r="P39" i="1" s="1"/>
  <c r="M41" i="1" s="1"/>
  <c r="O43" i="1"/>
  <c r="R47" i="1"/>
  <c r="R48" i="1" l="1"/>
  <c r="O44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46" i="1"/>
  <c r="O45" i="1"/>
  <c r="F18" i="3" l="1"/>
  <c r="O41" i="1" l="1"/>
  <c r="O47" i="1" s="1"/>
  <c r="O48" i="1" s="1"/>
  <c r="O49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31" i="1" l="1"/>
  <c r="Q32" i="1"/>
  <c r="Q33" i="1"/>
  <c r="Q22" i="1"/>
  <c r="Q23" i="1"/>
  <c r="Q24" i="1"/>
  <c r="Q25" i="1"/>
  <c r="Q26" i="1"/>
  <c r="Q27" i="1"/>
  <c r="Q28" i="1"/>
  <c r="Q29" i="1"/>
  <c r="Q30" i="1"/>
  <c r="O50" i="1"/>
  <c r="R26" i="1" l="1"/>
  <c r="G26" i="1"/>
  <c r="H26" i="1" s="1"/>
  <c r="R29" i="1"/>
  <c r="G29" i="1"/>
  <c r="H29" i="1" s="1"/>
  <c r="R33" i="1"/>
  <c r="G33" i="1"/>
  <c r="H33" i="1" s="1"/>
  <c r="R28" i="1"/>
  <c r="G28" i="1"/>
  <c r="H28" i="1" s="1"/>
  <c r="R24" i="1"/>
  <c r="G24" i="1"/>
  <c r="H24" i="1" s="1"/>
  <c r="R32" i="1"/>
  <c r="G32" i="1"/>
  <c r="H32" i="1" s="1"/>
  <c r="R30" i="1"/>
  <c r="G30" i="1"/>
  <c r="H30" i="1" s="1"/>
  <c r="R22" i="1"/>
  <c r="G22" i="1"/>
  <c r="H22" i="1" s="1"/>
  <c r="R25" i="1"/>
  <c r="G25" i="1"/>
  <c r="H25" i="1" s="1"/>
  <c r="R27" i="1"/>
  <c r="G27" i="1"/>
  <c r="H27" i="1" s="1"/>
  <c r="R23" i="1"/>
  <c r="G23" i="1"/>
  <c r="H23" i="1" s="1"/>
  <c r="R31" i="1"/>
  <c r="G31" i="1"/>
  <c r="H31" i="1" s="1"/>
  <c r="Q21" i="1"/>
  <c r="G21" i="1" s="1"/>
  <c r="F15" i="3"/>
  <c r="R21" i="1" l="1"/>
  <c r="H21" i="1" l="1"/>
  <c r="H35" i="1" l="1"/>
  <c r="H36" i="1" s="1"/>
  <c r="H37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<sst xmlns="http://schemas.openxmlformats.org/spreadsheetml/2006/main" count="258" uniqueCount="180">
  <si>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</si>
  <si>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</si>
  <si>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</si>
  <si>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</si>
  <si>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</si>
  <si>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</si>
  <si>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</si>
  <si>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</si>
  <si>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</si>
  <si>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</si>
  <si>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</si>
  <si>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</si>
  <si>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</si>
  <si>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</si>
  <si>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</si>
  <si>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</si>
  <si>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</si>
  <si>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</si>
  <si>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</si>
  <si>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</si>
  <si>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</si>
  <si>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</si>
  <si>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</si>
  <si>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</si>
  <si>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</si>
  <si>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</si>
  <si>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</si>
  <si>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</si>
  <si>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</si>
  <si>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</si>
  <si>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</si>
  <si>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</si>
  <si>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</si>
  <si>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</si>
  <si>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</si>
  <si>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</si>
  <si>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</si>
  <si>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</si>
  <si>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</si>
  <si>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</si>
  <si>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</si>
  <si>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</si>
  <si>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</si>
  <si>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</si>
  <si>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</si>
  <si>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</si>
  <si>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</si>
  <si>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</si>
  <si>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</si>
  <si>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</si>
  <si>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</si>
  <si>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</si>
  <si>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</si>
  <si>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</si>
  <si>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</si>
  <si>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</si>
  <si>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</si>
  <si>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</si>
  <si>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</si>
  <si>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</si>
  <si>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</si>
  <si>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</si>
  <si>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</si>
  <si>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</si>
  <si>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</si>
  <si>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</si>
  <si>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</si>
  <si>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</si>
  <si>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</si>
  <si>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</si>
  <si>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</si>
  <si>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</si>
  <si>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</si>
  <si>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</si>
  <si>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</si>
  <si>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</si>
  <si>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</si>
  <si>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</si>
  <si>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</si>
  <si>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</si>
  <si>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</si>
  <si>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</si>
  <si>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</si>
  <si>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</si>
  <si>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</si>
  <si>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</si>
  <si>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</si>
  <si>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</si>
  <si>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</si>
  <si>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</si>
  <si>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</si>
  <si>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</si>
  <si>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</si>
  <si>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</si>
  <si>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</si>
  <si>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</si>
  <si>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</si>
  <si>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</si>
  <si>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</si>
  <si>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</si>
  <si>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</si>
  <si>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</si>
  <si>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</si>
  <si>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</si>
  <si>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</si>
  <si>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</si>
  <si>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</si>
  <si>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</si>
  <si>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</si>
  <si>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</si>
  <si>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</si>
  <si>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</si>
  <si>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</si>
  <si>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</si>
  <si>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</si>
  <si>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</si>
  <si>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</si>
  <si>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</si>
  <si>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</si>
  <si>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</si>
  <si>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</si>
  <si>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</si>
  <si>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</si>
  <si>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</si>
  <si>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</si>
  <si>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</si>
  <si>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</si>
  <si>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</si>
  <si>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</si>
  <si>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</si>
  <si>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</si>
  <si>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</si>
  <si>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</si>
  <si>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</si>
  <si>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</si>
  <si>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</si>
  <si>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</si>
  <si>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</si>
  <si>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</si>
  <si>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</si>
  <si>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</si>
  <si>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</si>
  <si>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</si>
  <si>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</si>
  <si>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</si>
  <si>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</si>
  <si>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</si>
  <si>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</si>
  <si>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</si>
  <si>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</si>
  <si>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</si>
  <si>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</si>
  <si>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</si>
  <si>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</si>
  <si>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</si>
  <si>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</si>
  <si>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</si>
  <si>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</si>
  <si>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</si>
  <si>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</si>
  <si>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</si>
  <si>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</si>
  <si>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</si>
  <si>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</si>
  <si>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</si>
  <si>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</si>
  <si>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</si>
  <si>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</si>
  <si>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</si>
  <si>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</si>
  <si>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</si>
  <si>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</si>
  <si>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</si>
  <si>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 xml:space="preserve">3 - 5 DIAS HABILES </t>
  </si>
  <si>
    <t>N° 11576</t>
  </si>
  <si>
    <t>RAUL MERINO</t>
  </si>
  <si>
    <t>+56 9 9500 8869</t>
  </si>
  <si>
    <t>CUB MESA 2 LADOS 90°</t>
  </si>
  <si>
    <t>BLANCO MT</t>
  </si>
  <si>
    <t>CUB CON RESPALDO FRENTE 6cm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</si>
</sst>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34</xdr:row>
      <xdr:rowOff>9525</xdr:rowOff>
    </xdr:from>
    <xdr:to>
      <xdr:col>5</xdr:col>
      <xdr:colOff>1728839</xdr:colOff>
      <xdr:row>37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C24" zoomScale="93" zoomScaleNormal="93" workbookViewId="0">
      <selection activeCell="M46" sqref="M46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175</v>
      </c>
      <c r="D10" s="236"/>
      <c r="E10" s="236"/>
      <c r="F10" s="237" t="s">
        <v>163</v>
      </c>
      <c r="G10" s="268">
        <v>45877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173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176</v>
      </c>
      <c r="D15" s="304"/>
      <c r="F15" t="s">
        <v>164</v>
      </c>
      <c r="G15" s="305" t="s">
        <v>130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</row>
    <row r="17" spans="2:25" ht="15" thickBot="1" x14ac:dyDescent="0.35">
      <c r="B17" s="287" t="s">
        <v>13</v>
      </c>
      <c r="C17" s="288" t="s">
        <v>166</v>
      </c>
      <c r="D17" s="289"/>
      <c r="E17" s="113"/>
      <c r="F17" s="350" t="s">
        <v>159</v>
      </c>
      <c r="G17" s="350"/>
      <c r="H17" s="351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52" t="s">
        <v>92</v>
      </c>
      <c r="C19" s="353"/>
      <c r="D19" s="353"/>
      <c r="E19" s="353"/>
      <c r="F19" s="353"/>
      <c r="G19" s="353"/>
      <c r="H19" s="354"/>
      <c r="I19" s="256"/>
      <c r="J19" s="256"/>
      <c r="K19" s="5"/>
      <c r="L19" s="242"/>
      <c r="M19" s="14">
        <v>0.08</v>
      </c>
      <c r="N19" s="14">
        <v>0.3</v>
      </c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2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O49</f>
        <v>36150.270802758292</v>
      </c>
      <c r="R20" s="250">
        <v>2000</v>
      </c>
      <c r="S20" s="35"/>
      <c r="T20" s="14" t="s">
        <v>124</v>
      </c>
      <c r="U20" s="9"/>
      <c r="X20" s="4"/>
    </row>
    <row r="21" spans="2:25" ht="17.399999999999999" x14ac:dyDescent="0.3">
      <c r="B21" s="340">
        <v>2</v>
      </c>
      <c r="C21" s="341" t="s">
        <v>179</v>
      </c>
      <c r="D21" s="342">
        <v>2.5499999999999998</v>
      </c>
      <c r="E21" s="342">
        <v>0.21</v>
      </c>
      <c r="F21" s="341" t="s">
        <v>178</v>
      </c>
      <c r="G21" s="343">
        <f>Q21</f>
        <v>48488.358227739693</v>
      </c>
      <c r="H21" s="344">
        <f>G21*B21</f>
        <v>96976.716455479385</v>
      </c>
      <c r="I21" s="292"/>
      <c r="J21" s="257"/>
      <c r="K21" s="44"/>
      <c r="L21" s="44">
        <f>B21</f>
        <v>2</v>
      </c>
      <c r="M21" s="36">
        <f>D21+M$19</f>
        <v>2.63</v>
      </c>
      <c r="N21" s="36">
        <f>E21+$N$19</f>
        <v>0.51</v>
      </c>
      <c r="O21" s="253">
        <f t="shared" ref="O21" si="1">M21*N21</f>
        <v>1.3412999999999999</v>
      </c>
      <c r="P21" s="251">
        <f t="shared" ref="P21" si="2">O21*L21</f>
        <v>2.6825999999999999</v>
      </c>
      <c r="Q21" s="244">
        <f t="shared" ref="Q21" si="3">Q$20*O21</f>
        <v>48488.358227739693</v>
      </c>
      <c r="R21" s="291">
        <f t="shared" ref="R21" si="4">Q21+R$20</f>
        <v>50488.358227739693</v>
      </c>
      <c r="S21" s="279">
        <f>M21*L21</f>
        <v>5.26</v>
      </c>
      <c r="T21" s="43">
        <f>N21*2*L21*2</f>
        <v>4.08</v>
      </c>
      <c r="U21" s="9"/>
      <c r="X21" s="4"/>
    </row>
    <row r="22" spans="2:25" ht="17.399999999999999" x14ac:dyDescent="0.3">
      <c r="B22" s="366">
        <v>1</v>
      </c>
      <c r="C22" s="363" t="s">
        <v>179</v>
      </c>
      <c r="D22" s="364">
        <v>2.36</v>
      </c>
      <c r="E22" s="364">
        <v>0.42</v>
      </c>
      <c r="F22" s="363" t="s">
        <v>178</v>
      </c>
      <c r="G22" s="365">
        <f t="shared" ref="G22:G33" si="5">Q22</f>
        <v>63508.795746285767</v>
      </c>
      <c r="H22" s="367">
        <f t="shared" ref="H22:H33" si="6">G22*B22</f>
        <v>63508.795746285767</v>
      </c>
      <c r="I22" s="292"/>
      <c r="J22" s="257"/>
      <c r="K22" s="44"/>
      <c r="L22" s="44">
        <f t="shared" ref="L22:L33" si="7">B22</f>
        <v>1</v>
      </c>
      <c r="M22" s="36">
        <f t="shared" ref="M22:M33" si="8">D22+M$19</f>
        <v>2.44</v>
      </c>
      <c r="N22" s="36">
        <f t="shared" ref="N22:N33" si="9">E22+$N$19</f>
        <v>0.72</v>
      </c>
      <c r="O22" s="253">
        <f t="shared" ref="O22:O33" si="10">M22*N22</f>
        <v>1.7567999999999999</v>
      </c>
      <c r="P22" s="251">
        <f t="shared" ref="P22:P33" si="11">O22*L22</f>
        <v>1.7567999999999999</v>
      </c>
      <c r="Q22" s="244">
        <f t="shared" ref="Q22:Q33" si="12">Q$20*O22</f>
        <v>63508.795746285767</v>
      </c>
      <c r="R22" s="291">
        <f t="shared" ref="R22:R33" si="13">Q22+R$20</f>
        <v>65508.795746285767</v>
      </c>
      <c r="S22" s="279">
        <f t="shared" ref="S22:S33" si="14">M22*L22</f>
        <v>2.44</v>
      </c>
      <c r="T22" s="43"/>
      <c r="U22" s="9"/>
      <c r="X22" s="4"/>
    </row>
    <row r="23" spans="2:25" ht="17.399999999999999" x14ac:dyDescent="0.3">
      <c r="B23" s="366">
        <v>2</v>
      </c>
      <c r="C23" s="363" t="s">
        <v>177</v>
      </c>
      <c r="D23" s="364">
        <v>2.4</v>
      </c>
      <c r="E23" s="364">
        <v>0.2</v>
      </c>
      <c r="F23" s="363" t="s">
        <v>178</v>
      </c>
      <c r="G23" s="365">
        <f t="shared" si="5"/>
        <v>44826.33579542028</v>
      </c>
      <c r="H23" s="367">
        <f t="shared" si="6"/>
        <v>89652.67159084056</v>
      </c>
      <c r="I23" s="292"/>
      <c r="J23" s="257"/>
      <c r="K23" s="44"/>
      <c r="L23" s="44">
        <f t="shared" si="7"/>
        <v>2</v>
      </c>
      <c r="M23" s="36">
        <f t="shared" si="8"/>
        <v>2.48</v>
      </c>
      <c r="N23" s="36">
        <f t="shared" si="9"/>
        <v>0.5</v>
      </c>
      <c r="O23" s="253">
        <f t="shared" si="10"/>
        <v>1.24</v>
      </c>
      <c r="P23" s="251">
        <f t="shared" si="11"/>
        <v>2.48</v>
      </c>
      <c r="Q23" s="244">
        <f t="shared" si="12"/>
        <v>44826.33579542028</v>
      </c>
      <c r="R23" s="291">
        <f t="shared" si="13"/>
        <v>46826.33579542028</v>
      </c>
      <c r="S23" s="279">
        <f t="shared" si="14"/>
        <v>4.96</v>
      </c>
      <c r="T23" s="43"/>
      <c r="U23" s="9"/>
      <c r="X23" s="4"/>
    </row>
    <row r="24" spans="2:25" ht="17.399999999999999" x14ac:dyDescent="0.3">
      <c r="B24" s="366">
        <v>1</v>
      </c>
      <c r="C24" s="363" t="s">
        <v>179</v>
      </c>
      <c r="D24" s="364">
        <v>2.4</v>
      </c>
      <c r="E24" s="364">
        <v>0.41</v>
      </c>
      <c r="F24" s="363" t="s">
        <v>178</v>
      </c>
      <c r="G24" s="365">
        <f t="shared" si="5"/>
        <v>63653.3968294968</v>
      </c>
      <c r="H24" s="367">
        <f t="shared" si="6"/>
        <v>63653.3968294968</v>
      </c>
      <c r="I24" s="292"/>
      <c r="J24" s="257"/>
      <c r="K24" s="44"/>
      <c r="L24" s="44">
        <f t="shared" si="7"/>
        <v>1</v>
      </c>
      <c r="M24" s="36">
        <f t="shared" si="8"/>
        <v>2.48</v>
      </c>
      <c r="N24" s="36">
        <f t="shared" si="9"/>
        <v>0.71</v>
      </c>
      <c r="O24" s="253">
        <f t="shared" si="10"/>
        <v>1.7607999999999999</v>
      </c>
      <c r="P24" s="251">
        <f t="shared" si="11"/>
        <v>1.7607999999999999</v>
      </c>
      <c r="Q24" s="244">
        <f t="shared" si="12"/>
        <v>63653.3968294968</v>
      </c>
      <c r="R24" s="291">
        <f t="shared" si="13"/>
        <v>65653.396829496807</v>
      </c>
      <c r="S24" s="279">
        <f t="shared" si="14"/>
        <v>2.48</v>
      </c>
      <c r="T24" s="43"/>
      <c r="U24" s="9"/>
      <c r="X24" s="4"/>
    </row>
    <row r="25" spans="2:25" ht="17.399999999999999" x14ac:dyDescent="0.3">
      <c r="B25" s="366">
        <v>1</v>
      </c>
      <c r="C25" s="363" t="s">
        <v>179</v>
      </c>
      <c r="D25" s="364">
        <v>2.52</v>
      </c>
      <c r="E25" s="364">
        <v>0.22</v>
      </c>
      <c r="F25" s="363" t="s">
        <v>178</v>
      </c>
      <c r="G25" s="365">
        <f t="shared" si="5"/>
        <v>48875.166125329211</v>
      </c>
      <c r="H25" s="367">
        <f t="shared" si="6"/>
        <v>48875.166125329211</v>
      </c>
      <c r="I25" s="292"/>
      <c r="J25" s="257"/>
      <c r="K25" s="44"/>
      <c r="L25" s="44">
        <f t="shared" si="7"/>
        <v>1</v>
      </c>
      <c r="M25" s="36">
        <f t="shared" si="8"/>
        <v>2.6</v>
      </c>
      <c r="N25" s="36">
        <f t="shared" si="9"/>
        <v>0.52</v>
      </c>
      <c r="O25" s="253">
        <f t="shared" si="10"/>
        <v>1.3520000000000001</v>
      </c>
      <c r="P25" s="251">
        <f t="shared" si="11"/>
        <v>1.3520000000000001</v>
      </c>
      <c r="Q25" s="244">
        <f t="shared" si="12"/>
        <v>48875.166125329211</v>
      </c>
      <c r="R25" s="291">
        <f t="shared" si="13"/>
        <v>50875.166125329211</v>
      </c>
      <c r="S25" s="279">
        <f t="shared" si="14"/>
        <v>2.6</v>
      </c>
      <c r="T25" s="43"/>
      <c r="U25" s="9"/>
      <c r="X25" s="4"/>
    </row>
    <row r="26" spans="2:25" ht="17.399999999999999" x14ac:dyDescent="0.3">
      <c r="B26" s="366">
        <v>1</v>
      </c>
      <c r="C26" s="363" t="s">
        <v>179</v>
      </c>
      <c r="D26" s="364">
        <v>2.2999999999999998</v>
      </c>
      <c r="E26" s="364">
        <v>0.46</v>
      </c>
      <c r="F26" s="363" t="s">
        <v>178</v>
      </c>
      <c r="G26" s="365">
        <f t="shared" si="5"/>
        <v>65388.609828029199</v>
      </c>
      <c r="H26" s="367">
        <f t="shared" si="6"/>
        <v>65388.609828029199</v>
      </c>
      <c r="I26" s="292"/>
      <c r="J26" s="257"/>
      <c r="K26" s="44"/>
      <c r="L26" s="44">
        <f t="shared" si="7"/>
        <v>1</v>
      </c>
      <c r="M26" s="36">
        <f t="shared" si="8"/>
        <v>2.38</v>
      </c>
      <c r="N26" s="36">
        <f t="shared" si="9"/>
        <v>0.76</v>
      </c>
      <c r="O26" s="253">
        <f t="shared" si="10"/>
        <v>1.8088</v>
      </c>
      <c r="P26" s="251">
        <f t="shared" si="11"/>
        <v>1.8088</v>
      </c>
      <c r="Q26" s="244">
        <f t="shared" si="12"/>
        <v>65388.609828029199</v>
      </c>
      <c r="R26" s="291">
        <f t="shared" si="13"/>
        <v>67388.609828029206</v>
      </c>
      <c r="S26" s="279">
        <f t="shared" si="14"/>
        <v>2.38</v>
      </c>
      <c r="T26" s="43"/>
      <c r="U26" s="9"/>
      <c r="X26" s="4"/>
    </row>
    <row r="27" spans="2:25" ht="17.399999999999999" x14ac:dyDescent="0.3">
      <c r="B27" s="366">
        <v>1</v>
      </c>
      <c r="C27" s="363" t="s">
        <v>177</v>
      </c>
      <c r="D27" s="364">
        <v>2.3199999999999998</v>
      </c>
      <c r="E27" s="364">
        <v>0.2</v>
      </c>
      <c r="F27" s="363" t="s">
        <v>178</v>
      </c>
      <c r="G27" s="365">
        <f t="shared" si="5"/>
        <v>43380.324963309948</v>
      </c>
      <c r="H27" s="367">
        <f t="shared" si="6"/>
        <v>43380.324963309948</v>
      </c>
      <c r="I27" s="292"/>
      <c r="J27" s="257"/>
      <c r="K27" s="44"/>
      <c r="L27" s="44">
        <f t="shared" si="7"/>
        <v>1</v>
      </c>
      <c r="M27" s="36">
        <f t="shared" si="8"/>
        <v>2.4</v>
      </c>
      <c r="N27" s="36">
        <f t="shared" si="9"/>
        <v>0.5</v>
      </c>
      <c r="O27" s="253">
        <f t="shared" si="10"/>
        <v>1.2</v>
      </c>
      <c r="P27" s="251">
        <f t="shared" si="11"/>
        <v>1.2</v>
      </c>
      <c r="Q27" s="244">
        <f t="shared" si="12"/>
        <v>43380.324963309948</v>
      </c>
      <c r="R27" s="291">
        <f t="shared" si="13"/>
        <v>45380.324963309948</v>
      </c>
      <c r="S27" s="279">
        <f t="shared" si="14"/>
        <v>2.4</v>
      </c>
      <c r="T27" s="43"/>
      <c r="U27" s="9"/>
      <c r="X27" s="4"/>
    </row>
    <row r="28" spans="2:25" ht="17.399999999999999" x14ac:dyDescent="0.3">
      <c r="B28" s="366">
        <v>1</v>
      </c>
      <c r="C28" s="363" t="s">
        <v>179</v>
      </c>
      <c r="D28" s="364">
        <v>2.5</v>
      </c>
      <c r="E28" s="364">
        <v>0.47</v>
      </c>
      <c r="F28" s="363" t="s">
        <v>178</v>
      </c>
      <c r="G28" s="365">
        <f t="shared" si="5"/>
        <v>71816.127976759628</v>
      </c>
      <c r="H28" s="367">
        <f t="shared" si="6"/>
        <v>71816.127976759628</v>
      </c>
      <c r="I28" s="292"/>
      <c r="J28" s="257"/>
      <c r="K28" s="44"/>
      <c r="L28" s="44">
        <f t="shared" si="7"/>
        <v>1</v>
      </c>
      <c r="M28" s="36">
        <f t="shared" si="8"/>
        <v>2.58</v>
      </c>
      <c r="N28" s="36">
        <f t="shared" si="9"/>
        <v>0.77</v>
      </c>
      <c r="O28" s="253">
        <f t="shared" si="10"/>
        <v>1.9866000000000001</v>
      </c>
      <c r="P28" s="251">
        <f t="shared" si="11"/>
        <v>1.9866000000000001</v>
      </c>
      <c r="Q28" s="244">
        <f t="shared" si="12"/>
        <v>71816.127976759628</v>
      </c>
      <c r="R28" s="291">
        <f t="shared" si="13"/>
        <v>73816.127976759628</v>
      </c>
      <c r="S28" s="279">
        <f t="shared" si="14"/>
        <v>2.58</v>
      </c>
      <c r="T28" s="43"/>
      <c r="U28" s="9"/>
      <c r="X28" s="4"/>
    </row>
    <row r="29" spans="2:25" ht="17.399999999999999" x14ac:dyDescent="0.3">
      <c r="B29" s="366">
        <v>1</v>
      </c>
      <c r="C29" s="363" t="s">
        <v>179</v>
      </c>
      <c r="D29" s="364">
        <v>1.26</v>
      </c>
      <c r="E29" s="364">
        <v>0.67</v>
      </c>
      <c r="F29" s="363" t="s">
        <v>178</v>
      </c>
      <c r="G29" s="365">
        <f t="shared" si="5"/>
        <v>46988.121989425228</v>
      </c>
      <c r="H29" s="367">
        <f t="shared" si="6"/>
        <v>46988.121989425228</v>
      </c>
      <c r="I29" s="292"/>
      <c r="J29" s="257"/>
      <c r="K29" s="44"/>
      <c r="L29" s="44">
        <f t="shared" si="7"/>
        <v>1</v>
      </c>
      <c r="M29" s="36">
        <f t="shared" si="8"/>
        <v>1.34</v>
      </c>
      <c r="N29" s="36">
        <f t="shared" si="9"/>
        <v>0.97</v>
      </c>
      <c r="O29" s="253">
        <f t="shared" si="10"/>
        <v>1.2998000000000001</v>
      </c>
      <c r="P29" s="251">
        <f t="shared" si="11"/>
        <v>1.2998000000000001</v>
      </c>
      <c r="Q29" s="244">
        <f t="shared" si="12"/>
        <v>46988.121989425228</v>
      </c>
      <c r="R29" s="291">
        <f t="shared" si="13"/>
        <v>48988.121989425228</v>
      </c>
      <c r="S29" s="279">
        <f t="shared" si="14"/>
        <v>1.34</v>
      </c>
      <c r="T29" s="43"/>
      <c r="U29" s="9"/>
      <c r="X29" s="4"/>
    </row>
    <row r="30" spans="2:25" ht="17.399999999999999" x14ac:dyDescent="0.3">
      <c r="B30" s="366">
        <v>1</v>
      </c>
      <c r="C30" s="363" t="s">
        <v>177</v>
      </c>
      <c r="D30" s="364">
        <v>1.1499999999999999</v>
      </c>
      <c r="E30" s="364">
        <v>0.2</v>
      </c>
      <c r="F30" s="363" t="s">
        <v>178</v>
      </c>
      <c r="G30" s="365">
        <f t="shared" si="5"/>
        <v>22232.416543696349</v>
      </c>
      <c r="H30" s="367">
        <f t="shared" si="6"/>
        <v>22232.416543696349</v>
      </c>
      <c r="I30" s="292"/>
      <c r="J30" s="257"/>
      <c r="K30" s="44"/>
      <c r="L30" s="44">
        <f t="shared" si="7"/>
        <v>1</v>
      </c>
      <c r="M30" s="36">
        <f t="shared" si="8"/>
        <v>1.23</v>
      </c>
      <c r="N30" s="36">
        <f t="shared" si="9"/>
        <v>0.5</v>
      </c>
      <c r="O30" s="253">
        <f t="shared" si="10"/>
        <v>0.61499999999999999</v>
      </c>
      <c r="P30" s="251">
        <f t="shared" si="11"/>
        <v>0.61499999999999999</v>
      </c>
      <c r="Q30" s="244">
        <f t="shared" si="12"/>
        <v>22232.416543696349</v>
      </c>
      <c r="R30" s="291">
        <f t="shared" si="13"/>
        <v>24232.416543696349</v>
      </c>
      <c r="S30" s="279">
        <f t="shared" si="14"/>
        <v>1.23</v>
      </c>
      <c r="T30" s="43"/>
      <c r="U30" s="9"/>
      <c r="X30" s="4"/>
    </row>
    <row r="31" spans="2:25" ht="17.399999999999999" x14ac:dyDescent="0.3">
      <c r="B31" s="366">
        <v>1</v>
      </c>
      <c r="C31" s="363" t="s">
        <v>179</v>
      </c>
      <c r="D31" s="364">
        <v>1.25</v>
      </c>
      <c r="E31" s="364">
        <v>0.21</v>
      </c>
      <c r="F31" s="363" t="s">
        <v>178</v>
      </c>
      <c r="G31" s="365">
        <f t="shared" si="5"/>
        <v>24520.728685510949</v>
      </c>
      <c r="H31" s="367">
        <f t="shared" si="6"/>
        <v>24520.728685510949</v>
      </c>
      <c r="I31" s="292"/>
      <c r="J31" s="257"/>
      <c r="K31" s="44"/>
      <c r="L31" s="44">
        <f t="shared" si="7"/>
        <v>1</v>
      </c>
      <c r="M31" s="36">
        <f t="shared" si="8"/>
        <v>1.33</v>
      </c>
      <c r="N31" s="36">
        <f t="shared" si="9"/>
        <v>0.51</v>
      </c>
      <c r="O31" s="253">
        <f t="shared" si="10"/>
        <v>0.67830000000000001</v>
      </c>
      <c r="P31" s="251">
        <f t="shared" si="11"/>
        <v>0.67830000000000001</v>
      </c>
      <c r="Q31" s="244">
        <f t="shared" si="12"/>
        <v>24520.728685510949</v>
      </c>
      <c r="R31" s="291">
        <f t="shared" si="13"/>
        <v>26520.728685510949</v>
      </c>
      <c r="S31" s="279">
        <f t="shared" si="14"/>
        <v>1.33</v>
      </c>
      <c r="T31" s="43"/>
      <c r="U31" s="9"/>
      <c r="X31" s="4"/>
    </row>
    <row r="32" spans="2:25" ht="17.399999999999999" x14ac:dyDescent="0.3">
      <c r="B32" s="366">
        <v>1</v>
      </c>
      <c r="C32" s="363" t="s">
        <v>179</v>
      </c>
      <c r="D32" s="364">
        <v>1.2</v>
      </c>
      <c r="E32" s="364">
        <v>0.47</v>
      </c>
      <c r="F32" s="363" t="s">
        <v>178</v>
      </c>
      <c r="G32" s="365">
        <f t="shared" si="5"/>
        <v>35629.706903198574</v>
      </c>
      <c r="H32" s="367">
        <f t="shared" si="6"/>
        <v>35629.706903198574</v>
      </c>
      <c r="I32" s="292"/>
      <c r="J32" s="257"/>
      <c r="K32" s="44"/>
      <c r="L32" s="44">
        <f t="shared" si="7"/>
        <v>1</v>
      </c>
      <c r="M32" s="36">
        <f t="shared" si="8"/>
        <v>1.28</v>
      </c>
      <c r="N32" s="36">
        <f t="shared" si="9"/>
        <v>0.77</v>
      </c>
      <c r="O32" s="253">
        <f t="shared" si="10"/>
        <v>0.98560000000000003</v>
      </c>
      <c r="P32" s="251">
        <f t="shared" si="11"/>
        <v>0.98560000000000003</v>
      </c>
      <c r="Q32" s="244">
        <f t="shared" si="12"/>
        <v>35629.706903198574</v>
      </c>
      <c r="R32" s="291">
        <f t="shared" si="13"/>
        <v>37629.706903198574</v>
      </c>
      <c r="S32" s="279">
        <f t="shared" si="14"/>
        <v>1.28</v>
      </c>
      <c r="T32" s="43"/>
      <c r="U32" s="9"/>
      <c r="X32" s="4"/>
    </row>
    <row r="33" spans="1:24" ht="18" thickBot="1" x14ac:dyDescent="0.35">
      <c r="B33" s="345">
        <v>1</v>
      </c>
      <c r="C33" s="346" t="s">
        <v>179</v>
      </c>
      <c r="D33" s="347">
        <v>1.25</v>
      </c>
      <c r="E33" s="347">
        <v>0.67</v>
      </c>
      <c r="F33" s="346" t="s">
        <v>178</v>
      </c>
      <c r="G33" s="348">
        <f t="shared" si="5"/>
        <v>46637.464362638471</v>
      </c>
      <c r="H33" s="349">
        <f t="shared" si="6"/>
        <v>46637.464362638471</v>
      </c>
      <c r="I33" s="292"/>
      <c r="J33" s="257"/>
      <c r="K33" s="44"/>
      <c r="L33" s="44">
        <f t="shared" si="7"/>
        <v>1</v>
      </c>
      <c r="M33" s="36">
        <f t="shared" si="8"/>
        <v>1.33</v>
      </c>
      <c r="N33" s="36">
        <f t="shared" si="9"/>
        <v>0.97</v>
      </c>
      <c r="O33" s="253">
        <f t="shared" si="10"/>
        <v>1.2901</v>
      </c>
      <c r="P33" s="251">
        <f t="shared" si="11"/>
        <v>1.2901</v>
      </c>
      <c r="Q33" s="244">
        <f t="shared" si="12"/>
        <v>46637.464362638471</v>
      </c>
      <c r="R33" s="291">
        <f t="shared" si="13"/>
        <v>48637.464362638471</v>
      </c>
      <c r="S33" s="279">
        <f t="shared" si="14"/>
        <v>1.33</v>
      </c>
      <c r="T33" s="43"/>
      <c r="U33" s="9"/>
      <c r="X33" s="4"/>
    </row>
    <row r="34" spans="1:24" ht="18" thickBot="1" x14ac:dyDescent="0.35">
      <c r="B34" s="274"/>
      <c r="C34" s="274"/>
      <c r="D34" s="275"/>
      <c r="E34" s="275"/>
      <c r="F34" s="274"/>
      <c r="G34" s="257"/>
      <c r="H34" s="293"/>
      <c r="I34" s="295"/>
      <c r="J34" s="226"/>
      <c r="K34" s="44"/>
      <c r="L34" s="44"/>
      <c r="M34" s="36"/>
      <c r="N34" s="36"/>
      <c r="O34" s="253"/>
      <c r="P34" s="251"/>
      <c r="Q34" s="244"/>
      <c r="R34" s="250"/>
      <c r="S34" s="279"/>
      <c r="T34" s="14"/>
      <c r="U34" s="9"/>
      <c r="X34" s="4"/>
    </row>
    <row r="35" spans="1:24" ht="17.399999999999999" x14ac:dyDescent="0.3">
      <c r="B35" s="274"/>
      <c r="C35" s="274"/>
      <c r="D35" s="275"/>
      <c r="E35" s="275"/>
      <c r="F35" s="274"/>
      <c r="G35" s="334" t="s">
        <v>28</v>
      </c>
      <c r="H35" s="335">
        <f>SUM(H21:H34)</f>
        <v>719260.24800000002</v>
      </c>
      <c r="I35" s="294"/>
      <c r="J35" s="327"/>
      <c r="K35" s="309"/>
      <c r="L35" s="44"/>
      <c r="M35" s="36"/>
      <c r="N35" s="36"/>
      <c r="O35" s="253"/>
      <c r="P35" s="251"/>
      <c r="Q35" s="244"/>
      <c r="R35" s="250"/>
      <c r="S35" s="279"/>
      <c r="T35" s="43">
        <f>SUM(T21:T34)</f>
        <v>4.08</v>
      </c>
      <c r="U35" s="9"/>
      <c r="X35" s="4"/>
    </row>
    <row r="36" spans="1:24" ht="17.399999999999999" x14ac:dyDescent="0.3">
      <c r="B36" s="269"/>
      <c r="C36" s="271"/>
      <c r="D36" s="272"/>
      <c r="E36" s="272"/>
      <c r="F36" s="273"/>
      <c r="G36" s="328" t="s">
        <v>51</v>
      </c>
      <c r="H36" s="330">
        <f>H35*0.19</f>
        <v>136659.44712</v>
      </c>
      <c r="I36" s="294"/>
      <c r="J36" s="257"/>
      <c r="K36" s="309"/>
      <c r="L36" s="44"/>
      <c r="M36" s="36">
        <f>SUM(M21:M33)+M21-M23-M27-M30</f>
        <v>23.02</v>
      </c>
      <c r="N36" s="12"/>
      <c r="O36" s="12"/>
      <c r="P36" s="245">
        <f>SUM(P21:P34)</f>
        <v>19.8964</v>
      </c>
      <c r="Q36" s="14"/>
      <c r="R36" s="12"/>
      <c r="S36" s="232">
        <f>SUM(S21:S35)</f>
        <v>31.61</v>
      </c>
      <c r="T36" s="43"/>
      <c r="U36" s="9"/>
      <c r="X36" s="4"/>
    </row>
    <row r="37" spans="1:24" ht="18" thickBot="1" x14ac:dyDescent="0.35">
      <c r="B37" s="267"/>
      <c r="C37" s="270"/>
      <c r="D37" s="264"/>
      <c r="E37" s="264"/>
      <c r="F37" s="265"/>
      <c r="G37" s="329" t="s">
        <v>6</v>
      </c>
      <c r="H37" s="331">
        <f>H36+H35</f>
        <v>855919.69512000005</v>
      </c>
      <c r="I37" s="294"/>
      <c r="J37" s="257"/>
      <c r="K37" s="309"/>
      <c r="L37" s="44"/>
      <c r="M37" s="36"/>
      <c r="N37" s="12"/>
      <c r="O37" s="12"/>
      <c r="P37" s="245">
        <f>P36</f>
        <v>19.8964</v>
      </c>
      <c r="Q37" s="14"/>
      <c r="R37" s="12"/>
      <c r="S37" s="232"/>
      <c r="T37" s="43"/>
      <c r="U37" s="9"/>
      <c r="X37" s="4"/>
    </row>
    <row r="38" spans="1:24" ht="17.399999999999999" x14ac:dyDescent="0.3">
      <c r="B38" s="267"/>
      <c r="C38" s="263"/>
      <c r="D38" s="264"/>
      <c r="E38" s="264"/>
      <c r="F38" s="265"/>
      <c r="J38" s="257"/>
      <c r="K38" s="309"/>
      <c r="L38" s="44"/>
      <c r="M38" s="14"/>
      <c r="N38" s="12"/>
      <c r="O38" s="12"/>
      <c r="P38" s="36">
        <f>P37*20%</f>
        <v>3.9792800000000002</v>
      </c>
      <c r="Q38" s="36" t="s">
        <v>126</v>
      </c>
      <c r="R38" s="39"/>
      <c r="S38" s="233"/>
      <c r="T38" s="14"/>
      <c r="U38" s="9"/>
      <c r="X38" s="4"/>
    </row>
    <row r="39" spans="1:24" ht="17.399999999999999" x14ac:dyDescent="0.35">
      <c r="B39" s="261"/>
      <c r="C39" s="223"/>
      <c r="D39" s="223"/>
      <c r="E39" s="226"/>
      <c r="F39" s="227"/>
      <c r="G39" s="223"/>
      <c r="H39" s="266"/>
      <c r="I39" s="266"/>
      <c r="J39" s="257"/>
      <c r="K39" s="44"/>
      <c r="L39" s="44"/>
      <c r="M39" s="14"/>
      <c r="N39" s="12"/>
      <c r="O39" s="12"/>
      <c r="P39" s="43">
        <f>P37+P38</f>
        <v>23.875679999999999</v>
      </c>
      <c r="Q39" s="14"/>
      <c r="R39" s="14"/>
      <c r="S39" s="231"/>
      <c r="T39" s="14"/>
      <c r="U39" s="9"/>
      <c r="X39" s="4"/>
    </row>
    <row r="40" spans="1:24" ht="17.399999999999999" x14ac:dyDescent="0.35">
      <c r="B40" s="228"/>
      <c r="C40" s="229"/>
      <c r="D40" s="230"/>
      <c r="E40" s="228"/>
      <c r="F40" s="223"/>
      <c r="G40" s="223"/>
      <c r="I40" s="266"/>
      <c r="J40" s="257"/>
      <c r="K40" s="44"/>
      <c r="L40" s="44"/>
      <c r="M40" s="14"/>
      <c r="N40" s="14"/>
      <c r="O40" s="14"/>
      <c r="P40" s="14"/>
      <c r="Q40" s="14"/>
      <c r="R40" s="14"/>
      <c r="S40" s="233"/>
      <c r="T40" s="14"/>
      <c r="U40" s="283" t="s">
        <v>21</v>
      </c>
      <c r="V40" s="280" t="s">
        <v>146</v>
      </c>
      <c r="W40" s="284">
        <v>44971</v>
      </c>
      <c r="X40" s="285"/>
    </row>
    <row r="41" spans="1:24" ht="17.399999999999999" x14ac:dyDescent="0.35">
      <c r="B41" s="223"/>
      <c r="C41" s="223"/>
      <c r="D41" s="223"/>
      <c r="E41" s="223"/>
      <c r="F41" s="223"/>
      <c r="G41" s="223"/>
      <c r="J41" s="257"/>
      <c r="K41" s="44"/>
      <c r="L41" s="44"/>
      <c r="M41" s="36">
        <f>P39</f>
        <v>23.875679999999999</v>
      </c>
      <c r="N41" s="12">
        <v>3500</v>
      </c>
      <c r="O41" s="12">
        <f t="shared" ref="O41:O46" si="15">M41*N41</f>
        <v>83564.87999999999</v>
      </c>
      <c r="P41" s="14" t="s">
        <v>21</v>
      </c>
      <c r="Q41" s="14"/>
      <c r="R41" s="14"/>
      <c r="S41" s="234"/>
      <c r="T41" s="14"/>
      <c r="U41" s="283" t="s">
        <v>147</v>
      </c>
      <c r="V41" s="280">
        <v>3625</v>
      </c>
      <c r="W41" s="56" t="s">
        <v>148</v>
      </c>
      <c r="X41" s="285"/>
    </row>
    <row r="42" spans="1:24" ht="17.399999999999999" x14ac:dyDescent="0.35">
      <c r="A42" s="223"/>
      <c r="B42" s="223"/>
      <c r="C42" s="223"/>
      <c r="D42" s="223"/>
      <c r="E42" s="223"/>
      <c r="F42" s="223"/>
      <c r="G42" s="223"/>
      <c r="H42" s="223"/>
      <c r="J42" s="257"/>
      <c r="K42" s="44"/>
      <c r="L42" s="44"/>
      <c r="M42" s="241">
        <v>6.44</v>
      </c>
      <c r="N42" s="12">
        <v>23500</v>
      </c>
      <c r="O42" s="12">
        <f t="shared" si="15"/>
        <v>151340</v>
      </c>
      <c r="P42" s="36" t="s">
        <v>165</v>
      </c>
      <c r="Q42" s="39"/>
      <c r="R42" s="14"/>
      <c r="S42" s="233"/>
      <c r="T42" s="14"/>
      <c r="U42" s="283"/>
      <c r="V42" s="56">
        <v>906.25</v>
      </c>
      <c r="W42" s="56" t="s">
        <v>149</v>
      </c>
      <c r="X42" s="285"/>
    </row>
    <row r="43" spans="1:24" s="223" customFormat="1" ht="17.399999999999999" x14ac:dyDescent="0.35">
      <c r="B43" s="21" t="s">
        <v>145</v>
      </c>
      <c r="J43" s="254"/>
      <c r="K43" s="225"/>
      <c r="L43" s="242"/>
      <c r="M43" s="14"/>
      <c r="N43" s="242">
        <v>54782</v>
      </c>
      <c r="O43" s="12">
        <f t="shared" si="15"/>
        <v>0</v>
      </c>
      <c r="P43" s="36" t="s">
        <v>30</v>
      </c>
      <c r="Q43" s="39"/>
      <c r="S43" s="233"/>
      <c r="T43" s="248"/>
      <c r="U43" s="56"/>
      <c r="V43" s="56">
        <f>V42*20%</f>
        <v>181.25</v>
      </c>
      <c r="W43" s="285" t="s">
        <v>150</v>
      </c>
      <c r="X43" s="56"/>
    </row>
    <row r="44" spans="1:24" s="223" customFormat="1" ht="17.399999999999999" x14ac:dyDescent="0.35">
      <c r="B44" s="21" t="s">
        <v>160</v>
      </c>
      <c r="C44"/>
      <c r="D44"/>
      <c r="E44"/>
      <c r="F44"/>
      <c r="J44" s="254"/>
      <c r="K44" s="225"/>
      <c r="L44" s="242"/>
      <c r="M44" s="14">
        <v>5</v>
      </c>
      <c r="N44" s="242">
        <v>16920</v>
      </c>
      <c r="O44" s="12">
        <f t="shared" si="15"/>
        <v>84600</v>
      </c>
      <c r="P44" s="14" t="s">
        <v>136</v>
      </c>
      <c r="Q44" s="17"/>
      <c r="S44" s="231"/>
      <c r="T44" s="248"/>
      <c r="U44" s="56"/>
      <c r="V44" s="56">
        <f>V42+V43</f>
        <v>1087.5</v>
      </c>
      <c r="W44" s="285" t="s">
        <v>151</v>
      </c>
      <c r="X44" s="56"/>
    </row>
    <row r="45" spans="1:24" s="223" customFormat="1" ht="17.399999999999999" x14ac:dyDescent="0.35">
      <c r="B45" s="26" t="s">
        <v>121</v>
      </c>
      <c r="C45"/>
      <c r="D45"/>
      <c r="E45"/>
      <c r="F45" s="222" t="s">
        <v>15</v>
      </c>
      <c r="J45" s="254"/>
      <c r="K45" s="252"/>
      <c r="L45" s="242"/>
      <c r="M45" s="241"/>
      <c r="N45" s="242">
        <v>900</v>
      </c>
      <c r="O45" s="12">
        <f t="shared" si="15"/>
        <v>0</v>
      </c>
      <c r="P45" s="14" t="s">
        <v>32</v>
      </c>
      <c r="Q45" s="14"/>
      <c r="R45" s="223">
        <v>1.52</v>
      </c>
      <c r="S45" s="231"/>
      <c r="T45" s="231"/>
    </row>
    <row r="46" spans="1:24" s="223" customFormat="1" ht="17.399999999999999" x14ac:dyDescent="0.35">
      <c r="J46" s="278"/>
      <c r="K46" s="252"/>
      <c r="L46" s="242"/>
      <c r="M46" s="258">
        <v>23</v>
      </c>
      <c r="N46" s="12">
        <v>1000</v>
      </c>
      <c r="O46" s="12">
        <f t="shared" si="15"/>
        <v>23000</v>
      </c>
      <c r="P46" s="14" t="s">
        <v>22</v>
      </c>
      <c r="Q46" s="14"/>
      <c r="R46">
        <v>2.44</v>
      </c>
      <c r="S46"/>
      <c r="T46" s="231"/>
      <c r="X46" s="224"/>
    </row>
    <row r="47" spans="1:24" s="223" customFormat="1" ht="17.399999999999999" x14ac:dyDescent="0.35">
      <c r="K47" s="252"/>
      <c r="L47" s="242"/>
      <c r="M47" s="14"/>
      <c r="N47" s="12"/>
      <c r="O47" s="12">
        <f>SUM(O41:O46)</f>
        <v>342504.88</v>
      </c>
      <c r="P47" s="36" t="s">
        <v>23</v>
      </c>
      <c r="Q47" s="14"/>
      <c r="R47">
        <f>R45*R46</f>
        <v>3.7088000000000001</v>
      </c>
      <c r="S47"/>
      <c r="T47" s="231"/>
      <c r="X47" s="224"/>
    </row>
    <row r="48" spans="1:24" s="223" customFormat="1" ht="17.399999999999999" x14ac:dyDescent="0.35">
      <c r="L48" s="242"/>
      <c r="M48" s="246" t="s">
        <v>33</v>
      </c>
      <c r="N48" s="12"/>
      <c r="O48" s="247">
        <f>O47*2.1</f>
        <v>719260.24800000002</v>
      </c>
      <c r="P48" s="14" t="s">
        <v>135</v>
      </c>
      <c r="Q48" s="14"/>
      <c r="R48" s="37">
        <f>P39/R47</f>
        <v>6.4375754961173417</v>
      </c>
      <c r="S48"/>
      <c r="T48" s="249"/>
    </row>
    <row r="49" spans="2:23" s="223" customFormat="1" ht="17.399999999999999" x14ac:dyDescent="0.35">
      <c r="G49"/>
      <c r="H49" s="252"/>
      <c r="I49" s="252"/>
      <c r="J49" s="332"/>
      <c r="L49" s="242"/>
      <c r="M49" s="14"/>
      <c r="N49" s="12"/>
      <c r="O49" s="12">
        <f>O48/P37</f>
        <v>36150.270802758292</v>
      </c>
      <c r="P49" s="42" t="s">
        <v>24</v>
      </c>
      <c r="Q49" s="14"/>
      <c r="R49" s="14"/>
      <c r="S49"/>
      <c r="T49" s="231"/>
      <c r="U49" s="56" t="s">
        <v>152</v>
      </c>
      <c r="V49" s="280">
        <v>43650</v>
      </c>
    </row>
    <row r="50" spans="2:23" s="223" customFormat="1" ht="17.399999999999999" x14ac:dyDescent="0.35">
      <c r="G50"/>
      <c r="L50" s="242"/>
      <c r="M50" s="13"/>
      <c r="N50" s="14"/>
      <c r="O50" s="17">
        <f>O48/O47</f>
        <v>2.1</v>
      </c>
      <c r="P50" s="15"/>
      <c r="Q50"/>
      <c r="R50"/>
      <c r="S50"/>
      <c r="T50" s="231"/>
      <c r="U50" s="56" t="s">
        <v>154</v>
      </c>
      <c r="V50" s="281" t="s">
        <v>153</v>
      </c>
      <c r="W50" s="56">
        <v>2.4</v>
      </c>
    </row>
    <row r="51" spans="2:23" s="223" customFormat="1" ht="17.399999999999999" x14ac:dyDescent="0.35">
      <c r="D51" s="275"/>
      <c r="E51" s="275"/>
      <c r="F51" s="274"/>
      <c r="G51" s="310"/>
      <c r="H51" s="314"/>
      <c r="J51" s="333"/>
      <c r="L51" s="12"/>
      <c r="T51" s="231"/>
      <c r="U51" s="56" t="s">
        <v>155</v>
      </c>
      <c r="V51" s="282">
        <v>395.37</v>
      </c>
    </row>
    <row r="52" spans="2:23" s="223" customFormat="1" ht="17.399999999999999" x14ac:dyDescent="0.35">
      <c r="B52"/>
      <c r="C52" s="315"/>
      <c r="D52" s="275"/>
      <c r="E52" s="275"/>
      <c r="F52" s="274"/>
      <c r="G52" s="310"/>
      <c r="H52" s="314"/>
      <c r="L52" s="12"/>
      <c r="T52" s="231"/>
      <c r="U52" s="56" t="s">
        <v>150</v>
      </c>
      <c r="V52" s="56">
        <v>474.45</v>
      </c>
    </row>
    <row r="53" spans="2:23" ht="14.4" customHeight="1" x14ac:dyDescent="0.35">
      <c r="D53" s="275"/>
      <c r="E53" s="275"/>
      <c r="F53" s="274"/>
      <c r="G53" s="310"/>
      <c r="H53" s="314"/>
      <c r="L53" s="12"/>
      <c r="U53" s="56"/>
      <c r="V53" s="56"/>
    </row>
    <row r="54" spans="2:23" ht="17.399999999999999" x14ac:dyDescent="0.35">
      <c r="D54" s="275"/>
      <c r="E54" s="275"/>
      <c r="F54" s="274"/>
      <c r="G54" s="310"/>
      <c r="H54" s="314"/>
      <c r="L54" s="242"/>
    </row>
    <row r="55" spans="2:23" ht="17.399999999999999" x14ac:dyDescent="0.35">
      <c r="D55" s="275"/>
      <c r="E55" s="275"/>
      <c r="F55" s="274"/>
      <c r="G55" s="310"/>
      <c r="H55" s="314"/>
      <c r="L55" s="242"/>
      <c r="T55" s="262"/>
    </row>
    <row r="56" spans="2:23" ht="17.399999999999999" x14ac:dyDescent="0.35">
      <c r="D56" s="275"/>
      <c r="E56" s="275"/>
      <c r="F56" s="274"/>
      <c r="G56" s="310"/>
      <c r="H56" s="314"/>
      <c r="L56" s="242"/>
    </row>
    <row r="57" spans="2:23" ht="15" customHeight="1" x14ac:dyDescent="0.35">
      <c r="D57" s="275"/>
      <c r="E57" s="275"/>
      <c r="F57" s="274"/>
      <c r="G57" s="310"/>
      <c r="H57" s="314"/>
    </row>
    <row r="58" spans="2:23" ht="17.399999999999999" x14ac:dyDescent="0.35">
      <c r="D58" s="275"/>
      <c r="E58" s="275"/>
      <c r="F58" s="274"/>
      <c r="G58" s="310"/>
      <c r="H58" s="314"/>
    </row>
    <row r="59" spans="2:23" ht="17.399999999999999" x14ac:dyDescent="0.35">
      <c r="D59" s="275"/>
      <c r="E59" s="275"/>
      <c r="F59" s="274"/>
      <c r="G59" s="310"/>
      <c r="H59" s="314"/>
      <c r="O59">
        <v>40935</v>
      </c>
      <c r="P59" t="s">
        <v>16</v>
      </c>
      <c r="Q59" t="s">
        <v>26</v>
      </c>
    </row>
    <row r="60" spans="2:23" ht="17.399999999999999" x14ac:dyDescent="0.35">
      <c r="D60" s="275"/>
      <c r="E60" s="275"/>
      <c r="F60" s="274"/>
      <c r="G60" s="310"/>
      <c r="H60" s="314"/>
    </row>
    <row r="61" spans="2:23" ht="17.399999999999999" x14ac:dyDescent="0.35">
      <c r="D61" s="275"/>
      <c r="E61" s="275"/>
      <c r="F61" s="274"/>
      <c r="G61" s="310"/>
      <c r="H61" s="314"/>
      <c r="O61" s="51"/>
      <c r="P61" s="51"/>
    </row>
    <row r="62" spans="2:23" ht="17.399999999999999" x14ac:dyDescent="0.35">
      <c r="D62" s="275"/>
      <c r="E62" s="275"/>
      <c r="F62" s="274"/>
      <c r="G62" s="310"/>
      <c r="H62" s="314"/>
      <c r="S62" s="18"/>
      <c r="T62" s="18"/>
    </row>
    <row r="63" spans="2:23" ht="17.399999999999999" x14ac:dyDescent="0.35">
      <c r="D63" s="275"/>
      <c r="E63" s="275"/>
      <c r="F63" s="274"/>
      <c r="G63" s="310"/>
      <c r="H63" s="314"/>
      <c r="S63" s="18"/>
      <c r="T63" s="18"/>
    </row>
    <row r="64" spans="2:23" ht="17.399999999999999" x14ac:dyDescent="0.35">
      <c r="D64" s="275"/>
      <c r="E64" s="275"/>
      <c r="F64" s="274"/>
      <c r="G64" s="310"/>
      <c r="H64" s="314"/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0"/>
    </row>
    <row r="74" spans="15:20" x14ac:dyDescent="0.3">
      <c r="O74" s="40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142</v>
      </c>
    </row>
    <row r="85" spans="3:3" x14ac:dyDescent="0.3">
      <c r="C85" t="s">
        <v>141</v>
      </c>
    </row>
    <row r="88" spans="3:3" x14ac:dyDescent="0.3">
      <c r="C88" t="s">
        <v>141</v>
      </c>
    </row>
    <row r="165" spans="3:3" x14ac:dyDescent="0.3">
      <c r="C165" t="s">
        <v>141</v>
      </c>
    </row>
    <row r="166" spans="3:3" x14ac:dyDescent="0.3">
      <c r="C166" t="s">
        <v>143</v>
      </c>
    </row>
    <row r="167" spans="3:3" x14ac:dyDescent="0.3">
      <c r="C167" t="s">
        <v>144</v>
      </c>
    </row>
    <row r="592" spans="3:3" x14ac:dyDescent="0.3">
      <c r="C592" t="s">
        <v>141</v>
      </c>
    </row>
  </sheetData>
  <mergeCells count="2">
    <mergeCell ref="F17:H17"/>
    <mergeCell ref="B19:H19"/>
  </mergeCells>
  <phoneticPr fontId="31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45877</v>
      </c>
    </row>
    <row r="6" spans="1:31" ht="16.2" thickBot="1" x14ac:dyDescent="0.35">
      <c r="B6" s="134" t="s">
        <v>2</v>
      </c>
      <c r="C6" s="133" t="str">
        <f>'2229'!C10</f>
        <v>RAUL MERINO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0" t="s">
        <v>95</v>
      </c>
      <c r="I7" s="361"/>
      <c r="J7" s="361"/>
      <c r="K7" s="362"/>
      <c r="N7" s="72"/>
      <c r="O7" s="35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11576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2577846.3860489135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5307012.3549588975</v>
      </c>
      <c r="C15" s="207" t="s">
        <v>118</v>
      </c>
      <c r="D15" s="208">
        <v>0.73</v>
      </c>
      <c r="E15" s="209">
        <f>(100%+D15)*D12</f>
        <v>4459674.2478646198</v>
      </c>
      <c r="F15" s="210">
        <f>E15-D12</f>
        <v>1881827.8618157064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170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167</v>
      </c>
      <c r="D18" s="116">
        <f>'2229'!O43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171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168</v>
      </c>
      <c r="D19" s="116">
        <f>'2229'!O44</f>
        <v>84600</v>
      </c>
      <c r="E19" s="117">
        <f>D19*0.19</f>
        <v>16074</v>
      </c>
      <c r="F19" s="114">
        <f>SUM(D19:E19)</f>
        <v>100674</v>
      </c>
      <c r="H19" s="324"/>
      <c r="I19" s="323"/>
      <c r="J19" s="144" t="s">
        <v>172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'2229'!O42</f>
        <v>151340</v>
      </c>
      <c r="E20" s="117">
        <f>D20*0.19</f>
        <v>28754.6</v>
      </c>
      <c r="F20" s="114">
        <f>SUM(D20:E20)</f>
        <v>180094.6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'2229'!O41</f>
        <v>83564.87999999999</v>
      </c>
      <c r="E21" s="115">
        <f>D21*0.19</f>
        <v>15877.327199999998</v>
      </c>
      <c r="F21" s="114">
        <f>SUM(D21:E21)</f>
        <v>99442.20719999999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319504.88</v>
      </c>
      <c r="E22" s="110">
        <f>SUM(E18:E21)</f>
        <v>60705.927199999998</v>
      </c>
      <c r="F22" s="109">
        <f>SUM(F18:F21)</f>
        <v>380210.80719999998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169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6" t="s">
        <v>60</v>
      </c>
      <c r="I43" s="357"/>
      <c r="J43" s="357"/>
      <c r="K43" s="357"/>
      <c r="L43" s="357"/>
      <c r="M43" s="35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319504.88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5"/>
      <c r="J52" s="355"/>
      <c r="K52" s="355"/>
      <c r="L52" s="35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2025-08-08T23:11:10Z</cp:lastPrinted>
  <dcterms:created xsi:type="dcterms:W3CDTF">2013-03-18T13:35:42Z</dcterms:created>
  <dcterms:modified xsi:type="dcterms:W3CDTF">2025-08-08T23:11:31Z</dcterms:modified>
</cp:coreProperties>
</file>