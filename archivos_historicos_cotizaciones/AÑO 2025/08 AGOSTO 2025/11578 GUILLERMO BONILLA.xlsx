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4B2D1C31-BCFF-4312-8A33-45BC784CC0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2" i="1"/>
  <c r="M25" i="1"/>
  <c r="H22" i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39" i="1" l="1"/>
  <c r="Q21" i="1" l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<sst xmlns="http://schemas.openxmlformats.org/spreadsheetml/2006/main" count="235" uniqueCount="179">
  <si>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</si>
  <si>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</si>
  <si>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</si>
  <si>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</si>
  <si>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</si>
  <si>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</si>
  <si>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</si>
  <si>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</si>
  <si>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</si>
  <si>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</si>
  <si>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</si>
  <si>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</si>
  <si>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</si>
  <si>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</si>
  <si>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</si>
  <si>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</si>
  <si>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</si>
  <si>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</si>
  <si>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</si>
  <si>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</si>
  <si>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</si>
  <si>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</si>
  <si>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</si>
  <si>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</si>
  <si>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</si>
  <si>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</si>
  <si>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</si>
  <si>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</si>
  <si>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</si>
  <si>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</si>
  <si>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</si>
  <si>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</si>
  <si>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</si>
  <si>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</si>
  <si>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</si>
  <si>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</si>
  <si>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</si>
  <si>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</si>
  <si>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</si>
  <si>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</si>
  <si>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</si>
  <si>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</si>
  <si>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</si>
  <si>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</si>
  <si>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</si>
  <si>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</si>
  <si>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</si>
  <si>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</si>
  <si>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</si>
  <si>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</si>
  <si>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</si>
  <si>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</si>
  <si>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</si>
  <si>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</si>
  <si>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</si>
  <si>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</si>
  <si>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</si>
  <si>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</si>
  <si>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</si>
  <si>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</si>
  <si>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</si>
  <si>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</si>
  <si>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</si>
  <si>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</si>
  <si>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</si>
  <si>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</si>
  <si>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</si>
  <si>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</si>
  <si>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</si>
  <si>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</si>
  <si>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</si>
  <si>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</si>
  <si>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</si>
  <si>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</si>
  <si>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</si>
  <si>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</si>
  <si>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</si>
  <si>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</si>
  <si>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</si>
  <si>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</si>
  <si>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</si>
  <si>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</si>
  <si>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</si>
  <si>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</si>
  <si>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</si>
  <si>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</si>
  <si>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</si>
  <si>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</si>
  <si>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</si>
  <si>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</si>
  <si>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</si>
  <si>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</si>
  <si>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</si>
  <si>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</si>
  <si>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</si>
  <si>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</si>
  <si>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</si>
  <si>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</si>
  <si>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</si>
  <si>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</si>
  <si>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</si>
  <si>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</si>
  <si>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</si>
  <si>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</si>
  <si>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</si>
  <si>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</si>
  <si>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</si>
  <si>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</si>
  <si>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</si>
  <si>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</si>
  <si>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</si>
  <si>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</si>
  <si>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</si>
  <si>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</si>
  <si>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</si>
  <si>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</si>
  <si>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</si>
  <si>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</si>
  <si>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</si>
  <si>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</si>
  <si>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</si>
  <si>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</si>
  <si>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</si>
  <si>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</si>
  <si>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</si>
  <si>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</si>
  <si>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</si>
  <si>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</si>
  <si>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</si>
  <si>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</si>
  <si>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</si>
  <si>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</si>
  <si>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</si>
  <si>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</si>
  <si>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</si>
  <si>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</si>
  <si>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</si>
  <si>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</si>
  <si>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</si>
  <si>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</si>
  <si>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</si>
  <si>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</si>
  <si>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</si>
  <si>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</si>
  <si>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</si>
  <si>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</si>
  <si>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</si>
  <si>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</si>
  <si>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</si>
  <si>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</si>
  <si>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</si>
  <si>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</si>
  <si>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</si>
  <si>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</si>
  <si>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</si>
  <si>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</si>
  <si>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</si>
  <si>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</si>
  <si>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</si>
  <si>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</si>
  <si>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</si>
  <si>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</si>
  <si>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</si>
  <si>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</si>
  <si>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</si>
  <si>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</si>
  <si>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</si>
  <si>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</si>
  <si>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</si>
  <si>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</si>
  <si>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</si>
  <si>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 xml:space="preserve">3 - 5 DIAS HABILES </t>
  </si>
  <si>
    <t>CUB CON RESPALDO FRENTE 90°</t>
  </si>
  <si>
    <t>EMBALAJE CARTON + FILM</t>
  </si>
  <si>
    <t>+56 9 6848 2959</t>
  </si>
  <si>
    <t>GUILLERMO BONILLA</t>
  </si>
  <si>
    <t>N° 11578</t>
  </si>
  <si>
    <t>GRANITO KOMBI BR F6</t>
  </si>
  <si>
    <t>OVALLE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</si>
</sst>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E14" zoomScale="93" zoomScaleNormal="93" workbookViewId="0">
      <selection activeCell="L32" sqref="L3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175</v>
      </c>
      <c r="D10" s="236"/>
      <c r="E10" s="236"/>
      <c r="F10" s="237" t="s">
        <v>163</v>
      </c>
      <c r="G10" s="268">
        <v>45877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171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1" t="s">
        <v>130</v>
      </c>
      <c r="H13" s="277"/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174</v>
      </c>
      <c r="D15" s="304"/>
      <c r="F15" t="s">
        <v>164</v>
      </c>
      <c r="G15" s="305" t="s">
        <v>130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</row>
    <row r="17" spans="1:25" ht="15" thickBot="1" x14ac:dyDescent="0.35">
      <c r="B17" s="287" t="s">
        <v>13</v>
      </c>
      <c r="C17" s="288" t="s">
        <v>178</v>
      </c>
      <c r="D17" s="289"/>
      <c r="E17" s="113"/>
      <c r="F17" s="350" t="s">
        <v>159</v>
      </c>
      <c r="G17" s="350"/>
      <c r="H17" s="351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2" t="s">
        <v>92</v>
      </c>
      <c r="C19" s="353"/>
      <c r="D19" s="353"/>
      <c r="E19" s="353"/>
      <c r="F19" s="353"/>
      <c r="G19" s="353"/>
      <c r="H19" s="354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46742.727272727272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40">
        <v>6</v>
      </c>
      <c r="C21" s="341" t="s">
        <v>172</v>
      </c>
      <c r="D21" s="342">
        <v>3</v>
      </c>
      <c r="E21" s="342">
        <v>0.6</v>
      </c>
      <c r="F21" s="341" t="s">
        <v>177</v>
      </c>
      <c r="G21" s="343">
        <v>86381</v>
      </c>
      <c r="H21" s="344">
        <f>G21*B21</f>
        <v>518286</v>
      </c>
      <c r="I21" s="292"/>
      <c r="J21" s="257">
        <v>95000</v>
      </c>
      <c r="K21" s="44"/>
      <c r="L21" s="44">
        <f>B21</f>
        <v>6</v>
      </c>
      <c r="M21" s="36">
        <f>D21+M$19</f>
        <v>3.08</v>
      </c>
      <c r="N21" s="36">
        <f>E21+$N$19</f>
        <v>0.6</v>
      </c>
      <c r="O21" s="253">
        <f t="shared" ref="O21" si="1">M21*N21</f>
        <v>1.8479999999999999</v>
      </c>
      <c r="P21" s="251">
        <f t="shared" ref="P21" si="2">O21*L21</f>
        <v>11.087999999999999</v>
      </c>
      <c r="Q21" s="244">
        <f t="shared" ref="Q21" si="3">Q$20*O21</f>
        <v>86380.56</v>
      </c>
      <c r="R21" s="291">
        <f t="shared" ref="R21" si="4">Q21+R$20</f>
        <v>88380.56</v>
      </c>
      <c r="S21" s="279">
        <f>M21*L21</f>
        <v>18.48</v>
      </c>
      <c r="T21" s="43">
        <f>N21*2*L21*2</f>
        <v>14.399999999999999</v>
      </c>
      <c r="U21" s="9"/>
      <c r="X21" s="4"/>
    </row>
    <row r="22" spans="1:25" ht="18" thickBot="1" x14ac:dyDescent="0.35">
      <c r="B22" s="345">
        <v>6</v>
      </c>
      <c r="C22" s="346" t="s">
        <v>173</v>
      </c>
      <c r="D22" s="347"/>
      <c r="E22" s="347"/>
      <c r="F22" s="346"/>
      <c r="G22" s="348">
        <v>5000</v>
      </c>
      <c r="H22" s="349">
        <f>G22*B22</f>
        <v>30000</v>
      </c>
      <c r="I22" s="292"/>
      <c r="J22" s="257">
        <f>J21*6</f>
        <v>570000</v>
      </c>
      <c r="K22" s="44"/>
      <c r="L22" s="44"/>
      <c r="M22" s="36"/>
      <c r="N22" s="36"/>
      <c r="O22" s="253"/>
      <c r="P22" s="251"/>
      <c r="Q22" s="244"/>
      <c r="R22" s="291"/>
      <c r="S22" s="279"/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>
        <f>J21/1.19</f>
        <v>79831.932773109249</v>
      </c>
      <c r="K23" s="44"/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4" t="s">
        <v>28</v>
      </c>
      <c r="H24" s="335">
        <f>SUM(H21:H23)</f>
        <v>548286</v>
      </c>
      <c r="I24" s="294"/>
      <c r="J24" s="327"/>
      <c r="K24" s="309"/>
      <c r="L24" s="44"/>
      <c r="M24" s="36"/>
      <c r="N24" s="36"/>
      <c r="O24" s="253"/>
      <c r="P24" s="251"/>
      <c r="Q24" s="244"/>
      <c r="R24" s="250"/>
      <c r="S24" s="279"/>
      <c r="T24" s="43">
        <f>SUM(T21:T23)</f>
        <v>14.399999999999999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8" t="s">
        <v>51</v>
      </c>
      <c r="H25" s="330">
        <f>H24*0.19</f>
        <v>104174.34</v>
      </c>
      <c r="I25" s="294"/>
      <c r="J25" s="257"/>
      <c r="K25" s="309"/>
      <c r="L25" s="44"/>
      <c r="M25" s="36">
        <f>SUM(M21:M22)</f>
        <v>3.08</v>
      </c>
      <c r="N25" s="12"/>
      <c r="O25" s="12"/>
      <c r="P25" s="245">
        <f>SUM(P21:P23)</f>
        <v>11.087999999999999</v>
      </c>
      <c r="Q25" s="14"/>
      <c r="R25" s="12"/>
      <c r="S25" s="232">
        <f>SUM(S21:S24)</f>
        <v>18.48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9" t="s">
        <v>6</v>
      </c>
      <c r="H26" s="331">
        <f>H25+H24</f>
        <v>652460.34</v>
      </c>
      <c r="I26" s="294"/>
      <c r="J26" s="257"/>
      <c r="K26" s="309"/>
      <c r="L26" s="44"/>
      <c r="M26" s="36"/>
      <c r="N26" s="12"/>
      <c r="O26" s="12"/>
      <c r="P26" s="245">
        <f>P25</f>
        <v>11.087999999999999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9"/>
      <c r="L27" s="44"/>
      <c r="M27" s="14"/>
      <c r="N27" s="12"/>
      <c r="O27" s="12"/>
      <c r="P27" s="36">
        <f>P26*20%</f>
        <v>2.2176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13.305599999999998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13.305599999999998</v>
      </c>
      <c r="N30" s="12">
        <v>3500</v>
      </c>
      <c r="O30" s="12">
        <f t="shared" ref="O30:O35" si="5">M30*N30</f>
        <v>46569.599999999991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3</v>
      </c>
      <c r="N31" s="12">
        <v>23500</v>
      </c>
      <c r="O31" s="12">
        <f t="shared" si="5"/>
        <v>70500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54782</v>
      </c>
      <c r="O32" s="12">
        <f t="shared" si="5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6</v>
      </c>
      <c r="N33" s="242">
        <v>18622</v>
      </c>
      <c r="O33" s="12">
        <f t="shared" si="5"/>
        <v>111732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/>
      <c r="N34" s="242">
        <v>900</v>
      </c>
      <c r="O34" s="12">
        <f t="shared" si="5"/>
        <v>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18</v>
      </c>
      <c r="N35" s="12">
        <v>1000</v>
      </c>
      <c r="O35" s="12">
        <f t="shared" si="5"/>
        <v>18000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246801.59999999998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O36*2.1</f>
        <v>518283.36</v>
      </c>
      <c r="P37" s="14" t="s">
        <v>135</v>
      </c>
      <c r="Q37" s="14"/>
      <c r="R37" s="37">
        <f>P28/R36</f>
        <v>3.5875754961173421</v>
      </c>
      <c r="S37"/>
      <c r="T37" s="249"/>
    </row>
    <row r="38" spans="2:24" s="223" customFormat="1" ht="17.399999999999999" x14ac:dyDescent="0.35">
      <c r="G38"/>
      <c r="H38" s="252"/>
      <c r="I38" s="252"/>
      <c r="J38" s="332"/>
      <c r="L38" s="242"/>
      <c r="M38" s="14"/>
      <c r="N38" s="12"/>
      <c r="O38" s="12">
        <f>O37/P26</f>
        <v>46742.727272727272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2.1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10"/>
      <c r="H40" s="314"/>
      <c r="J40" s="333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5"/>
      <c r="D41" s="275"/>
      <c r="E41" s="275"/>
      <c r="F41" s="274"/>
      <c r="G41" s="310"/>
      <c r="H41" s="314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10"/>
      <c r="H42" s="314"/>
      <c r="L42" s="12"/>
      <c r="U42" s="56"/>
      <c r="V42" s="56"/>
    </row>
    <row r="43" spans="2:24" ht="17.399999999999999" x14ac:dyDescent="0.35">
      <c r="D43" s="275"/>
      <c r="E43" s="275"/>
      <c r="F43" s="274"/>
      <c r="G43" s="310"/>
      <c r="H43" s="314"/>
      <c r="L43" s="242"/>
    </row>
    <row r="44" spans="2:24" ht="17.399999999999999" x14ac:dyDescent="0.35">
      <c r="D44" s="275"/>
      <c r="E44" s="275"/>
      <c r="F44" s="274"/>
      <c r="G44" s="310"/>
      <c r="H44" s="314"/>
      <c r="L44" s="242"/>
      <c r="T44" s="262"/>
    </row>
    <row r="45" spans="2:24" ht="17.399999999999999" x14ac:dyDescent="0.35">
      <c r="D45" s="275"/>
      <c r="E45" s="275"/>
      <c r="F45" s="274"/>
      <c r="G45" s="310"/>
      <c r="H45" s="314"/>
      <c r="L45" s="242"/>
    </row>
    <row r="46" spans="2:24" ht="15" customHeight="1" x14ac:dyDescent="0.35">
      <c r="D46" s="275"/>
      <c r="E46" s="275"/>
      <c r="F46" s="274"/>
      <c r="G46" s="310"/>
      <c r="H46" s="314"/>
    </row>
    <row r="47" spans="2:24" ht="17.399999999999999" x14ac:dyDescent="0.35">
      <c r="D47" s="275"/>
      <c r="E47" s="275"/>
      <c r="F47" s="274"/>
      <c r="G47" s="310"/>
      <c r="H47" s="314"/>
    </row>
    <row r="48" spans="2:24" ht="17.399999999999999" x14ac:dyDescent="0.35">
      <c r="D48" s="275"/>
      <c r="E48" s="275"/>
      <c r="F48" s="274"/>
      <c r="G48" s="310"/>
      <c r="H48" s="314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10"/>
      <c r="H49" s="314"/>
    </row>
    <row r="50" spans="4:20" ht="17.399999999999999" x14ac:dyDescent="0.35">
      <c r="D50" s="275"/>
      <c r="E50" s="275"/>
      <c r="F50" s="274"/>
      <c r="G50" s="310"/>
      <c r="H50" s="314"/>
      <c r="O50" s="51"/>
      <c r="P50" s="51"/>
    </row>
    <row r="51" spans="4:20" ht="17.399999999999999" x14ac:dyDescent="0.35">
      <c r="D51" s="275"/>
      <c r="E51" s="275"/>
      <c r="F51" s="274"/>
      <c r="G51" s="310"/>
      <c r="H51" s="314"/>
      <c r="S51" s="18"/>
      <c r="T51" s="18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45877</v>
      </c>
    </row>
    <row r="6" spans="1:31" ht="16.2" thickBot="1" x14ac:dyDescent="0.35">
      <c r="B6" s="134" t="s">
        <v>2</v>
      </c>
      <c r="C6" s="133" t="str">
        <f>'2229'!C10</f>
        <v>GUILLERMO BONILLA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0" t="s">
        <v>95</v>
      </c>
      <c r="I7" s="361"/>
      <c r="J7" s="361"/>
      <c r="K7" s="362"/>
      <c r="N7" s="72"/>
      <c r="O7" s="359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11578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9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2487143.1060489132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5120281.5124228979</v>
      </c>
      <c r="C15" s="207" t="s">
        <v>118</v>
      </c>
      <c r="D15" s="208">
        <v>0.73</v>
      </c>
      <c r="E15" s="209">
        <f>(100%+D15)*D12</f>
        <v>4302757.5734646199</v>
      </c>
      <c r="F15" s="210">
        <f>E15-D12</f>
        <v>1815614.4674157067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168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165</v>
      </c>
      <c r="D18" s="116">
        <f>'2229'!O32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169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166</v>
      </c>
      <c r="D19" s="116">
        <f>'2229'!O33</f>
        <v>111732</v>
      </c>
      <c r="E19" s="117">
        <f>D19*0.19</f>
        <v>21229.08</v>
      </c>
      <c r="F19" s="114">
        <f>SUM(D19:E19)</f>
        <v>132961.08000000002</v>
      </c>
      <c r="H19" s="324"/>
      <c r="I19" s="323"/>
      <c r="J19" s="144" t="s">
        <v>170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'2229'!O31</f>
        <v>70500</v>
      </c>
      <c r="E20" s="117">
        <f>D20*0.19</f>
        <v>13395</v>
      </c>
      <c r="F20" s="114">
        <f>SUM(D20:E20)</f>
        <v>83895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'2229'!O30</f>
        <v>46569.599999999991</v>
      </c>
      <c r="E21" s="115">
        <f>D21*0.19</f>
        <v>8848.2239999999983</v>
      </c>
      <c r="F21" s="114">
        <f>SUM(D21:E21)</f>
        <v>55417.823999999993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228801.59999999998</v>
      </c>
      <c r="E22" s="110">
        <f>SUM(E18:E21)</f>
        <v>43472.304000000004</v>
      </c>
      <c r="F22" s="109">
        <f>SUM(F18:F21)</f>
        <v>272273.90399999998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167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6" t="s">
        <v>60</v>
      </c>
      <c r="I43" s="357"/>
      <c r="J43" s="357"/>
      <c r="K43" s="357"/>
      <c r="L43" s="357"/>
      <c r="M43" s="358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228801.59999999998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5"/>
      <c r="J52" s="355"/>
      <c r="K52" s="355"/>
      <c r="L52" s="355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2025-08-11T17:45:00Z</dcterms:modified>
</cp:coreProperties>
</file>