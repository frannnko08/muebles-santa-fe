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6785149C-440B-4D49-8447-047A26BFE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H22" i="1" l="1"/>
  <c r="M22" i="1"/>
  <c r="S22" i="1" s="1"/>
  <c r="N22" i="1"/>
  <c r="N21" i="1"/>
  <c r="O22" i="1" l="1"/>
  <c r="P22" i="1" s="1"/>
  <c r="M21" i="1"/>
  <c r="M26" i="1" s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O40" i="1"/>
  <c r="Q21" i="1" l="1"/>
  <c r="F15" i="3"/>
  <c r="R21" i="1" l="1"/>
  <c r="H21" i="1" l="1"/>
  <c r="H25" i="1" s="1"/>
  <c r="H26" i="1" l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<sst xmlns="http://schemas.openxmlformats.org/spreadsheetml/2006/main" count="234" uniqueCount="178">
  <si>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</si>
  <si>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</si>
  <si>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</si>
  <si>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</si>
  <si>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</si>
  <si>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</si>
  <si>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</si>
  <si>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</si>
  <si>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</si>
  <si>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</si>
  <si>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</si>
  <si>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</si>
  <si>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</si>
  <si>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</si>
  <si>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</si>
  <si>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</si>
  <si>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</si>
  <si>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</si>
  <si>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</si>
  <si>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</si>
  <si>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</si>
  <si>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</si>
  <si>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</si>
  <si>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</si>
  <si>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</si>
  <si>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</si>
  <si>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</si>
  <si>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</si>
  <si>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</si>
  <si>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</si>
  <si>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</si>
  <si>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</si>
  <si>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</si>
  <si>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</si>
  <si>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</si>
  <si>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</si>
  <si>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</si>
  <si>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</si>
  <si>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</si>
  <si>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</si>
  <si>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</si>
  <si>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</si>
  <si>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</si>
  <si>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</si>
  <si>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</si>
  <si>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</si>
  <si>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</si>
  <si>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</si>
  <si>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</si>
  <si>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</si>
  <si>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</si>
  <si>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</si>
  <si>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</si>
  <si>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</si>
  <si>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</si>
  <si>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</si>
  <si>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</si>
  <si>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</si>
  <si>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</si>
  <si>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</si>
  <si>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</si>
  <si>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</si>
  <si>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</si>
  <si>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</si>
  <si>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</si>
  <si>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</si>
  <si>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</si>
  <si>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</si>
  <si>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</si>
  <si>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</si>
  <si>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</si>
  <si>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</si>
  <si>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</si>
  <si>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</si>
  <si>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</si>
  <si>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</si>
  <si>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</si>
  <si>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</si>
  <si>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</si>
  <si>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</si>
  <si>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</si>
  <si>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</si>
  <si>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</si>
  <si>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</si>
  <si>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</si>
  <si>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</si>
  <si>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</si>
  <si>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</si>
  <si>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</si>
  <si>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</si>
  <si>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</si>
  <si>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</si>
  <si>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</si>
  <si>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</si>
  <si>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</si>
  <si>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</si>
  <si>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</si>
  <si>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</si>
  <si>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</si>
  <si>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</si>
  <si>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</si>
  <si>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</si>
  <si>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</si>
  <si>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</si>
  <si>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</si>
  <si>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</si>
  <si>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</si>
  <si>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</si>
  <si>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</si>
  <si>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</si>
  <si>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</si>
  <si>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</si>
  <si>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</si>
  <si>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</si>
  <si>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</si>
  <si>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</si>
  <si>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</si>
  <si>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</si>
  <si>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</si>
  <si>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</si>
  <si>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</si>
  <si>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</si>
  <si>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</si>
  <si>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</si>
  <si>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</si>
  <si>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</si>
  <si>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</si>
  <si>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</si>
  <si>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</si>
  <si>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</si>
  <si>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</si>
  <si>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</si>
  <si>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</si>
  <si>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</si>
  <si>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</si>
  <si>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</si>
  <si>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</si>
  <si>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</si>
  <si>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</si>
  <si>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</si>
  <si>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</si>
  <si>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</si>
  <si>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</si>
  <si>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</si>
  <si>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</si>
  <si>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</si>
  <si>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</si>
  <si>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</si>
  <si>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</si>
  <si>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</si>
  <si>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</si>
  <si>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</si>
  <si>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</si>
  <si>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</si>
  <si>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</si>
  <si>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</si>
  <si>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</si>
  <si>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</si>
  <si>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</si>
  <si>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</si>
  <si>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</si>
  <si>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</si>
  <si>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</si>
  <si>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</si>
  <si>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</si>
  <si>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</si>
  <si>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</si>
  <si>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</si>
  <si>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</si>
  <si>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</si>
  <si>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 xml:space="preserve">CONSTRUCTORA ACACIA </t>
  </si>
  <si>
    <t>MAURICIO BELMAR</t>
  </si>
  <si>
    <t>5 DIAS HABILES</t>
  </si>
  <si>
    <t>PUERTA POSTFORMADA PR6</t>
  </si>
  <si>
    <t>VAINILLA 2109 MT</t>
  </si>
  <si>
    <t>569 7744 8149</t>
  </si>
  <si>
    <t>CUB S/R 180° TRASCARA BLANCA</t>
  </si>
  <si>
    <t>N° 11613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</si>
</sst>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5" t="s">
        <v>125</v>
      </c>
      <c r="C8" s="326"/>
      <c r="D8" s="327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8" t="s">
        <v>170</v>
      </c>
      <c r="D10" s="239"/>
      <c r="E10" s="239"/>
      <c r="F10" s="240" t="s">
        <v>167</v>
      </c>
      <c r="G10" s="271">
        <v>45894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9"/>
      <c r="F11" t="s">
        <v>166</v>
      </c>
      <c r="G11" s="310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171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5"/>
      <c r="D14" s="312"/>
      <c r="E14" s="312"/>
      <c r="F14" s="312" t="s">
        <v>134</v>
      </c>
      <c r="G14" s="316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7" t="s">
        <v>175</v>
      </c>
      <c r="D15" s="318"/>
      <c r="F15" t="s">
        <v>168</v>
      </c>
      <c r="G15" s="319" t="s">
        <v>133</v>
      </c>
      <c r="H15" s="281"/>
    </row>
    <row r="16" spans="2:24" ht="16.8" x14ac:dyDescent="0.4">
      <c r="B16" s="297" t="s">
        <v>3</v>
      </c>
      <c r="C16" s="320"/>
      <c r="D16" s="312"/>
      <c r="E16" s="312"/>
      <c r="F16" s="321" t="s">
        <v>128</v>
      </c>
      <c r="G16" s="322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63709.700274857125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05">
        <v>6</v>
      </c>
      <c r="C21" s="305" t="s">
        <v>173</v>
      </c>
      <c r="D21" s="306">
        <v>0.94499999999999995</v>
      </c>
      <c r="E21" s="306">
        <v>0.61</v>
      </c>
      <c r="F21" s="305" t="s">
        <v>174</v>
      </c>
      <c r="G21" s="307">
        <v>41669</v>
      </c>
      <c r="H21" s="307">
        <f>G21*B21</f>
        <v>250014</v>
      </c>
      <c r="I21" s="299"/>
      <c r="J21" s="260"/>
      <c r="K21" s="44"/>
      <c r="L21" s="44">
        <f>B21</f>
        <v>6</v>
      </c>
      <c r="M21" s="36">
        <f>D21+M$19</f>
        <v>0.995</v>
      </c>
      <c r="N21" s="36">
        <f>E21+$N$19</f>
        <v>0.61</v>
      </c>
      <c r="O21" s="256">
        <f t="shared" ref="O21" si="1">M21*N21</f>
        <v>0.60694999999999999</v>
      </c>
      <c r="P21" s="254">
        <f t="shared" ref="P21" si="2">O21*L21</f>
        <v>3.6417000000000002</v>
      </c>
      <c r="Q21" s="247">
        <f t="shared" ref="Q21" si="3">Q$20*O21</f>
        <v>38668.602581824533</v>
      </c>
      <c r="R21" s="298">
        <f t="shared" ref="R21" si="4">Q21+R$20</f>
        <v>41668.602581824533</v>
      </c>
      <c r="S21" s="286">
        <f>M21*L21</f>
        <v>5.97</v>
      </c>
      <c r="T21" s="43">
        <f>N21*2*L21*2</f>
        <v>14.64</v>
      </c>
      <c r="U21" s="9"/>
      <c r="X21" s="4"/>
    </row>
    <row r="22" spans="1:25" ht="17.399999999999999" x14ac:dyDescent="0.3">
      <c r="B22" s="305">
        <v>1</v>
      </c>
      <c r="C22" s="305" t="s">
        <v>176</v>
      </c>
      <c r="D22" s="306">
        <v>1.4</v>
      </c>
      <c r="E22" s="306">
        <v>0.65</v>
      </c>
      <c r="F22" s="305" t="s">
        <v>174</v>
      </c>
      <c r="G22" s="307">
        <v>63046</v>
      </c>
      <c r="H22" s="307">
        <f t="shared" ref="H22" si="5">G22*B22</f>
        <v>63046</v>
      </c>
      <c r="I22" s="299"/>
      <c r="J22" s="260"/>
      <c r="K22" s="44"/>
      <c r="L22" s="44">
        <f t="shared" ref="L22" si="6">B22</f>
        <v>1</v>
      </c>
      <c r="M22" s="36">
        <f t="shared" ref="M22" si="7">D22+M$19</f>
        <v>1.45</v>
      </c>
      <c r="N22" s="36">
        <f t="shared" ref="N22" si="8">E22+$N$19</f>
        <v>0.65</v>
      </c>
      <c r="O22" s="256">
        <f t="shared" ref="O22" si="9">M22*N22</f>
        <v>0.9425</v>
      </c>
      <c r="P22" s="254">
        <f t="shared" ref="P22" si="10">O22*L22</f>
        <v>0.9425</v>
      </c>
      <c r="Q22" s="247">
        <f t="shared" ref="Q22" si="11">Q$20*O22</f>
        <v>60046.392509052843</v>
      </c>
      <c r="R22" s="298">
        <f t="shared" ref="R22" si="12">Q22+R$20</f>
        <v>63046.392509052843</v>
      </c>
      <c r="S22" s="286">
        <f t="shared" ref="S22" si="13">M22*L22</f>
        <v>1.45</v>
      </c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9"/>
      <c r="H23" s="299"/>
      <c r="I23" s="299"/>
      <c r="J23" s="260"/>
      <c r="K23" s="44"/>
      <c r="L23" s="44"/>
      <c r="M23" s="36"/>
      <c r="N23" s="36"/>
      <c r="O23" s="256"/>
      <c r="P23" s="254"/>
      <c r="Q23" s="247"/>
      <c r="R23" s="298"/>
      <c r="S23" s="286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29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313060</v>
      </c>
      <c r="I25" s="301"/>
      <c r="J25" s="260"/>
      <c r="K25" s="323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14.64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51</v>
      </c>
      <c r="H26" s="283">
        <f>H25*19%</f>
        <v>59481.4</v>
      </c>
      <c r="I26" s="301"/>
      <c r="J26" s="260"/>
      <c r="K26" s="323"/>
      <c r="L26" s="44"/>
      <c r="M26" s="36">
        <f>SUM(M21:M21)</f>
        <v>0.995</v>
      </c>
      <c r="N26" s="12"/>
      <c r="O26" s="12"/>
      <c r="P26" s="248">
        <f>SUM(P21:P24)</f>
        <v>4.5842000000000001</v>
      </c>
      <c r="Q26" s="14"/>
      <c r="R26" s="12"/>
      <c r="S26" s="235">
        <f>SUM(S21:S25)</f>
        <v>7.42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372541.4</v>
      </c>
      <c r="I27" s="301"/>
      <c r="J27" s="260"/>
      <c r="K27" s="323"/>
      <c r="L27" s="44"/>
      <c r="M27" s="36"/>
      <c r="N27" s="12"/>
      <c r="O27" s="12"/>
      <c r="P27" s="248">
        <f>P26</f>
        <v>4.5842000000000001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23"/>
      <c r="L28" s="44"/>
      <c r="M28" s="14"/>
      <c r="N28" s="12"/>
      <c r="O28" s="12"/>
      <c r="P28" s="36">
        <f>P27*20%</f>
        <v>0.9168400000000001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5.5010399999999997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90" t="s">
        <v>21</v>
      </c>
      <c r="V30" s="287" t="s">
        <v>149</v>
      </c>
      <c r="W30" s="291">
        <v>44971</v>
      </c>
      <c r="X30" s="292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5.5010399999999997</v>
      </c>
      <c r="N31" s="12">
        <v>3500</v>
      </c>
      <c r="O31" s="12">
        <f t="shared" ref="O31:O36" si="14">M31*N31</f>
        <v>19253.64</v>
      </c>
      <c r="P31" s="14" t="s">
        <v>21</v>
      </c>
      <c r="Q31" s="14"/>
      <c r="R31" s="14"/>
      <c r="S31" s="237"/>
      <c r="T31" s="14"/>
      <c r="U31" s="290" t="s">
        <v>150</v>
      </c>
      <c r="V31" s="287">
        <v>3625</v>
      </c>
      <c r="W31" s="56" t="s">
        <v>151</v>
      </c>
      <c r="X31" s="292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1.5</v>
      </c>
      <c r="N32" s="12">
        <v>43000</v>
      </c>
      <c r="O32" s="12">
        <f t="shared" si="14"/>
        <v>64500</v>
      </c>
      <c r="P32" s="36" t="s">
        <v>169</v>
      </c>
      <c r="Q32" s="39"/>
      <c r="R32" s="14"/>
      <c r="S32" s="236"/>
      <c r="T32" s="14"/>
      <c r="U32" s="290"/>
      <c r="V32" s="56">
        <v>906.25</v>
      </c>
      <c r="W32" s="56" t="s">
        <v>152</v>
      </c>
      <c r="X32" s="292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41000</v>
      </c>
      <c r="O33" s="12">
        <f t="shared" si="14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2" t="s">
        <v>153</v>
      </c>
      <c r="X33" s="56"/>
    </row>
    <row r="34" spans="2:24" s="226" customFormat="1" ht="17.399999999999999" x14ac:dyDescent="0.35">
      <c r="B34" s="21" t="s">
        <v>164</v>
      </c>
      <c r="C34"/>
      <c r="D34"/>
      <c r="E34"/>
      <c r="F34"/>
      <c r="J34" s="257"/>
      <c r="K34" s="228"/>
      <c r="L34" s="245"/>
      <c r="M34" s="14">
        <v>2</v>
      </c>
      <c r="N34" s="245">
        <v>24500</v>
      </c>
      <c r="O34" s="12">
        <f t="shared" si="14"/>
        <v>49000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2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/>
      <c r="K35" s="255"/>
      <c r="L35" s="245"/>
      <c r="M35" s="244"/>
      <c r="N35" s="245">
        <v>900</v>
      </c>
      <c r="O35" s="12">
        <f t="shared" si="14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/>
      <c r="N36" s="12">
        <v>1500</v>
      </c>
      <c r="O36" s="12">
        <f t="shared" si="14"/>
        <v>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132753.64000000001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O37*2.2</f>
        <v>292058.00800000003</v>
      </c>
      <c r="P38" s="14" t="s">
        <v>138</v>
      </c>
      <c r="Q38" s="14"/>
      <c r="R38" s="37">
        <f>P29/R37</f>
        <v>1.4832398619499567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63709.700274857125</v>
      </c>
      <c r="P39" s="42" t="s">
        <v>24</v>
      </c>
      <c r="Q39" s="14"/>
      <c r="R39" s="14"/>
      <c r="S39"/>
      <c r="T39" s="234"/>
      <c r="U39" s="56" t="s">
        <v>155</v>
      </c>
      <c r="V39" s="287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2.2000000000000002</v>
      </c>
      <c r="P40" s="15"/>
      <c r="Q40"/>
      <c r="R40"/>
      <c r="S40"/>
      <c r="T40" s="234"/>
      <c r="U40" s="56" t="s">
        <v>157</v>
      </c>
      <c r="V40" s="288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24"/>
      <c r="H41" s="331"/>
      <c r="L41" s="12"/>
      <c r="T41" s="234"/>
      <c r="U41" s="56" t="s">
        <v>158</v>
      </c>
      <c r="V41" s="289">
        <v>395.37</v>
      </c>
    </row>
    <row r="42" spans="2:24" s="226" customFormat="1" ht="17.399999999999999" x14ac:dyDescent="0.35">
      <c r="B42"/>
      <c r="C42" s="332"/>
      <c r="D42" s="279"/>
      <c r="E42" s="279"/>
      <c r="F42" s="278"/>
      <c r="G42" s="324"/>
      <c r="H42" s="331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24"/>
      <c r="H43" s="331"/>
      <c r="L43" s="12"/>
      <c r="U43" s="56"/>
      <c r="V43" s="56"/>
    </row>
    <row r="44" spans="2:24" ht="17.399999999999999" x14ac:dyDescent="0.35">
      <c r="D44" s="279"/>
      <c r="E44" s="279"/>
      <c r="F44" s="278"/>
      <c r="G44" s="324"/>
      <c r="H44" s="331"/>
      <c r="L44" s="245"/>
    </row>
    <row r="45" spans="2:24" ht="17.399999999999999" x14ac:dyDescent="0.35">
      <c r="D45" s="279"/>
      <c r="E45" s="279"/>
      <c r="F45" s="278"/>
      <c r="G45" s="324"/>
      <c r="H45" s="331"/>
      <c r="L45" s="245"/>
      <c r="T45" s="265"/>
    </row>
    <row r="46" spans="2:24" ht="17.399999999999999" x14ac:dyDescent="0.35">
      <c r="D46" s="279"/>
      <c r="E46" s="279"/>
      <c r="F46" s="278"/>
      <c r="G46" s="324"/>
      <c r="H46" s="331"/>
      <c r="L46" s="245"/>
    </row>
    <row r="47" spans="2:24" ht="15" customHeight="1" x14ac:dyDescent="0.35">
      <c r="D47" s="279"/>
      <c r="E47" s="279"/>
      <c r="F47" s="278"/>
      <c r="G47" s="324"/>
      <c r="H47" s="331"/>
    </row>
    <row r="48" spans="2:24" ht="17.399999999999999" x14ac:dyDescent="0.35">
      <c r="D48" s="279"/>
      <c r="E48" s="279"/>
      <c r="F48" s="278"/>
      <c r="G48" s="324"/>
      <c r="H48" s="331"/>
    </row>
    <row r="49" spans="4:20" ht="17.399999999999999" x14ac:dyDescent="0.35">
      <c r="D49" s="279"/>
      <c r="E49" s="279"/>
      <c r="F49" s="278"/>
      <c r="G49" s="324"/>
      <c r="H49" s="331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24"/>
      <c r="H50" s="331"/>
    </row>
    <row r="51" spans="4:20" ht="17.399999999999999" x14ac:dyDescent="0.35">
      <c r="D51" s="279"/>
      <c r="E51" s="279"/>
      <c r="F51" s="278"/>
      <c r="G51" s="324"/>
      <c r="H51" s="331"/>
      <c r="O51" s="51"/>
      <c r="P51" s="51"/>
    </row>
    <row r="52" spans="4:20" ht="17.399999999999999" x14ac:dyDescent="0.35">
      <c r="D52" s="279"/>
      <c r="E52" s="279"/>
      <c r="F52" s="278"/>
      <c r="G52" s="324"/>
      <c r="H52" s="331"/>
      <c r="S52" s="18"/>
      <c r="T52" s="18"/>
    </row>
    <row r="53" spans="4:20" ht="17.399999999999999" x14ac:dyDescent="0.35">
      <c r="D53" s="279"/>
      <c r="E53" s="279"/>
      <c r="F53" s="278"/>
      <c r="G53" s="324"/>
      <c r="H53" s="331"/>
      <c r="S53" s="18"/>
      <c r="T53" s="18"/>
    </row>
    <row r="54" spans="4:20" ht="17.399999999999999" x14ac:dyDescent="0.35">
      <c r="D54" s="279"/>
      <c r="E54" s="279"/>
      <c r="F54" s="278"/>
      <c r="G54" s="324"/>
      <c r="H54" s="331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45894</v>
      </c>
    </row>
    <row r="6" spans="1:31" ht="16.2" thickBot="1" x14ac:dyDescent="0.35">
      <c r="B6" s="137" t="s">
        <v>2</v>
      </c>
      <c r="C6" s="136" t="str">
        <f>'2229'!C10</f>
        <v xml:space="preserve">CONSTRUCTORA ACACIA 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-24514.653259903382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313060</v>
      </c>
      <c r="E11" s="129">
        <f>D11*0.19</f>
        <v>59481.4</v>
      </c>
      <c r="F11" s="128">
        <f>E11+D11</f>
        <v>372541.4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81475.346740096618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103732.55027536232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63475.346740096618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209327.44972463767</v>
      </c>
      <c r="E13" s="218">
        <f>(D11/D12)-1</f>
        <v>2.0179533730634152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54475.346740096618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15475.346740096618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197506.77572428985</v>
      </c>
      <c r="C15" s="210" t="s">
        <v>121</v>
      </c>
      <c r="D15" s="211">
        <v>0.6</v>
      </c>
      <c r="E15" s="212">
        <f>(100%+D15)*D12</f>
        <v>165972.08044057971</v>
      </c>
      <c r="F15" s="213">
        <f>E15-D12</f>
        <v>62239.530165217395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15475.346740096618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55475.346740096618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64500</v>
      </c>
      <c r="E19" s="120">
        <f>D19*0.19</f>
        <v>12255</v>
      </c>
      <c r="F19" s="117">
        <f>SUM(D19:E19)</f>
        <v>76755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19253.64</v>
      </c>
      <c r="E20" s="118">
        <f>D20*0.19</f>
        <v>3658.1916000000001</v>
      </c>
      <c r="F20" s="117">
        <f>SUM(D20:E20)</f>
        <v>22911.831599999998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83753.64</v>
      </c>
      <c r="E21" s="113">
        <f>SUM(E18:E20)</f>
        <v>15913.1916</v>
      </c>
      <c r="F21" s="112">
        <f>SUM(F18:F20)</f>
        <v>99666.831600000005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43568.208400000003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313060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83753.64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209327.44972463767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209327.44972463767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2025-07-15T18:45:43Z</cp:lastPrinted>
  <dcterms:created xsi:type="dcterms:W3CDTF">2013-03-18T13:35:42Z</dcterms:created>
  <dcterms:modified xsi:type="dcterms:W3CDTF">2025-08-25T14:32:54Z</dcterms:modified>
</cp:coreProperties>
</file>