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95AE8A55-ECAA-4077-9E39-FE955FB00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 l="1"/>
  <c r="N21" i="1"/>
  <c r="M21" i="1" l="1"/>
  <c r="M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<sst xmlns="http://schemas.openxmlformats.org/spreadsheetml/2006/main" count="231" uniqueCount="175">
  <si>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</si>
  <si>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</si>
  <si>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</si>
  <si>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</si>
  <si>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</si>
  <si>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</si>
  <si>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</si>
  <si>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</si>
  <si>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</si>
  <si>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</si>
  <si>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</si>
  <si>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</si>
  <si>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</si>
  <si>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</si>
  <si>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</si>
  <si>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</si>
  <si>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</si>
  <si>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</si>
  <si>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</si>
  <si>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</si>
  <si>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</si>
  <si>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</si>
  <si>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</si>
  <si>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</si>
  <si>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</si>
  <si>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</si>
  <si>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</si>
  <si>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</si>
  <si>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</si>
  <si>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</si>
  <si>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</si>
  <si>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</si>
  <si>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</si>
  <si>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</si>
  <si>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</si>
  <si>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</si>
  <si>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</si>
  <si>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</si>
  <si>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</si>
  <si>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</si>
  <si>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</si>
  <si>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</si>
  <si>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</si>
  <si>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</si>
  <si>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</si>
  <si>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</si>
  <si>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</si>
  <si>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</si>
  <si>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</si>
  <si>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</si>
  <si>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</si>
  <si>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</si>
  <si>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</si>
  <si>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</si>
  <si>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</si>
  <si>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</si>
  <si>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</si>
  <si>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</si>
  <si>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</si>
  <si>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</si>
  <si>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</si>
  <si>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</si>
  <si>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</si>
  <si>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</si>
  <si>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</si>
  <si>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</si>
  <si>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</si>
  <si>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</si>
  <si>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</si>
  <si>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</si>
  <si>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</si>
  <si>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</si>
  <si>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</si>
  <si>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</si>
  <si>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</si>
  <si>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</si>
  <si>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</si>
  <si>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</si>
  <si>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</si>
  <si>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</si>
  <si>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</si>
  <si>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</si>
  <si>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</si>
  <si>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</si>
  <si>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</si>
  <si>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</si>
  <si>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</si>
  <si>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</si>
  <si>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</si>
  <si>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</si>
  <si>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</si>
  <si>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</si>
  <si>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</si>
  <si>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</si>
  <si>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</si>
  <si>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</si>
  <si>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</si>
  <si>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</si>
  <si>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</si>
  <si>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</si>
  <si>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</si>
  <si>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</si>
  <si>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</si>
  <si>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</si>
  <si>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</si>
  <si>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</si>
  <si>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</si>
  <si>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</si>
  <si>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</si>
  <si>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</si>
  <si>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</si>
  <si>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</si>
  <si>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</si>
  <si>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</si>
  <si>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</si>
  <si>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</si>
  <si>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</si>
  <si>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</si>
  <si>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</si>
  <si>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</si>
  <si>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</si>
  <si>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</si>
  <si>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</si>
  <si>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</si>
  <si>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</si>
  <si>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</si>
  <si>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</si>
  <si>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</si>
  <si>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</si>
  <si>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</si>
  <si>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</si>
  <si>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</si>
  <si>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</si>
  <si>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</si>
  <si>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</si>
  <si>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</si>
  <si>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</si>
  <si>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</si>
  <si>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</si>
  <si>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</si>
  <si>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</si>
  <si>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</si>
  <si>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</si>
  <si>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</si>
  <si>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</si>
  <si>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</si>
  <si>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</si>
  <si>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</si>
  <si>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</si>
  <si>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</si>
  <si>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</si>
  <si>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</si>
  <si>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</si>
  <si>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</si>
  <si>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</si>
  <si>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</si>
  <si>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</si>
  <si>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</si>
  <si>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</si>
  <si>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</si>
  <si>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</si>
  <si>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</si>
  <si>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</si>
  <si>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</si>
  <si>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</si>
  <si>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</si>
  <si>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</si>
  <si>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2 DIAS HABILES</t>
  </si>
  <si>
    <t>LAM PF 0,7MM STRAIGHT WALNUT 10848 SF 3050 X 1220</t>
  </si>
  <si>
    <t>LAM PF 0,7 MM IRISH CREAM 21027 SF 3050X1220</t>
  </si>
  <si>
    <t>CARLOS SALINAS</t>
  </si>
  <si>
    <t>CUB CON RESPALDO FTE 90°</t>
  </si>
  <si>
    <t>WHITE LILY MOSAIC</t>
  </si>
  <si>
    <t>N° 11620</t>
  </si>
  <si>
    <t>+56 9 4495 3362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</si>
</sst>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3.664062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170</v>
      </c>
      <c r="D10" s="243"/>
      <c r="E10" s="243"/>
      <c r="F10" s="244" t="s">
        <v>0</v>
      </c>
      <c r="G10" s="276">
        <v>45896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174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86527.816377171213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2.4</v>
      </c>
      <c r="E21" s="332">
        <v>0.6</v>
      </c>
      <c r="F21" s="330" t="s">
        <v>172</v>
      </c>
      <c r="G21" s="331">
        <f>Q21</f>
        <v>139482.84</v>
      </c>
      <c r="H21" s="331">
        <f>G21*B21</f>
        <v>139482.84</v>
      </c>
      <c r="I21" s="320"/>
      <c r="J21" s="265"/>
      <c r="K21" s="47"/>
      <c r="L21" s="47">
        <f>B21</f>
        <v>1</v>
      </c>
      <c r="M21" s="39">
        <f>D21+M$19</f>
        <v>2.48</v>
      </c>
      <c r="N21" s="39">
        <f>E21+$N$19</f>
        <v>0.65</v>
      </c>
      <c r="O21" s="261">
        <f t="shared" ref="O21" si="1">M21*N21</f>
        <v>1.6120000000000001</v>
      </c>
      <c r="P21" s="259">
        <f t="shared" ref="P21" si="2">O21*L21</f>
        <v>1.6120000000000001</v>
      </c>
      <c r="Q21" s="252">
        <f t="shared" ref="Q21" si="3">Q$20*O21</f>
        <v>139482.84</v>
      </c>
      <c r="R21" s="319">
        <f t="shared" ref="R21" si="4">Q21+R$20</f>
        <v>142482.84</v>
      </c>
      <c r="S21" s="297">
        <f t="shared" ref="S21" si="5">L21*M21*2</f>
        <v>4.96</v>
      </c>
      <c r="T21" s="46">
        <f>N21*2*L21*2</f>
        <v>2.6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139482.84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2.6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26501.739600000001</v>
      </c>
      <c r="I25" s="322"/>
      <c r="J25" s="265"/>
      <c r="K25" s="47"/>
      <c r="L25" s="47"/>
      <c r="M25" s="39">
        <f>SUM(M21:M24)</f>
        <v>2.48</v>
      </c>
      <c r="N25" s="12"/>
      <c r="O25" s="12"/>
      <c r="P25" s="253">
        <f>SUM(P21:P23)</f>
        <v>1.6120000000000001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165984.5796</v>
      </c>
      <c r="I26" s="322"/>
      <c r="J26" s="265"/>
      <c r="K26" s="47"/>
      <c r="L26" s="47"/>
      <c r="M26" s="39"/>
      <c r="N26" s="12"/>
      <c r="O26" s="12"/>
      <c r="P26" s="253">
        <f>P25</f>
        <v>1.6120000000000001</v>
      </c>
      <c r="Q26" s="14"/>
      <c r="R26" s="12"/>
      <c r="S26" s="239">
        <f>SUM(S21:S25)</f>
        <v>4.96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0.32240000000000002</v>
      </c>
      <c r="Q27" s="39" t="s">
        <v>129</v>
      </c>
      <c r="R27" s="42"/>
      <c r="S27" s="240">
        <f>S26+T24</f>
        <v>7.5600000000000005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1.9344000000000001</v>
      </c>
      <c r="Q28" s="14"/>
      <c r="R28" s="14"/>
      <c r="S28" s="238">
        <f>S27*20%</f>
        <v>1.5120000000000002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9.072000000000001</v>
      </c>
      <c r="T29" s="14"/>
      <c r="U29" s="302" t="s">
        <v>21</v>
      </c>
      <c r="V29" s="299" t="s">
        <v>150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1.9344000000000001</v>
      </c>
      <c r="N30" s="12">
        <v>3500</v>
      </c>
      <c r="O30" s="12">
        <f t="shared" ref="O30:O32" si="6">M30*N30</f>
        <v>6770.4000000000005</v>
      </c>
      <c r="P30" s="14" t="s">
        <v>21</v>
      </c>
      <c r="Q30" s="14"/>
      <c r="R30" s="14"/>
      <c r="S30" s="241"/>
      <c r="T30" s="14"/>
      <c r="U30" s="302" t="s">
        <v>151</v>
      </c>
      <c r="V30" s="299">
        <v>3625</v>
      </c>
      <c r="W30" s="59" t="s">
        <v>152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0.4</v>
      </c>
      <c r="N31" s="12">
        <v>23500</v>
      </c>
      <c r="O31" s="12">
        <f t="shared" si="6"/>
        <v>9400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153</v>
      </c>
      <c r="X31" s="304"/>
    </row>
    <row r="32" spans="1:25" s="230" customFormat="1" ht="17.399999999999999" x14ac:dyDescent="0.35">
      <c r="B32" s="24" t="s">
        <v>149</v>
      </c>
      <c r="J32" s="262"/>
      <c r="K32" s="232"/>
      <c r="L32" s="250"/>
      <c r="M32" s="14"/>
      <c r="N32" s="250">
        <v>15041</v>
      </c>
      <c r="O32" s="12">
        <f t="shared" si="6"/>
        <v>0</v>
      </c>
      <c r="P32" s="39" t="s">
        <v>165</v>
      </c>
      <c r="Q32" s="42"/>
      <c r="S32" s="240"/>
      <c r="T32" s="256"/>
      <c r="U32" s="59"/>
      <c r="V32" s="59">
        <f>V31*20%</f>
        <v>181.25</v>
      </c>
      <c r="W32" s="304" t="s">
        <v>154</v>
      </c>
      <c r="X32" s="59"/>
    </row>
    <row r="33" spans="2:24" s="230" customFormat="1" ht="17.399999999999999" x14ac:dyDescent="0.35">
      <c r="B33" s="24" t="s">
        <v>142</v>
      </c>
      <c r="C33"/>
      <c r="D33"/>
      <c r="E33"/>
      <c r="F33"/>
      <c r="J33" s="262"/>
      <c r="K33" s="232"/>
      <c r="L33" s="250"/>
      <c r="M33" s="14">
        <v>1</v>
      </c>
      <c r="N33" s="250">
        <v>46500</v>
      </c>
      <c r="O33" s="12">
        <f>M33*N33</f>
        <v>46500</v>
      </c>
      <c r="P33" s="14" t="s">
        <v>166</v>
      </c>
      <c r="S33" s="238"/>
      <c r="T33" s="256"/>
      <c r="U33" s="59"/>
      <c r="V33" s="59">
        <f>V31+V32</f>
        <v>1087.5</v>
      </c>
      <c r="W33" s="304" t="s">
        <v>155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>M34*N34</f>
        <v>0</v>
      </c>
      <c r="P34" s="14" t="s">
        <v>31</v>
      </c>
      <c r="Q34" s="17"/>
      <c r="R34" s="230">
        <v>2.12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2.5</v>
      </c>
      <c r="N35" s="12">
        <v>1500</v>
      </c>
      <c r="O35" s="12">
        <f>M35*N35</f>
        <v>3750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66420.399999999994</v>
      </c>
      <c r="P36" s="39" t="s">
        <v>23</v>
      </c>
      <c r="Q36" s="14"/>
      <c r="R36">
        <f>R34*R35</f>
        <v>5.1728000000000005</v>
      </c>
      <c r="S36"/>
      <c r="T36" s="238"/>
      <c r="X36" s="231"/>
    </row>
    <row r="37" spans="2:24" s="230" customFormat="1" ht="17.399999999999999" x14ac:dyDescent="0.35">
      <c r="L37" s="250"/>
      <c r="M37" s="254" t="s">
        <v>32</v>
      </c>
      <c r="N37" s="12"/>
      <c r="O37" s="255">
        <f>O36*2.1</f>
        <v>139482.84</v>
      </c>
      <c r="P37" s="14" t="s">
        <v>139</v>
      </c>
      <c r="Q37" s="14"/>
      <c r="R37" s="40">
        <f>P28/R36</f>
        <v>0.37395607794618002</v>
      </c>
      <c r="S37"/>
      <c r="T37" s="257"/>
    </row>
    <row r="38" spans="2:24" s="230" customFormat="1" ht="17.399999999999999" x14ac:dyDescent="0.35">
      <c r="D38" t="s">
        <v>168</v>
      </c>
      <c r="G38"/>
      <c r="H38" s="260"/>
      <c r="I38" s="260"/>
      <c r="J38" s="260"/>
      <c r="K38" s="230">
        <v>74260</v>
      </c>
      <c r="L38" s="250"/>
      <c r="M38" s="14"/>
      <c r="N38" s="12"/>
      <c r="O38" s="12">
        <f>O37/P26</f>
        <v>86527.816377171213</v>
      </c>
      <c r="P38" s="45" t="s">
        <v>24</v>
      </c>
      <c r="Q38" s="14"/>
      <c r="R38" s="14"/>
      <c r="S38"/>
      <c r="T38" s="238"/>
      <c r="U38" s="59" t="s">
        <v>156</v>
      </c>
      <c r="V38" s="299">
        <v>43650</v>
      </c>
    </row>
    <row r="39" spans="2:24" s="230" customFormat="1" ht="17.399999999999999" x14ac:dyDescent="0.35">
      <c r="D39" t="s">
        <v>169</v>
      </c>
      <c r="G39"/>
      <c r="K39" s="230">
        <f>K38/1.19</f>
        <v>62403.361344537821</v>
      </c>
      <c r="L39" s="250"/>
      <c r="M39" s="13"/>
      <c r="N39" s="14"/>
      <c r="O39" s="17">
        <f>O37/O36</f>
        <v>2.1</v>
      </c>
      <c r="P39" s="15"/>
      <c r="Q39" s="14"/>
      <c r="R39"/>
      <c r="S39"/>
      <c r="T39" s="238"/>
      <c r="U39" s="59" t="s">
        <v>158</v>
      </c>
      <c r="V39" s="300" t="s">
        <v>157</v>
      </c>
      <c r="W39" s="59">
        <v>2.4</v>
      </c>
    </row>
    <row r="40" spans="2:24" s="230" customFormat="1" ht="17.399999999999999" x14ac:dyDescent="0.35">
      <c r="G40" s="23"/>
      <c r="L40" s="12"/>
      <c r="Q40"/>
      <c r="T40" s="238"/>
      <c r="U40" s="59" t="s">
        <v>159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154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146</v>
      </c>
    </row>
    <row r="74" spans="3:15" x14ac:dyDescent="0.3">
      <c r="C74" t="s">
        <v>145</v>
      </c>
    </row>
    <row r="77" spans="3:15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45896</v>
      </c>
    </row>
    <row r="6" spans="2:31" ht="16.2" thickBot="1" x14ac:dyDescent="0.35">
      <c r="B6" s="140" t="s">
        <v>2</v>
      </c>
      <c r="C6" s="139" t="str">
        <f>'2229'!C10</f>
        <v>CARLOS SALINAS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11620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-10595.905033454104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139482.84</v>
      </c>
      <c r="E11" s="132">
        <f>D11*0.19</f>
        <v>26501.739600000001</v>
      </c>
      <c r="F11" s="131">
        <f>E11+D11</f>
        <v>165984.5796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95394.09496654589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46004.490787439616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77394.09496654589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93478.349212560381</v>
      </c>
      <c r="E13" s="221">
        <f>(D11/D12)-1</f>
        <v>2.0319396565972276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68394.09496654589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29394.094966545897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75907.409799275367</v>
      </c>
      <c r="F15" s="216">
        <f>E15-D12</f>
        <v>29902.919011835751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29394.094966545897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69394.09496654589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6770.4000000000005</v>
      </c>
      <c r="E20" s="121">
        <f>D20*0.19</f>
        <v>1286.3760000000002</v>
      </c>
      <c r="F20" s="120">
        <f>SUM(D20:E20)</f>
        <v>8056.7760000000007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16170.400000000001</v>
      </c>
      <c r="E21" s="116">
        <f>SUM(E18:E20)</f>
        <v>3072.3760000000002</v>
      </c>
      <c r="F21" s="115">
        <f>SUM(F18:F20)</f>
        <v>19242.776000000002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23429.363600000001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139482.84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16170.400000000001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93478.349212560381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93478.349212560381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2025-08-27T16:26:13Z</cp:lastPrinted>
  <dcterms:created xsi:type="dcterms:W3CDTF">2013-03-18T13:35:42Z</dcterms:created>
  <dcterms:modified xsi:type="dcterms:W3CDTF">2025-08-27T16:26:26Z</dcterms:modified>
</cp:coreProperties>
</file>