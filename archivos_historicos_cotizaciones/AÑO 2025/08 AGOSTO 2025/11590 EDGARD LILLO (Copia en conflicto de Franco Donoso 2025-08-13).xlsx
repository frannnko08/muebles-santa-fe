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06F36224-4885-44B9-A1EE-5648A1A8D1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M14" i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9" i="1" l="1"/>
  <c r="Q21" i="1" l="1"/>
  <c r="G21" i="1" s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<sst xmlns="http://schemas.openxmlformats.org/spreadsheetml/2006/main" count="235" uniqueCount="179">
  <si>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</si>
  <si>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</si>
  <si>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</si>
  <si>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</si>
  <si>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</si>
  <si>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</si>
  <si>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</si>
  <si>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</si>
  <si>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</si>
  <si>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</si>
  <si>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</si>
  <si>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</si>
  <si>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</si>
  <si>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</si>
  <si>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</si>
  <si>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</si>
  <si>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</si>
  <si>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</si>
  <si>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</si>
  <si>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</si>
  <si>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</si>
  <si>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</si>
  <si>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</si>
  <si>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</si>
  <si>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</si>
  <si>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</si>
  <si>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</si>
  <si>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</si>
  <si>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</si>
  <si>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</si>
  <si>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</si>
  <si>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</si>
  <si>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</si>
  <si>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</si>
  <si>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</si>
  <si>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</si>
  <si>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</si>
  <si>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</si>
  <si>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</si>
  <si>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</si>
  <si>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</si>
  <si>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</si>
  <si>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</si>
  <si>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</si>
  <si>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</si>
  <si>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</si>
  <si>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</si>
  <si>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</si>
  <si>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</si>
  <si>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</si>
  <si>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</si>
  <si>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</si>
  <si>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</si>
  <si>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</si>
  <si>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</si>
  <si>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</si>
  <si>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</si>
  <si>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</si>
  <si>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</si>
  <si>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</si>
  <si>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</si>
  <si>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</si>
  <si>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</si>
  <si>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</si>
  <si>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</si>
  <si>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</si>
  <si>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</si>
  <si>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</si>
  <si>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</si>
  <si>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</si>
  <si>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</si>
  <si>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</si>
  <si>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</si>
  <si>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</si>
  <si>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</si>
  <si>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</si>
  <si>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</si>
  <si>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</si>
  <si>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</si>
  <si>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</si>
  <si>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</si>
  <si>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</si>
  <si>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</si>
  <si>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</si>
  <si>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</si>
  <si>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</si>
  <si>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</si>
  <si>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</si>
  <si>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</si>
  <si>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</si>
  <si>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</si>
  <si>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</si>
  <si>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</si>
  <si>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</si>
  <si>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</si>
  <si>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</si>
  <si>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</si>
  <si>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</si>
  <si>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</si>
  <si>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</si>
  <si>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</si>
  <si>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</si>
  <si>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</si>
  <si>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</si>
  <si>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</si>
  <si>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</si>
  <si>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</si>
  <si>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</si>
  <si>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</si>
  <si>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</si>
  <si>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</si>
  <si>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</si>
  <si>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</si>
  <si>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</si>
  <si>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</si>
  <si>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</si>
  <si>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</si>
  <si>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</si>
  <si>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</si>
  <si>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</si>
  <si>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</si>
  <si>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</si>
  <si>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</si>
  <si>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</si>
  <si>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</si>
  <si>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</si>
  <si>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</si>
  <si>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</si>
  <si>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</si>
  <si>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</si>
  <si>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</si>
  <si>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</si>
  <si>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</si>
  <si>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</si>
  <si>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</si>
  <si>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</si>
  <si>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</si>
  <si>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</si>
  <si>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</si>
  <si>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</si>
  <si>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</si>
  <si>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</si>
  <si>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</si>
  <si>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</si>
  <si>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</si>
  <si>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</si>
  <si>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</si>
  <si>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</si>
  <si>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</si>
  <si>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</si>
  <si>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</si>
  <si>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</si>
  <si>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</si>
  <si>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</si>
  <si>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</si>
  <si>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</si>
  <si>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</si>
  <si>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</si>
  <si>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</si>
  <si>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</si>
  <si>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</si>
  <si>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</si>
  <si>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</si>
  <si>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</si>
  <si>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</si>
  <si>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</si>
  <si>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</si>
  <si>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</si>
  <si>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</si>
  <si>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</si>
  <si>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</si>
  <si>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</si>
  <si>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EDGARD LILLO</t>
  </si>
  <si>
    <t>+569 7138 7383</t>
  </si>
  <si>
    <t>N° 11590</t>
  </si>
  <si>
    <t>77.268.001-5</t>
  </si>
  <si>
    <t xml:space="preserve"> MESA LATERAL 180°</t>
  </si>
  <si>
    <t>GLACIAL WHITE SF</t>
  </si>
  <si>
    <t xml:space="preserve">2 DIAS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</si>
</sst>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" fontId="34" fillId="8" borderId="0" xfId="0" applyNumberFormat="1" applyFont="1" applyFill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VA CORTADA A LA MEDIDA CON CORTES EN LAS ESQUINAS DE ATRAS</a:t>
          </a:r>
          <a:r>
            <a:rPr lang="es-CL" sz="1200" b="1"/>
            <a:t> 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36mm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D13" zoomScale="93" zoomScaleNormal="93" workbookViewId="0">
      <selection activeCell="M33" sqref="M33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5" t="s">
        <v>122</v>
      </c>
      <c r="C8" s="336"/>
      <c r="D8" s="337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172</v>
      </c>
      <c r="D10" s="236"/>
      <c r="E10" s="236"/>
      <c r="F10" s="237" t="s">
        <v>163</v>
      </c>
      <c r="G10" s="268">
        <v>45882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 t="s">
        <v>175</v>
      </c>
      <c r="F11" t="s">
        <v>162</v>
      </c>
      <c r="G11" s="297" t="s">
        <v>178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342"/>
      <c r="D12" s="298"/>
      <c r="E12" s="298"/>
      <c r="F12" s="298" t="s">
        <v>123</v>
      </c>
      <c r="G12" s="299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0" t="s">
        <v>130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8"/>
      <c r="D14" s="298"/>
      <c r="E14" s="298"/>
      <c r="F14" s="298" t="s">
        <v>131</v>
      </c>
      <c r="G14" s="301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2" t="s">
        <v>173</v>
      </c>
      <c r="D15" s="303"/>
      <c r="F15" t="s">
        <v>164</v>
      </c>
      <c r="G15" s="304" t="s">
        <v>130</v>
      </c>
      <c r="H15" s="277"/>
      <c r="M15">
        <v>27</v>
      </c>
    </row>
    <row r="16" spans="2:24" ht="16.8" x14ac:dyDescent="0.4">
      <c r="B16" s="290" t="s">
        <v>3</v>
      </c>
      <c r="C16" s="305"/>
      <c r="D16" s="298"/>
      <c r="E16" s="298"/>
      <c r="F16" s="306" t="s">
        <v>125</v>
      </c>
      <c r="G16" s="307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171</v>
      </c>
      <c r="D17" s="289"/>
      <c r="E17" s="113"/>
      <c r="F17" s="343" t="s">
        <v>159</v>
      </c>
      <c r="G17" s="343"/>
      <c r="H17" s="344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5" t="s">
        <v>92</v>
      </c>
      <c r="C19" s="346"/>
      <c r="D19" s="346"/>
      <c r="E19" s="346"/>
      <c r="F19" s="346"/>
      <c r="G19" s="346"/>
      <c r="H19" s="347"/>
      <c r="I19" s="256"/>
      <c r="J19" s="256"/>
      <c r="K19" s="5"/>
      <c r="L19" s="242"/>
      <c r="M19" s="14">
        <v>0.05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7.399999999999999" x14ac:dyDescent="0.3">
      <c r="B20" s="310" t="s">
        <v>7</v>
      </c>
      <c r="C20" s="311" t="s">
        <v>1</v>
      </c>
      <c r="D20" s="311" t="s">
        <v>127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72549.508196721319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39">
        <v>1</v>
      </c>
      <c r="C21" s="339" t="s">
        <v>176</v>
      </c>
      <c r="D21" s="340">
        <v>1.17</v>
      </c>
      <c r="E21" s="340">
        <v>0.84</v>
      </c>
      <c r="F21" s="339" t="s">
        <v>177</v>
      </c>
      <c r="G21" s="341">
        <f>Q21</f>
        <v>74348.736000000004</v>
      </c>
      <c r="H21" s="341">
        <f>G21*B21</f>
        <v>74348.736000000004</v>
      </c>
      <c r="I21" s="292"/>
      <c r="J21" s="257"/>
      <c r="K21" s="44"/>
      <c r="L21" s="44">
        <f>B21</f>
        <v>1</v>
      </c>
      <c r="M21" s="36">
        <f>D21+M$19</f>
        <v>1.22</v>
      </c>
      <c r="N21" s="36">
        <f>E21+$N$19</f>
        <v>0.84</v>
      </c>
      <c r="O21" s="253">
        <f t="shared" ref="O21" si="1">M21*N21</f>
        <v>1.0247999999999999</v>
      </c>
      <c r="P21" s="251">
        <f t="shared" ref="P21" si="2">O21*L21</f>
        <v>1.0247999999999999</v>
      </c>
      <c r="Q21" s="244">
        <f t="shared" ref="Q21" si="3">Q$20*O21</f>
        <v>74348.736000000004</v>
      </c>
      <c r="R21" s="291">
        <f t="shared" ref="R21" si="4">Q21+R$20</f>
        <v>76348.736000000004</v>
      </c>
      <c r="S21" s="279">
        <f>M21*L21</f>
        <v>1.22</v>
      </c>
      <c r="T21" s="43">
        <f>N21*2*L21*2</f>
        <v>3.36</v>
      </c>
      <c r="U21" s="9"/>
      <c r="X21" s="4"/>
    </row>
    <row r="22" spans="1:25" ht="17.399999999999999" x14ac:dyDescent="0.3">
      <c r="B22" s="274"/>
      <c r="C22" s="274"/>
      <c r="D22" s="275"/>
      <c r="E22" s="275"/>
      <c r="F22" s="274"/>
      <c r="G22" s="292"/>
      <c r="H22" s="292"/>
      <c r="I22" s="292"/>
      <c r="J22" s="257"/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45000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3" t="s">
        <v>28</v>
      </c>
      <c r="H24" s="334">
        <f>SUM(H21:H23)</f>
        <v>74348.736000000004</v>
      </c>
      <c r="I24" s="294"/>
      <c r="J24" s="326"/>
      <c r="K24" s="308">
        <f>K23/1.19</f>
        <v>37815.126050420171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3.36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7" t="s">
        <v>51</v>
      </c>
      <c r="H25" s="329">
        <f>H24*0.19</f>
        <v>14126.259840000001</v>
      </c>
      <c r="I25" s="294"/>
      <c r="J25" s="257"/>
      <c r="K25" s="308"/>
      <c r="L25" s="44"/>
      <c r="M25" s="36">
        <f>SUM(M21:M21)</f>
        <v>1.22</v>
      </c>
      <c r="N25" s="12"/>
      <c r="O25" s="12"/>
      <c r="P25" s="245">
        <f>SUM(P21:P23)</f>
        <v>1.0247999999999999</v>
      </c>
      <c r="Q25" s="14"/>
      <c r="R25" s="12"/>
      <c r="S25" s="232">
        <f>SUM(S21:S24)</f>
        <v>1.22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8" t="s">
        <v>6</v>
      </c>
      <c r="H26" s="330">
        <f>H25+H24</f>
        <v>88474.995840000003</v>
      </c>
      <c r="I26" s="294"/>
      <c r="J26" s="257"/>
      <c r="K26" s="308"/>
      <c r="L26" s="44"/>
      <c r="M26" s="36"/>
      <c r="N26" s="12"/>
      <c r="O26" s="12"/>
      <c r="P26" s="245">
        <f>P25</f>
        <v>1.0247999999999999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8"/>
      <c r="L27" s="44"/>
      <c r="M27" s="14"/>
      <c r="N27" s="12"/>
      <c r="O27" s="12"/>
      <c r="P27" s="36">
        <f>P26*20%</f>
        <v>0.20496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1.22976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1.22976</v>
      </c>
      <c r="N30" s="12">
        <v>3500</v>
      </c>
      <c r="O30" s="12">
        <f t="shared" ref="O30:O35" si="5">M30*N30</f>
        <v>4304.16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0.6</v>
      </c>
      <c r="N31" s="12">
        <v>23500</v>
      </c>
      <c r="O31" s="12">
        <f t="shared" si="5"/>
        <v>14100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54782</v>
      </c>
      <c r="O32" s="12">
        <f t="shared" si="5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1</v>
      </c>
      <c r="N33" s="242">
        <v>17000</v>
      </c>
      <c r="O33" s="12">
        <f t="shared" si="5"/>
        <v>17000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/>
      <c r="N34" s="242">
        <v>900</v>
      </c>
      <c r="O34" s="12">
        <f t="shared" si="5"/>
        <v>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35404.160000000003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O36*2.1</f>
        <v>74348.736000000004</v>
      </c>
      <c r="P37" s="14" t="s">
        <v>135</v>
      </c>
      <c r="Q37" s="14"/>
      <c r="R37" s="37">
        <f>P28/R36</f>
        <v>0.33157894736842103</v>
      </c>
      <c r="S37"/>
      <c r="T37" s="249"/>
    </row>
    <row r="38" spans="2:24" s="223" customFormat="1" ht="17.399999999999999" x14ac:dyDescent="0.35">
      <c r="G38"/>
      <c r="H38" s="252"/>
      <c r="I38" s="252"/>
      <c r="J38" s="331"/>
      <c r="L38" s="242"/>
      <c r="M38" s="14"/>
      <c r="N38" s="12"/>
      <c r="O38" s="12">
        <f>O37/P26</f>
        <v>72549.508196721319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09"/>
      <c r="H40" s="313"/>
      <c r="J40" s="332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4"/>
      <c r="D41" s="275"/>
      <c r="E41" s="275"/>
      <c r="F41" s="274"/>
      <c r="G41" s="309"/>
      <c r="H41" s="313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09"/>
      <c r="H42" s="313"/>
      <c r="L42" s="12"/>
      <c r="U42" s="56"/>
      <c r="V42" s="56"/>
    </row>
    <row r="43" spans="2:24" ht="17.399999999999999" x14ac:dyDescent="0.35">
      <c r="D43" s="275"/>
      <c r="E43" s="275"/>
      <c r="F43" s="274"/>
      <c r="G43" s="309"/>
      <c r="H43" s="313"/>
      <c r="L43" s="242"/>
    </row>
    <row r="44" spans="2:24" ht="17.399999999999999" x14ac:dyDescent="0.35">
      <c r="D44" s="275"/>
      <c r="E44" s="275"/>
      <c r="F44" s="274"/>
      <c r="G44" s="309"/>
      <c r="H44" s="313"/>
      <c r="L44" s="242"/>
      <c r="T44" s="262"/>
    </row>
    <row r="45" spans="2:24" ht="17.399999999999999" x14ac:dyDescent="0.35">
      <c r="D45" s="275"/>
      <c r="E45" s="275"/>
      <c r="F45" s="274"/>
      <c r="G45" s="309"/>
      <c r="H45" s="313"/>
      <c r="L45" s="242"/>
    </row>
    <row r="46" spans="2:24" ht="15" customHeight="1" x14ac:dyDescent="0.35">
      <c r="D46" s="275"/>
      <c r="E46" s="275"/>
      <c r="F46" s="274"/>
      <c r="G46" s="309"/>
      <c r="H46" s="313"/>
    </row>
    <row r="47" spans="2:24" ht="17.399999999999999" x14ac:dyDescent="0.35">
      <c r="D47" s="275"/>
      <c r="E47" s="275"/>
      <c r="F47" s="274"/>
      <c r="G47" s="309"/>
      <c r="H47" s="313"/>
    </row>
    <row r="48" spans="2:24" ht="17.399999999999999" x14ac:dyDescent="0.35">
      <c r="D48" s="275"/>
      <c r="E48" s="275"/>
      <c r="F48" s="274"/>
      <c r="G48" s="309"/>
      <c r="H48" s="313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09"/>
      <c r="H49" s="313"/>
    </row>
    <row r="50" spans="4:20" ht="17.399999999999999" x14ac:dyDescent="0.35">
      <c r="D50" s="275"/>
      <c r="E50" s="275"/>
      <c r="F50" s="274"/>
      <c r="G50" s="309"/>
      <c r="H50" s="313"/>
      <c r="O50" s="51"/>
      <c r="P50" s="51"/>
    </row>
    <row r="51" spans="4:20" ht="17.399999999999999" x14ac:dyDescent="0.35">
      <c r="D51" s="275"/>
      <c r="E51" s="275"/>
      <c r="F51" s="274"/>
      <c r="G51" s="309"/>
      <c r="H51" s="313"/>
      <c r="S51" s="18"/>
      <c r="T51" s="18"/>
    </row>
    <row r="52" spans="4:20" ht="17.399999999999999" x14ac:dyDescent="0.35">
      <c r="D52" s="275"/>
      <c r="E52" s="275"/>
      <c r="F52" s="274"/>
      <c r="G52" s="309"/>
      <c r="H52" s="313"/>
      <c r="S52" s="18"/>
      <c r="T52" s="18"/>
    </row>
    <row r="53" spans="4:20" ht="17.399999999999999" x14ac:dyDescent="0.35">
      <c r="D53" s="275"/>
      <c r="E53" s="275"/>
      <c r="F53" s="274"/>
      <c r="G53" s="309"/>
      <c r="H53" s="31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45882</v>
      </c>
    </row>
    <row r="6" spans="1:31" ht="16.2" thickBot="1" x14ac:dyDescent="0.35">
      <c r="B6" s="134" t="s">
        <v>2</v>
      </c>
      <c r="C6" s="133" t="str">
        <f>'2229'!C10</f>
        <v>EDGARD LILLO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3" t="s">
        <v>95</v>
      </c>
      <c r="I7" s="354"/>
      <c r="J7" s="354"/>
      <c r="K7" s="355"/>
      <c r="N7" s="72"/>
      <c r="O7" s="352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11590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2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2293745.6660489133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4722134.2026948975</v>
      </c>
      <c r="C15" s="207" t="s">
        <v>118</v>
      </c>
      <c r="D15" s="208">
        <v>0.73</v>
      </c>
      <c r="E15" s="209">
        <f>(100%+D15)*D12</f>
        <v>3968180.0022646198</v>
      </c>
      <c r="F15" s="210">
        <f>E15-D12</f>
        <v>1674434.3362157065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'2229'!O32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169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'2229'!O33</f>
        <v>17000</v>
      </c>
      <c r="E19" s="117">
        <f>D19*0.19</f>
        <v>3230</v>
      </c>
      <c r="F19" s="114">
        <f>SUM(D19:E19)</f>
        <v>20230</v>
      </c>
      <c r="H19" s="323"/>
      <c r="I19" s="322"/>
      <c r="J19" s="144" t="s">
        <v>170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31</v>
      </c>
      <c r="D20" s="116">
        <f>'2229'!O31</f>
        <v>14100</v>
      </c>
      <c r="E20" s="117">
        <f>D20*0.19</f>
        <v>2679</v>
      </c>
      <c r="F20" s="114">
        <f>SUM(D20:E20)</f>
        <v>16779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'2229'!O30</f>
        <v>4304.16</v>
      </c>
      <c r="E21" s="115">
        <f>D21*0.19</f>
        <v>817.79039999999998</v>
      </c>
      <c r="F21" s="114">
        <f>SUM(D21:E21)</f>
        <v>5121.9503999999997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80</v>
      </c>
      <c r="C22" s="112" t="s">
        <v>6</v>
      </c>
      <c r="D22" s="111">
        <f>SUM(D18:D21)</f>
        <v>35404.160000000003</v>
      </c>
      <c r="E22" s="110">
        <f>SUM(E18:E21)</f>
        <v>6726.7903999999999</v>
      </c>
      <c r="F22" s="109">
        <f>SUM(F18:F21)</f>
        <v>42130.950400000002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49" t="s">
        <v>60</v>
      </c>
      <c r="I43" s="350"/>
      <c r="J43" s="350"/>
      <c r="K43" s="350"/>
      <c r="L43" s="350"/>
      <c r="M43" s="351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35404.160000000003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8"/>
      <c r="J52" s="348"/>
      <c r="K52" s="348"/>
      <c r="L52" s="348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2025-08-13T19:21:31Z</cp:lastPrinted>
  <dcterms:created xsi:type="dcterms:W3CDTF">2013-03-18T13:35:42Z</dcterms:created>
  <dcterms:modified xsi:type="dcterms:W3CDTF">2025-08-13T21:19:02Z</dcterms:modified>
</cp:coreProperties>
</file>