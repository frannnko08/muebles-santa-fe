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90241519-85C2-4753-988E-BE2F1E469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O22" i="1" s="1"/>
  <c r="P22" i="1" s="1"/>
  <c r="N22" i="1"/>
  <c r="S22" i="1"/>
  <c r="J34" i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s="1"/>
  <c r="H25" i="1" s="1"/>
  <c r="H26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<sst xmlns="http://schemas.openxmlformats.org/spreadsheetml/2006/main" count="233" uniqueCount="177">
  <si>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</si>
  <si>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</si>
  <si>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</si>
  <si>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</si>
  <si>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</si>
  <si>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</si>
  <si>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</si>
  <si>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</si>
  <si>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</si>
  <si>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</si>
  <si>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</si>
  <si>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</si>
  <si>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</si>
  <si>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</si>
  <si>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</si>
  <si>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</si>
  <si>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</si>
  <si>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</si>
  <si>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</si>
  <si>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</si>
  <si>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</si>
  <si>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</si>
  <si>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</si>
  <si>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</si>
  <si>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</si>
  <si>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</si>
  <si>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</si>
  <si>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</si>
  <si>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</si>
  <si>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</si>
  <si>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</si>
  <si>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</si>
  <si>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</si>
  <si>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</si>
  <si>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</si>
  <si>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</si>
  <si>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</si>
  <si>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</si>
  <si>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</si>
  <si>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</si>
  <si>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</si>
  <si>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</si>
  <si>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</si>
  <si>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</si>
  <si>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</si>
  <si>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</si>
  <si>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</si>
  <si>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</si>
  <si>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</si>
  <si>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</si>
  <si>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</si>
  <si>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</si>
  <si>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</si>
  <si>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</si>
  <si>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</si>
  <si>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</si>
  <si>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</si>
  <si>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</si>
  <si>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</si>
  <si>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</si>
  <si>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</si>
  <si>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</si>
  <si>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</si>
  <si>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</si>
  <si>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</si>
  <si>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</si>
  <si>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</si>
  <si>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</si>
  <si>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</si>
  <si>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</si>
  <si>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</si>
  <si>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</si>
  <si>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</si>
  <si>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</si>
  <si>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</si>
  <si>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</si>
  <si>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</si>
  <si>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</si>
  <si>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</si>
  <si>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</si>
  <si>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</si>
  <si>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</si>
  <si>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</si>
  <si>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</si>
  <si>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</si>
  <si>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</si>
  <si>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</si>
  <si>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</si>
  <si>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</si>
  <si>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</si>
  <si>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</si>
  <si>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</si>
  <si>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</si>
  <si>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</si>
  <si>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</si>
  <si>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</si>
  <si>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</si>
  <si>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</si>
  <si>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</si>
  <si>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</si>
  <si>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</si>
  <si>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</si>
  <si>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</si>
  <si>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</si>
  <si>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</si>
  <si>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</si>
  <si>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</si>
  <si>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</si>
  <si>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</si>
  <si>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</si>
  <si>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</si>
  <si>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</si>
  <si>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</si>
  <si>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</si>
  <si>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</si>
  <si>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</si>
  <si>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</si>
  <si>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</si>
  <si>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</si>
  <si>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</si>
  <si>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</si>
  <si>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</si>
  <si>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</si>
  <si>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</si>
  <si>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</si>
  <si>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</si>
  <si>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</si>
  <si>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</si>
  <si>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</si>
  <si>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</si>
  <si>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</si>
  <si>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</si>
  <si>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</si>
  <si>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</si>
  <si>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</si>
  <si>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</si>
  <si>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</si>
  <si>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</si>
  <si>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</si>
  <si>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</si>
  <si>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</si>
  <si>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</si>
  <si>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</si>
  <si>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</si>
  <si>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</si>
  <si>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</si>
  <si>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</si>
  <si>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</si>
  <si>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</si>
  <si>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</si>
  <si>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</si>
  <si>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</si>
  <si>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</si>
  <si>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</si>
  <si>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</si>
  <si>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</si>
  <si>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</si>
  <si>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</si>
  <si>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</si>
  <si>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</si>
  <si>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</si>
  <si>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</si>
  <si>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</si>
  <si>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</si>
  <si>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</si>
  <si>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</si>
  <si>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</si>
  <si>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</si>
  <si>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</si>
  <si>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</si>
  <si>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5 DIAS HABILES</t>
  </si>
  <si>
    <t>N° 11568</t>
  </si>
  <si>
    <t>EDUARDO PARADA</t>
  </si>
  <si>
    <t>+569 7936 8390</t>
  </si>
  <si>
    <t>FONDLE SAMZARA 14686 SF</t>
  </si>
  <si>
    <t>CUB MESA 180° 2 LADOS</t>
  </si>
  <si>
    <t>CUB C/R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</si>
</sst>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9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29"/>
      <c r="D8" s="331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166</v>
      </c>
      <c r="G10" s="271">
        <v>45880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167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8" t="s">
        <v>7</v>
      </c>
      <c r="C20" s="319" t="s">
        <v>1</v>
      </c>
      <c r="D20" s="319" t="s">
        <v>130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73072.673044456955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3">
        <v>1</v>
      </c>
      <c r="C21" s="323" t="s">
        <v>175</v>
      </c>
      <c r="D21" s="324">
        <v>1.8</v>
      </c>
      <c r="E21" s="324">
        <v>0.6</v>
      </c>
      <c r="F21" s="323" t="s">
        <v>174</v>
      </c>
      <c r="G21" s="325">
        <f>R21</f>
        <v>84425.975194147453</v>
      </c>
      <c r="H21" s="325">
        <f>G21*B21</f>
        <v>84425.975194147453</v>
      </c>
      <c r="I21" s="297"/>
      <c r="J21" s="260"/>
      <c r="K21" s="44"/>
      <c r="L21" s="44">
        <f>B21</f>
        <v>1</v>
      </c>
      <c r="M21" s="36">
        <f>D21+M$19</f>
        <v>1.8800000000000001</v>
      </c>
      <c r="N21" s="36">
        <f>E21+$N$19</f>
        <v>0.6</v>
      </c>
      <c r="O21" s="256">
        <f t="shared" ref="O21" si="1">M21*N21</f>
        <v>1.1280000000000001</v>
      </c>
      <c r="P21" s="254">
        <f t="shared" ref="P21" si="2">O21*L21</f>
        <v>1.1280000000000001</v>
      </c>
      <c r="Q21" s="247">
        <f t="shared" ref="Q21" si="3">Q$20*O21</f>
        <v>82425.975194147453</v>
      </c>
      <c r="R21" s="296">
        <f t="shared" ref="R21" si="4">Q21+R$20</f>
        <v>84425.975194147453</v>
      </c>
      <c r="S21" s="284">
        <f>M21*L21</f>
        <v>1.8800000000000001</v>
      </c>
      <c r="T21" s="43">
        <f>N21*2*L21*2</f>
        <v>2.4</v>
      </c>
      <c r="U21" s="9"/>
      <c r="X21" s="4"/>
    </row>
    <row r="22" spans="1:25" ht="17.399999999999999" x14ac:dyDescent="0.3">
      <c r="B22" s="323">
        <v>1</v>
      </c>
      <c r="C22" s="323" t="s">
        <v>176</v>
      </c>
      <c r="D22" s="324">
        <v>1.1000000000000001</v>
      </c>
      <c r="E22" s="324">
        <v>0.55000000000000004</v>
      </c>
      <c r="F22" s="323" t="s">
        <v>174</v>
      </c>
      <c r="G22" s="325">
        <v>49424</v>
      </c>
      <c r="H22" s="325">
        <f t="shared" ref="H22" si="5">G22*B22</f>
        <v>49424</v>
      </c>
      <c r="I22" s="297"/>
      <c r="J22" s="260"/>
      <c r="K22" s="44"/>
      <c r="L22" s="44">
        <f>B22</f>
        <v>1</v>
      </c>
      <c r="M22" s="36">
        <f>D22+M$19</f>
        <v>1.1800000000000002</v>
      </c>
      <c r="N22" s="36">
        <f>E22+$N$19</f>
        <v>0.55000000000000004</v>
      </c>
      <c r="O22" s="256">
        <f t="shared" ref="O22" si="6">M22*N22</f>
        <v>0.64900000000000013</v>
      </c>
      <c r="P22" s="254">
        <f t="shared" ref="P22" si="7">O22*L22</f>
        <v>0.64900000000000013</v>
      </c>
      <c r="Q22" s="247">
        <f t="shared" ref="Q22" si="8">Q$20*O22</f>
        <v>47424.164805852575</v>
      </c>
      <c r="R22" s="296">
        <f t="shared" ref="R22" si="9">Q22+R$20</f>
        <v>49424.164805852575</v>
      </c>
      <c r="S22" s="284">
        <f>M22*L22</f>
        <v>1.1800000000000002</v>
      </c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6">
        <f>SUM(H21:H23)</f>
        <v>133849.97519414744</v>
      </c>
      <c r="I24" s="299"/>
      <c r="J24" s="260"/>
      <c r="K24" s="316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7">
        <f>H24*19%</f>
        <v>25431.495286888014</v>
      </c>
      <c r="I25" s="299"/>
      <c r="J25" s="260"/>
      <c r="K25" s="316"/>
      <c r="L25" s="44"/>
      <c r="M25" s="36">
        <f>SUM(M21:M21)</f>
        <v>1.8800000000000001</v>
      </c>
      <c r="N25" s="12"/>
      <c r="O25" s="12"/>
      <c r="P25" s="248">
        <f>SUM(P21:P23)</f>
        <v>1.7770000000000001</v>
      </c>
      <c r="Q25" s="14"/>
      <c r="R25" s="12"/>
      <c r="S25" s="235">
        <f>SUM(S21:S24)</f>
        <v>3.0600000000000005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8">
        <f>H24+H25</f>
        <v>159281.47048103545</v>
      </c>
      <c r="I26" s="299"/>
      <c r="J26" s="260"/>
      <c r="K26" s="316"/>
      <c r="L26" s="44"/>
      <c r="M26" s="36"/>
      <c r="N26" s="12"/>
      <c r="O26" s="12"/>
      <c r="P26" s="248">
        <f>P25</f>
        <v>1.7770000000000001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6"/>
      <c r="L27" s="44"/>
      <c r="M27" s="14"/>
      <c r="N27" s="12"/>
      <c r="O27" s="12"/>
      <c r="P27" s="36">
        <f>P26*20%</f>
        <v>0.35540000000000005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2.1324000000000001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2.1324000000000001</v>
      </c>
      <c r="N30" s="12">
        <v>3500</v>
      </c>
      <c r="O30" s="12">
        <f t="shared" ref="O30:O35" si="10">M30*N30</f>
        <v>7463.4000000000005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0.6</v>
      </c>
      <c r="N31" s="12">
        <v>23500</v>
      </c>
      <c r="O31" s="12">
        <f t="shared" si="10"/>
        <v>14100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10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38500</v>
      </c>
      <c r="O33" s="12">
        <f t="shared" si="10"/>
        <v>38500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10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1.18</v>
      </c>
      <c r="N35" s="12">
        <v>1500</v>
      </c>
      <c r="O35" s="12">
        <f t="shared" si="10"/>
        <v>1770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61833.4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129850.14000000001</v>
      </c>
      <c r="P37" s="14" t="s">
        <v>138</v>
      </c>
      <c r="Q37" s="14"/>
      <c r="R37" s="37">
        <f>P28/R36</f>
        <v>0.57495685936151852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73072.673044456955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7"/>
      <c r="H40" s="321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2"/>
      <c r="D41" s="279"/>
      <c r="E41" s="279"/>
      <c r="F41" s="278"/>
      <c r="G41" s="317"/>
      <c r="H41" s="321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7"/>
      <c r="H42" s="321"/>
      <c r="L42" s="12"/>
      <c r="U42" s="56"/>
      <c r="V42" s="56"/>
    </row>
    <row r="43" spans="2:24" ht="17.399999999999999" x14ac:dyDescent="0.35">
      <c r="D43" s="279"/>
      <c r="E43" s="279"/>
      <c r="F43" s="278"/>
      <c r="G43" s="317"/>
      <c r="H43" s="321"/>
      <c r="L43" s="245"/>
    </row>
    <row r="44" spans="2:24" ht="17.399999999999999" x14ac:dyDescent="0.35">
      <c r="D44" s="279"/>
      <c r="E44" s="279"/>
      <c r="F44" s="278"/>
      <c r="G44" s="317"/>
      <c r="H44" s="321"/>
      <c r="L44" s="245"/>
      <c r="T44" s="265"/>
    </row>
    <row r="45" spans="2:24" ht="17.399999999999999" x14ac:dyDescent="0.35">
      <c r="D45" s="279"/>
      <c r="E45" s="279"/>
      <c r="F45" s="278"/>
      <c r="G45" s="317"/>
      <c r="H45" s="321"/>
      <c r="L45" s="245"/>
    </row>
    <row r="46" spans="2:24" ht="15" customHeight="1" x14ac:dyDescent="0.35">
      <c r="D46" s="279"/>
      <c r="E46" s="279"/>
      <c r="F46" s="278"/>
      <c r="G46" s="317"/>
      <c r="H46" s="321"/>
    </row>
    <row r="47" spans="2:24" ht="17.399999999999999" x14ac:dyDescent="0.35">
      <c r="D47" s="279"/>
      <c r="E47" s="279"/>
      <c r="F47" s="278"/>
      <c r="G47" s="317"/>
      <c r="H47" s="321"/>
    </row>
    <row r="48" spans="2:24" ht="17.399999999999999" x14ac:dyDescent="0.35">
      <c r="D48" s="279"/>
      <c r="E48" s="279"/>
      <c r="F48" s="278"/>
      <c r="G48" s="317"/>
      <c r="H48" s="321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7"/>
      <c r="H49" s="321"/>
    </row>
    <row r="50" spans="4:20" ht="17.399999999999999" x14ac:dyDescent="0.35">
      <c r="D50" s="279"/>
      <c r="E50" s="279"/>
      <c r="F50" s="278"/>
      <c r="G50" s="317"/>
      <c r="H50" s="321"/>
      <c r="O50" s="51"/>
      <c r="P50" s="51"/>
    </row>
    <row r="51" spans="4:20" ht="17.399999999999999" x14ac:dyDescent="0.35">
      <c r="D51" s="279"/>
      <c r="E51" s="279"/>
      <c r="F51" s="278"/>
      <c r="G51" s="317"/>
      <c r="H51" s="321"/>
      <c r="S51" s="18"/>
      <c r="T51" s="18"/>
    </row>
    <row r="52" spans="4:20" ht="17.399999999999999" x14ac:dyDescent="0.35">
      <c r="D52" s="279"/>
      <c r="E52" s="279"/>
      <c r="F52" s="278"/>
      <c r="G52" s="317"/>
      <c r="H52" s="321"/>
      <c r="S52" s="18"/>
      <c r="T52" s="18"/>
    </row>
    <row r="53" spans="4:20" ht="17.399999999999999" x14ac:dyDescent="0.35">
      <c r="D53" s="279"/>
      <c r="E53" s="279"/>
      <c r="F53" s="278"/>
      <c r="G53" s="317"/>
      <c r="H53" s="321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45880</v>
      </c>
    </row>
    <row r="6" spans="1:31" ht="16.2" thickBot="1" x14ac:dyDescent="0.35">
      <c r="B6" s="137" t="s">
        <v>2</v>
      </c>
      <c r="C6" s="136" t="str">
        <f>'2229'!C10</f>
        <v>EDUARDO PARADA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-11230.379792261287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133849.97519414744</v>
      </c>
      <c r="E11" s="129">
        <f>D11*0.19</f>
        <v>25431.495286888014</v>
      </c>
      <c r="F11" s="128">
        <f>E11+D11</f>
        <v>159281.47048103545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94759.620207738713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41542.310275362324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76759.620207738713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92307.664918785114</v>
      </c>
      <c r="E13" s="218">
        <f>(D11/D12)-1</f>
        <v>2.2220156824915542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67759.620207738713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28759.620207738713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79096.558764289861</v>
      </c>
      <c r="C15" s="210" t="s">
        <v>121</v>
      </c>
      <c r="D15" s="211">
        <v>0.6</v>
      </c>
      <c r="E15" s="212">
        <f>(100%+D15)*D12</f>
        <v>66467.696440579719</v>
      </c>
      <c r="F15" s="213">
        <f>E15-D12</f>
        <v>24925.386165217395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28759.620207738713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68759.620207738713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7463.4000000000005</v>
      </c>
      <c r="E20" s="118">
        <f>D20*0.19</f>
        <v>1418.046</v>
      </c>
      <c r="F20" s="117">
        <f>SUM(D20:E20)</f>
        <v>8881.4459999999999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21563.4</v>
      </c>
      <c r="E21" s="113">
        <f>SUM(E18:E20)</f>
        <v>4097.0460000000003</v>
      </c>
      <c r="F21" s="112">
        <f>SUM(F18:F20)</f>
        <v>25660.446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21334.449286888012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133849.97519414744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21563.4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92307.664918785114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92307.664918785114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2025-08-11T22:13:41Z</dcterms:modified>
</cp:coreProperties>
</file>