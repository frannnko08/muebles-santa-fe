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0A503CCC-AF1A-4CFC-A279-21CB80660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M21" i="1"/>
  <c r="M25" i="1" l="1"/>
  <c r="L21" i="1"/>
  <c r="N21" i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Q20" i="1" s="1"/>
  <c r="D20" i="3"/>
  <c r="E20" i="3" s="1"/>
  <c r="E21" i="3" s="1"/>
  <c r="D21" i="3" l="1"/>
  <c r="M43" i="3" s="1"/>
  <c r="D12" i="3" s="1"/>
  <c r="E15" i="3" s="1"/>
  <c r="A15" i="3" s="1"/>
  <c r="F20" i="3"/>
  <c r="F21" i="3" s="1"/>
  <c r="O39" i="1" l="1"/>
  <c r="Q21" i="1" l="1"/>
  <c r="F15" i="3"/>
  <c r="R21" i="1" l="1"/>
  <c r="G21" i="1" s="1"/>
  <c r="H21" i="1" l="1"/>
  <c r="H24" i="1" l="1"/>
  <c r="H25" i="1" s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<sst xmlns="http://schemas.openxmlformats.org/spreadsheetml/2006/main" count="231" uniqueCount="176">
  <si>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</si>
  <si>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</si>
  <si>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</si>
  <si>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</si>
  <si>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</si>
  <si>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</si>
  <si>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</si>
  <si>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</si>
  <si>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</si>
  <si>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</si>
  <si>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</si>
  <si>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</si>
  <si>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</si>
  <si>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</si>
  <si>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</si>
  <si>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</si>
  <si>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</si>
  <si>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</si>
  <si>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</si>
  <si>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</si>
  <si>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</si>
  <si>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</si>
  <si>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</si>
  <si>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</si>
  <si>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</si>
  <si>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</si>
  <si>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</si>
  <si>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</si>
  <si>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</si>
  <si>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</si>
  <si>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</si>
  <si>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</si>
  <si>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</si>
  <si>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</si>
  <si>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</si>
  <si>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</si>
  <si>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</si>
  <si>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</si>
  <si>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</si>
  <si>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</si>
  <si>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</si>
  <si>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</si>
  <si>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</si>
  <si>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</si>
  <si>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</si>
  <si>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</si>
  <si>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</si>
  <si>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</si>
  <si>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</si>
  <si>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</si>
  <si>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</si>
  <si>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</si>
  <si>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</si>
  <si>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</si>
  <si>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</si>
  <si>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</si>
  <si>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</si>
  <si>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</si>
  <si>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</si>
  <si>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</si>
  <si>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</si>
  <si>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</si>
  <si>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</si>
  <si>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</si>
  <si>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</si>
  <si>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</si>
  <si>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</si>
  <si>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</si>
  <si>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</si>
  <si>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</si>
  <si>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</si>
  <si>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</si>
  <si>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</si>
  <si>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</si>
  <si>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</si>
  <si>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</si>
  <si>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</si>
  <si>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</si>
  <si>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</si>
  <si>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</si>
  <si>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</si>
  <si>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</si>
  <si>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</si>
  <si>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</si>
  <si>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</si>
  <si>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</si>
  <si>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</si>
  <si>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</si>
  <si>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</si>
  <si>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</si>
  <si>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</si>
  <si>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</si>
  <si>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</si>
  <si>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</si>
  <si>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</si>
  <si>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</si>
  <si>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</si>
  <si>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</si>
  <si>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</si>
  <si>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</si>
  <si>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</si>
  <si>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</si>
  <si>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</si>
  <si>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</si>
  <si>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</si>
  <si>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</si>
  <si>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</si>
  <si>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</si>
  <si>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</si>
  <si>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</si>
  <si>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</si>
  <si>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</si>
  <si>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</si>
  <si>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</si>
  <si>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</si>
  <si>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</si>
  <si>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</si>
  <si>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</si>
  <si>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</si>
  <si>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</si>
  <si>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</si>
  <si>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</si>
  <si>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</si>
  <si>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</si>
  <si>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</si>
  <si>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</si>
  <si>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</si>
  <si>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</si>
  <si>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</si>
  <si>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</si>
  <si>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</si>
  <si>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</si>
  <si>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</si>
  <si>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</si>
  <si>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</si>
  <si>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</si>
  <si>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</si>
  <si>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</si>
  <si>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</si>
  <si>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</si>
  <si>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</si>
  <si>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</si>
  <si>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</si>
  <si>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</si>
  <si>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</si>
  <si>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</si>
  <si>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</si>
  <si>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</si>
  <si>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</si>
  <si>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</si>
  <si>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</si>
  <si>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</si>
  <si>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</si>
  <si>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</si>
  <si>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</si>
  <si>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</si>
  <si>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</si>
  <si>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</si>
  <si>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</si>
  <si>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</si>
  <si>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</si>
  <si>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</si>
  <si>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</si>
  <si>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</si>
  <si>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</si>
  <si>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</si>
  <si>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</si>
  <si>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</si>
  <si>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</si>
  <si>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</si>
  <si>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</si>
  <si>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N° 11559</t>
  </si>
  <si>
    <t>AMANDA PEREZ</t>
  </si>
  <si>
    <t>+569 9818 8192</t>
  </si>
  <si>
    <t>PUERTAS RADIO 6MM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</si>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</sst>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 CON TAPACANTO PVC 0,4MM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18MM TRASCARA BLANCA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17" zoomScale="93" zoomScaleNormal="93" workbookViewId="0">
      <selection activeCell="E22" sqref="E22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2" t="s">
        <v>162</v>
      </c>
      <c r="G17" s="332"/>
      <c r="H17" s="333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O38</f>
        <v>74008.172043010738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6">
        <v>3</v>
      </c>
      <c r="C21" s="326" t="s">
        <v>174</v>
      </c>
      <c r="D21" s="327">
        <v>0.6</v>
      </c>
      <c r="E21" s="327">
        <v>0.4</v>
      </c>
      <c r="F21" s="326" t="s">
        <v>175</v>
      </c>
      <c r="G21" s="328">
        <f>R21</f>
        <v>22271.727999999999</v>
      </c>
      <c r="H21" s="328">
        <f>G21*B21</f>
        <v>66815.183999999994</v>
      </c>
      <c r="I21" s="297"/>
      <c r="J21" s="260"/>
      <c r="K21" s="44"/>
      <c r="L21" s="44">
        <f>B21</f>
        <v>3</v>
      </c>
      <c r="M21" s="36">
        <f>D21+M$19</f>
        <v>0.62</v>
      </c>
      <c r="N21" s="36">
        <f>E21+$N$19</f>
        <v>0.42000000000000004</v>
      </c>
      <c r="O21" s="256">
        <f t="shared" ref="O21" si="1">M21*N21</f>
        <v>0.26040000000000002</v>
      </c>
      <c r="P21" s="254">
        <f t="shared" ref="P21" si="2">O21*L21</f>
        <v>0.78120000000000012</v>
      </c>
      <c r="Q21" s="247">
        <f t="shared" ref="Q21" si="3">Q$20*O21</f>
        <v>19271.727999999999</v>
      </c>
      <c r="R21" s="296">
        <f t="shared" ref="R21" si="4">Q21+R$20</f>
        <v>22271.727999999999</v>
      </c>
      <c r="S21" s="284">
        <f>M21*L21</f>
        <v>1.8599999999999999</v>
      </c>
      <c r="T21" s="43">
        <f>N21*2*L21*2</f>
        <v>5.0400000000000009</v>
      </c>
      <c r="U21" s="9"/>
      <c r="X21" s="4"/>
    </row>
    <row r="22" spans="1:25" ht="17.399999999999999" x14ac:dyDescent="0.3">
      <c r="B22" s="278"/>
      <c r="C22" s="278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9">
        <f>SUM(H21:H23)</f>
        <v>66815.183999999994</v>
      </c>
      <c r="I24" s="299"/>
      <c r="J24" s="260"/>
      <c r="K24" s="316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5.0400000000000009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51</v>
      </c>
      <c r="H25" s="330">
        <f>H24*19%</f>
        <v>12694.884959999999</v>
      </c>
      <c r="I25" s="299"/>
      <c r="J25" s="260"/>
      <c r="K25" s="316"/>
      <c r="L25" s="44"/>
      <c r="M25" s="36">
        <f>SUM(M21:M21)</f>
        <v>0.62</v>
      </c>
      <c r="N25" s="12"/>
      <c r="O25" s="12"/>
      <c r="P25" s="248">
        <f>SUM(P21:P23)</f>
        <v>0.78120000000000012</v>
      </c>
      <c r="Q25" s="14"/>
      <c r="R25" s="12"/>
      <c r="S25" s="235">
        <f>SUM(S21:S24)</f>
        <v>1.8599999999999999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31">
        <f>H24+H25</f>
        <v>79510.06895999999</v>
      </c>
      <c r="I26" s="299"/>
      <c r="J26" s="260"/>
      <c r="K26" s="316"/>
      <c r="L26" s="44"/>
      <c r="M26" s="36"/>
      <c r="N26" s="12"/>
      <c r="O26" s="12"/>
      <c r="P26" s="248">
        <f>P25</f>
        <v>0.78120000000000012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6"/>
      <c r="L27" s="44"/>
      <c r="M27" s="14"/>
      <c r="N27" s="12"/>
      <c r="O27" s="12"/>
      <c r="P27" s="36">
        <f>P26*20%</f>
        <v>0.15624000000000005</v>
      </c>
      <c r="Q27" s="36" t="s">
        <v>129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0.93744000000000016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149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0.93744000000000016</v>
      </c>
      <c r="N30" s="12">
        <v>3500</v>
      </c>
      <c r="O30" s="12">
        <f t="shared" ref="O30:O35" si="5">M30*N30</f>
        <v>3281.0400000000004</v>
      </c>
      <c r="P30" s="14" t="s">
        <v>21</v>
      </c>
      <c r="Q30" s="14"/>
      <c r="R30" s="14"/>
      <c r="S30" s="237"/>
      <c r="T30" s="14"/>
      <c r="U30" s="288" t="s">
        <v>150</v>
      </c>
      <c r="V30" s="285">
        <v>3625</v>
      </c>
      <c r="W30" s="56" t="s">
        <v>151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0.3</v>
      </c>
      <c r="N31" s="12">
        <v>40000</v>
      </c>
      <c r="O31" s="12">
        <f t="shared" si="5"/>
        <v>12000</v>
      </c>
      <c r="P31" s="36" t="s">
        <v>169</v>
      </c>
      <c r="Q31" s="39"/>
      <c r="R31" s="14"/>
      <c r="S31" s="236"/>
      <c r="T31" s="14"/>
      <c r="U31" s="288"/>
      <c r="V31" s="56">
        <v>906.25</v>
      </c>
      <c r="W31" s="56" t="s">
        <v>152</v>
      </c>
      <c r="X31" s="290"/>
    </row>
    <row r="32" spans="1:25" s="226" customFormat="1" ht="17.399999999999999" x14ac:dyDescent="0.35">
      <c r="B32" s="21" t="s">
        <v>148</v>
      </c>
      <c r="J32" s="257"/>
      <c r="K32" s="228"/>
      <c r="L32" s="245"/>
      <c r="M32" s="14"/>
      <c r="N32" s="245">
        <v>80000</v>
      </c>
      <c r="O32" s="12">
        <f t="shared" si="5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153</v>
      </c>
      <c r="X32" s="56"/>
    </row>
    <row r="33" spans="2:24" s="226" customFormat="1" ht="17.399999999999999" x14ac:dyDescent="0.35">
      <c r="B33" s="21" t="s">
        <v>164</v>
      </c>
      <c r="C33"/>
      <c r="D33"/>
      <c r="E33"/>
      <c r="F33"/>
      <c r="J33" s="257">
        <v>46000</v>
      </c>
      <c r="K33" s="228"/>
      <c r="L33" s="245"/>
      <c r="M33" s="14">
        <v>0.5</v>
      </c>
      <c r="N33" s="245">
        <v>24500</v>
      </c>
      <c r="O33" s="12">
        <f t="shared" si="5"/>
        <v>12250</v>
      </c>
      <c r="P33" s="14" t="s">
        <v>139</v>
      </c>
      <c r="Q33" s="17"/>
      <c r="S33" s="234"/>
      <c r="T33" s="251"/>
      <c r="U33" s="56"/>
      <c r="V33" s="56">
        <f>V31+V32</f>
        <v>1087.5</v>
      </c>
      <c r="W33" s="290" t="s">
        <v>154</v>
      </c>
      <c r="X33" s="56"/>
    </row>
    <row r="34" spans="2:24" s="226" customFormat="1" ht="17.399999999999999" x14ac:dyDescent="0.35">
      <c r="B34" s="26" t="s">
        <v>124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5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27531.040000000001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 t="s">
        <v>33</v>
      </c>
      <c r="N37" s="12"/>
      <c r="O37" s="250">
        <f>O36*2.1</f>
        <v>57815.184000000001</v>
      </c>
      <c r="P37" s="14" t="s">
        <v>138</v>
      </c>
      <c r="Q37" s="14"/>
      <c r="R37" s="37">
        <f>P28/R36</f>
        <v>0.25276100086281278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74008.172043010738</v>
      </c>
      <c r="P38" s="42" t="s">
        <v>24</v>
      </c>
      <c r="Q38" s="14"/>
      <c r="R38" s="14"/>
      <c r="S38"/>
      <c r="T38" s="234"/>
      <c r="U38" s="56" t="s">
        <v>155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157</v>
      </c>
      <c r="V39" s="286" t="s">
        <v>156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7"/>
      <c r="H40" s="324"/>
      <c r="L40" s="12"/>
      <c r="T40" s="234"/>
      <c r="U40" s="56" t="s">
        <v>158</v>
      </c>
      <c r="V40" s="287">
        <v>395.37</v>
      </c>
    </row>
    <row r="41" spans="2:24" s="226" customFormat="1" ht="17.399999999999999" x14ac:dyDescent="0.35">
      <c r="B41"/>
      <c r="C41" s="325"/>
      <c r="D41" s="279"/>
      <c r="E41" s="279"/>
      <c r="F41" s="278"/>
      <c r="G41" s="317"/>
      <c r="H41" s="324"/>
      <c r="L41" s="12"/>
      <c r="T41" s="234"/>
      <c r="U41" s="56" t="s">
        <v>153</v>
      </c>
      <c r="V41" s="56">
        <v>474.45</v>
      </c>
    </row>
    <row r="42" spans="2:24" ht="14.4" customHeight="1" x14ac:dyDescent="0.35">
      <c r="D42" s="279"/>
      <c r="E42" s="279"/>
      <c r="F42" s="278"/>
      <c r="G42" s="317"/>
      <c r="H42" s="324"/>
      <c r="L42" s="12"/>
      <c r="U42" s="56"/>
      <c r="V42" s="56"/>
    </row>
    <row r="43" spans="2:24" ht="17.399999999999999" x14ac:dyDescent="0.35">
      <c r="D43" s="279"/>
      <c r="E43" s="279"/>
      <c r="F43" s="278"/>
      <c r="G43" s="317"/>
      <c r="H43" s="324"/>
      <c r="L43" s="245"/>
    </row>
    <row r="44" spans="2:24" ht="17.399999999999999" x14ac:dyDescent="0.35">
      <c r="D44" s="279"/>
      <c r="E44" s="279"/>
      <c r="F44" s="278"/>
      <c r="G44" s="317"/>
      <c r="H44" s="324"/>
      <c r="L44" s="245"/>
      <c r="T44" s="265"/>
    </row>
    <row r="45" spans="2:24" ht="17.399999999999999" x14ac:dyDescent="0.35">
      <c r="D45" s="279"/>
      <c r="E45" s="279"/>
      <c r="F45" s="278"/>
      <c r="G45" s="317"/>
      <c r="H45" s="324"/>
      <c r="L45" s="245"/>
    </row>
    <row r="46" spans="2:24" ht="15" customHeight="1" x14ac:dyDescent="0.35">
      <c r="D46" s="279"/>
      <c r="E46" s="279"/>
      <c r="F46" s="278"/>
      <c r="G46" s="317"/>
      <c r="H46" s="324"/>
    </row>
    <row r="47" spans="2:24" ht="17.399999999999999" x14ac:dyDescent="0.35">
      <c r="D47" s="279"/>
      <c r="E47" s="279"/>
      <c r="F47" s="278"/>
      <c r="G47" s="317"/>
      <c r="H47" s="324"/>
    </row>
    <row r="48" spans="2:24" ht="17.399999999999999" x14ac:dyDescent="0.35">
      <c r="D48" s="279"/>
      <c r="E48" s="279"/>
      <c r="F48" s="278"/>
      <c r="G48" s="317"/>
      <c r="H48" s="324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  <c r="O50" s="51"/>
      <c r="P50" s="51"/>
    </row>
    <row r="51" spans="4:20" ht="17.399999999999999" x14ac:dyDescent="0.35">
      <c r="D51" s="279"/>
      <c r="E51" s="279"/>
      <c r="F51" s="278"/>
      <c r="G51" s="317"/>
      <c r="H51" s="324"/>
      <c r="S51" s="18"/>
      <c r="T51" s="18"/>
    </row>
    <row r="52" spans="4:20" ht="17.399999999999999" x14ac:dyDescent="0.35">
      <c r="D52" s="279"/>
      <c r="E52" s="279"/>
      <c r="F52" s="278"/>
      <c r="G52" s="317"/>
      <c r="H52" s="324"/>
      <c r="S52" s="18"/>
      <c r="T52" s="18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AMANDA PEREZ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8" t="s">
        <v>98</v>
      </c>
      <c r="I7" s="339"/>
      <c r="J7" s="339"/>
      <c r="K7" s="340"/>
      <c r="N7" s="72"/>
      <c r="O7" s="337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11559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7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-1733.2105932367122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'2229'!H24</f>
        <v>66815.183999999994</v>
      </c>
      <c r="E11" s="129">
        <f>D11*0.19</f>
        <v>12694.884959999999</v>
      </c>
      <c r="F11" s="128">
        <f>E11+D11</f>
        <v>79510.06895999999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104256.78940676329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35259.950275362324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86256.789406763288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31555.23372463767</v>
      </c>
      <c r="E13" s="218">
        <f>(D11/D12)-1</f>
        <v>0.89493131664132552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77256.789406763288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38256.789406763288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67134.94532428986</v>
      </c>
      <c r="C15" s="210" t="s">
        <v>121</v>
      </c>
      <c r="D15" s="211">
        <v>0.6</v>
      </c>
      <c r="E15" s="212">
        <f>(100%+D15)*D12</f>
        <v>56415.920440579721</v>
      </c>
      <c r="F15" s="213">
        <f>E15-D12</f>
        <v>21155.970165217397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38256.789406763288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78256.789406763288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12000</v>
      </c>
      <c r="E19" s="120">
        <f>D19*0.19</f>
        <v>2280</v>
      </c>
      <c r="F19" s="117">
        <f>SUM(D19:E19)</f>
        <v>14280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3281.0400000000004</v>
      </c>
      <c r="E20" s="118">
        <f>D20*0.19</f>
        <v>623.39760000000012</v>
      </c>
      <c r="F20" s="117">
        <f>SUM(D20:E20)</f>
        <v>3904.4376000000007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15281.04</v>
      </c>
      <c r="E21" s="113">
        <f>SUM(E18:E20)</f>
        <v>2903.3976000000002</v>
      </c>
      <c r="F21" s="112">
        <f>SUM(F18:F20)</f>
        <v>18184.437600000001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9791.4873599999992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66815.183999999994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15281.04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31555.23372463767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31555.23372463767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2025-08-01T20:16:17Z</cp:lastPrinted>
  <dcterms:created xsi:type="dcterms:W3CDTF">2013-03-18T13:35:42Z</dcterms:created>
  <dcterms:modified xsi:type="dcterms:W3CDTF">2025-08-04T23:58:23Z</dcterms:modified>
</cp:coreProperties>
</file>