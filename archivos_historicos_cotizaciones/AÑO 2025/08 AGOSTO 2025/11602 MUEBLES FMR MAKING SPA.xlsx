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8 AGOSTO 2025\"/>
    </mc:Choice>
  </mc:AlternateContent>
  <xr:revisionPtr revIDLastSave="0" documentId="13_ncr:1_{02930524-9C6B-4674-BC99-759CD965D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H44" i="1"/>
  <c r="G44" i="1"/>
  <c r="L24" i="1" l="1"/>
  <c r="M24" i="1"/>
  <c r="N24" i="1"/>
  <c r="L25" i="1"/>
  <c r="M25" i="1"/>
  <c r="N25" i="1"/>
  <c r="S24" i="1" l="1"/>
  <c r="O24" i="1"/>
  <c r="P24" i="1" s="1"/>
  <c r="O25" i="1"/>
  <c r="P25" i="1" s="1"/>
  <c r="S25" i="1"/>
  <c r="L22" i="1"/>
  <c r="M22" i="1"/>
  <c r="N22" i="1"/>
  <c r="L23" i="1"/>
  <c r="M23" i="1"/>
  <c r="N23" i="1"/>
  <c r="L21" i="1"/>
  <c r="N21" i="1"/>
  <c r="O22" i="1" l="1"/>
  <c r="P22" i="1" s="1"/>
  <c r="S22" i="1"/>
  <c r="O23" i="1"/>
  <c r="P23" i="1" s="1"/>
  <c r="S23" i="1"/>
  <c r="M21" i="1"/>
  <c r="M29" i="1" s="1"/>
  <c r="S21" i="1" l="1"/>
  <c r="S29" i="1" s="1"/>
  <c r="T21" i="1"/>
  <c r="T28" i="1" s="1"/>
  <c r="O21" i="1"/>
  <c r="P21" i="1" s="1"/>
  <c r="P29" i="1" s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l="1"/>
  <c r="O42" i="1" s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4" i="1" l="1"/>
  <c r="Q25" i="1"/>
  <c r="Q22" i="1"/>
  <c r="Q23" i="1"/>
  <c r="O43" i="1"/>
  <c r="R24" i="1" l="1"/>
  <c r="R25" i="1"/>
  <c r="R23" i="1"/>
  <c r="R22" i="1"/>
  <c r="Q21" i="1"/>
  <c r="F15" i="3"/>
  <c r="G25" i="1" l="1"/>
  <c r="H25" i="1" s="1"/>
  <c r="G22" i="1"/>
  <c r="H22" i="1" s="1"/>
  <c r="G23" i="1"/>
  <c r="H23" i="1" s="1"/>
  <c r="G24" i="1"/>
  <c r="H24" i="1" s="1"/>
  <c r="R21" i="1"/>
  <c r="G21" i="1" s="1"/>
  <c r="H21" i="1" l="1"/>
  <c r="H28" i="1" s="1"/>
  <c r="H29" i="1" l="1"/>
  <c r="H30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<sst xmlns="http://schemas.openxmlformats.org/spreadsheetml/2006/main" count="242" uniqueCount="178">
  <si>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</si>
  <si>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</si>
  <si>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</si>
  <si>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</si>
  <si>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</si>
  <si>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</si>
  <si>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</si>
  <si>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</si>
  <si>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</si>
  <si>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</si>
  <si>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</si>
  <si>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</si>
  <si>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</si>
  <si>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</si>
  <si>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</si>
  <si>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</si>
  <si>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</si>
  <si>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</si>
  <si>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</si>
  <si>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</si>
  <si>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</si>
  <si>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</si>
  <si>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</si>
  <si>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</si>
  <si>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</si>
  <si>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</si>
  <si>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</si>
  <si>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</si>
  <si>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</si>
  <si>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</si>
  <si>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</si>
  <si>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</si>
  <si>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</si>
  <si>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</si>
  <si>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</si>
  <si>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</si>
  <si>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</si>
  <si>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</si>
  <si>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</si>
  <si>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</si>
  <si>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</si>
  <si>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</si>
  <si>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</si>
  <si>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</si>
  <si>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</si>
  <si>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</si>
  <si>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</si>
  <si>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</si>
  <si>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</si>
  <si>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</si>
  <si>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</si>
  <si>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</si>
  <si>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</si>
  <si>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</si>
  <si>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</si>
  <si>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</si>
  <si>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</si>
  <si>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</si>
  <si>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</si>
  <si>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</si>
  <si>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</si>
  <si>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</si>
  <si>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</si>
  <si>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</si>
  <si>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</si>
  <si>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</si>
  <si>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</si>
  <si>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</si>
  <si>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</si>
  <si>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</si>
  <si>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</si>
  <si>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</si>
  <si>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</si>
  <si>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</si>
  <si>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</si>
  <si>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</si>
  <si>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</si>
  <si>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</si>
  <si>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</si>
  <si>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</si>
  <si>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</si>
  <si>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</si>
  <si>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</si>
  <si>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</si>
  <si>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</si>
  <si>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</si>
  <si>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</si>
  <si>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</si>
  <si>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</si>
  <si>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</si>
  <si>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</si>
  <si>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</si>
  <si>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</si>
  <si>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</si>
  <si>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</si>
  <si>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</si>
  <si>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</si>
  <si>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</si>
  <si>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</si>
  <si>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</si>
  <si>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</si>
  <si>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</si>
  <si>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</si>
  <si>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</si>
  <si>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</si>
  <si>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</si>
  <si>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</si>
  <si>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</si>
  <si>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</si>
  <si>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</si>
  <si>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</si>
  <si>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</si>
  <si>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</si>
  <si>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</si>
  <si>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</si>
  <si>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</si>
  <si>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</si>
  <si>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</si>
  <si>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</si>
  <si>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</si>
  <si>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</si>
  <si>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</si>
  <si>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</si>
  <si>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</si>
  <si>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</si>
  <si>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</si>
  <si>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</si>
  <si>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</si>
  <si>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</si>
  <si>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</si>
  <si>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</si>
  <si>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</si>
  <si>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</si>
  <si>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</si>
  <si>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</si>
  <si>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</si>
  <si>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</si>
  <si>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</si>
  <si>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</si>
  <si>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</si>
  <si>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</si>
  <si>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</si>
  <si>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</si>
  <si>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</si>
  <si>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</si>
  <si>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</si>
  <si>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</si>
  <si>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</si>
  <si>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</si>
  <si>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</si>
  <si>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</si>
  <si>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</si>
  <si>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</si>
  <si>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</si>
  <si>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</si>
  <si>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</si>
  <si>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</si>
  <si>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</si>
  <si>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</si>
  <si>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</si>
  <si>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</si>
  <si>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</si>
  <si>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</si>
  <si>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</si>
  <si>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</si>
  <si>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</si>
  <si>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</si>
  <si>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</si>
  <si>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</si>
  <si>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MUEBLES FMR MAKING SPA</t>
  </si>
  <si>
    <t>569 2062 2586</t>
  </si>
  <si>
    <t>MELAMIL 15MM</t>
  </si>
  <si>
    <t>YUSBEE CASTAÑEDA</t>
  </si>
  <si>
    <t>5 DIAS HABILES</t>
  </si>
  <si>
    <t>CUB SIN RESPALDO Y FRENTE 90° R8</t>
  </si>
  <si>
    <t>SHELL WHITE 2011 BRILLO</t>
  </si>
  <si>
    <t>LAMINADO</t>
  </si>
  <si>
    <t>N° 11602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</si>
</sst>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6" zoomScale="93" zoomScaleNormal="93" workbookViewId="0">
      <selection activeCell="J21" sqref="J21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125</v>
      </c>
      <c r="C8" s="328"/>
      <c r="D8" s="329" t="s">
        <v>177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9" t="s">
        <v>169</v>
      </c>
      <c r="D10" s="240"/>
      <c r="E10" s="240"/>
      <c r="F10" s="241" t="s">
        <v>167</v>
      </c>
      <c r="G10" s="272">
        <v>45888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10"/>
      <c r="F11" t="s">
        <v>166</v>
      </c>
      <c r="G11" s="311" t="s">
        <v>173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12"/>
      <c r="D12" s="313"/>
      <c r="E12" s="313"/>
      <c r="F12" s="313" t="s">
        <v>126</v>
      </c>
      <c r="G12" s="314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C13" t="s">
        <v>172</v>
      </c>
      <c r="F13" t="s">
        <v>165</v>
      </c>
      <c r="G13" s="315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6"/>
      <c r="D14" s="313"/>
      <c r="E14" s="313"/>
      <c r="F14" s="313" t="s">
        <v>134</v>
      </c>
      <c r="G14" s="317" t="s">
        <v>133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8" t="s">
        <v>170</v>
      </c>
      <c r="D15" s="319"/>
      <c r="F15" t="s">
        <v>168</v>
      </c>
      <c r="G15" s="320" t="s">
        <v>133</v>
      </c>
      <c r="H15" s="282"/>
    </row>
    <row r="16" spans="2:24" ht="16.8" x14ac:dyDescent="0.4">
      <c r="B16" s="298" t="s">
        <v>3</v>
      </c>
      <c r="C16" s="321"/>
      <c r="D16" s="313"/>
      <c r="E16" s="313"/>
      <c r="F16" s="322" t="s">
        <v>128</v>
      </c>
      <c r="G16" s="323" t="s">
        <v>160</v>
      </c>
      <c r="H16" s="244"/>
    </row>
    <row r="17" spans="2:25" ht="15" thickBot="1" x14ac:dyDescent="0.35">
      <c r="B17" s="295" t="s">
        <v>13</v>
      </c>
      <c r="C17" s="296" t="s">
        <v>163</v>
      </c>
      <c r="D17" s="297"/>
      <c r="E17" s="116"/>
      <c r="F17" s="345" t="s">
        <v>162</v>
      </c>
      <c r="G17" s="345"/>
      <c r="H17" s="346"/>
      <c r="I17" s="259"/>
      <c r="J17" s="259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47" t="s">
        <v>95</v>
      </c>
      <c r="C19" s="348"/>
      <c r="D19" s="348"/>
      <c r="E19" s="348"/>
      <c r="F19" s="348"/>
      <c r="G19" s="348"/>
      <c r="H19" s="349"/>
      <c r="I19" s="260"/>
      <c r="J19" s="260"/>
      <c r="K19" s="5"/>
      <c r="L19" s="246"/>
      <c r="M19" s="14">
        <v>0.05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330" t="s">
        <v>7</v>
      </c>
      <c r="C20" s="331" t="s">
        <v>1</v>
      </c>
      <c r="D20" s="331" t="s">
        <v>130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O42</f>
        <v>53011.919191919187</v>
      </c>
      <c r="R20" s="254">
        <v>3000</v>
      </c>
      <c r="S20" s="35"/>
      <c r="T20" s="14" t="s">
        <v>127</v>
      </c>
      <c r="U20" s="9"/>
      <c r="X20" s="4"/>
    </row>
    <row r="21" spans="2:25" ht="17.399999999999999" x14ac:dyDescent="0.3">
      <c r="B21" s="333">
        <v>4</v>
      </c>
      <c r="C21" s="334" t="s">
        <v>174</v>
      </c>
      <c r="D21" s="335">
        <v>1.02</v>
      </c>
      <c r="E21" s="335">
        <v>0.5</v>
      </c>
      <c r="F21" s="334" t="s">
        <v>175</v>
      </c>
      <c r="G21" s="336">
        <f>R21</f>
        <v>31361.376767676767</v>
      </c>
      <c r="H21" s="337">
        <f>G21*B21</f>
        <v>125445.50707070707</v>
      </c>
      <c r="I21" s="300"/>
      <c r="J21" s="261"/>
      <c r="K21" s="44"/>
      <c r="L21" s="44">
        <f>B21</f>
        <v>4</v>
      </c>
      <c r="M21" s="36">
        <f>D21+M$19</f>
        <v>1.07</v>
      </c>
      <c r="N21" s="36">
        <f>E21+$N$19</f>
        <v>0.5</v>
      </c>
      <c r="O21" s="257">
        <f t="shared" ref="O21" si="1">M21*N21</f>
        <v>0.53500000000000003</v>
      </c>
      <c r="P21" s="255">
        <f t="shared" ref="P21" si="2">O21*L21</f>
        <v>2.14</v>
      </c>
      <c r="Q21" s="248">
        <f t="shared" ref="Q21" si="3">Q$20*O21</f>
        <v>28361.376767676767</v>
      </c>
      <c r="R21" s="299">
        <f t="shared" ref="R21" si="4">Q21+R$20</f>
        <v>31361.376767676767</v>
      </c>
      <c r="S21" s="287">
        <f>M21*L21</f>
        <v>4.28</v>
      </c>
      <c r="T21" s="43">
        <f>N21*2*L21*2</f>
        <v>8</v>
      </c>
      <c r="U21" s="9"/>
      <c r="X21" s="4"/>
    </row>
    <row r="22" spans="2:25" ht="17.399999999999999" x14ac:dyDescent="0.3">
      <c r="B22" s="338">
        <v>1</v>
      </c>
      <c r="C22" s="306" t="s">
        <v>174</v>
      </c>
      <c r="D22" s="307">
        <v>1.98</v>
      </c>
      <c r="E22" s="307">
        <v>0.5</v>
      </c>
      <c r="F22" s="306" t="s">
        <v>175</v>
      </c>
      <c r="G22" s="308">
        <f t="shared" ref="G22:G25" si="5">R22</f>
        <v>56807.097979797967</v>
      </c>
      <c r="H22" s="339">
        <f t="shared" ref="H22:H23" si="6">G22*B22</f>
        <v>56807.097979797967</v>
      </c>
      <c r="I22" s="300"/>
      <c r="J22" s="261"/>
      <c r="K22" s="44"/>
      <c r="L22" s="44">
        <f t="shared" ref="L22:L23" si="7">B22</f>
        <v>1</v>
      </c>
      <c r="M22" s="36">
        <f t="shared" ref="M22:M23" si="8">D22+M$19</f>
        <v>2.0299999999999998</v>
      </c>
      <c r="N22" s="36">
        <f t="shared" ref="N22:N23" si="9">E22+$N$19</f>
        <v>0.5</v>
      </c>
      <c r="O22" s="257">
        <f t="shared" ref="O22:O23" si="10">M22*N22</f>
        <v>1.0149999999999999</v>
      </c>
      <c r="P22" s="255">
        <f t="shared" ref="P22:P23" si="11">O22*L22</f>
        <v>1.0149999999999999</v>
      </c>
      <c r="Q22" s="248">
        <f t="shared" ref="Q22:Q23" si="12">Q$20*O22</f>
        <v>53807.097979797967</v>
      </c>
      <c r="R22" s="299">
        <f t="shared" ref="R22:R23" si="13">Q22+R$20</f>
        <v>56807.097979797967</v>
      </c>
      <c r="S22" s="287">
        <f t="shared" ref="S22:S23" si="14">M22*L22</f>
        <v>2.0299999999999998</v>
      </c>
      <c r="T22" s="43"/>
      <c r="U22" s="9"/>
      <c r="X22" s="4"/>
    </row>
    <row r="23" spans="2:25" ht="17.399999999999999" x14ac:dyDescent="0.3">
      <c r="B23" s="338">
        <v>1</v>
      </c>
      <c r="C23" s="306" t="s">
        <v>174</v>
      </c>
      <c r="D23" s="307">
        <v>1.77</v>
      </c>
      <c r="E23" s="307">
        <v>0.5</v>
      </c>
      <c r="F23" s="306" t="s">
        <v>175</v>
      </c>
      <c r="G23" s="308">
        <f t="shared" si="5"/>
        <v>51240.846464646464</v>
      </c>
      <c r="H23" s="339">
        <f t="shared" si="6"/>
        <v>51240.846464646464</v>
      </c>
      <c r="I23" s="300"/>
      <c r="J23" s="261"/>
      <c r="K23" s="44"/>
      <c r="L23" s="44">
        <f t="shared" si="7"/>
        <v>1</v>
      </c>
      <c r="M23" s="36">
        <f t="shared" si="8"/>
        <v>1.82</v>
      </c>
      <c r="N23" s="36">
        <f t="shared" si="9"/>
        <v>0.5</v>
      </c>
      <c r="O23" s="257">
        <f t="shared" si="10"/>
        <v>0.91</v>
      </c>
      <c r="P23" s="255">
        <f t="shared" si="11"/>
        <v>0.91</v>
      </c>
      <c r="Q23" s="248">
        <f t="shared" si="12"/>
        <v>48240.846464646464</v>
      </c>
      <c r="R23" s="299">
        <f t="shared" si="13"/>
        <v>51240.846464646464</v>
      </c>
      <c r="S23" s="287">
        <f t="shared" si="14"/>
        <v>1.82</v>
      </c>
      <c r="T23" s="43"/>
      <c r="U23" s="9"/>
      <c r="X23" s="4"/>
    </row>
    <row r="24" spans="2:25" ht="17.399999999999999" x14ac:dyDescent="0.3">
      <c r="B24" s="338">
        <v>1</v>
      </c>
      <c r="C24" s="306" t="s">
        <v>174</v>
      </c>
      <c r="D24" s="307">
        <v>1.98</v>
      </c>
      <c r="E24" s="307">
        <v>0.5</v>
      </c>
      <c r="F24" s="306" t="s">
        <v>175</v>
      </c>
      <c r="G24" s="308">
        <f t="shared" si="5"/>
        <v>56807.097979797967</v>
      </c>
      <c r="H24" s="339">
        <f t="shared" ref="H24:H26" si="15">G24*B24</f>
        <v>56807.097979797967</v>
      </c>
      <c r="I24" s="300"/>
      <c r="J24" s="261"/>
      <c r="K24" s="44"/>
      <c r="L24" s="44">
        <f t="shared" ref="L24:L25" si="16">B24</f>
        <v>1</v>
      </c>
      <c r="M24" s="36">
        <f t="shared" ref="M24:M25" si="17">D24+M$19</f>
        <v>2.0299999999999998</v>
      </c>
      <c r="N24" s="36">
        <f t="shared" ref="N24:N25" si="18">E24+$N$19</f>
        <v>0.5</v>
      </c>
      <c r="O24" s="257">
        <f t="shared" ref="O24:O25" si="19">M24*N24</f>
        <v>1.0149999999999999</v>
      </c>
      <c r="P24" s="255">
        <f t="shared" ref="P24:P25" si="20">O24*L24</f>
        <v>1.0149999999999999</v>
      </c>
      <c r="Q24" s="248">
        <f t="shared" ref="Q24:Q25" si="21">Q$20*O24</f>
        <v>53807.097979797967</v>
      </c>
      <c r="R24" s="299">
        <f t="shared" ref="R24:R25" si="22">Q24+R$20</f>
        <v>56807.097979797967</v>
      </c>
      <c r="S24" s="287">
        <f t="shared" ref="S24:S25" si="23">M24*L24</f>
        <v>2.0299999999999998</v>
      </c>
      <c r="T24" s="43"/>
      <c r="U24" s="9"/>
      <c r="X24" s="4"/>
    </row>
    <row r="25" spans="2:25" ht="17.399999999999999" x14ac:dyDescent="0.3">
      <c r="B25" s="338">
        <v>1</v>
      </c>
      <c r="C25" s="306" t="s">
        <v>174</v>
      </c>
      <c r="D25" s="307">
        <v>1.67</v>
      </c>
      <c r="E25" s="307">
        <v>0.5</v>
      </c>
      <c r="F25" s="306" t="s">
        <v>175</v>
      </c>
      <c r="G25" s="308">
        <f t="shared" si="5"/>
        <v>48590.250505050499</v>
      </c>
      <c r="H25" s="339">
        <f t="shared" si="15"/>
        <v>48590.250505050499</v>
      </c>
      <c r="I25" s="300"/>
      <c r="J25" s="261"/>
      <c r="K25" s="44"/>
      <c r="L25" s="44">
        <f t="shared" si="16"/>
        <v>1</v>
      </c>
      <c r="M25" s="36">
        <f t="shared" si="17"/>
        <v>1.72</v>
      </c>
      <c r="N25" s="36">
        <f t="shared" si="18"/>
        <v>0.5</v>
      </c>
      <c r="O25" s="257">
        <f t="shared" si="19"/>
        <v>0.86</v>
      </c>
      <c r="P25" s="255">
        <f t="shared" si="20"/>
        <v>0.86</v>
      </c>
      <c r="Q25" s="248">
        <f t="shared" si="21"/>
        <v>45590.250505050499</v>
      </c>
      <c r="R25" s="299">
        <f t="shared" si="22"/>
        <v>48590.250505050499</v>
      </c>
      <c r="S25" s="287">
        <f t="shared" si="23"/>
        <v>1.72</v>
      </c>
      <c r="T25" s="43"/>
      <c r="U25" s="9"/>
      <c r="X25" s="4"/>
    </row>
    <row r="26" spans="2:25" ht="18" thickBot="1" x14ac:dyDescent="0.35">
      <c r="B26" s="340">
        <v>1</v>
      </c>
      <c r="C26" s="341" t="s">
        <v>176</v>
      </c>
      <c r="D26" s="342">
        <v>3.05</v>
      </c>
      <c r="E26" s="342">
        <v>1.22</v>
      </c>
      <c r="F26" s="341" t="s">
        <v>175</v>
      </c>
      <c r="G26" s="343">
        <v>22424</v>
      </c>
      <c r="H26" s="344">
        <f t="shared" si="15"/>
        <v>22424</v>
      </c>
      <c r="I26" s="300"/>
      <c r="J26" s="261"/>
      <c r="K26" s="44"/>
      <c r="L26" s="44"/>
      <c r="M26" s="36"/>
      <c r="N26" s="36"/>
      <c r="O26" s="257"/>
      <c r="P26" s="255"/>
      <c r="Q26" s="248"/>
      <c r="R26" s="299"/>
      <c r="S26" s="287"/>
      <c r="T26" s="43"/>
      <c r="U26" s="9"/>
      <c r="X26" s="4"/>
    </row>
    <row r="27" spans="2:25" ht="18" thickBot="1" x14ac:dyDescent="0.35">
      <c r="B27" s="279"/>
      <c r="C27" s="279"/>
      <c r="D27" s="280"/>
      <c r="E27" s="280"/>
      <c r="F27" s="279"/>
      <c r="G27" s="261"/>
      <c r="H27" s="301"/>
      <c r="I27" s="303"/>
      <c r="J27" s="230"/>
      <c r="K27" s="44"/>
      <c r="L27" s="44"/>
      <c r="M27" s="36"/>
      <c r="N27" s="36"/>
      <c r="O27" s="257"/>
      <c r="P27" s="255"/>
      <c r="Q27" s="248"/>
      <c r="R27" s="254"/>
      <c r="S27" s="287"/>
      <c r="T27" s="14"/>
      <c r="U27" s="9"/>
      <c r="X27" s="4"/>
    </row>
    <row r="28" spans="2:25" ht="17.399999999999999" x14ac:dyDescent="0.3">
      <c r="B28" s="279"/>
      <c r="C28" s="279"/>
      <c r="D28" s="280"/>
      <c r="E28" s="280"/>
      <c r="F28" s="279"/>
      <c r="G28" s="304" t="s">
        <v>28</v>
      </c>
      <c r="H28" s="305">
        <f>SUM(H21:H27)</f>
        <v>361314.79999999993</v>
      </c>
      <c r="I28" s="302"/>
      <c r="J28" s="261"/>
      <c r="K28" s="324"/>
      <c r="L28" s="44"/>
      <c r="M28" s="36"/>
      <c r="N28" s="36"/>
      <c r="O28" s="257"/>
      <c r="P28" s="255"/>
      <c r="Q28" s="248"/>
      <c r="R28" s="254"/>
      <c r="S28" s="287"/>
      <c r="T28" s="43">
        <f>SUM(T21:T27)</f>
        <v>8</v>
      </c>
      <c r="U28" s="9"/>
      <c r="X28" s="4"/>
    </row>
    <row r="29" spans="2:25" ht="17.399999999999999" x14ac:dyDescent="0.3">
      <c r="B29" s="273"/>
      <c r="C29" s="276"/>
      <c r="D29" s="277"/>
      <c r="E29" s="277"/>
      <c r="F29" s="278"/>
      <c r="G29" s="286" t="s">
        <v>51</v>
      </c>
      <c r="H29" s="284">
        <f>H28*19%</f>
        <v>68649.811999999991</v>
      </c>
      <c r="I29" s="302"/>
      <c r="J29" s="261"/>
      <c r="K29" s="324"/>
      <c r="L29" s="44"/>
      <c r="M29" s="36">
        <f>SUM(M21:M23)</f>
        <v>4.92</v>
      </c>
      <c r="N29" s="12"/>
      <c r="O29" s="12"/>
      <c r="P29" s="249">
        <f>SUM(P21:P27)</f>
        <v>5.94</v>
      </c>
      <c r="Q29" s="14"/>
      <c r="R29" s="12"/>
      <c r="S29" s="236">
        <f>SUM(S21:S28)</f>
        <v>11.88</v>
      </c>
      <c r="T29" s="43"/>
      <c r="U29" s="9"/>
      <c r="X29" s="4"/>
    </row>
    <row r="30" spans="2:25" ht="18" thickBot="1" x14ac:dyDescent="0.35">
      <c r="B30" s="271"/>
      <c r="C30" s="275"/>
      <c r="D30" s="268"/>
      <c r="E30" s="268"/>
      <c r="F30" s="269"/>
      <c r="G30" s="274" t="s">
        <v>6</v>
      </c>
      <c r="H30" s="285">
        <f>H28+H29</f>
        <v>429964.61199999991</v>
      </c>
      <c r="I30" s="302"/>
      <c r="J30" s="261"/>
      <c r="K30" s="324"/>
      <c r="L30" s="44"/>
      <c r="M30" s="36"/>
      <c r="N30" s="12"/>
      <c r="O30" s="12"/>
      <c r="P30" s="249">
        <f>P29</f>
        <v>5.94</v>
      </c>
      <c r="Q30" s="14"/>
      <c r="R30" s="12"/>
      <c r="S30" s="236"/>
      <c r="T30" s="43"/>
      <c r="U30" s="9"/>
      <c r="X30" s="4"/>
    </row>
    <row r="31" spans="2:25" ht="17.399999999999999" x14ac:dyDescent="0.3">
      <c r="B31" s="271"/>
      <c r="C31" s="267"/>
      <c r="D31" s="268"/>
      <c r="E31" s="268"/>
      <c r="F31" s="269"/>
      <c r="J31" s="261"/>
      <c r="K31" s="324"/>
      <c r="L31" s="44"/>
      <c r="M31" s="14"/>
      <c r="N31" s="12"/>
      <c r="O31" s="12"/>
      <c r="P31" s="36">
        <f>P30*20%</f>
        <v>1.1880000000000002</v>
      </c>
      <c r="Q31" s="36" t="s">
        <v>129</v>
      </c>
      <c r="R31" s="39"/>
      <c r="S31" s="237"/>
      <c r="T31" s="14"/>
      <c r="U31" s="9"/>
      <c r="X31" s="4"/>
    </row>
    <row r="32" spans="2:25" ht="17.399999999999999" x14ac:dyDescent="0.35">
      <c r="B32" s="265"/>
      <c r="C32" s="227"/>
      <c r="D32" s="227"/>
      <c r="E32" s="230"/>
      <c r="F32" s="231"/>
      <c r="G32" s="227"/>
      <c r="H32" s="270"/>
      <c r="I32" s="270"/>
      <c r="J32" s="261"/>
      <c r="K32" s="44"/>
      <c r="L32" s="44"/>
      <c r="M32" s="14"/>
      <c r="N32" s="12"/>
      <c r="O32" s="12"/>
      <c r="P32" s="43">
        <f>P30+P31</f>
        <v>7.1280000000000001</v>
      </c>
      <c r="Q32" s="14"/>
      <c r="R32" s="14"/>
      <c r="S32" s="235"/>
      <c r="T32" s="14"/>
      <c r="U32" s="9"/>
      <c r="X32" s="4"/>
    </row>
    <row r="33" spans="1:24" ht="17.399999999999999" x14ac:dyDescent="0.35">
      <c r="B33" s="232"/>
      <c r="C33" s="233"/>
      <c r="D33" s="234"/>
      <c r="E33" s="232"/>
      <c r="F33" s="227"/>
      <c r="G33" s="227"/>
      <c r="I33" s="270"/>
      <c r="J33" s="261"/>
      <c r="K33" s="44"/>
      <c r="L33" s="44"/>
      <c r="M33" s="14"/>
      <c r="N33" s="14"/>
      <c r="O33" s="14"/>
      <c r="P33" s="14"/>
      <c r="Q33" s="14"/>
      <c r="R33" s="14"/>
      <c r="S33" s="237"/>
      <c r="T33" s="14"/>
      <c r="U33" s="291" t="s">
        <v>21</v>
      </c>
      <c r="V33" s="288" t="s">
        <v>149</v>
      </c>
      <c r="W33" s="292">
        <v>44971</v>
      </c>
      <c r="X33" s="293"/>
    </row>
    <row r="34" spans="1:24" ht="17.399999999999999" x14ac:dyDescent="0.35">
      <c r="B34" s="227"/>
      <c r="C34" s="227"/>
      <c r="D34" s="227"/>
      <c r="E34" s="227"/>
      <c r="F34" s="227"/>
      <c r="G34" s="227"/>
      <c r="J34" s="261"/>
      <c r="K34" s="44"/>
      <c r="L34" s="44"/>
      <c r="M34" s="36">
        <f>P32</f>
        <v>7.1280000000000001</v>
      </c>
      <c r="N34" s="12">
        <v>3500</v>
      </c>
      <c r="O34" s="12">
        <f t="shared" ref="O34:O39" si="24">M34*N34</f>
        <v>24948</v>
      </c>
      <c r="P34" s="14" t="s">
        <v>21</v>
      </c>
      <c r="Q34" s="14"/>
      <c r="R34" s="14"/>
      <c r="S34" s="238"/>
      <c r="T34" s="14"/>
      <c r="U34" s="291" t="s">
        <v>150</v>
      </c>
      <c r="V34" s="288">
        <v>3625</v>
      </c>
      <c r="W34" s="56" t="s">
        <v>151</v>
      </c>
      <c r="X34" s="293"/>
    </row>
    <row r="35" spans="1:24" ht="17.399999999999999" x14ac:dyDescent="0.35">
      <c r="A35" s="227"/>
      <c r="B35" s="227"/>
      <c r="C35" s="227"/>
      <c r="D35" s="227"/>
      <c r="E35" s="227"/>
      <c r="F35" s="227"/>
      <c r="G35" s="227"/>
      <c r="H35" s="227"/>
      <c r="J35" s="261"/>
      <c r="K35" s="44"/>
      <c r="L35" s="44"/>
      <c r="M35" s="245">
        <v>2</v>
      </c>
      <c r="N35" s="12">
        <v>25000</v>
      </c>
      <c r="O35" s="12">
        <f t="shared" si="24"/>
        <v>50000</v>
      </c>
      <c r="P35" s="36" t="s">
        <v>171</v>
      </c>
      <c r="Q35" s="39"/>
      <c r="R35" s="14"/>
      <c r="S35" s="237"/>
      <c r="T35" s="14"/>
      <c r="U35" s="291"/>
      <c r="V35" s="56">
        <v>906.25</v>
      </c>
      <c r="W35" s="56" t="s">
        <v>152</v>
      </c>
      <c r="X35" s="293"/>
    </row>
    <row r="36" spans="1:24" s="227" customFormat="1" ht="17.399999999999999" x14ac:dyDescent="0.35">
      <c r="B36" s="21" t="s">
        <v>148</v>
      </c>
      <c r="J36" s="258"/>
      <c r="K36" s="229"/>
      <c r="L36" s="246"/>
      <c r="M36" s="14"/>
      <c r="N36" s="246">
        <v>30637</v>
      </c>
      <c r="O36" s="12">
        <f t="shared" si="24"/>
        <v>0</v>
      </c>
      <c r="P36" s="36" t="s">
        <v>30</v>
      </c>
      <c r="Q36" s="39"/>
      <c r="S36" s="237"/>
      <c r="T36" s="252"/>
      <c r="U36" s="56"/>
      <c r="V36" s="56">
        <f>V35*20%</f>
        <v>181.25</v>
      </c>
      <c r="W36" s="293" t="s">
        <v>153</v>
      </c>
      <c r="X36" s="56"/>
    </row>
    <row r="37" spans="1:24" s="227" customFormat="1" ht="17.399999999999999" x14ac:dyDescent="0.35">
      <c r="B37" s="21" t="s">
        <v>164</v>
      </c>
      <c r="C37"/>
      <c r="D37"/>
      <c r="E37"/>
      <c r="F37"/>
      <c r="J37" s="258"/>
      <c r="K37" s="229"/>
      <c r="L37" s="246"/>
      <c r="M37" s="14">
        <v>3</v>
      </c>
      <c r="N37" s="246">
        <v>25000</v>
      </c>
      <c r="O37" s="12">
        <f t="shared" si="24"/>
        <v>75000</v>
      </c>
      <c r="P37" s="14" t="s">
        <v>139</v>
      </c>
      <c r="Q37" s="17"/>
      <c r="S37" s="235"/>
      <c r="T37" s="252"/>
      <c r="U37" s="56"/>
      <c r="V37" s="56">
        <f>V35+V36</f>
        <v>1087.5</v>
      </c>
      <c r="W37" s="293" t="s">
        <v>154</v>
      </c>
      <c r="X37" s="56"/>
    </row>
    <row r="38" spans="1:24" s="227" customFormat="1" ht="17.399999999999999" x14ac:dyDescent="0.35">
      <c r="B38" s="26" t="s">
        <v>124</v>
      </c>
      <c r="C38"/>
      <c r="D38"/>
      <c r="E38"/>
      <c r="F38" s="226" t="s">
        <v>15</v>
      </c>
      <c r="J38" s="258"/>
      <c r="K38" s="256"/>
      <c r="L38" s="246"/>
      <c r="M38" s="245"/>
      <c r="N38" s="246">
        <v>900</v>
      </c>
      <c r="O38" s="12">
        <f t="shared" si="24"/>
        <v>0</v>
      </c>
      <c r="P38" s="14" t="s">
        <v>32</v>
      </c>
      <c r="Q38" s="14"/>
      <c r="R38" s="227">
        <v>1.52</v>
      </c>
      <c r="S38" s="235"/>
      <c r="T38" s="235"/>
    </row>
    <row r="39" spans="1:24" s="227" customFormat="1" ht="17.399999999999999" x14ac:dyDescent="0.35">
      <c r="J39" s="283"/>
      <c r="K39" s="256"/>
      <c r="L39" s="246"/>
      <c r="M39" s="262"/>
      <c r="N39" s="12">
        <v>1500</v>
      </c>
      <c r="O39" s="12">
        <f t="shared" si="24"/>
        <v>0</v>
      </c>
      <c r="P39" s="14" t="s">
        <v>22</v>
      </c>
      <c r="Q39" s="14"/>
      <c r="R39">
        <v>2.44</v>
      </c>
      <c r="S39"/>
      <c r="T39" s="235"/>
      <c r="X39" s="228"/>
    </row>
    <row r="40" spans="1:24" s="227" customFormat="1" ht="17.399999999999999" x14ac:dyDescent="0.35">
      <c r="K40" s="256"/>
      <c r="L40" s="246"/>
      <c r="M40" s="14"/>
      <c r="N40" s="12"/>
      <c r="O40" s="12">
        <f>SUM(O34:O39)</f>
        <v>149948</v>
      </c>
      <c r="P40" s="36" t="s">
        <v>23</v>
      </c>
      <c r="Q40" s="14"/>
      <c r="R40">
        <f>R38*R39</f>
        <v>3.7088000000000001</v>
      </c>
      <c r="S40"/>
      <c r="T40" s="235"/>
      <c r="X40" s="228"/>
    </row>
    <row r="41" spans="1:24" s="227" customFormat="1" ht="17.399999999999999" x14ac:dyDescent="0.35">
      <c r="L41" s="246"/>
      <c r="M41" s="250" t="s">
        <v>33</v>
      </c>
      <c r="N41" s="12"/>
      <c r="O41" s="251">
        <f>O40*2.1</f>
        <v>314890.8</v>
      </c>
      <c r="P41" s="14" t="s">
        <v>138</v>
      </c>
      <c r="Q41" s="14"/>
      <c r="R41" s="37">
        <f>P32/R40</f>
        <v>1.9219154443485764</v>
      </c>
      <c r="S41"/>
      <c r="T41" s="253"/>
    </row>
    <row r="42" spans="1:24" s="227" customFormat="1" ht="17.399999999999999" x14ac:dyDescent="0.35">
      <c r="G42"/>
      <c r="H42" s="256"/>
      <c r="I42" s="256"/>
      <c r="J42" s="256"/>
      <c r="L42" s="246"/>
      <c r="M42" s="14"/>
      <c r="N42" s="12"/>
      <c r="O42" s="12">
        <f>O41/P30</f>
        <v>53011.919191919187</v>
      </c>
      <c r="P42" s="42" t="s">
        <v>24</v>
      </c>
      <c r="Q42" s="14"/>
      <c r="R42" s="14"/>
      <c r="S42"/>
      <c r="T42" s="235"/>
      <c r="U42" s="56" t="s">
        <v>155</v>
      </c>
      <c r="V42" s="288">
        <v>43650</v>
      </c>
    </row>
    <row r="43" spans="1:24" s="227" customFormat="1" ht="17.399999999999999" x14ac:dyDescent="0.35">
      <c r="G43"/>
      <c r="L43" s="246"/>
      <c r="M43" s="13"/>
      <c r="N43" s="14"/>
      <c r="O43" s="17">
        <f>O41/O40</f>
        <v>2.1</v>
      </c>
      <c r="P43" s="15"/>
      <c r="Q43"/>
      <c r="R43"/>
      <c r="S43"/>
      <c r="T43" s="235"/>
      <c r="U43" s="56" t="s">
        <v>157</v>
      </c>
      <c r="V43" s="289" t="s">
        <v>156</v>
      </c>
      <c r="W43" s="56">
        <v>2.4</v>
      </c>
    </row>
    <row r="44" spans="1:24" s="227" customFormat="1" ht="17.399999999999999" x14ac:dyDescent="0.35">
      <c r="D44" s="307">
        <v>0.49299999999999999</v>
      </c>
      <c r="E44" s="307">
        <v>0.251</v>
      </c>
      <c r="F44" s="306">
        <v>12</v>
      </c>
      <c r="G44" s="326">
        <f>D44+0.04</f>
        <v>0.53300000000000003</v>
      </c>
      <c r="H44" s="325">
        <f>E44+0.09</f>
        <v>0.34099999999999997</v>
      </c>
      <c r="L44" s="12"/>
      <c r="T44" s="235"/>
      <c r="U44" s="56" t="s">
        <v>158</v>
      </c>
      <c r="V44" s="290">
        <v>395.37</v>
      </c>
    </row>
    <row r="45" spans="1:24" s="227" customFormat="1" ht="17.399999999999999" x14ac:dyDescent="0.35">
      <c r="B45"/>
      <c r="C45" s="225"/>
      <c r="D45" s="307">
        <v>0.39800000000000002</v>
      </c>
      <c r="E45" s="307">
        <v>0.125</v>
      </c>
      <c r="F45" s="306">
        <v>4</v>
      </c>
      <c r="G45" s="326">
        <f t="shared" ref="G45:G57" si="25">D45+0.04</f>
        <v>0.438</v>
      </c>
      <c r="H45" s="325">
        <f t="shared" ref="H45:H57" si="26">E45+0.09</f>
        <v>0.215</v>
      </c>
      <c r="L45" s="12"/>
      <c r="T45" s="235"/>
      <c r="U45" s="56" t="s">
        <v>153</v>
      </c>
      <c r="V45" s="56">
        <v>474.45</v>
      </c>
    </row>
    <row r="46" spans="1:24" ht="14.4" customHeight="1" x14ac:dyDescent="0.35">
      <c r="D46" s="307">
        <v>0.39800000000000002</v>
      </c>
      <c r="E46" s="307">
        <v>0.248</v>
      </c>
      <c r="F46" s="306">
        <v>1</v>
      </c>
      <c r="G46" s="326">
        <f t="shared" si="25"/>
        <v>0.438</v>
      </c>
      <c r="H46" s="325">
        <f t="shared" si="26"/>
        <v>0.33799999999999997</v>
      </c>
      <c r="L46" s="12"/>
      <c r="U46" s="56"/>
      <c r="V46" s="56"/>
    </row>
    <row r="47" spans="1:24" ht="17.399999999999999" x14ac:dyDescent="0.35">
      <c r="D47" s="307">
        <v>0.64800000000000002</v>
      </c>
      <c r="E47" s="307">
        <v>0.125</v>
      </c>
      <c r="F47" s="306">
        <v>4</v>
      </c>
      <c r="G47" s="326">
        <f t="shared" si="25"/>
        <v>0.68800000000000006</v>
      </c>
      <c r="H47" s="325">
        <f t="shared" si="26"/>
        <v>0.215</v>
      </c>
      <c r="L47" s="246"/>
    </row>
    <row r="48" spans="1:24" ht="17.399999999999999" x14ac:dyDescent="0.35">
      <c r="D48" s="307">
        <v>0.64800000000000002</v>
      </c>
      <c r="E48" s="307">
        <v>0.248</v>
      </c>
      <c r="F48" s="306">
        <v>1</v>
      </c>
      <c r="G48" s="326">
        <f t="shared" si="25"/>
        <v>0.68800000000000006</v>
      </c>
      <c r="H48" s="325">
        <f t="shared" si="26"/>
        <v>0.33799999999999997</v>
      </c>
      <c r="L48" s="246"/>
      <c r="T48" s="266"/>
    </row>
    <row r="49" spans="4:20" ht="17.399999999999999" x14ac:dyDescent="0.35">
      <c r="D49" s="307">
        <v>0.44800000000000001</v>
      </c>
      <c r="E49" s="307">
        <v>0.125</v>
      </c>
      <c r="F49" s="306">
        <v>4</v>
      </c>
      <c r="G49" s="326">
        <f t="shared" si="25"/>
        <v>0.48799999999999999</v>
      </c>
      <c r="H49" s="325">
        <f t="shared" si="26"/>
        <v>0.215</v>
      </c>
      <c r="L49" s="246"/>
    </row>
    <row r="50" spans="4:20" ht="15" customHeight="1" x14ac:dyDescent="0.35">
      <c r="D50" s="307">
        <v>0.44800000000000001</v>
      </c>
      <c r="E50" s="307">
        <v>0.248</v>
      </c>
      <c r="F50" s="306">
        <v>1</v>
      </c>
      <c r="G50" s="326">
        <f t="shared" si="25"/>
        <v>0.48799999999999999</v>
      </c>
      <c r="H50" s="325">
        <f t="shared" si="26"/>
        <v>0.33799999999999997</v>
      </c>
    </row>
    <row r="51" spans="4:20" ht="17.399999999999999" x14ac:dyDescent="0.35">
      <c r="D51" s="307">
        <v>0.76</v>
      </c>
      <c r="E51" s="307">
        <v>0.34599999999999997</v>
      </c>
      <c r="F51" s="306">
        <v>6</v>
      </c>
      <c r="G51" s="326">
        <f t="shared" si="25"/>
        <v>0.8</v>
      </c>
      <c r="H51" s="325">
        <f t="shared" si="26"/>
        <v>0.43599999999999994</v>
      </c>
    </row>
    <row r="52" spans="4:20" ht="17.399999999999999" x14ac:dyDescent="0.35">
      <c r="D52" s="307">
        <v>0.5</v>
      </c>
      <c r="E52" s="307">
        <v>0.38200000000000001</v>
      </c>
      <c r="F52" s="306">
        <v>1</v>
      </c>
      <c r="G52" s="326">
        <f t="shared" si="25"/>
        <v>0.54</v>
      </c>
      <c r="H52" s="325">
        <f t="shared" si="26"/>
        <v>0.47199999999999998</v>
      </c>
      <c r="O52">
        <v>40935</v>
      </c>
      <c r="P52" t="s">
        <v>16</v>
      </c>
      <c r="Q52" t="s">
        <v>26</v>
      </c>
    </row>
    <row r="53" spans="4:20" ht="17.399999999999999" x14ac:dyDescent="0.35">
      <c r="D53" s="307">
        <v>0.5</v>
      </c>
      <c r="E53" s="307">
        <v>0.39</v>
      </c>
      <c r="F53" s="306">
        <v>2</v>
      </c>
      <c r="G53" s="326">
        <f t="shared" si="25"/>
        <v>0.54</v>
      </c>
      <c r="H53" s="325">
        <f t="shared" si="26"/>
        <v>0.48</v>
      </c>
    </row>
    <row r="54" spans="4:20" ht="17.399999999999999" x14ac:dyDescent="0.35">
      <c r="D54" s="307">
        <v>0.59</v>
      </c>
      <c r="E54" s="307">
        <v>0.22500000000000001</v>
      </c>
      <c r="F54" s="306">
        <v>2</v>
      </c>
      <c r="G54" s="326">
        <f t="shared" si="25"/>
        <v>0.63</v>
      </c>
      <c r="H54" s="325">
        <f t="shared" si="26"/>
        <v>0.315</v>
      </c>
      <c r="O54" s="51"/>
      <c r="P54" s="51"/>
    </row>
    <row r="55" spans="4:20" ht="17.399999999999999" x14ac:dyDescent="0.35">
      <c r="D55" s="307">
        <v>0.59</v>
      </c>
      <c r="E55" s="307">
        <v>0.15</v>
      </c>
      <c r="F55" s="306">
        <v>2</v>
      </c>
      <c r="G55" s="326">
        <f t="shared" si="25"/>
        <v>0.63</v>
      </c>
      <c r="H55" s="325">
        <f t="shared" si="26"/>
        <v>0.24</v>
      </c>
      <c r="S55" s="18"/>
      <c r="T55" s="18"/>
    </row>
    <row r="56" spans="4:20" ht="17.399999999999999" x14ac:dyDescent="0.35">
      <c r="D56" s="307">
        <v>0.76</v>
      </c>
      <c r="E56" s="307">
        <v>0.35</v>
      </c>
      <c r="F56" s="306">
        <v>1</v>
      </c>
      <c r="G56" s="326">
        <f t="shared" si="25"/>
        <v>0.8</v>
      </c>
      <c r="H56" s="325">
        <f t="shared" si="26"/>
        <v>0.43999999999999995</v>
      </c>
      <c r="S56" s="18"/>
      <c r="T56" s="18"/>
    </row>
    <row r="57" spans="4:20" ht="17.399999999999999" x14ac:dyDescent="0.35">
      <c r="D57" s="307">
        <v>0.76</v>
      </c>
      <c r="E57" s="307">
        <v>0.34300000000000003</v>
      </c>
      <c r="F57" s="306">
        <v>2</v>
      </c>
      <c r="G57" s="326">
        <f t="shared" si="25"/>
        <v>0.8</v>
      </c>
      <c r="H57" s="325">
        <f t="shared" si="26"/>
        <v>0.43300000000000005</v>
      </c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3" spans="4:20" x14ac:dyDescent="0.3">
      <c r="S63" s="18"/>
      <c r="T63" s="18"/>
    </row>
    <row r="66" spans="3:15" x14ac:dyDescent="0.3">
      <c r="O66" s="40"/>
    </row>
    <row r="67" spans="3:15" x14ac:dyDescent="0.3">
      <c r="O67" s="40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45888</v>
      </c>
    </row>
    <row r="6" spans="1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51" t="s">
        <v>98</v>
      </c>
      <c r="I7" s="352"/>
      <c r="J7" s="352"/>
      <c r="K7" s="353"/>
      <c r="N7" s="72"/>
      <c r="O7" s="35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11602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5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-23327.294397342983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'2229'!H28</f>
        <v>361314.79999999993</v>
      </c>
      <c r="E11" s="129">
        <f>D11*0.19</f>
        <v>68649.811999999991</v>
      </c>
      <c r="F11" s="128">
        <f>E11+D11</f>
        <v>429964.61199999991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82662.705602657021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147567.35574396135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64662.705602657021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213747.44425603858</v>
      </c>
      <c r="E13" s="218">
        <f>(D11/D12)-1</f>
        <v>1.4484737710344544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55662.705602657021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16662.705602657017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263407.73000297102</v>
      </c>
      <c r="C15" s="210" t="s">
        <v>121</v>
      </c>
      <c r="D15" s="211">
        <v>0.5</v>
      </c>
      <c r="E15" s="212">
        <f>(100%+D15)*D12</f>
        <v>221351.03361594203</v>
      </c>
      <c r="F15" s="213">
        <f>E15-D12</f>
        <v>73783.677871980675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16662.705602657017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56662.705602657021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'2229'!O36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'2229'!O35</f>
        <v>50000</v>
      </c>
      <c r="E19" s="120">
        <f>D19*0.19</f>
        <v>9500</v>
      </c>
      <c r="F19" s="117">
        <f>SUM(D19:E19)</f>
        <v>59500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'2229'!O34</f>
        <v>24948</v>
      </c>
      <c r="E20" s="118">
        <f>D20*0.19</f>
        <v>4740.12</v>
      </c>
      <c r="F20" s="117">
        <f>SUM(D20:E20)</f>
        <v>29688.12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74948</v>
      </c>
      <c r="E21" s="113">
        <f>SUM(E18:E20)</f>
        <v>14240.119999999999</v>
      </c>
      <c r="F21" s="112">
        <f>SUM(F18:F20)</f>
        <v>89188.12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54409.691999999995</v>
      </c>
    </row>
    <row r="41" spans="2:16" ht="15" thickBot="1" x14ac:dyDescent="0.35">
      <c r="H41" s="354" t="s">
        <v>60</v>
      </c>
      <c r="I41" s="355"/>
      <c r="J41" s="355"/>
      <c r="K41" s="355"/>
      <c r="L41" s="355"/>
      <c r="M41" s="356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361314.79999999993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74948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213747.44425603858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213747.44425603858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2025-08-19T19:22:08Z</cp:lastPrinted>
  <dcterms:created xsi:type="dcterms:W3CDTF">2013-03-18T13:35:42Z</dcterms:created>
  <dcterms:modified xsi:type="dcterms:W3CDTF">2025-08-20T14:00:30Z</dcterms:modified>
</cp:coreProperties>
</file>