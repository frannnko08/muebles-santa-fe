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EFED375-4E58-426D-802F-F038B1FB3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6" i="1" l="1"/>
  <c r="J36" i="1"/>
  <c r="M27" i="1" l="1"/>
  <c r="S27" i="1" l="1"/>
  <c r="T26" i="1"/>
  <c r="P27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41" i="1" l="1"/>
  <c r="F15" i="3" l="1"/>
  <c r="H28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<sst xmlns="http://schemas.openxmlformats.org/spreadsheetml/2006/main" count="234" uniqueCount="180">
  <si>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</si>
  <si>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</si>
  <si>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</si>
  <si>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</si>
  <si>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</si>
  <si>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</si>
  <si>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</si>
  <si>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</si>
  <si>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</si>
  <si>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</si>
  <si>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</si>
  <si>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</si>
  <si>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</si>
  <si>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</si>
  <si>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</si>
  <si>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</si>
  <si>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</si>
  <si>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</si>
  <si>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</si>
  <si>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</si>
  <si>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</si>
  <si>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</si>
  <si>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</si>
  <si>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</si>
  <si>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</si>
  <si>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</si>
  <si>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</si>
  <si>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</si>
  <si>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</si>
  <si>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</si>
  <si>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</si>
  <si>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</si>
  <si>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</si>
  <si>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</si>
  <si>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</si>
  <si>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</si>
  <si>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</si>
  <si>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</si>
  <si>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</si>
  <si>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</si>
  <si>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</si>
  <si>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</si>
  <si>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</si>
  <si>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</si>
  <si>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</si>
  <si>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</si>
  <si>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</si>
  <si>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</si>
  <si>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</si>
  <si>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</si>
  <si>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</si>
  <si>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</si>
  <si>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</si>
  <si>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</si>
  <si>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</si>
  <si>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</si>
  <si>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</si>
  <si>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</si>
  <si>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</si>
  <si>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</si>
  <si>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</si>
  <si>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</si>
  <si>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</si>
  <si>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</si>
  <si>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</si>
  <si>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</si>
  <si>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</si>
  <si>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</si>
  <si>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</si>
  <si>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</si>
  <si>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</si>
  <si>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</si>
  <si>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</si>
  <si>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</si>
  <si>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</si>
  <si>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</si>
  <si>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</si>
  <si>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</si>
  <si>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</si>
  <si>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</si>
  <si>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</si>
  <si>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</si>
  <si>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</si>
  <si>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</si>
  <si>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</si>
  <si>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</si>
  <si>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</si>
  <si>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</si>
  <si>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</si>
  <si>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</si>
  <si>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</si>
  <si>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</si>
  <si>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</si>
  <si>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</si>
  <si>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</si>
  <si>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</si>
  <si>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</si>
  <si>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</si>
  <si>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</si>
  <si>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</si>
  <si>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</si>
  <si>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</si>
  <si>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</si>
  <si>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</si>
  <si>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</si>
  <si>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</si>
  <si>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</si>
  <si>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</si>
  <si>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</si>
  <si>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</si>
  <si>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</si>
  <si>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</si>
  <si>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</si>
  <si>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</si>
  <si>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</si>
  <si>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</si>
  <si>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</si>
  <si>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</si>
  <si>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</si>
  <si>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</si>
  <si>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</si>
  <si>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</si>
  <si>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</si>
  <si>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</si>
  <si>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</si>
  <si>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</si>
  <si>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</si>
  <si>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</si>
  <si>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</si>
  <si>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</si>
  <si>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</si>
  <si>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</si>
  <si>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</si>
  <si>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</si>
  <si>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</si>
  <si>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</si>
  <si>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</si>
  <si>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</si>
  <si>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</si>
  <si>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</si>
  <si>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</si>
  <si>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</si>
  <si>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</si>
  <si>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</si>
  <si>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</si>
  <si>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</si>
  <si>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</si>
  <si>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</si>
  <si>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</si>
  <si>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</si>
  <si>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</si>
  <si>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</si>
  <si>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</si>
  <si>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</si>
  <si>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</si>
  <si>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</si>
  <si>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</si>
  <si>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</si>
  <si>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</si>
  <si>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</si>
  <si>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</si>
  <si>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</si>
  <si>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</si>
  <si>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</si>
  <si>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</si>
  <si>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</si>
  <si>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</si>
  <si>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</si>
  <si>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</si>
  <si>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JACQUELINE TAPIA</t>
  </si>
  <si>
    <t>+569 8228 0497</t>
  </si>
  <si>
    <t>SANTIAGO</t>
  </si>
  <si>
    <t>MUEBLE MURAL 310 DE FONDO</t>
  </si>
  <si>
    <t>MELAMINA BLANCA 18MM</t>
  </si>
  <si>
    <t>COLOR BLANCO</t>
  </si>
  <si>
    <t>PUERTAS POSTFORMADAS R8</t>
  </si>
  <si>
    <t>SERVICIO DE INSTALACION</t>
  </si>
  <si>
    <t>N° 11564</t>
  </si>
  <si>
    <t>8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</si>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</sst>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167" fontId="0" fillId="7" borderId="0" xfId="0" applyNumberFormat="1" applyFill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MUEBLE MURAL NO LLEVAN TIRADORES, BISAGRAS 45° CIERRE NORMAL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1" t="s">
        <v>125</v>
      </c>
      <c r="C8" s="330"/>
      <c r="D8" s="332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169</v>
      </c>
      <c r="D10" s="239"/>
      <c r="E10" s="239"/>
      <c r="F10" s="240" t="s">
        <v>166</v>
      </c>
      <c r="G10" s="271">
        <v>45880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178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179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170</v>
      </c>
      <c r="D15" s="311"/>
      <c r="F15" t="s">
        <v>167</v>
      </c>
      <c r="G15" s="312" t="s">
        <v>179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171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8" t="s">
        <v>7</v>
      </c>
      <c r="C20" s="319" t="s">
        <v>1</v>
      </c>
      <c r="D20" s="319" t="s">
        <v>130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 t="e">
        <f>O40</f>
        <v>#DIV/0!</v>
      </c>
      <c r="R20" s="253">
        <v>2000</v>
      </c>
      <c r="S20" s="35"/>
      <c r="T20" s="14" t="s">
        <v>127</v>
      </c>
      <c r="U20" s="9"/>
      <c r="X20" s="4"/>
    </row>
    <row r="21" spans="2:25" ht="17.399999999999999" x14ac:dyDescent="0.3">
      <c r="B21" s="323">
        <v>1</v>
      </c>
      <c r="C21" s="323" t="s">
        <v>172</v>
      </c>
      <c r="D21" s="324">
        <v>1.67</v>
      </c>
      <c r="E21" s="324">
        <v>0.7</v>
      </c>
      <c r="F21" s="323" t="s">
        <v>173</v>
      </c>
      <c r="G21" s="325">
        <v>65000</v>
      </c>
      <c r="H21" s="325">
        <f t="shared" ref="H21:H23" si="1">G21*B21</f>
        <v>65000</v>
      </c>
      <c r="I21" s="297"/>
      <c r="J21" s="260"/>
      <c r="K21" s="44"/>
      <c r="L21" s="329"/>
      <c r="M21" s="36"/>
      <c r="N21" s="36"/>
      <c r="O21" s="256"/>
      <c r="P21" s="254"/>
      <c r="Q21" s="247"/>
      <c r="R21" s="296"/>
      <c r="S21" s="284"/>
      <c r="T21" s="43"/>
      <c r="U21" s="9"/>
      <c r="X21" s="4"/>
    </row>
    <row r="22" spans="2:25" ht="17.399999999999999" x14ac:dyDescent="0.3">
      <c r="B22" s="323">
        <v>3</v>
      </c>
      <c r="C22" s="323" t="s">
        <v>175</v>
      </c>
      <c r="D22" s="324">
        <v>0.7</v>
      </c>
      <c r="E22" s="324">
        <v>0.58499999999999996</v>
      </c>
      <c r="F22" s="323" t="s">
        <v>174</v>
      </c>
      <c r="G22" s="325">
        <v>29000</v>
      </c>
      <c r="H22" s="325">
        <f t="shared" si="1"/>
        <v>87000</v>
      </c>
      <c r="I22" s="297"/>
      <c r="J22" s="260"/>
      <c r="K22" s="44"/>
      <c r="L22" s="329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2:25" ht="17.399999999999999" x14ac:dyDescent="0.3">
      <c r="B23" s="323">
        <v>1</v>
      </c>
      <c r="C23" s="323" t="s">
        <v>176</v>
      </c>
      <c r="D23" s="324"/>
      <c r="E23" s="324"/>
      <c r="F23" s="323"/>
      <c r="G23" s="325">
        <v>145000</v>
      </c>
      <c r="H23" s="325">
        <f t="shared" si="1"/>
        <v>145000</v>
      </c>
      <c r="I23" s="297"/>
      <c r="J23" s="260"/>
      <c r="K23" s="44"/>
      <c r="L23" s="329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2:25" ht="17.399999999999999" x14ac:dyDescent="0.3">
      <c r="B24" s="278"/>
      <c r="C24" s="278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6">
        <f>SUM(H21:H25)</f>
        <v>297000</v>
      </c>
      <c r="I26" s="299"/>
      <c r="J26" s="260"/>
      <c r="K26" s="316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0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27"/>
      <c r="I27" s="299"/>
      <c r="J27" s="260"/>
      <c r="K27" s="316"/>
      <c r="L27" s="44"/>
      <c r="M27" s="36" t="e">
        <f>SUM(#REF!)</f>
        <v>#REF!</v>
      </c>
      <c r="N27" s="12"/>
      <c r="O27" s="12"/>
      <c r="P27" s="248">
        <f>SUM(P21:P25)</f>
        <v>0</v>
      </c>
      <c r="Q27" s="14"/>
      <c r="R27" s="12"/>
      <c r="S27" s="235">
        <f>SUM(S21:S26)</f>
        <v>0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8">
        <f>H26+H27</f>
        <v>297000</v>
      </c>
      <c r="I28" s="299"/>
      <c r="J28" s="260"/>
      <c r="K28" s="316"/>
      <c r="L28" s="44"/>
      <c r="M28" s="36"/>
      <c r="N28" s="12"/>
      <c r="O28" s="12"/>
      <c r="P28" s="248">
        <f>P27</f>
        <v>0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6"/>
      <c r="L29" s="44"/>
      <c r="M29" s="14"/>
      <c r="N29" s="12"/>
      <c r="O29" s="12"/>
      <c r="P29" s="36">
        <f>P28*20%</f>
        <v>0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0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0</v>
      </c>
      <c r="N32" s="12">
        <v>3500</v>
      </c>
      <c r="O32" s="12">
        <f t="shared" ref="O32:O37" si="2">M32*N32</f>
        <v>0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</v>
      </c>
      <c r="N33" s="12">
        <v>23500</v>
      </c>
      <c r="O33" s="12">
        <f t="shared" si="2"/>
        <v>23500</v>
      </c>
      <c r="P33" s="36" t="s">
        <v>168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2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163</v>
      </c>
      <c r="C35"/>
      <c r="D35"/>
      <c r="E35"/>
      <c r="F35"/>
      <c r="J35" s="257">
        <v>46000</v>
      </c>
      <c r="K35" s="228"/>
      <c r="L35" s="245"/>
      <c r="M35" s="14">
        <v>1</v>
      </c>
      <c r="N35" s="245">
        <v>25000</v>
      </c>
      <c r="O35" s="12">
        <f t="shared" si="2"/>
        <v>25000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2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>
        <v>3.59</v>
      </c>
      <c r="N37" s="12">
        <v>1500</v>
      </c>
      <c r="O37" s="12">
        <f t="shared" si="2"/>
        <v>5385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53885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O38*2.1</f>
        <v>113158.5</v>
      </c>
      <c r="P39" s="14" t="s">
        <v>138</v>
      </c>
      <c r="Q39" s="14"/>
      <c r="R39" s="37">
        <f>P30/R38</f>
        <v>0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 t="e">
        <f>O39/P28</f>
        <v>#DIV/0!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7"/>
      <c r="H42" s="321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2"/>
      <c r="D43" s="279"/>
      <c r="E43" s="279"/>
      <c r="F43" s="278"/>
      <c r="G43" s="317"/>
      <c r="H43" s="321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7"/>
      <c r="H44" s="321"/>
      <c r="L44" s="12"/>
      <c r="U44" s="56"/>
      <c r="V44" s="56"/>
    </row>
    <row r="45" spans="1:24" ht="17.399999999999999" x14ac:dyDescent="0.35">
      <c r="D45" s="279"/>
      <c r="E45" s="279"/>
      <c r="F45" s="278"/>
      <c r="G45" s="317"/>
      <c r="H45" s="321"/>
      <c r="L45" s="245"/>
    </row>
    <row r="46" spans="1:24" ht="17.399999999999999" x14ac:dyDescent="0.35">
      <c r="D46" s="279"/>
      <c r="E46" s="279"/>
      <c r="F46" s="278"/>
      <c r="G46" s="317"/>
      <c r="H46" s="321"/>
      <c r="L46" s="245"/>
      <c r="T46" s="265"/>
    </row>
    <row r="47" spans="1:24" ht="17.399999999999999" x14ac:dyDescent="0.35">
      <c r="D47" s="279"/>
      <c r="E47" s="279"/>
      <c r="F47" s="278"/>
      <c r="G47" s="317"/>
      <c r="H47" s="321"/>
      <c r="L47" s="245"/>
    </row>
    <row r="48" spans="1:24" ht="15" customHeight="1" x14ac:dyDescent="0.35">
      <c r="D48" s="279"/>
      <c r="E48" s="279"/>
      <c r="F48" s="278"/>
      <c r="G48" s="317"/>
      <c r="H48" s="321"/>
    </row>
    <row r="49" spans="4:20" ht="17.399999999999999" x14ac:dyDescent="0.35">
      <c r="D49" s="279"/>
      <c r="E49" s="279"/>
      <c r="F49" s="278"/>
      <c r="G49" s="317"/>
      <c r="H49" s="321"/>
    </row>
    <row r="50" spans="4:20" ht="17.399999999999999" x14ac:dyDescent="0.35">
      <c r="D50" s="279"/>
      <c r="E50" s="279"/>
      <c r="F50" s="278"/>
      <c r="G50" s="317"/>
      <c r="H50" s="321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7"/>
      <c r="H51" s="321"/>
    </row>
    <row r="52" spans="4:20" ht="17.399999999999999" x14ac:dyDescent="0.35">
      <c r="D52" s="279"/>
      <c r="E52" s="279"/>
      <c r="F52" s="278"/>
      <c r="G52" s="317"/>
      <c r="H52" s="321"/>
      <c r="O52" s="51"/>
      <c r="P52" s="51"/>
    </row>
    <row r="53" spans="4:20" ht="17.399999999999999" x14ac:dyDescent="0.35">
      <c r="D53" s="279"/>
      <c r="E53" s="279"/>
      <c r="F53" s="278"/>
      <c r="G53" s="317"/>
      <c r="H53" s="321"/>
      <c r="S53" s="18"/>
      <c r="T53" s="18"/>
    </row>
    <row r="54" spans="4:20" ht="17.399999999999999" x14ac:dyDescent="0.35">
      <c r="D54" s="279"/>
      <c r="E54" s="279"/>
      <c r="F54" s="278"/>
      <c r="G54" s="317"/>
      <c r="H54" s="321"/>
      <c r="S54" s="18"/>
      <c r="T54" s="18"/>
    </row>
    <row r="55" spans="4:20" ht="17.399999999999999" x14ac:dyDescent="0.35">
      <c r="D55" s="279"/>
      <c r="E55" s="279"/>
      <c r="F55" s="278"/>
      <c r="G55" s="317"/>
      <c r="H55" s="321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45880</v>
      </c>
    </row>
    <row r="6" spans="1:31" ht="16.2" thickBot="1" x14ac:dyDescent="0.35">
      <c r="B6" s="137" t="s">
        <v>2</v>
      </c>
      <c r="C6" s="136" t="str">
        <f>'2229'!C10</f>
        <v>JACQUELINE TAPIA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-37905.62392657005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297000</v>
      </c>
      <c r="E11" s="129">
        <f>D11*0.19</f>
        <v>56430</v>
      </c>
      <c r="F11" s="128">
        <f>E11+D11</f>
        <v>353430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68084.376073429943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43478.910275362316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50084.37607342995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253521.08972463768</v>
      </c>
      <c r="E13" s="218">
        <f>(D11/D12)-1</f>
        <v>5.8308979714309332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41084.37607342995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2084.3760734299503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82783.845164289844</v>
      </c>
      <c r="C15" s="210" t="s">
        <v>121</v>
      </c>
      <c r="D15" s="211">
        <v>0.6</v>
      </c>
      <c r="E15" s="212">
        <f>(100%+D15)*D12</f>
        <v>69566.256440579702</v>
      </c>
      <c r="F15" s="213">
        <f>E15-D12</f>
        <v>26087.346165217386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2084.3760734299503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42084.37607342995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0</v>
      </c>
      <c r="E20" s="118">
        <f>D20*0.19</f>
        <v>0</v>
      </c>
      <c r="F20" s="117">
        <f>SUM(D20:E20)</f>
        <v>0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23500</v>
      </c>
      <c r="E21" s="113">
        <f>SUM(E18:E20)</f>
        <v>4465</v>
      </c>
      <c r="F21" s="112">
        <f>SUM(F18:F20)</f>
        <v>27965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51965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297000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23500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253521.08972463768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253521.08972463768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2025-08-11T22:03:43Z</dcterms:modified>
</cp:coreProperties>
</file>