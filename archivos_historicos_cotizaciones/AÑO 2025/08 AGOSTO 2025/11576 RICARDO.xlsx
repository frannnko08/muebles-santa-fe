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BAACD532-BF6B-4A00-8789-E0E41B593F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H24" i="1"/>
  <c r="H22" i="1"/>
  <c r="G21" i="1"/>
  <c r="B28" i="3" l="1"/>
  <c r="D29" i="3" s="1"/>
  <c r="N16" i="3"/>
  <c r="J40" i="1"/>
  <c r="J37" i="1"/>
  <c r="J38" i="1" s="1"/>
  <c r="K18" i="3"/>
  <c r="I27" i="3" l="1"/>
  <c r="I39" i="3"/>
  <c r="A23" i="3"/>
  <c r="A22" i="3"/>
  <c r="A21" i="3"/>
  <c r="B23" i="3"/>
  <c r="D24" i="3" s="1"/>
  <c r="O20" i="3"/>
  <c r="O21" i="3" s="1"/>
  <c r="J34" i="1"/>
  <c r="M21" i="1"/>
  <c r="L21" i="1" l="1"/>
  <c r="M25" i="1" s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39" i="1" l="1"/>
  <c r="Q21" i="1" l="1"/>
  <c r="F15" i="3"/>
  <c r="R21" i="1" l="1"/>
  <c r="H21" i="1" l="1"/>
  <c r="H25" i="1" s="1"/>
  <c r="H26" i="1" s="1"/>
  <c r="D11" i="3" l="1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<sst xmlns="http://schemas.openxmlformats.org/spreadsheetml/2006/main" count="235" uniqueCount="181">
  <si>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</si>
  <si>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</si>
  <si>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</si>
  <si>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</si>
  <si>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</si>
  <si>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</si>
  <si>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</si>
  <si>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</si>
  <si>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</si>
  <si>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</si>
  <si>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</si>
  <si>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</si>
  <si>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</si>
  <si>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</si>
  <si>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</si>
  <si>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</si>
  <si>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</si>
  <si>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</si>
  <si>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</si>
  <si>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</si>
  <si>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</si>
  <si>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</si>
  <si>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</si>
  <si>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</si>
  <si>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</si>
  <si>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</si>
  <si>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</si>
  <si>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</si>
  <si>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</si>
  <si>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</si>
  <si>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</si>
  <si>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</si>
  <si>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</si>
  <si>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</si>
  <si>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</si>
  <si>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</si>
  <si>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</si>
  <si>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</si>
  <si>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</si>
  <si>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</si>
  <si>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</si>
  <si>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</si>
  <si>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</si>
  <si>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</si>
  <si>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</si>
  <si>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</si>
  <si>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</si>
  <si>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</si>
  <si>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</si>
  <si>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</si>
  <si>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</si>
  <si>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</si>
  <si>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</si>
  <si>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</si>
  <si>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</si>
  <si>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</si>
  <si>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</si>
  <si>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</si>
  <si>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</si>
  <si>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</si>
  <si>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</si>
  <si>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</si>
  <si>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</si>
  <si>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</si>
  <si>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</si>
  <si>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</si>
  <si>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</si>
  <si>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</si>
  <si>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</si>
  <si>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</si>
  <si>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</si>
  <si>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</si>
  <si>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</si>
  <si>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</si>
  <si>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</si>
  <si>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</si>
  <si>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</si>
  <si>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</si>
  <si>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</si>
  <si>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</si>
  <si>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</si>
  <si>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</si>
  <si>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</si>
  <si>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</si>
  <si>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</si>
  <si>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</si>
  <si>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</si>
  <si>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</si>
  <si>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</si>
  <si>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</si>
  <si>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</si>
  <si>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</si>
  <si>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</si>
  <si>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</si>
  <si>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</si>
  <si>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</si>
  <si>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</si>
  <si>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</si>
  <si>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</si>
  <si>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</si>
  <si>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</si>
  <si>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</si>
  <si>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</si>
  <si>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</si>
  <si>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</si>
  <si>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</si>
  <si>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</si>
  <si>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</si>
  <si>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</si>
  <si>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</si>
  <si>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</si>
  <si>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</si>
  <si>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</si>
  <si>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</si>
  <si>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</si>
  <si>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</si>
  <si>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</si>
  <si>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</si>
  <si>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</si>
  <si>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</si>
  <si>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</si>
  <si>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</si>
  <si>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</si>
  <si>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</si>
  <si>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</si>
  <si>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</si>
  <si>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</si>
  <si>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</si>
  <si>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</si>
  <si>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</si>
  <si>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</si>
  <si>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</si>
  <si>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</si>
  <si>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</si>
  <si>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</si>
  <si>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</si>
  <si>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</si>
  <si>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</si>
  <si>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</si>
  <si>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</si>
  <si>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</si>
  <si>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</si>
  <si>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</si>
  <si>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</si>
  <si>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</si>
  <si>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</si>
  <si>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</si>
  <si>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</si>
  <si>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</si>
  <si>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</si>
  <si>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</si>
  <si>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</si>
  <si>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</si>
  <si>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</si>
  <si>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</si>
  <si>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</si>
  <si>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</si>
  <si>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</si>
  <si>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</si>
  <si>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</si>
  <si>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</si>
  <si>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</si>
  <si>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</si>
  <si>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</si>
  <si>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</si>
  <si>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</si>
  <si>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</si>
  <si>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</si>
  <si>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</si>
  <si>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</si>
  <si>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</si>
  <si>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</si>
  <si>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</si>
  <si>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SUB TOTAL</t>
  </si>
  <si>
    <t>CUB CON RESPALDO FRENTE 180°</t>
  </si>
  <si>
    <t>RICARDO</t>
  </si>
  <si>
    <t>+56 9 7836 9661</t>
  </si>
  <si>
    <t>CORTE DESFONDADO</t>
  </si>
  <si>
    <t xml:space="preserve">3 - 5 DIAS HABILES </t>
  </si>
  <si>
    <t>N° 11576</t>
  </si>
  <si>
    <t>GRANITO KOMBI 0670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</si>
</sst>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 A LA MEDIDA Y ENCHAPADA CON REGRUESO POR EL LADO IZQUIERDO MIRANDOLA DESDE EL FRENTE, EL OTRO COSTADO VA SOBRE MEDIDA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7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175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178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Q12" s="19"/>
      <c r="R12" s="22"/>
      <c r="S12" s="19"/>
    </row>
    <row r="13" spans="2:24" x14ac:dyDescent="0.3">
      <c r="B13" s="276" t="s">
        <v>140</v>
      </c>
      <c r="F13" t="s">
        <v>161</v>
      </c>
      <c r="G13" s="301" t="s">
        <v>130</v>
      </c>
      <c r="H13" s="277"/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176</v>
      </c>
      <c r="D15" s="304"/>
      <c r="F15" t="s">
        <v>164</v>
      </c>
      <c r="G15" s="305" t="s">
        <v>130</v>
      </c>
      <c r="H15" s="277"/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</row>
    <row r="17" spans="1:25" ht="15" thickBot="1" x14ac:dyDescent="0.35">
      <c r="B17" s="287" t="s">
        <v>13</v>
      </c>
      <c r="C17" s="288" t="s">
        <v>166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>
        <v>0.3</v>
      </c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38073.336747431429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40">
        <v>1</v>
      </c>
      <c r="C21" s="341" t="s">
        <v>174</v>
      </c>
      <c r="D21" s="342">
        <v>1.91</v>
      </c>
      <c r="E21" s="342">
        <v>0.48499999999999999</v>
      </c>
      <c r="F21" s="341" t="s">
        <v>180</v>
      </c>
      <c r="G21" s="343">
        <f>Q21</f>
        <v>59476.263000000006</v>
      </c>
      <c r="H21" s="344">
        <f>G21*B21</f>
        <v>59476.263000000006</v>
      </c>
      <c r="I21" s="292"/>
      <c r="J21" s="257"/>
      <c r="K21" s="44"/>
      <c r="L21" s="44">
        <f>B21</f>
        <v>1</v>
      </c>
      <c r="M21" s="36">
        <f>D21+M$19</f>
        <v>1.99</v>
      </c>
      <c r="N21" s="36">
        <f>E21+$N$19</f>
        <v>0.78499999999999992</v>
      </c>
      <c r="O21" s="253">
        <f t="shared" ref="O21" si="1">M21*N21</f>
        <v>1.5621499999999999</v>
      </c>
      <c r="P21" s="251">
        <f t="shared" ref="P21" si="2">O21*L21</f>
        <v>1.5621499999999999</v>
      </c>
      <c r="Q21" s="244">
        <f t="shared" ref="Q21" si="3">Q$20*O21</f>
        <v>59476.263000000006</v>
      </c>
      <c r="R21" s="291">
        <f t="shared" ref="R21" si="4">Q21+R$20</f>
        <v>61476.263000000006</v>
      </c>
      <c r="S21" s="279">
        <f>M21*L21</f>
        <v>1.99</v>
      </c>
      <c r="T21" s="43">
        <f>N21*2*L21*2</f>
        <v>3.1399999999999997</v>
      </c>
      <c r="U21" s="9"/>
      <c r="X21" s="4"/>
    </row>
    <row r="22" spans="1:25" ht="18" thickBot="1" x14ac:dyDescent="0.35">
      <c r="B22" s="345">
        <v>1</v>
      </c>
      <c r="C22" s="346" t="s">
        <v>177</v>
      </c>
      <c r="D22" s="347"/>
      <c r="E22" s="347"/>
      <c r="F22" s="346"/>
      <c r="G22" s="348">
        <v>15000</v>
      </c>
      <c r="H22" s="349">
        <f>G22*B22</f>
        <v>15000</v>
      </c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/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4" t="s">
        <v>173</v>
      </c>
      <c r="H24" s="335">
        <f>SUM(H21:H23)</f>
        <v>74476.263000000006</v>
      </c>
      <c r="I24" s="294"/>
      <c r="J24" s="327"/>
      <c r="K24" s="309"/>
      <c r="L24" s="44"/>
      <c r="M24" s="36"/>
      <c r="N24" s="36"/>
      <c r="O24" s="253"/>
      <c r="P24" s="251"/>
      <c r="Q24" s="244"/>
      <c r="R24" s="250"/>
      <c r="S24" s="279"/>
      <c r="T24" s="43">
        <f>SUM(T21:T23)</f>
        <v>3.1399999999999997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8" t="s">
        <v>51</v>
      </c>
      <c r="H25" s="330">
        <f>H24*0.19</f>
        <v>14150.489970000001</v>
      </c>
      <c r="I25" s="294"/>
      <c r="J25" s="257"/>
      <c r="K25" s="309"/>
      <c r="L25" s="44"/>
      <c r="M25" s="36">
        <f>SUM(M21:M21)*L21</f>
        <v>1.99</v>
      </c>
      <c r="N25" s="12"/>
      <c r="O25" s="12"/>
      <c r="P25" s="245">
        <f>SUM(P21:P23)</f>
        <v>1.5621499999999999</v>
      </c>
      <c r="Q25" s="14"/>
      <c r="R25" s="12"/>
      <c r="S25" s="232">
        <f>SUM(S21:S24)</f>
        <v>1.99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9" t="s">
        <v>6</v>
      </c>
      <c r="H26" s="331">
        <f>H25+H24</f>
        <v>88626.752970000001</v>
      </c>
      <c r="I26" s="294"/>
      <c r="J26" s="257"/>
      <c r="K26" s="309"/>
      <c r="L26" s="44"/>
      <c r="M26" s="36"/>
      <c r="N26" s="12"/>
      <c r="O26" s="12"/>
      <c r="P26" s="245">
        <f>P25</f>
        <v>1.5621499999999999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0.31242999999999999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1.8745799999999999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1.8745799999999999</v>
      </c>
      <c r="N30" s="12">
        <v>3500</v>
      </c>
      <c r="O30" s="12">
        <f t="shared" ref="O30:O35" si="5">M30*N30</f>
        <v>6561.03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0.5</v>
      </c>
      <c r="N31" s="12">
        <v>23500</v>
      </c>
      <c r="O31" s="12">
        <f t="shared" si="5"/>
        <v>11750</v>
      </c>
      <c r="P31" s="36" t="s">
        <v>165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54782</v>
      </c>
      <c r="O32" s="12">
        <f t="shared" si="5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>
        <v>46000</v>
      </c>
      <c r="K33" s="225"/>
      <c r="L33" s="242"/>
      <c r="M33" s="14">
        <v>0.5</v>
      </c>
      <c r="N33" s="242">
        <v>18022</v>
      </c>
      <c r="O33" s="12">
        <f t="shared" si="5"/>
        <v>9011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>
        <f>J33/1.19</f>
        <v>38655.462184873948</v>
      </c>
      <c r="K34" s="252"/>
      <c r="L34" s="242"/>
      <c r="M34" s="241"/>
      <c r="N34" s="242">
        <v>900</v>
      </c>
      <c r="O34" s="12">
        <f t="shared" si="5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2</v>
      </c>
      <c r="N35" s="12">
        <v>500</v>
      </c>
      <c r="O35" s="12">
        <f t="shared" si="5"/>
        <v>1000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28322.03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J37" s="223">
        <f>1520/33</f>
        <v>46.060606060606062</v>
      </c>
      <c r="L37" s="242"/>
      <c r="M37" s="246" t="s">
        <v>33</v>
      </c>
      <c r="N37" s="12"/>
      <c r="O37" s="247">
        <f>O36*2.1</f>
        <v>59476.262999999999</v>
      </c>
      <c r="P37" s="14" t="s">
        <v>135</v>
      </c>
      <c r="Q37" s="14"/>
      <c r="R37" s="37">
        <f>P28/R36</f>
        <v>0.50544111302847283</v>
      </c>
      <c r="S37"/>
      <c r="T37" s="249"/>
    </row>
    <row r="38" spans="2:24" s="223" customFormat="1" ht="17.399999999999999" x14ac:dyDescent="0.35">
      <c r="G38"/>
      <c r="H38" s="252"/>
      <c r="I38" s="252"/>
      <c r="J38" s="332">
        <f>283/J37</f>
        <v>6.1440789473684205</v>
      </c>
      <c r="L38" s="242"/>
      <c r="M38" s="14"/>
      <c r="N38" s="12"/>
      <c r="O38" s="12">
        <f>O37/P26</f>
        <v>38073.336747431429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J39" s="223">
        <v>45950</v>
      </c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4"/>
      <c r="J40" s="333">
        <f>J39*7</f>
        <v>321650</v>
      </c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5"/>
      <c r="D41" s="275"/>
      <c r="E41" s="275"/>
      <c r="F41" s="274"/>
      <c r="G41" s="310"/>
      <c r="H41" s="314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4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4"/>
      <c r="L43" s="242"/>
    </row>
    <row r="44" spans="2:24" ht="17.399999999999999" x14ac:dyDescent="0.35">
      <c r="D44" s="275"/>
      <c r="E44" s="275"/>
      <c r="F44" s="274"/>
      <c r="G44" s="310"/>
      <c r="H44" s="314"/>
      <c r="L44" s="242"/>
      <c r="T44" s="262"/>
    </row>
    <row r="45" spans="2:24" ht="17.399999999999999" x14ac:dyDescent="0.35">
      <c r="D45" s="275"/>
      <c r="E45" s="275"/>
      <c r="F45" s="274"/>
      <c r="G45" s="310"/>
      <c r="H45" s="314"/>
      <c r="L45" s="242"/>
    </row>
    <row r="46" spans="2:24" ht="15" customHeight="1" x14ac:dyDescent="0.35">
      <c r="D46" s="275"/>
      <c r="E46" s="275"/>
      <c r="F46" s="274"/>
      <c r="G46" s="310"/>
      <c r="H46" s="314"/>
    </row>
    <row r="47" spans="2:24" ht="17.399999999999999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 s="51"/>
      <c r="P50" s="51"/>
    </row>
    <row r="51" spans="4:20" ht="17.399999999999999" x14ac:dyDescent="0.35">
      <c r="D51" s="275"/>
      <c r="E51" s="275"/>
      <c r="F51" s="274"/>
      <c r="G51" s="310"/>
      <c r="H51" s="314"/>
      <c r="S51" s="18"/>
      <c r="T51" s="18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RICARDO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11576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2285663.5360489134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4705495.5216638977</v>
      </c>
      <c r="C15" s="207" t="s">
        <v>118</v>
      </c>
      <c r="D15" s="208">
        <v>0.73</v>
      </c>
      <c r="E15" s="209">
        <f>(100%+D15)*D12</f>
        <v>3954197.9173646201</v>
      </c>
      <c r="F15" s="210">
        <f>E15-D12</f>
        <v>1668534.3813157068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170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167</v>
      </c>
      <c r="D18" s="116">
        <f>'2229'!O32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171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168</v>
      </c>
      <c r="D19" s="116">
        <f>'2229'!O33</f>
        <v>9011</v>
      </c>
      <c r="E19" s="117">
        <f>D19*0.19</f>
        <v>1712.09</v>
      </c>
      <c r="F19" s="114">
        <f>SUM(D19:E19)</f>
        <v>10723.09</v>
      </c>
      <c r="H19" s="324"/>
      <c r="I19" s="323"/>
      <c r="J19" s="144" t="s">
        <v>172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'2229'!O31</f>
        <v>11750</v>
      </c>
      <c r="E20" s="117">
        <f>D20*0.19</f>
        <v>2232.5</v>
      </c>
      <c r="F20" s="114">
        <f>SUM(D20:E20)</f>
        <v>13982.5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'2229'!O30</f>
        <v>6561.03</v>
      </c>
      <c r="E21" s="115">
        <f>D21*0.19</f>
        <v>1246.5957000000001</v>
      </c>
      <c r="F21" s="114">
        <f>SUM(D21:E21)</f>
        <v>7807.6256999999996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27322.03</v>
      </c>
      <c r="E22" s="110">
        <f>SUM(E18:E21)</f>
        <v>5191.1857</v>
      </c>
      <c r="F22" s="109">
        <f>SUM(F18:F21)</f>
        <v>32513.215700000001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169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27322.03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2025-08-08T20:51:09Z</cp:lastPrinted>
  <dcterms:created xsi:type="dcterms:W3CDTF">2013-03-18T13:35:42Z</dcterms:created>
  <dcterms:modified xsi:type="dcterms:W3CDTF">2025-08-13T18:12:52Z</dcterms:modified>
</cp:coreProperties>
</file>