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2A1F30EC-3F5D-461A-8413-D2472F70E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O23" i="1"/>
  <c r="P23" i="1" s="1"/>
  <c r="H23" i="1"/>
  <c r="H22" i="1" l="1"/>
  <c r="N22" i="1"/>
  <c r="L22" i="1"/>
  <c r="M22" i="1"/>
  <c r="L21" i="1"/>
  <c r="N21" i="1"/>
  <c r="S22" i="1" l="1"/>
  <c r="O22" i="1"/>
  <c r="P22" i="1" s="1"/>
  <c r="M21" i="1"/>
  <c r="M27" i="1" s="1"/>
  <c r="S21" i="1" l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F15" i="3"/>
  <c r="R21" i="1" l="1"/>
  <c r="H21" i="1" l="1"/>
  <c r="H26" i="1" s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<sst xmlns="http://schemas.openxmlformats.org/spreadsheetml/2006/main" count="236" uniqueCount="177">
  <si>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</si>
  <si>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</si>
  <si>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</si>
  <si>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</si>
  <si>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</si>
  <si>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</si>
  <si>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</si>
  <si>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</si>
  <si>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</si>
  <si>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</si>
  <si>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</si>
  <si>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</si>
  <si>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</si>
  <si>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</si>
  <si>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</si>
  <si>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</si>
  <si>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</si>
  <si>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</si>
  <si>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</si>
  <si>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</si>
  <si>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</si>
  <si>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</si>
  <si>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</si>
  <si>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</si>
  <si>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</si>
  <si>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</si>
  <si>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</si>
  <si>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</si>
  <si>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</si>
  <si>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</si>
  <si>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</si>
  <si>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</si>
  <si>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</si>
  <si>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</si>
  <si>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</si>
  <si>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</si>
  <si>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</si>
  <si>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</si>
  <si>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</si>
  <si>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</si>
  <si>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</si>
  <si>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</si>
  <si>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</si>
  <si>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</si>
  <si>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</si>
  <si>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</si>
  <si>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</si>
  <si>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</si>
  <si>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</si>
  <si>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</si>
  <si>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</si>
  <si>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</si>
  <si>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</si>
  <si>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</si>
  <si>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</si>
  <si>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</si>
  <si>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</si>
  <si>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</si>
  <si>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</si>
  <si>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</si>
  <si>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</si>
  <si>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</si>
  <si>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</si>
  <si>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</si>
  <si>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</si>
  <si>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</si>
  <si>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</si>
  <si>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</si>
  <si>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</si>
  <si>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</si>
  <si>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</si>
  <si>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</si>
  <si>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</si>
  <si>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</si>
  <si>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</si>
  <si>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</si>
  <si>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</si>
  <si>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</si>
  <si>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</si>
  <si>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</si>
  <si>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</si>
  <si>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</si>
  <si>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</si>
  <si>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</si>
  <si>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</si>
  <si>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</si>
  <si>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</si>
  <si>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</si>
  <si>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</si>
  <si>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</si>
  <si>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</si>
  <si>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</si>
  <si>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</si>
  <si>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</si>
  <si>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</si>
  <si>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</si>
  <si>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</si>
  <si>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</si>
  <si>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</si>
  <si>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</si>
  <si>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</si>
  <si>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</si>
  <si>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</si>
  <si>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</si>
  <si>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</si>
  <si>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</si>
  <si>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</si>
  <si>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</si>
  <si>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</si>
  <si>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</si>
  <si>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</si>
  <si>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</si>
  <si>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</si>
  <si>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</si>
  <si>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</si>
  <si>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</si>
  <si>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</si>
  <si>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</si>
  <si>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</si>
  <si>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</si>
  <si>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</si>
  <si>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</si>
  <si>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</si>
  <si>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</si>
  <si>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</si>
  <si>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</si>
  <si>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</si>
  <si>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</si>
  <si>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</si>
  <si>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</si>
  <si>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</si>
  <si>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</si>
  <si>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</si>
  <si>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</si>
  <si>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</si>
  <si>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</si>
  <si>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</si>
  <si>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</si>
  <si>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</si>
  <si>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</si>
  <si>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</si>
  <si>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</si>
  <si>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</si>
  <si>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</si>
  <si>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</si>
  <si>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</si>
  <si>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</si>
  <si>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</si>
  <si>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</si>
  <si>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</si>
  <si>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</si>
  <si>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</si>
  <si>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</si>
  <si>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</si>
  <si>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</si>
  <si>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</si>
  <si>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</si>
  <si>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</si>
  <si>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</si>
  <si>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</si>
  <si>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</si>
  <si>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</si>
  <si>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</si>
  <si>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</si>
  <si>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</si>
  <si>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</si>
  <si>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BALANCE</t>
  </si>
  <si>
    <t>LAMINA 153X366</t>
  </si>
  <si>
    <t>CORNISA 90° R19 MDF 30</t>
  </si>
  <si>
    <t>CENEFA R19 1 VUELTA MDF 30MM</t>
  </si>
  <si>
    <t>MARIOLI CONCHA</t>
  </si>
  <si>
    <t>+569 9408 2633</t>
  </si>
  <si>
    <t>2 DIAS HABILES</t>
  </si>
  <si>
    <t>LAM PF 0,7MM STRAIGHT WALNUT 10848 SF 3050 X 1220</t>
  </si>
  <si>
    <t>TRAIGHT WALNUT  10848 SF</t>
  </si>
  <si>
    <t>LAM PF 0,7 MM IRISH CREAM 21027 SF 3050X1220</t>
  </si>
  <si>
    <t>N° 11619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</si>
</sst>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A24" sqref="A24:XFD2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3.664062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45895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170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O40</f>
        <v>52440.692041522489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168</v>
      </c>
      <c r="D21" s="332">
        <v>2</v>
      </c>
      <c r="E21" s="332">
        <v>0.125</v>
      </c>
      <c r="F21" s="330" t="s">
        <v>174</v>
      </c>
      <c r="G21" s="331">
        <v>19088</v>
      </c>
      <c r="H21" s="331">
        <f>G21*B21</f>
        <v>19088</v>
      </c>
      <c r="I21" s="320"/>
      <c r="J21" s="265"/>
      <c r="K21" s="47"/>
      <c r="L21" s="47">
        <f>B21</f>
        <v>1</v>
      </c>
      <c r="M21" s="39">
        <f>D21+M$19</f>
        <v>2.08</v>
      </c>
      <c r="N21" s="39">
        <f>E21+$N$19</f>
        <v>0.17499999999999999</v>
      </c>
      <c r="O21" s="261">
        <f t="shared" ref="O21" si="1">M21*N21</f>
        <v>0.36399999999999999</v>
      </c>
      <c r="P21" s="259">
        <f t="shared" ref="P21" si="2">O21*L21</f>
        <v>0.36399999999999999</v>
      </c>
      <c r="Q21" s="252">
        <f t="shared" ref="Q21" si="3">Q$20*O21</f>
        <v>19088.411903114185</v>
      </c>
      <c r="R21" s="319">
        <f t="shared" ref="R21" si="4">Q21+R$20</f>
        <v>22088.411903114185</v>
      </c>
      <c r="S21" s="297">
        <f t="shared" ref="S21" si="5">L21*M21*2</f>
        <v>4.16</v>
      </c>
      <c r="T21" s="46">
        <f>N21*2*L21*2</f>
        <v>0.7</v>
      </c>
      <c r="U21" s="9"/>
      <c r="X21" s="4"/>
    </row>
    <row r="22" spans="2:25" ht="17.399999999999999" x14ac:dyDescent="0.3">
      <c r="B22" s="330">
        <v>2</v>
      </c>
      <c r="C22" s="330" t="s">
        <v>169</v>
      </c>
      <c r="D22" s="332">
        <v>1</v>
      </c>
      <c r="E22" s="332">
        <v>0.105</v>
      </c>
      <c r="F22" s="330" t="s">
        <v>174</v>
      </c>
      <c r="G22" s="331">
        <v>5947</v>
      </c>
      <c r="H22" s="331">
        <f>G22*B22</f>
        <v>11894</v>
      </c>
      <c r="I22" s="320"/>
      <c r="J22" s="265"/>
      <c r="K22" s="47"/>
      <c r="L22" s="47">
        <f>B22</f>
        <v>2</v>
      </c>
      <c r="M22" s="39">
        <f>D22+M$19</f>
        <v>1.08</v>
      </c>
      <c r="N22" s="39">
        <f>E22</f>
        <v>0.105</v>
      </c>
      <c r="O22" s="261">
        <f t="shared" ref="O22" si="6">M22*N22</f>
        <v>0.1134</v>
      </c>
      <c r="P22" s="259">
        <f t="shared" ref="P22" si="7">O22*L22</f>
        <v>0.2268</v>
      </c>
      <c r="Q22" s="252">
        <f t="shared" ref="Q22" si="8">Q$20*O22</f>
        <v>5946.7744775086503</v>
      </c>
      <c r="R22" s="319">
        <f t="shared" ref="R22" si="9">Q22+R$20</f>
        <v>8946.7744775086503</v>
      </c>
      <c r="S22" s="297">
        <f t="shared" ref="S22" si="10">L22*M22*2</f>
        <v>4.32</v>
      </c>
      <c r="T22" s="46"/>
      <c r="U22" s="9"/>
      <c r="X22" s="4"/>
    </row>
    <row r="23" spans="2:25" ht="17.399999999999999" x14ac:dyDescent="0.3">
      <c r="B23" s="330">
        <v>1</v>
      </c>
      <c r="C23" s="330" t="s">
        <v>169</v>
      </c>
      <c r="D23" s="332">
        <v>2</v>
      </c>
      <c r="E23" s="332">
        <v>0.105</v>
      </c>
      <c r="F23" s="330" t="s">
        <v>174</v>
      </c>
      <c r="G23" s="331">
        <v>11453</v>
      </c>
      <c r="H23" s="331">
        <f>G23*B23</f>
        <v>11453</v>
      </c>
      <c r="I23" s="320"/>
      <c r="J23" s="265"/>
      <c r="K23" s="47"/>
      <c r="L23" s="47">
        <f>B23</f>
        <v>1</v>
      </c>
      <c r="M23" s="39">
        <f>D23+M$19</f>
        <v>2.08</v>
      </c>
      <c r="N23" s="39">
        <f>E23</f>
        <v>0.105</v>
      </c>
      <c r="O23" s="261">
        <f t="shared" ref="O23" si="11">M23*N23</f>
        <v>0.21840000000000001</v>
      </c>
      <c r="P23" s="259">
        <f t="shared" ref="P23" si="12">O23*L23</f>
        <v>0.21840000000000001</v>
      </c>
      <c r="Q23" s="252">
        <f t="shared" ref="Q23" si="13">Q$20*O23</f>
        <v>11453.047141868512</v>
      </c>
      <c r="R23" s="319">
        <f t="shared" ref="R23" si="14">Q23+R$20</f>
        <v>14453.047141868512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42435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0.7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50</v>
      </c>
      <c r="H27" s="294">
        <f>H26*19%</f>
        <v>8062.6500000000005</v>
      </c>
      <c r="I27" s="322"/>
      <c r="J27" s="265"/>
      <c r="K27" s="47"/>
      <c r="L27" s="47"/>
      <c r="M27" s="39">
        <f>SUM(M21:M26)</f>
        <v>5.24</v>
      </c>
      <c r="N27" s="12"/>
      <c r="O27" s="12"/>
      <c r="P27" s="253">
        <f>SUM(P21:P25)</f>
        <v>0.80920000000000003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50497.65</v>
      </c>
      <c r="I28" s="322"/>
      <c r="J28" s="265"/>
      <c r="K28" s="47"/>
      <c r="L28" s="47"/>
      <c r="M28" s="39"/>
      <c r="N28" s="12"/>
      <c r="O28" s="12"/>
      <c r="P28" s="253">
        <f>P27</f>
        <v>0.80920000000000003</v>
      </c>
      <c r="Q28" s="14"/>
      <c r="R28" s="12"/>
      <c r="S28" s="239">
        <f>SUM(S21:S27)</f>
        <v>8.48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0.16184000000000001</v>
      </c>
      <c r="Q29" s="39" t="s">
        <v>129</v>
      </c>
      <c r="R29" s="42"/>
      <c r="S29" s="240">
        <f>S28+T26</f>
        <v>9.18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0.97104000000000001</v>
      </c>
      <c r="Q30" s="14"/>
      <c r="R30" s="14"/>
      <c r="S30" s="238">
        <f>S29*20%</f>
        <v>1.8360000000000001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11.016</v>
      </c>
      <c r="T31" s="14"/>
      <c r="U31" s="302" t="s">
        <v>21</v>
      </c>
      <c r="V31" s="299" t="s">
        <v>150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0.97104000000000001</v>
      </c>
      <c r="N32" s="12">
        <v>3500</v>
      </c>
      <c r="O32" s="12">
        <f t="shared" ref="O32:O34" si="15">M32*N32</f>
        <v>3398.64</v>
      </c>
      <c r="P32" s="14" t="s">
        <v>21</v>
      </c>
      <c r="Q32" s="14"/>
      <c r="R32" s="14"/>
      <c r="S32" s="241"/>
      <c r="T32" s="14"/>
      <c r="U32" s="302" t="s">
        <v>151</v>
      </c>
      <c r="V32" s="299">
        <v>3625</v>
      </c>
      <c r="W32" s="59" t="s">
        <v>152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0.2</v>
      </c>
      <c r="N33" s="12">
        <v>49500</v>
      </c>
      <c r="O33" s="12">
        <f t="shared" si="15"/>
        <v>9900</v>
      </c>
      <c r="P33" s="39" t="s">
        <v>30</v>
      </c>
      <c r="Q33" s="42"/>
      <c r="R33" s="14"/>
      <c r="S33" s="240"/>
      <c r="T33" s="14"/>
      <c r="U33" s="302"/>
      <c r="V33" s="59">
        <v>906.25</v>
      </c>
      <c r="W33" s="59" t="s">
        <v>153</v>
      </c>
      <c r="X33" s="304"/>
    </row>
    <row r="34" spans="1:24" s="230" customFormat="1" ht="17.399999999999999" x14ac:dyDescent="0.35">
      <c r="B34" s="24" t="s">
        <v>149</v>
      </c>
      <c r="J34" s="262"/>
      <c r="K34" s="232"/>
      <c r="L34" s="250"/>
      <c r="M34" s="14"/>
      <c r="N34" s="250">
        <v>15041</v>
      </c>
      <c r="O34" s="12">
        <f t="shared" si="15"/>
        <v>0</v>
      </c>
      <c r="P34" s="39" t="s">
        <v>166</v>
      </c>
      <c r="Q34" s="42"/>
      <c r="S34" s="240"/>
      <c r="T34" s="256"/>
      <c r="U34" s="59"/>
      <c r="V34" s="59">
        <f>V33*20%</f>
        <v>181.25</v>
      </c>
      <c r="W34" s="304" t="s">
        <v>154</v>
      </c>
      <c r="X34" s="59"/>
    </row>
    <row r="35" spans="1:24" s="230" customFormat="1" ht="17.399999999999999" x14ac:dyDescent="0.35">
      <c r="B35" s="24" t="s">
        <v>142</v>
      </c>
      <c r="C35"/>
      <c r="D35"/>
      <c r="E35"/>
      <c r="F35"/>
      <c r="J35" s="262"/>
      <c r="K35" s="232"/>
      <c r="L35" s="250"/>
      <c r="M35" s="14">
        <v>0.2</v>
      </c>
      <c r="N35" s="250">
        <v>29950</v>
      </c>
      <c r="O35" s="12">
        <f>M35*N35</f>
        <v>5990</v>
      </c>
      <c r="P35" s="14" t="s">
        <v>167</v>
      </c>
      <c r="S35" s="238"/>
      <c r="T35" s="256"/>
      <c r="U35" s="59"/>
      <c r="V35" s="59">
        <f>V33+V34</f>
        <v>1087.5</v>
      </c>
      <c r="W35" s="304" t="s">
        <v>155</v>
      </c>
      <c r="X35" s="59"/>
    </row>
    <row r="36" spans="1:24" s="230" customFormat="1" ht="17.399999999999999" x14ac:dyDescent="0.35">
      <c r="B36" s="29" t="s">
        <v>124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>M36*N36</f>
        <v>0</v>
      </c>
      <c r="P36" s="14" t="s">
        <v>31</v>
      </c>
      <c r="Q36" s="17"/>
      <c r="R36" s="230">
        <v>2.12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/>
      <c r="N37" s="12">
        <v>1500</v>
      </c>
      <c r="O37" s="12">
        <f>M37*N37</f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19288.64</v>
      </c>
      <c r="P38" s="39" t="s">
        <v>23</v>
      </c>
      <c r="Q38" s="14"/>
      <c r="R38">
        <f>R36*R37</f>
        <v>5.1728000000000005</v>
      </c>
      <c r="S38"/>
      <c r="T38" s="238"/>
      <c r="X38" s="231"/>
    </row>
    <row r="39" spans="1:24" s="230" customFormat="1" ht="17.399999999999999" x14ac:dyDescent="0.35">
      <c r="L39" s="250"/>
      <c r="M39" s="254" t="s">
        <v>32</v>
      </c>
      <c r="N39" s="12"/>
      <c r="O39" s="255">
        <f>O38*2.2</f>
        <v>42435.008000000002</v>
      </c>
      <c r="P39" s="14" t="s">
        <v>139</v>
      </c>
      <c r="Q39" s="14"/>
      <c r="R39" s="40">
        <f>P30/R38</f>
        <v>0.18772038354469531</v>
      </c>
      <c r="S39"/>
      <c r="T39" s="257"/>
    </row>
    <row r="40" spans="1:24" s="230" customFormat="1" ht="17.399999999999999" x14ac:dyDescent="0.35">
      <c r="D40" t="s">
        <v>173</v>
      </c>
      <c r="G40"/>
      <c r="H40" s="260"/>
      <c r="I40" s="260"/>
      <c r="J40" s="260"/>
      <c r="K40" s="230">
        <v>74260</v>
      </c>
      <c r="L40" s="250"/>
      <c r="M40" s="14"/>
      <c r="N40" s="12"/>
      <c r="O40" s="12">
        <f>O39/P28</f>
        <v>52440.692041522489</v>
      </c>
      <c r="P40" s="45" t="s">
        <v>24</v>
      </c>
      <c r="Q40" s="14"/>
      <c r="R40" s="14"/>
      <c r="S40"/>
      <c r="T40" s="238"/>
      <c r="U40" s="59" t="s">
        <v>156</v>
      </c>
      <c r="V40" s="299">
        <v>43650</v>
      </c>
    </row>
    <row r="41" spans="1:24" s="230" customFormat="1" ht="17.399999999999999" x14ac:dyDescent="0.35">
      <c r="D41" t="s">
        <v>175</v>
      </c>
      <c r="G41"/>
      <c r="K41" s="230">
        <f>K40/1.19</f>
        <v>62403.361344537821</v>
      </c>
      <c r="L41" s="250"/>
      <c r="M41" s="13"/>
      <c r="N41" s="14"/>
      <c r="O41" s="17">
        <f>O39/O38</f>
        <v>2.2000000000000002</v>
      </c>
      <c r="P41" s="15"/>
      <c r="Q41" s="14"/>
      <c r="R41"/>
      <c r="S41"/>
      <c r="T41" s="238"/>
      <c r="U41" s="59" t="s">
        <v>158</v>
      </c>
      <c r="V41" s="300" t="s">
        <v>157</v>
      </c>
      <c r="W41" s="59">
        <v>2.4</v>
      </c>
    </row>
    <row r="42" spans="1:24" s="230" customFormat="1" ht="17.399999999999999" x14ac:dyDescent="0.35">
      <c r="G42" s="23"/>
      <c r="L42" s="12"/>
      <c r="Q42"/>
      <c r="T42" s="238"/>
      <c r="U42" s="59" t="s">
        <v>159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154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146</v>
      </c>
    </row>
    <row r="76" spans="3:15" x14ac:dyDescent="0.3">
      <c r="C76" t="s">
        <v>145</v>
      </c>
    </row>
    <row r="79" spans="3:15" x14ac:dyDescent="0.3">
      <c r="C79" t="s">
        <v>145</v>
      </c>
    </row>
    <row r="156" spans="3:3" x14ac:dyDescent="0.3">
      <c r="C156" t="s">
        <v>145</v>
      </c>
    </row>
    <row r="157" spans="3:3" x14ac:dyDescent="0.3">
      <c r="C157" t="s">
        <v>147</v>
      </c>
    </row>
    <row r="158" spans="3:3" x14ac:dyDescent="0.3">
      <c r="C158" t="s">
        <v>148</v>
      </c>
    </row>
    <row r="583" spans="3:3" x14ac:dyDescent="0.3">
      <c r="C583" t="s">
        <v>145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45895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11619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4789.0009665458929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'2229'!H26</f>
        <v>42435</v>
      </c>
      <c r="E11" s="132">
        <f>D11*0.19</f>
        <v>8062.6500000000005</v>
      </c>
      <c r="F11" s="131">
        <f>E11+D11</f>
        <v>50497.65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110779.00096654589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43132.730787439614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92779.000966545893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-697.73078743961378</v>
      </c>
      <c r="E13" s="221">
        <f>(D11/D12)-1</f>
        <v>-1.6176364786131159E-2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83779.000966545893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44779.000966545893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71169.005799275357</v>
      </c>
      <c r="F15" s="216">
        <f>E15-D12</f>
        <v>28036.275011835743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44779.000966545893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84779.000966545893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'2229'!O33</f>
        <v>9900</v>
      </c>
      <c r="E19" s="123">
        <f>D19*0.19</f>
        <v>1881</v>
      </c>
      <c r="F19" s="120">
        <f>SUM(D19:E19)</f>
        <v>11781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3398.64</v>
      </c>
      <c r="E20" s="121">
        <f>D20*0.19</f>
        <v>645.74159999999995</v>
      </c>
      <c r="F20" s="120">
        <f>SUM(D20:E20)</f>
        <v>4044.3815999999997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13298.64</v>
      </c>
      <c r="E21" s="116">
        <f>SUM(E18:E20)</f>
        <v>2526.7415999999998</v>
      </c>
      <c r="F21" s="115">
        <f>SUM(F18:F20)</f>
        <v>15825.381600000001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5535.9084000000003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42435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13298.64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-697.73078743961378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-697.73078743961378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2025-08-26T22:45:00Z</dcterms:modified>
</cp:coreProperties>
</file>