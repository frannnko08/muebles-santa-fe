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5CB2BAF9-8666-46D4-8968-8D6DF11A1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P28" i="1"/>
  <c r="L22" i="1"/>
  <c r="M22" i="1"/>
  <c r="O22" i="1" s="1"/>
  <c r="P22" i="1" s="1"/>
  <c r="N22" i="1"/>
  <c r="L23" i="1"/>
  <c r="M23" i="1"/>
  <c r="O23" i="1" s="1"/>
  <c r="P23" i="1" s="1"/>
  <c r="N23" i="1"/>
  <c r="L24" i="1"/>
  <c r="M24" i="1"/>
  <c r="O24" i="1" s="1"/>
  <c r="P24" i="1" s="1"/>
  <c r="N24" i="1"/>
  <c r="H23" i="1"/>
  <c r="K27" i="1"/>
  <c r="M14" i="1"/>
  <c r="M16" i="1" s="1"/>
  <c r="H22" i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8" i="1" s="1"/>
  <c r="L21" i="1" l="1"/>
  <c r="N21" i="1"/>
  <c r="S21" i="1" l="1"/>
  <c r="S28" i="1" s="1"/>
  <c r="T21" i="1"/>
  <c r="T27" i="1" s="1"/>
  <c r="O21" i="1"/>
  <c r="P21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O40" i="1" s="1"/>
  <c r="O41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R22" i="1" s="1"/>
  <c r="Q24" i="1"/>
  <c r="R24" i="1" s="1"/>
  <c r="Q23" i="1"/>
  <c r="R23" i="1" s="1"/>
  <c r="O42" i="1"/>
  <c r="Q21" i="1" l="1"/>
  <c r="F15" i="3"/>
  <c r="R21" i="1" l="1"/>
  <c r="H21" i="1" l="1"/>
  <c r="H27" i="1" l="1"/>
  <c r="H28" i="1" s="1"/>
  <c r="H29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<sst xmlns="http://schemas.openxmlformats.org/spreadsheetml/2006/main" count="241" uniqueCount="180">
  <si>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</si>
  <si>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</si>
  <si>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</si>
  <si>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</si>
  <si>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</si>
  <si>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</si>
  <si>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</si>
  <si>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</si>
  <si>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</si>
  <si>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</si>
  <si>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</si>
  <si>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</si>
  <si>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</si>
  <si>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</si>
  <si>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</si>
  <si>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</si>
  <si>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</si>
  <si>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</si>
  <si>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</si>
  <si>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</si>
  <si>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</si>
  <si>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</si>
  <si>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</si>
  <si>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</si>
  <si>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</si>
  <si>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</si>
  <si>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</si>
  <si>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</si>
  <si>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</si>
  <si>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</si>
  <si>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</si>
  <si>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</si>
  <si>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</si>
  <si>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</si>
  <si>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</si>
  <si>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</si>
  <si>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</si>
  <si>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</si>
  <si>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</si>
  <si>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</si>
  <si>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</si>
  <si>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</si>
  <si>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</si>
  <si>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</si>
  <si>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</si>
  <si>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</si>
  <si>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</si>
  <si>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</si>
  <si>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</si>
  <si>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</si>
  <si>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</si>
  <si>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</si>
  <si>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</si>
  <si>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</si>
  <si>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</si>
  <si>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</si>
  <si>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</si>
  <si>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</si>
  <si>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</si>
  <si>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</si>
  <si>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</si>
  <si>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</si>
  <si>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</si>
  <si>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</si>
  <si>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</si>
  <si>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</si>
  <si>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</si>
  <si>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</si>
  <si>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</si>
  <si>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</si>
  <si>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</si>
  <si>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</si>
  <si>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</si>
  <si>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</si>
  <si>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</si>
  <si>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</si>
  <si>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</si>
  <si>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</si>
  <si>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</si>
  <si>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</si>
  <si>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</si>
  <si>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</si>
  <si>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</si>
  <si>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</si>
  <si>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</si>
  <si>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</si>
  <si>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</si>
  <si>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</si>
  <si>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</si>
  <si>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</si>
  <si>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</si>
  <si>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</si>
  <si>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</si>
  <si>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</si>
  <si>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</si>
  <si>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</si>
  <si>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</si>
  <si>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</si>
  <si>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</si>
  <si>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</si>
  <si>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</si>
  <si>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</si>
  <si>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</si>
  <si>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</si>
  <si>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</si>
  <si>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</si>
  <si>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</si>
  <si>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</si>
  <si>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</si>
  <si>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</si>
  <si>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</si>
  <si>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</si>
  <si>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</si>
  <si>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</si>
  <si>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</si>
  <si>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</si>
  <si>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</si>
  <si>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</si>
  <si>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</si>
  <si>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</si>
  <si>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</si>
  <si>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</si>
  <si>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</si>
  <si>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</si>
  <si>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</si>
  <si>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</si>
  <si>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</si>
  <si>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</si>
  <si>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</si>
  <si>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</si>
  <si>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</si>
  <si>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</si>
  <si>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</si>
  <si>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</si>
  <si>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</si>
  <si>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</si>
  <si>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</si>
  <si>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</si>
  <si>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</si>
  <si>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</si>
  <si>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</si>
  <si>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</si>
  <si>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</si>
  <si>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</si>
  <si>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</si>
  <si>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</si>
  <si>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</si>
  <si>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</si>
  <si>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</si>
  <si>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</si>
  <si>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</si>
  <si>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</si>
  <si>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</si>
  <si>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</si>
  <si>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</si>
  <si>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</si>
  <si>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</si>
  <si>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</si>
  <si>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</si>
  <si>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</si>
  <si>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</si>
  <si>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</si>
  <si>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</si>
  <si>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</si>
  <si>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</si>
  <si>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</si>
  <si>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</si>
  <si>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</si>
  <si>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</si>
  <si>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</si>
  <si>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</si>
  <si>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</si>
  <si>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5 DIAS HABILES </t>
  </si>
  <si>
    <t>SI</t>
  </si>
  <si>
    <t>MUEBLES LAZ</t>
  </si>
  <si>
    <t>ALDO ARATA</t>
  </si>
  <si>
    <t>+56 9 7793 9434</t>
  </si>
  <si>
    <t>PR6</t>
  </si>
  <si>
    <t>PERILLO 1320 MT</t>
  </si>
  <si>
    <t>N° 11587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</si>
</sst>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166" fontId="29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 A LA MEDIDA</a:t>
          </a:r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5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174</v>
      </c>
      <c r="D10" s="236"/>
      <c r="E10" s="236"/>
      <c r="F10" s="237" t="s">
        <v>163</v>
      </c>
      <c r="G10" s="268">
        <v>45881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175</v>
      </c>
      <c r="F13" t="s">
        <v>161</v>
      </c>
      <c r="G13" s="301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173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176</v>
      </c>
      <c r="D15" s="304"/>
      <c r="F15" t="s">
        <v>164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2:25" ht="15" thickBot="1" x14ac:dyDescent="0.35">
      <c r="B17" s="287" t="s">
        <v>13</v>
      </c>
      <c r="C17" s="288" t="s">
        <v>171</v>
      </c>
      <c r="D17" s="289"/>
      <c r="E17" s="113"/>
      <c r="F17" s="343" t="s">
        <v>159</v>
      </c>
      <c r="G17" s="343"/>
      <c r="H17" s="344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5" t="s">
        <v>92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0.05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O41</f>
        <v>98272.592370880317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40">
        <v>1</v>
      </c>
      <c r="C21" s="340" t="s">
        <v>177</v>
      </c>
      <c r="D21" s="341">
        <v>0.73</v>
      </c>
      <c r="E21" s="341">
        <v>0.8</v>
      </c>
      <c r="F21" s="340" t="s">
        <v>178</v>
      </c>
      <c r="G21" s="342">
        <v>63322</v>
      </c>
      <c r="H21" s="342">
        <f>G21*B21</f>
        <v>63322</v>
      </c>
      <c r="I21" s="292"/>
      <c r="J21" s="257"/>
      <c r="K21" s="44"/>
      <c r="L21" s="44">
        <f>B21</f>
        <v>1</v>
      </c>
      <c r="M21" s="36">
        <f>D21+M$19</f>
        <v>0.78</v>
      </c>
      <c r="N21" s="36">
        <f>E21+$N$19</f>
        <v>0.8</v>
      </c>
      <c r="O21" s="253">
        <f t="shared" ref="O21" si="1">M21*N21</f>
        <v>0.62400000000000011</v>
      </c>
      <c r="P21" s="251">
        <f t="shared" ref="P21" si="2">O21*L21</f>
        <v>0.62400000000000011</v>
      </c>
      <c r="Q21" s="244">
        <f t="shared" ref="Q21" si="3">Q$20*O21</f>
        <v>61322.097639429325</v>
      </c>
      <c r="R21" s="291">
        <f t="shared" ref="R21" si="4">Q21+R$20</f>
        <v>63322.097639429325</v>
      </c>
      <c r="S21" s="279">
        <f>M21*L21</f>
        <v>0.78</v>
      </c>
      <c r="T21" s="43">
        <f>N21*2*L21*2</f>
        <v>3.2</v>
      </c>
      <c r="U21" s="9"/>
      <c r="X21" s="4"/>
    </row>
    <row r="22" spans="2:25" ht="17.399999999999999" x14ac:dyDescent="0.3">
      <c r="B22" s="340">
        <v>1</v>
      </c>
      <c r="C22" s="340" t="s">
        <v>177</v>
      </c>
      <c r="D22" s="341">
        <v>0.73</v>
      </c>
      <c r="E22" s="341">
        <v>0.19600000000000001</v>
      </c>
      <c r="F22" s="340" t="s">
        <v>178</v>
      </c>
      <c r="G22" s="342">
        <v>17024</v>
      </c>
      <c r="H22" s="342">
        <f>G22*B22</f>
        <v>17024</v>
      </c>
      <c r="I22" s="292"/>
      <c r="J22" s="257"/>
      <c r="K22" s="44"/>
      <c r="L22" s="44">
        <f t="shared" ref="L22:L24" si="5">B22</f>
        <v>1</v>
      </c>
      <c r="M22" s="36">
        <f t="shared" ref="M22:M24" si="6">D22+M$19</f>
        <v>0.78</v>
      </c>
      <c r="N22" s="36">
        <f t="shared" ref="N22:N24" si="7">E22+$N$19</f>
        <v>0.19600000000000001</v>
      </c>
      <c r="O22" s="253">
        <f t="shared" ref="O22:O24" si="8">M22*N22</f>
        <v>0.15288000000000002</v>
      </c>
      <c r="P22" s="251">
        <f t="shared" ref="P22:P24" si="9">O22*L22</f>
        <v>0.15288000000000002</v>
      </c>
      <c r="Q22" s="244">
        <f t="shared" ref="Q22:Q24" si="10">Q$20*O22</f>
        <v>15023.913921660185</v>
      </c>
      <c r="R22" s="291">
        <f t="shared" ref="R22:R24" si="11">Q22+R$20</f>
        <v>17023.913921660183</v>
      </c>
      <c r="S22" s="279"/>
      <c r="T22" s="43"/>
      <c r="U22" s="9"/>
      <c r="X22" s="4"/>
    </row>
    <row r="23" spans="2:25" ht="17.399999999999999" x14ac:dyDescent="0.3">
      <c r="B23" s="340">
        <v>2</v>
      </c>
      <c r="C23" s="340" t="s">
        <v>177</v>
      </c>
      <c r="D23" s="341">
        <v>0.73</v>
      </c>
      <c r="E23" s="341">
        <v>0.44700000000000001</v>
      </c>
      <c r="F23" s="340" t="s">
        <v>178</v>
      </c>
      <c r="G23" s="342">
        <v>36264</v>
      </c>
      <c r="H23" s="342">
        <f>G23*B23</f>
        <v>72528</v>
      </c>
      <c r="I23" s="292"/>
      <c r="J23" s="257"/>
      <c r="K23" s="44"/>
      <c r="L23" s="44">
        <f t="shared" si="5"/>
        <v>2</v>
      </c>
      <c r="M23" s="36">
        <f t="shared" si="6"/>
        <v>0.78</v>
      </c>
      <c r="N23" s="36">
        <f t="shared" si="7"/>
        <v>0.44700000000000001</v>
      </c>
      <c r="O23" s="253">
        <f t="shared" si="8"/>
        <v>0.34866000000000003</v>
      </c>
      <c r="P23" s="251">
        <f t="shared" si="9"/>
        <v>0.69732000000000005</v>
      </c>
      <c r="Q23" s="244">
        <f t="shared" si="10"/>
        <v>34263.722056031133</v>
      </c>
      <c r="R23" s="291">
        <f t="shared" si="11"/>
        <v>36263.722056031133</v>
      </c>
      <c r="S23" s="279"/>
      <c r="T23" s="43"/>
      <c r="U23" s="9"/>
      <c r="X23" s="4"/>
    </row>
    <row r="24" spans="2:25" ht="17.399999999999999" x14ac:dyDescent="0.3">
      <c r="B24" s="340">
        <v>1</v>
      </c>
      <c r="C24" s="340" t="s">
        <v>177</v>
      </c>
      <c r="D24" s="341">
        <v>0.73</v>
      </c>
      <c r="E24" s="341">
        <v>0.42299999999999999</v>
      </c>
      <c r="F24" s="340" t="s">
        <v>178</v>
      </c>
      <c r="G24" s="342">
        <v>34424</v>
      </c>
      <c r="H24" s="342">
        <f>G24*B24</f>
        <v>34424</v>
      </c>
      <c r="I24" s="292"/>
      <c r="J24" s="257"/>
      <c r="K24" s="44"/>
      <c r="L24" s="44">
        <f t="shared" si="5"/>
        <v>1</v>
      </c>
      <c r="M24" s="36">
        <f t="shared" si="6"/>
        <v>0.78</v>
      </c>
      <c r="N24" s="36">
        <f t="shared" si="7"/>
        <v>0.42299999999999999</v>
      </c>
      <c r="O24" s="253">
        <f t="shared" si="8"/>
        <v>0.32994000000000001</v>
      </c>
      <c r="P24" s="251">
        <f t="shared" si="9"/>
        <v>0.32994000000000001</v>
      </c>
      <c r="Q24" s="244">
        <f t="shared" si="10"/>
        <v>32424.059126848253</v>
      </c>
      <c r="R24" s="291">
        <f t="shared" si="11"/>
        <v>34424.059126848253</v>
      </c>
      <c r="S24" s="279"/>
      <c r="T24" s="43"/>
      <c r="U24" s="9"/>
      <c r="X24" s="4"/>
    </row>
    <row r="25" spans="2:25" ht="17.399999999999999" x14ac:dyDescent="0.3">
      <c r="B25" s="356"/>
      <c r="C25" s="356"/>
      <c r="D25" s="357"/>
      <c r="E25" s="357"/>
      <c r="F25" s="356"/>
      <c r="G25" s="292"/>
      <c r="H25" s="292"/>
      <c r="I25" s="292"/>
      <c r="J25" s="257"/>
      <c r="K25" s="44"/>
      <c r="L25" s="44"/>
      <c r="M25" s="36"/>
      <c r="N25" s="36"/>
      <c r="O25" s="253"/>
      <c r="P25" s="251"/>
      <c r="Q25" s="244"/>
      <c r="R25" s="291"/>
      <c r="S25" s="279"/>
      <c r="T25" s="43"/>
      <c r="U25" s="9"/>
      <c r="X25" s="4"/>
    </row>
    <row r="26" spans="2:25" ht="18" thickBot="1" x14ac:dyDescent="0.35">
      <c r="B26" s="274"/>
      <c r="C26" s="274"/>
      <c r="D26" s="275"/>
      <c r="E26" s="275"/>
      <c r="F26" s="274"/>
      <c r="G26" s="257"/>
      <c r="H26" s="293"/>
      <c r="I26" s="295"/>
      <c r="J26" s="226"/>
      <c r="K26" s="44">
        <v>45000</v>
      </c>
      <c r="L26" s="44"/>
      <c r="M26" s="36"/>
      <c r="N26" s="36"/>
      <c r="O26" s="253"/>
      <c r="P26" s="251"/>
      <c r="Q26" s="244"/>
      <c r="R26" s="250"/>
      <c r="S26" s="279"/>
      <c r="T26" s="14"/>
      <c r="U26" s="9"/>
      <c r="X26" s="4"/>
    </row>
    <row r="27" spans="2:25" ht="17.399999999999999" x14ac:dyDescent="0.3">
      <c r="B27" s="274"/>
      <c r="C27" s="274"/>
      <c r="D27" s="275"/>
      <c r="E27" s="275"/>
      <c r="F27" s="274"/>
      <c r="G27" s="334" t="s">
        <v>28</v>
      </c>
      <c r="H27" s="335">
        <f>SUM(H21:H26)</f>
        <v>187298</v>
      </c>
      <c r="I27" s="294"/>
      <c r="J27" s="327"/>
      <c r="K27" s="309">
        <f>K26/1.19</f>
        <v>37815.126050420171</v>
      </c>
      <c r="L27" s="44"/>
      <c r="M27" s="36"/>
      <c r="N27" s="36"/>
      <c r="O27" s="253"/>
      <c r="P27" s="251"/>
      <c r="Q27" s="244"/>
      <c r="R27" s="250"/>
      <c r="S27" s="279"/>
      <c r="T27" s="43">
        <f>SUM(T21:T26)</f>
        <v>3.2</v>
      </c>
      <c r="U27" s="9"/>
      <c r="X27" s="4"/>
    </row>
    <row r="28" spans="2:25" ht="17.399999999999999" x14ac:dyDescent="0.3">
      <c r="B28" s="269"/>
      <c r="C28" s="271"/>
      <c r="D28" s="272"/>
      <c r="E28" s="272"/>
      <c r="F28" s="273"/>
      <c r="G28" s="328" t="s">
        <v>51</v>
      </c>
      <c r="H28" s="330">
        <f>H27*0.19</f>
        <v>35586.620000000003</v>
      </c>
      <c r="I28" s="294"/>
      <c r="J28" s="257"/>
      <c r="K28" s="309"/>
      <c r="L28" s="44"/>
      <c r="M28" s="36">
        <f>SUM(M21:M22)</f>
        <v>1.56</v>
      </c>
      <c r="N28" s="12"/>
      <c r="O28" s="12"/>
      <c r="P28" s="245">
        <f>SUM(P21:P26)</f>
        <v>1.8041400000000003</v>
      </c>
      <c r="Q28" s="14"/>
      <c r="R28" s="12"/>
      <c r="S28" s="232">
        <f>SUM(S21:S27)</f>
        <v>0.78</v>
      </c>
      <c r="T28" s="43"/>
      <c r="U28" s="9"/>
      <c r="X28" s="4"/>
    </row>
    <row r="29" spans="2:25" ht="18" thickBot="1" x14ac:dyDescent="0.35">
      <c r="B29" s="267"/>
      <c r="C29" s="270"/>
      <c r="D29" s="264"/>
      <c r="E29" s="264"/>
      <c r="F29" s="265"/>
      <c r="G29" s="329" t="s">
        <v>6</v>
      </c>
      <c r="H29" s="331">
        <f>H28+H27</f>
        <v>222884.62</v>
      </c>
      <c r="I29" s="294"/>
      <c r="J29" s="257"/>
      <c r="K29" s="309"/>
      <c r="L29" s="44"/>
      <c r="M29" s="36"/>
      <c r="N29" s="12"/>
      <c r="O29" s="12"/>
      <c r="P29" s="245">
        <f>P28</f>
        <v>1.8041400000000003</v>
      </c>
      <c r="Q29" s="14"/>
      <c r="R29" s="12"/>
      <c r="S29" s="232"/>
      <c r="T29" s="43"/>
      <c r="U29" s="9"/>
      <c r="X29" s="4"/>
    </row>
    <row r="30" spans="2:25" ht="17.399999999999999" x14ac:dyDescent="0.3">
      <c r="B30" s="267"/>
      <c r="C30" s="263"/>
      <c r="D30" s="264"/>
      <c r="E30" s="264"/>
      <c r="F30" s="265"/>
      <c r="J30" s="257"/>
      <c r="K30" s="309"/>
      <c r="L30" s="44"/>
      <c r="M30" s="14"/>
      <c r="N30" s="12"/>
      <c r="O30" s="12"/>
      <c r="P30" s="36">
        <f>P29*20%</f>
        <v>0.36082800000000009</v>
      </c>
      <c r="Q30" s="36" t="s">
        <v>126</v>
      </c>
      <c r="R30" s="39"/>
      <c r="S30" s="233"/>
      <c r="T30" s="14"/>
      <c r="U30" s="9"/>
      <c r="X30" s="4"/>
    </row>
    <row r="31" spans="2:25" ht="17.399999999999999" x14ac:dyDescent="0.35">
      <c r="B31" s="261"/>
      <c r="C31" s="223"/>
      <c r="D31" s="223"/>
      <c r="E31" s="226"/>
      <c r="F31" s="227"/>
      <c r="G31" s="223"/>
      <c r="H31" s="266"/>
      <c r="I31" s="266"/>
      <c r="J31" s="257"/>
      <c r="K31" s="44"/>
      <c r="L31" s="44"/>
      <c r="M31" s="14"/>
      <c r="N31" s="12"/>
      <c r="O31" s="12"/>
      <c r="P31" s="43">
        <f>P29+P30</f>
        <v>2.1649680000000004</v>
      </c>
      <c r="Q31" s="14"/>
      <c r="R31" s="14"/>
      <c r="S31" s="231"/>
      <c r="T31" s="14"/>
      <c r="U31" s="9"/>
      <c r="X31" s="4"/>
    </row>
    <row r="32" spans="2:25" ht="17.399999999999999" x14ac:dyDescent="0.35">
      <c r="B32" s="228"/>
      <c r="C32" s="229"/>
      <c r="D32" s="230"/>
      <c r="E32" s="228"/>
      <c r="F32" s="223"/>
      <c r="G32" s="223"/>
      <c r="I32" s="266"/>
      <c r="J32" s="257"/>
      <c r="K32" s="44"/>
      <c r="L32" s="44"/>
      <c r="M32" s="14"/>
      <c r="N32" s="14"/>
      <c r="O32" s="14"/>
      <c r="P32" s="14"/>
      <c r="Q32" s="14"/>
      <c r="R32" s="14"/>
      <c r="S32" s="233"/>
      <c r="T32" s="14"/>
      <c r="U32" s="283" t="s">
        <v>21</v>
      </c>
      <c r="V32" s="280" t="s">
        <v>146</v>
      </c>
      <c r="W32" s="284">
        <v>44971</v>
      </c>
      <c r="X32" s="285"/>
    </row>
    <row r="33" spans="1:24" ht="17.399999999999999" x14ac:dyDescent="0.35">
      <c r="B33" s="223"/>
      <c r="C33" s="223"/>
      <c r="D33" s="223"/>
      <c r="E33" s="223"/>
      <c r="F33" s="223"/>
      <c r="G33" s="223"/>
      <c r="J33" s="257"/>
      <c r="K33" s="44"/>
      <c r="L33" s="44"/>
      <c r="M33" s="36">
        <f>P31</f>
        <v>2.1649680000000004</v>
      </c>
      <c r="N33" s="12">
        <v>3500</v>
      </c>
      <c r="O33" s="12">
        <f t="shared" ref="O33:O38" si="12">M33*N33</f>
        <v>7577.3880000000017</v>
      </c>
      <c r="P33" s="14" t="s">
        <v>21</v>
      </c>
      <c r="Q33" s="14"/>
      <c r="R33" s="14"/>
      <c r="S33" s="234"/>
      <c r="T33" s="14"/>
      <c r="U33" s="283" t="s">
        <v>147</v>
      </c>
      <c r="V33" s="280">
        <v>3625</v>
      </c>
      <c r="W33" s="56" t="s">
        <v>148</v>
      </c>
      <c r="X33" s="285"/>
    </row>
    <row r="34" spans="1:24" ht="17.399999999999999" x14ac:dyDescent="0.35">
      <c r="A34" s="223"/>
      <c r="B34" s="223"/>
      <c r="C34" s="223"/>
      <c r="D34" s="223"/>
      <c r="E34" s="223"/>
      <c r="F34" s="223"/>
      <c r="G34" s="223"/>
      <c r="H34" s="223"/>
      <c r="J34" s="257"/>
      <c r="K34" s="44"/>
      <c r="L34" s="44"/>
      <c r="M34" s="241">
        <v>0.6</v>
      </c>
      <c r="N34" s="12">
        <v>43000</v>
      </c>
      <c r="O34" s="12">
        <f t="shared" si="12"/>
        <v>25800</v>
      </c>
      <c r="P34" s="36" t="s">
        <v>31</v>
      </c>
      <c r="Q34" s="39"/>
      <c r="R34" s="14"/>
      <c r="S34" s="233"/>
      <c r="T34" s="14"/>
      <c r="U34" s="283"/>
      <c r="V34" s="56">
        <v>906.25</v>
      </c>
      <c r="W34" s="56" t="s">
        <v>149</v>
      </c>
      <c r="X34" s="285"/>
    </row>
    <row r="35" spans="1:24" s="223" customFormat="1" ht="17.399999999999999" x14ac:dyDescent="0.35">
      <c r="B35" s="21" t="s">
        <v>145</v>
      </c>
      <c r="J35" s="254"/>
      <c r="K35" s="225"/>
      <c r="L35" s="242"/>
      <c r="M35" s="14"/>
      <c r="N35" s="242">
        <v>54782</v>
      </c>
      <c r="O35" s="12">
        <f t="shared" si="12"/>
        <v>0</v>
      </c>
      <c r="P35" s="36" t="s">
        <v>30</v>
      </c>
      <c r="Q35" s="39"/>
      <c r="S35" s="233"/>
      <c r="T35" s="248"/>
      <c r="U35" s="56"/>
      <c r="V35" s="56">
        <f>V34*20%</f>
        <v>181.25</v>
      </c>
      <c r="W35" s="285" t="s">
        <v>150</v>
      </c>
      <c r="X35" s="56"/>
    </row>
    <row r="36" spans="1:24" s="223" customFormat="1" ht="17.399999999999999" x14ac:dyDescent="0.35">
      <c r="B36" s="21" t="s">
        <v>160</v>
      </c>
      <c r="C36"/>
      <c r="D36"/>
      <c r="E36"/>
      <c r="F36"/>
      <c r="J36" s="254"/>
      <c r="K36" s="225"/>
      <c r="L36" s="242"/>
      <c r="M36" s="14">
        <v>1</v>
      </c>
      <c r="N36" s="242">
        <v>51050</v>
      </c>
      <c r="O36" s="12">
        <f t="shared" si="12"/>
        <v>51050</v>
      </c>
      <c r="P36" s="14" t="s">
        <v>136</v>
      </c>
      <c r="Q36" s="17"/>
      <c r="S36" s="231"/>
      <c r="T36" s="248"/>
      <c r="U36" s="56"/>
      <c r="V36" s="56">
        <f>V34+V35</f>
        <v>1087.5</v>
      </c>
      <c r="W36" s="285" t="s">
        <v>151</v>
      </c>
      <c r="X36" s="56"/>
    </row>
    <row r="37" spans="1:24" s="223" customFormat="1" ht="17.399999999999999" x14ac:dyDescent="0.35">
      <c r="B37" s="26" t="s">
        <v>121</v>
      </c>
      <c r="C37"/>
      <c r="D37"/>
      <c r="E37"/>
      <c r="F37" s="222" t="s">
        <v>15</v>
      </c>
      <c r="J37" s="254"/>
      <c r="K37" s="252"/>
      <c r="L37" s="242"/>
      <c r="M37" s="241"/>
      <c r="N37" s="242">
        <v>900</v>
      </c>
      <c r="O37" s="12">
        <f t="shared" si="12"/>
        <v>0</v>
      </c>
      <c r="P37" s="14" t="s">
        <v>32</v>
      </c>
      <c r="Q37" s="14"/>
      <c r="R37" s="223">
        <v>1.52</v>
      </c>
      <c r="S37" s="231"/>
      <c r="T37" s="231"/>
    </row>
    <row r="38" spans="1:24" s="223" customFormat="1" ht="17.399999999999999" x14ac:dyDescent="0.35">
      <c r="J38" s="278"/>
      <c r="K38" s="252"/>
      <c r="L38" s="242"/>
      <c r="M38" s="258"/>
      <c r="N38" s="12">
        <v>1000</v>
      </c>
      <c r="O38" s="12">
        <f t="shared" si="12"/>
        <v>0</v>
      </c>
      <c r="P38" s="14" t="s">
        <v>22</v>
      </c>
      <c r="Q38" s="14"/>
      <c r="R38">
        <v>2.44</v>
      </c>
      <c r="S38"/>
      <c r="T38" s="231"/>
      <c r="X38" s="224"/>
    </row>
    <row r="39" spans="1:24" s="223" customFormat="1" ht="17.399999999999999" x14ac:dyDescent="0.35">
      <c r="K39" s="252"/>
      <c r="L39" s="242"/>
      <c r="M39" s="14"/>
      <c r="N39" s="12"/>
      <c r="O39" s="12">
        <f>SUM(O33:O38)</f>
        <v>84427.388000000006</v>
      </c>
      <c r="P39" s="36" t="s">
        <v>23</v>
      </c>
      <c r="Q39" s="14"/>
      <c r="R39">
        <f>R37*R38</f>
        <v>3.7088000000000001</v>
      </c>
      <c r="S39"/>
      <c r="T39" s="231"/>
      <c r="X39" s="224"/>
    </row>
    <row r="40" spans="1:24" s="223" customFormat="1" ht="17.399999999999999" x14ac:dyDescent="0.35">
      <c r="L40" s="242"/>
      <c r="M40" s="246" t="s">
        <v>33</v>
      </c>
      <c r="N40" s="12"/>
      <c r="O40" s="247">
        <f>O39*2.1</f>
        <v>177297.51480000003</v>
      </c>
      <c r="P40" s="14" t="s">
        <v>135</v>
      </c>
      <c r="Q40" s="14"/>
      <c r="R40" s="37">
        <f>P31/R39</f>
        <v>0.58373813632441773</v>
      </c>
      <c r="S40"/>
      <c r="T40" s="249"/>
    </row>
    <row r="41" spans="1:24" s="223" customFormat="1" ht="17.399999999999999" x14ac:dyDescent="0.35">
      <c r="G41"/>
      <c r="H41" s="252"/>
      <c r="I41" s="252"/>
      <c r="J41" s="332"/>
      <c r="L41" s="242"/>
      <c r="M41" s="14"/>
      <c r="N41" s="12"/>
      <c r="O41" s="12">
        <f>O40/P29</f>
        <v>98272.592370880317</v>
      </c>
      <c r="P41" s="42" t="s">
        <v>24</v>
      </c>
      <c r="Q41" s="14"/>
      <c r="R41" s="14"/>
      <c r="S41"/>
      <c r="T41" s="231"/>
      <c r="U41" s="56" t="s">
        <v>152</v>
      </c>
      <c r="V41" s="280">
        <v>43650</v>
      </c>
    </row>
    <row r="42" spans="1:24" s="223" customFormat="1" ht="17.399999999999999" x14ac:dyDescent="0.35">
      <c r="G42"/>
      <c r="L42" s="242"/>
      <c r="M42" s="13"/>
      <c r="N42" s="14"/>
      <c r="O42" s="17">
        <f>O40/O39</f>
        <v>2.1</v>
      </c>
      <c r="P42" s="15"/>
      <c r="Q42"/>
      <c r="R42"/>
      <c r="S42"/>
      <c r="T42" s="231"/>
      <c r="U42" s="56" t="s">
        <v>154</v>
      </c>
      <c r="V42" s="281" t="s">
        <v>153</v>
      </c>
      <c r="W42" s="56">
        <v>2.4</v>
      </c>
    </row>
    <row r="43" spans="1:24" s="223" customFormat="1" ht="17.399999999999999" x14ac:dyDescent="0.35">
      <c r="D43" s="275"/>
      <c r="E43" s="275"/>
      <c r="F43" s="274"/>
      <c r="G43" s="310"/>
      <c r="H43" s="314"/>
      <c r="J43" s="333"/>
      <c r="L43" s="12"/>
      <c r="T43" s="231"/>
      <c r="U43" s="56" t="s">
        <v>155</v>
      </c>
      <c r="V43" s="282">
        <v>395.37</v>
      </c>
    </row>
    <row r="44" spans="1:24" s="223" customFormat="1" ht="17.399999999999999" x14ac:dyDescent="0.35">
      <c r="B44"/>
      <c r="C44" s="315"/>
      <c r="D44" s="275"/>
      <c r="E44" s="275"/>
      <c r="F44" s="274"/>
      <c r="G44" s="310"/>
      <c r="H44" s="314"/>
      <c r="L44" s="12"/>
      <c r="T44" s="231"/>
      <c r="U44" s="56" t="s">
        <v>150</v>
      </c>
      <c r="V44" s="56">
        <v>474.45</v>
      </c>
    </row>
    <row r="45" spans="1:24" ht="14.4" customHeight="1" x14ac:dyDescent="0.35">
      <c r="D45" s="275"/>
      <c r="E45" s="275"/>
      <c r="F45" s="274"/>
      <c r="G45" s="310"/>
      <c r="H45" s="314"/>
      <c r="L45" s="12"/>
      <c r="U45" s="56"/>
      <c r="V45" s="56"/>
    </row>
    <row r="46" spans="1:24" ht="17.399999999999999" x14ac:dyDescent="0.35">
      <c r="D46" s="275"/>
      <c r="E46" s="275"/>
      <c r="F46" s="274"/>
      <c r="G46" s="310"/>
      <c r="H46" s="314"/>
      <c r="L46" s="242"/>
    </row>
    <row r="47" spans="1:24" ht="17.399999999999999" x14ac:dyDescent="0.35">
      <c r="D47" s="275"/>
      <c r="E47" s="275"/>
      <c r="F47" s="274"/>
      <c r="G47" s="310"/>
      <c r="H47" s="314"/>
      <c r="L47" s="242"/>
      <c r="T47" s="262"/>
    </row>
    <row r="48" spans="1:24" ht="17.399999999999999" x14ac:dyDescent="0.35">
      <c r="D48" s="275"/>
      <c r="E48" s="275"/>
      <c r="F48" s="274"/>
      <c r="G48" s="310"/>
      <c r="H48" s="314"/>
      <c r="L48" s="242"/>
    </row>
    <row r="49" spans="4:20" ht="15" customHeight="1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</row>
    <row r="51" spans="4:20" ht="17.399999999999999" x14ac:dyDescent="0.35">
      <c r="D51" s="275"/>
      <c r="E51" s="275"/>
      <c r="F51" s="274"/>
      <c r="G51" s="310"/>
      <c r="H51" s="314"/>
      <c r="O51">
        <v>40935</v>
      </c>
      <c r="P51" t="s">
        <v>16</v>
      </c>
      <c r="Q51" t="s">
        <v>26</v>
      </c>
    </row>
    <row r="52" spans="4:20" ht="17.399999999999999" x14ac:dyDescent="0.35">
      <c r="D52" s="275"/>
      <c r="E52" s="275"/>
      <c r="F52" s="274"/>
      <c r="G52" s="310"/>
      <c r="H52" s="314"/>
    </row>
    <row r="53" spans="4:20" ht="17.399999999999999" x14ac:dyDescent="0.35">
      <c r="D53" s="275"/>
      <c r="E53" s="275"/>
      <c r="F53" s="274"/>
      <c r="G53" s="310"/>
      <c r="H53" s="314"/>
      <c r="O53" s="51"/>
      <c r="P53" s="51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ht="17.399999999999999" x14ac:dyDescent="0.35">
      <c r="D55" s="275"/>
      <c r="E55" s="275"/>
      <c r="F55" s="274"/>
      <c r="G55" s="310"/>
      <c r="H55" s="314"/>
      <c r="S55" s="18"/>
      <c r="T55" s="18"/>
    </row>
    <row r="56" spans="4:20" ht="17.399999999999999" x14ac:dyDescent="0.35">
      <c r="D56" s="275"/>
      <c r="E56" s="275"/>
      <c r="F56" s="274"/>
      <c r="G56" s="310"/>
      <c r="H56" s="314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142</v>
      </c>
    </row>
    <row r="77" spans="3:15" x14ac:dyDescent="0.3">
      <c r="C77" t="s">
        <v>141</v>
      </c>
    </row>
    <row r="80" spans="3:15" x14ac:dyDescent="0.3">
      <c r="C80" t="s">
        <v>141</v>
      </c>
    </row>
    <row r="157" spans="3:3" x14ac:dyDescent="0.3">
      <c r="C157" t="s">
        <v>141</v>
      </c>
    </row>
    <row r="158" spans="3:3" x14ac:dyDescent="0.3">
      <c r="C158" t="s">
        <v>143</v>
      </c>
    </row>
    <row r="159" spans="3:3" x14ac:dyDescent="0.3">
      <c r="C159" t="s">
        <v>144</v>
      </c>
    </row>
    <row r="584" spans="3:3" x14ac:dyDescent="0.3">
      <c r="C584" t="s">
        <v>141</v>
      </c>
    </row>
  </sheetData>
  <mergeCells count="2">
    <mergeCell ref="F17:H17"/>
    <mergeCell ref="B19:H19"/>
  </mergeCells>
  <phoneticPr fontId="31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45881</v>
      </c>
    </row>
    <row r="6" spans="1:31" ht="16.2" thickBot="1" x14ac:dyDescent="0.35">
      <c r="B6" s="134" t="s">
        <v>2</v>
      </c>
      <c r="C6" s="133" t="str">
        <f>'2229'!C10</f>
        <v>MUEBLES LAZ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3" t="s">
        <v>95</v>
      </c>
      <c r="I7" s="354"/>
      <c r="J7" s="354"/>
      <c r="K7" s="355"/>
      <c r="N7" s="72"/>
      <c r="O7" s="352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11587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2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2342768.8940489134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4823058.3221784979</v>
      </c>
      <c r="C15" s="207" t="s">
        <v>118</v>
      </c>
      <c r="D15" s="208">
        <v>0.73</v>
      </c>
      <c r="E15" s="209">
        <f>(100%+D15)*D12</f>
        <v>4052990.1867046203</v>
      </c>
      <c r="F15" s="210">
        <f>E15-D12</f>
        <v>1710221.2926557069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'2229'!O35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169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'2229'!O36</f>
        <v>51050</v>
      </c>
      <c r="E19" s="117">
        <f>D19*0.19</f>
        <v>9699.5</v>
      </c>
      <c r="F19" s="114">
        <f>SUM(D19:E19)</f>
        <v>60749.5</v>
      </c>
      <c r="H19" s="324"/>
      <c r="I19" s="323"/>
      <c r="J19" s="144" t="s">
        <v>170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'2229'!O34</f>
        <v>25800</v>
      </c>
      <c r="E20" s="117">
        <f>D20*0.19</f>
        <v>4902</v>
      </c>
      <c r="F20" s="114">
        <f>SUM(D20:E20)</f>
        <v>30702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'2229'!O33</f>
        <v>7577.3880000000017</v>
      </c>
      <c r="E21" s="115">
        <f>D21*0.19</f>
        <v>1439.7037200000004</v>
      </c>
      <c r="F21" s="114">
        <f>SUM(D21:E21)</f>
        <v>9017.0917200000022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84427.388000000006</v>
      </c>
      <c r="E22" s="110">
        <f>SUM(E18:E21)</f>
        <v>16041.203720000001</v>
      </c>
      <c r="F22" s="109">
        <f>SUM(F18:F21)</f>
        <v>100468.59172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9" t="s">
        <v>60</v>
      </c>
      <c r="I43" s="350"/>
      <c r="J43" s="350"/>
      <c r="K43" s="350"/>
      <c r="L43" s="350"/>
      <c r="M43" s="351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84427.388000000006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8"/>
      <c r="J52" s="348"/>
      <c r="K52" s="348"/>
      <c r="L52" s="34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2025-08-12T20:37:02Z</dcterms:modified>
</cp:coreProperties>
</file>