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D8ECB30-A020-46F9-913C-ECDD18FF8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Q20" i="1" s="1"/>
  <c r="Q21" i="1" s="1"/>
  <c r="D20" i="3"/>
  <c r="E20" i="3" s="1"/>
  <c r="E21" i="3" s="1"/>
  <c r="D21" i="3" l="1"/>
  <c r="M43" i="3" s="1"/>
  <c r="D12" i="3" s="1"/>
  <c r="E15" i="3" s="1"/>
  <c r="A15" i="3" s="1"/>
  <c r="F20" i="3"/>
  <c r="F21" i="3" s="1"/>
  <c r="O39" i="1" l="1"/>
  <c r="F15" i="3" l="1"/>
  <c r="R21" i="1" l="1"/>
  <c r="H21" i="1" l="1"/>
  <c r="H24" i="1" s="1"/>
  <c r="H25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<sst xmlns="http://schemas.openxmlformats.org/spreadsheetml/2006/main" count="230" uniqueCount="176">
  <si>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</si>
  <si>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</si>
  <si>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</si>
  <si>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</si>
  <si>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</si>
  <si>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</si>
  <si>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</si>
  <si>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</si>
  <si>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</si>
  <si>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</si>
  <si>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</si>
  <si>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</si>
  <si>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</si>
  <si>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</si>
  <si>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</si>
  <si>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</si>
  <si>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</si>
  <si>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</si>
  <si>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</si>
  <si>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</si>
  <si>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</si>
  <si>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</si>
  <si>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</si>
  <si>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</si>
  <si>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</si>
  <si>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</si>
  <si>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</si>
  <si>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</si>
  <si>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</si>
  <si>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</si>
  <si>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</si>
  <si>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</si>
  <si>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</si>
  <si>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</si>
  <si>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</si>
  <si>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</si>
  <si>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</si>
  <si>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</si>
  <si>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</si>
  <si>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</si>
  <si>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</si>
  <si>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</si>
  <si>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</si>
  <si>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</si>
  <si>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</si>
  <si>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</si>
  <si>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</si>
  <si>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</si>
  <si>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</si>
  <si>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</si>
  <si>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</si>
  <si>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</si>
  <si>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</si>
  <si>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</si>
  <si>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</si>
  <si>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</si>
  <si>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</si>
  <si>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</si>
  <si>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</si>
  <si>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</si>
  <si>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</si>
  <si>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</si>
  <si>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</si>
  <si>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</si>
  <si>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</si>
  <si>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</si>
  <si>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</si>
  <si>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</si>
  <si>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</si>
  <si>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</si>
  <si>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</si>
  <si>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</si>
  <si>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</si>
  <si>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</si>
  <si>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</si>
  <si>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</si>
  <si>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</si>
  <si>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</si>
  <si>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</si>
  <si>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</si>
  <si>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</si>
  <si>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</si>
  <si>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</si>
  <si>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</si>
  <si>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</si>
  <si>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</si>
  <si>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</si>
  <si>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</si>
  <si>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</si>
  <si>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</si>
  <si>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</si>
  <si>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</si>
  <si>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</si>
  <si>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</si>
  <si>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</si>
  <si>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</si>
  <si>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</si>
  <si>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</si>
  <si>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</si>
  <si>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</si>
  <si>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</si>
  <si>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</si>
  <si>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</si>
  <si>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</si>
  <si>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</si>
  <si>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</si>
  <si>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</si>
  <si>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</si>
  <si>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</si>
  <si>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</si>
  <si>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</si>
  <si>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</si>
  <si>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</si>
  <si>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</si>
  <si>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</si>
  <si>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</si>
  <si>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</si>
  <si>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</si>
  <si>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</si>
  <si>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</si>
  <si>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</si>
  <si>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</si>
  <si>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</si>
  <si>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</si>
  <si>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</si>
  <si>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</si>
  <si>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</si>
  <si>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</si>
  <si>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</si>
  <si>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</si>
  <si>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</si>
  <si>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</si>
  <si>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</si>
  <si>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</si>
  <si>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</si>
  <si>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</si>
  <si>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</si>
  <si>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</si>
  <si>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</si>
  <si>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</si>
  <si>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</si>
  <si>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</si>
  <si>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</si>
  <si>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</si>
  <si>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</si>
  <si>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</si>
  <si>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</si>
  <si>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</si>
  <si>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</si>
  <si>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</si>
  <si>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</si>
  <si>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</si>
  <si>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</si>
  <si>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</si>
  <si>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</si>
  <si>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</si>
  <si>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</si>
  <si>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</si>
  <si>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</si>
  <si>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</si>
  <si>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</si>
  <si>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</si>
  <si>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</si>
  <si>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</si>
  <si>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</si>
  <si>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</si>
  <si>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</si>
  <si>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</si>
  <si>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</si>
  <si>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FRENTE 90°</t>
  </si>
  <si>
    <t>N° 11596</t>
  </si>
  <si>
    <t>BILDER SPA</t>
  </si>
  <si>
    <t>MARISOL PEZO</t>
  </si>
  <si>
    <t>+569 5778 8354</t>
  </si>
  <si>
    <t>GRANITO COLORES CLAROS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</si>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</sst>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7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124</v>
      </c>
      <c r="C8" s="319"/>
      <c r="D8" s="320" t="s">
        <v>170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2" t="s">
        <v>171</v>
      </c>
      <c r="D10" s="238"/>
      <c r="E10" s="238"/>
      <c r="F10" s="239" t="s">
        <v>165</v>
      </c>
      <c r="G10" s="269">
        <v>45883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3"/>
      <c r="F11" t="s">
        <v>164</v>
      </c>
      <c r="G11" s="304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5"/>
      <c r="D12" s="306"/>
      <c r="E12" s="306"/>
      <c r="F12" s="306" t="s">
        <v>125</v>
      </c>
      <c r="G12" s="307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29" t="s">
        <v>172</v>
      </c>
      <c r="F13" t="s">
        <v>163</v>
      </c>
      <c r="G13" s="308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09"/>
      <c r="D14" s="306"/>
      <c r="E14" s="306"/>
      <c r="F14" s="306" t="s">
        <v>133</v>
      </c>
      <c r="G14" s="310" t="s">
        <v>132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1" t="s">
        <v>173</v>
      </c>
      <c r="D15" s="312"/>
      <c r="F15" t="s">
        <v>166</v>
      </c>
      <c r="G15" s="313" t="s">
        <v>132</v>
      </c>
      <c r="H15" s="279"/>
    </row>
    <row r="16" spans="2:24" ht="16.8" x14ac:dyDescent="0.4">
      <c r="B16" s="294" t="s">
        <v>3</v>
      </c>
      <c r="C16" s="314"/>
      <c r="D16" s="306"/>
      <c r="E16" s="306"/>
      <c r="F16" s="315" t="s">
        <v>127</v>
      </c>
      <c r="G16" s="316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30" t="s">
        <v>160</v>
      </c>
      <c r="G17" s="330"/>
      <c r="H17" s="331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>
        <v>2</v>
      </c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1" t="s">
        <v>7</v>
      </c>
      <c r="C20" s="322" t="s">
        <v>1</v>
      </c>
      <c r="D20" s="322" t="s">
        <v>129</v>
      </c>
      <c r="E20" s="322" t="s">
        <v>11</v>
      </c>
      <c r="F20" s="322" t="s">
        <v>8</v>
      </c>
      <c r="G20" s="322" t="s">
        <v>5</v>
      </c>
      <c r="H20" s="323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O38</f>
        <v>64729.090909090912</v>
      </c>
      <c r="R20" s="252">
        <v>3000</v>
      </c>
      <c r="S20" s="35"/>
      <c r="T20" s="14" t="s">
        <v>126</v>
      </c>
      <c r="U20" s="9"/>
      <c r="X20" s="4"/>
    </row>
    <row r="21" spans="1:25" ht="18" thickBot="1" x14ac:dyDescent="0.35">
      <c r="B21" s="324">
        <v>1</v>
      </c>
      <c r="C21" s="325" t="s">
        <v>169</v>
      </c>
      <c r="D21" s="326">
        <v>3</v>
      </c>
      <c r="E21" s="326">
        <v>0.6</v>
      </c>
      <c r="F21" s="325" t="s">
        <v>175</v>
      </c>
      <c r="G21" s="327">
        <v>101769</v>
      </c>
      <c r="H21" s="328">
        <f>G21*B21</f>
        <v>101769</v>
      </c>
      <c r="I21" s="296"/>
      <c r="J21" s="259"/>
      <c r="K21" s="44"/>
      <c r="L21" s="44">
        <f>B21</f>
        <v>1</v>
      </c>
      <c r="M21" s="36">
        <f>D21+M$19</f>
        <v>3.08</v>
      </c>
      <c r="N21" s="36">
        <f>E21+$N$19</f>
        <v>0.6</v>
      </c>
      <c r="O21" s="255">
        <f t="shared" ref="O21" si="1">M21*N21</f>
        <v>1.8479999999999999</v>
      </c>
      <c r="P21" s="253">
        <f t="shared" ref="P21" si="2">O21*L21</f>
        <v>1.8479999999999999</v>
      </c>
      <c r="Q21" s="246">
        <f>Q$20*O21</f>
        <v>119619.36</v>
      </c>
      <c r="R21" s="295">
        <f t="shared" ref="R21" si="3">Q21+R$20</f>
        <v>122619.36</v>
      </c>
      <c r="S21" s="284">
        <f>M21*L21</f>
        <v>3.08</v>
      </c>
      <c r="T21" s="43">
        <f>N21*2*L21*2</f>
        <v>2.4</v>
      </c>
      <c r="U21" s="9"/>
      <c r="X21" s="4"/>
    </row>
    <row r="22" spans="1:25" ht="17.399999999999999" x14ac:dyDescent="0.3">
      <c r="B22" s="324">
        <v>1</v>
      </c>
      <c r="C22" s="325" t="s">
        <v>169</v>
      </c>
      <c r="D22" s="326">
        <v>3</v>
      </c>
      <c r="E22" s="326">
        <v>0.6</v>
      </c>
      <c r="F22" s="325" t="s">
        <v>174</v>
      </c>
      <c r="G22" s="327">
        <v>119619</v>
      </c>
      <c r="H22" s="328">
        <f>G22*B22</f>
        <v>119619</v>
      </c>
      <c r="I22" s="296"/>
      <c r="J22" s="259"/>
      <c r="K22" s="44"/>
      <c r="L22" s="44"/>
      <c r="M22" s="36"/>
      <c r="N22" s="36"/>
      <c r="O22" s="255"/>
      <c r="P22" s="253"/>
      <c r="Q22" s="246"/>
      <c r="R22" s="295"/>
      <c r="S22" s="284"/>
      <c r="T22" s="43"/>
      <c r="U22" s="9"/>
      <c r="X22" s="4"/>
    </row>
    <row r="23" spans="1:25" ht="18" thickBot="1" x14ac:dyDescent="0.35">
      <c r="B23" s="276"/>
      <c r="C23" s="276"/>
      <c r="D23" s="277"/>
      <c r="E23" s="277"/>
      <c r="F23" s="276"/>
      <c r="G23" s="259"/>
      <c r="H23" s="297"/>
      <c r="I23" s="299"/>
      <c r="J23" s="228"/>
      <c r="K23" s="44"/>
      <c r="L23" s="44"/>
      <c r="M23" s="36"/>
      <c r="N23" s="36"/>
      <c r="O23" s="255"/>
      <c r="P23" s="253"/>
      <c r="Q23" s="246"/>
      <c r="R23" s="252"/>
      <c r="S23" s="284"/>
      <c r="T23" s="14"/>
      <c r="U23" s="9"/>
      <c r="X23" s="4"/>
    </row>
    <row r="24" spans="1:25" ht="17.399999999999999" x14ac:dyDescent="0.3">
      <c r="B24" s="276"/>
      <c r="C24" s="276"/>
      <c r="D24" s="277"/>
      <c r="E24" s="277"/>
      <c r="F24" s="276"/>
      <c r="G24" s="300" t="s">
        <v>27</v>
      </c>
      <c r="H24" s="301">
        <f>SUM(H21:H23)</f>
        <v>221388</v>
      </c>
      <c r="I24" s="298"/>
      <c r="J24" s="259"/>
      <c r="K24" s="317"/>
      <c r="L24" s="44"/>
      <c r="M24" s="36"/>
      <c r="N24" s="36"/>
      <c r="O24" s="255"/>
      <c r="P24" s="253"/>
      <c r="Q24" s="246"/>
      <c r="R24" s="252"/>
      <c r="S24" s="284"/>
      <c r="T24" s="43">
        <f>SUM(T21:T23)</f>
        <v>2.4</v>
      </c>
      <c r="U24" s="9"/>
      <c r="X24" s="4"/>
    </row>
    <row r="25" spans="1:25" ht="17.399999999999999" x14ac:dyDescent="0.3">
      <c r="B25" s="270"/>
      <c r="C25" s="273"/>
      <c r="D25" s="274"/>
      <c r="E25" s="274"/>
      <c r="F25" s="275"/>
      <c r="G25" s="283" t="s">
        <v>50</v>
      </c>
      <c r="H25" s="281">
        <f>H24*19%</f>
        <v>42063.72</v>
      </c>
      <c r="I25" s="298"/>
      <c r="J25" s="259"/>
      <c r="K25" s="317"/>
      <c r="L25" s="44"/>
      <c r="M25" s="36">
        <f>SUM(M21:M21)</f>
        <v>3.08</v>
      </c>
      <c r="N25" s="12"/>
      <c r="O25" s="12"/>
      <c r="P25" s="247">
        <f>SUM(P21:P23)</f>
        <v>1.8479999999999999</v>
      </c>
      <c r="Q25" s="14"/>
      <c r="R25" s="12"/>
      <c r="S25" s="234">
        <f>SUM(S21:S24)</f>
        <v>3.08</v>
      </c>
      <c r="T25" s="43"/>
      <c r="U25" s="9"/>
      <c r="X25" s="4"/>
    </row>
    <row r="26" spans="1:25" ht="18" thickBot="1" x14ac:dyDescent="0.35">
      <c r="B26" s="268"/>
      <c r="C26" s="272"/>
      <c r="D26" s="265"/>
      <c r="E26" s="265"/>
      <c r="F26" s="266"/>
      <c r="G26" s="271" t="s">
        <v>6</v>
      </c>
      <c r="H26" s="282">
        <f>H24+H25</f>
        <v>263451.71999999997</v>
      </c>
      <c r="I26" s="298"/>
      <c r="J26" s="259"/>
      <c r="K26" s="317"/>
      <c r="L26" s="44"/>
      <c r="M26" s="36"/>
      <c r="N26" s="12"/>
      <c r="O26" s="12"/>
      <c r="P26" s="247">
        <f>P25</f>
        <v>1.8479999999999999</v>
      </c>
      <c r="Q26" s="14"/>
      <c r="R26" s="12"/>
      <c r="S26" s="234"/>
      <c r="T26" s="43"/>
      <c r="U26" s="9"/>
      <c r="X26" s="4"/>
    </row>
    <row r="27" spans="1:25" ht="17.399999999999999" x14ac:dyDescent="0.3">
      <c r="B27" s="268"/>
      <c r="C27" s="264"/>
      <c r="D27" s="265"/>
      <c r="E27" s="265"/>
      <c r="F27" s="266"/>
      <c r="J27" s="259"/>
      <c r="K27" s="317"/>
      <c r="L27" s="44"/>
      <c r="M27" s="14"/>
      <c r="N27" s="12"/>
      <c r="O27" s="12"/>
      <c r="P27" s="36">
        <f>P26*20%</f>
        <v>0.36959999999999998</v>
      </c>
      <c r="Q27" s="36" t="s">
        <v>128</v>
      </c>
      <c r="R27" s="39"/>
      <c r="S27" s="235"/>
      <c r="T27" s="14"/>
      <c r="U27" s="9"/>
      <c r="X27" s="4"/>
    </row>
    <row r="28" spans="1:25" ht="17.399999999999999" x14ac:dyDescent="0.35">
      <c r="B28" s="263"/>
      <c r="C28" s="225"/>
      <c r="D28" s="225"/>
      <c r="E28" s="228"/>
      <c r="F28" s="229"/>
      <c r="G28" s="225"/>
      <c r="H28" s="267"/>
      <c r="I28" s="267"/>
      <c r="J28" s="259"/>
      <c r="K28" s="44"/>
      <c r="L28" s="44"/>
      <c r="M28" s="14"/>
      <c r="N28" s="12"/>
      <c r="O28" s="12"/>
      <c r="P28" s="43">
        <f>P26+P27</f>
        <v>2.2176</v>
      </c>
      <c r="Q28" s="14"/>
      <c r="R28" s="14"/>
      <c r="S28" s="233"/>
      <c r="T28" s="14"/>
      <c r="U28" s="9"/>
      <c r="X28" s="4"/>
    </row>
    <row r="29" spans="1:25" ht="17.399999999999999" x14ac:dyDescent="0.35">
      <c r="B29" s="230"/>
      <c r="C29" s="231"/>
      <c r="D29" s="232"/>
      <c r="E29" s="230"/>
      <c r="F29" s="225"/>
      <c r="G29" s="225"/>
      <c r="I29" s="267"/>
      <c r="J29" s="259"/>
      <c r="K29" s="44"/>
      <c r="L29" s="44"/>
      <c r="M29" s="14"/>
      <c r="N29" s="14"/>
      <c r="O29" s="14"/>
      <c r="P29" s="14"/>
      <c r="Q29" s="14"/>
      <c r="R29" s="14"/>
      <c r="S29" s="235"/>
      <c r="T29" s="14"/>
      <c r="U29" s="287" t="s">
        <v>21</v>
      </c>
      <c r="V29" s="285" t="s">
        <v>148</v>
      </c>
      <c r="W29" s="288">
        <v>44971</v>
      </c>
      <c r="X29" s="289"/>
    </row>
    <row r="30" spans="1:25" ht="17.399999999999999" x14ac:dyDescent="0.35">
      <c r="B30" s="225"/>
      <c r="C30" s="225"/>
      <c r="D30" s="225"/>
      <c r="E30" s="225"/>
      <c r="F30" s="225"/>
      <c r="G30" s="225"/>
      <c r="J30" s="259"/>
      <c r="K30" s="44"/>
      <c r="L30" s="44"/>
      <c r="M30" s="36">
        <f>P28</f>
        <v>2.2176</v>
      </c>
      <c r="N30" s="12">
        <v>3500</v>
      </c>
      <c r="O30" s="12">
        <f t="shared" ref="O30:O35" si="4">M30*N30</f>
        <v>7761.6</v>
      </c>
      <c r="P30" s="14" t="s">
        <v>21</v>
      </c>
      <c r="Q30" s="14"/>
      <c r="R30" s="14"/>
      <c r="S30" s="236"/>
      <c r="T30" s="14"/>
      <c r="U30" s="287" t="s">
        <v>149</v>
      </c>
      <c r="V30" s="285">
        <v>3625</v>
      </c>
      <c r="W30" s="55" t="s">
        <v>150</v>
      </c>
      <c r="X30" s="289"/>
    </row>
    <row r="31" spans="1:25" ht="17.399999999999999" x14ac:dyDescent="0.35">
      <c r="A31" s="225"/>
      <c r="B31" s="225"/>
      <c r="C31" s="225"/>
      <c r="D31" s="225"/>
      <c r="E31" s="225"/>
      <c r="F31" s="225"/>
      <c r="G31" s="225"/>
      <c r="H31" s="225"/>
      <c r="J31" s="259"/>
      <c r="K31" s="44"/>
      <c r="L31" s="44"/>
      <c r="M31" s="243">
        <v>0.6</v>
      </c>
      <c r="N31" s="12">
        <v>23500</v>
      </c>
      <c r="O31" s="12">
        <f t="shared" si="4"/>
        <v>14100</v>
      </c>
      <c r="P31" s="36" t="s">
        <v>167</v>
      </c>
      <c r="Q31" s="39"/>
      <c r="R31" s="14"/>
      <c r="S31" s="235"/>
      <c r="T31" s="14"/>
      <c r="U31" s="287"/>
      <c r="V31" s="55">
        <v>906.25</v>
      </c>
      <c r="W31" s="55" t="s">
        <v>151</v>
      </c>
      <c r="X31" s="289"/>
    </row>
    <row r="32" spans="1:25" s="225" customFormat="1" ht="17.399999999999999" x14ac:dyDescent="0.35">
      <c r="B32" s="21" t="s">
        <v>147</v>
      </c>
      <c r="J32" s="256"/>
      <c r="K32" s="227"/>
      <c r="L32" s="244"/>
      <c r="M32" s="14"/>
      <c r="N32" s="244">
        <v>30637</v>
      </c>
      <c r="O32" s="12">
        <f t="shared" si="4"/>
        <v>0</v>
      </c>
      <c r="P32" s="36" t="s">
        <v>29</v>
      </c>
      <c r="Q32" s="39"/>
      <c r="S32" s="235"/>
      <c r="T32" s="250"/>
      <c r="U32" s="55"/>
      <c r="V32" s="55">
        <f>V31*20%</f>
        <v>181.25</v>
      </c>
      <c r="W32" s="289" t="s">
        <v>152</v>
      </c>
      <c r="X32" s="55"/>
    </row>
    <row r="33" spans="2:24" s="225" customFormat="1" ht="17.399999999999999" x14ac:dyDescent="0.35">
      <c r="B33" s="21" t="s">
        <v>162</v>
      </c>
      <c r="C33"/>
      <c r="D33"/>
      <c r="E33"/>
      <c r="F33"/>
      <c r="J33" s="256"/>
      <c r="K33" s="227"/>
      <c r="L33" s="244"/>
      <c r="M33" s="14">
        <v>1</v>
      </c>
      <c r="N33" s="244">
        <v>32000</v>
      </c>
      <c r="O33" s="12">
        <f t="shared" si="4"/>
        <v>32000</v>
      </c>
      <c r="P33" s="14" t="s">
        <v>138</v>
      </c>
      <c r="Q33" s="17"/>
      <c r="S33" s="233"/>
      <c r="T33" s="250"/>
      <c r="U33" s="55"/>
      <c r="V33" s="55">
        <f>V31+V32</f>
        <v>1087.5</v>
      </c>
      <c r="W33" s="289" t="s">
        <v>153</v>
      </c>
      <c r="X33" s="55"/>
    </row>
    <row r="34" spans="2:24" s="225" customFormat="1" ht="17.399999999999999" x14ac:dyDescent="0.35">
      <c r="B34" s="26" t="s">
        <v>123</v>
      </c>
      <c r="C34"/>
      <c r="D34"/>
      <c r="E34"/>
      <c r="F34" s="224" t="s">
        <v>15</v>
      </c>
      <c r="J34" s="256"/>
      <c r="K34" s="254"/>
      <c r="L34" s="244"/>
      <c r="M34" s="243"/>
      <c r="N34" s="244">
        <v>900</v>
      </c>
      <c r="O34" s="12">
        <f t="shared" si="4"/>
        <v>0</v>
      </c>
      <c r="P34" s="14" t="s">
        <v>31</v>
      </c>
      <c r="Q34" s="14"/>
      <c r="R34" s="225">
        <v>1.52</v>
      </c>
      <c r="S34" s="233"/>
      <c r="T34" s="233"/>
    </row>
    <row r="35" spans="2:24" s="225" customFormat="1" ht="17.399999999999999" x14ac:dyDescent="0.35">
      <c r="J35" s="280"/>
      <c r="K35" s="254"/>
      <c r="L35" s="244"/>
      <c r="M35" s="260">
        <v>3.1</v>
      </c>
      <c r="N35" s="12">
        <v>1000</v>
      </c>
      <c r="O35" s="12">
        <f t="shared" si="4"/>
        <v>3100</v>
      </c>
      <c r="P35" s="14" t="s">
        <v>22</v>
      </c>
      <c r="Q35" s="14"/>
      <c r="R35">
        <v>2.44</v>
      </c>
      <c r="S35"/>
      <c r="T35" s="233"/>
      <c r="X35" s="226"/>
    </row>
    <row r="36" spans="2:24" s="225" customFormat="1" ht="17.399999999999999" x14ac:dyDescent="0.35">
      <c r="J36" s="254"/>
      <c r="K36" s="254"/>
      <c r="L36" s="244"/>
      <c r="M36" s="14"/>
      <c r="N36" s="12"/>
      <c r="O36" s="12">
        <f>SUM(O30:O35)</f>
        <v>56961.599999999999</v>
      </c>
      <c r="P36" s="36" t="s">
        <v>23</v>
      </c>
      <c r="Q36" s="14"/>
      <c r="R36">
        <f>R34*R35</f>
        <v>3.7088000000000001</v>
      </c>
      <c r="S36"/>
      <c r="T36" s="233"/>
      <c r="X36" s="226"/>
    </row>
    <row r="37" spans="2:24" s="225" customFormat="1" ht="17.399999999999999" x14ac:dyDescent="0.35">
      <c r="L37" s="244"/>
      <c r="M37" s="248" t="s">
        <v>32</v>
      </c>
      <c r="N37" s="12"/>
      <c r="O37" s="249">
        <f>O36*2.1</f>
        <v>119619.36</v>
      </c>
      <c r="P37" s="14" t="s">
        <v>137</v>
      </c>
      <c r="Q37" s="14"/>
      <c r="R37" s="37">
        <f>P28/R36</f>
        <v>0.59792924935289038</v>
      </c>
      <c r="S37"/>
      <c r="T37" s="251"/>
    </row>
    <row r="38" spans="2:24" s="225" customFormat="1" ht="17.399999999999999" x14ac:dyDescent="0.35">
      <c r="G38"/>
      <c r="H38" s="254"/>
      <c r="I38" s="254"/>
      <c r="J38" s="254"/>
      <c r="L38" s="244"/>
      <c r="M38" s="14"/>
      <c r="N38" s="12"/>
      <c r="O38" s="12">
        <f>O37/P26</f>
        <v>64729.090909090912</v>
      </c>
      <c r="P38" s="42" t="s">
        <v>24</v>
      </c>
      <c r="Q38" s="14"/>
      <c r="R38" s="14"/>
      <c r="S38"/>
      <c r="T38" s="233"/>
      <c r="U38" s="55" t="s">
        <v>154</v>
      </c>
      <c r="V38" s="285">
        <v>43650</v>
      </c>
    </row>
    <row r="39" spans="2:24" s="225" customFormat="1" ht="17.399999999999999" x14ac:dyDescent="0.35">
      <c r="G39"/>
      <c r="L39" s="244"/>
      <c r="M39" s="13"/>
      <c r="N39" s="14"/>
      <c r="O39" s="17">
        <f>O37/O36</f>
        <v>2.1</v>
      </c>
      <c r="P39" s="15"/>
      <c r="Q39"/>
      <c r="R39"/>
      <c r="S39"/>
      <c r="T39" s="233"/>
      <c r="U39" s="55" t="s">
        <v>156</v>
      </c>
      <c r="V39" s="286" t="s">
        <v>155</v>
      </c>
      <c r="W39" s="55">
        <v>2.4</v>
      </c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5" spans="2:24" x14ac:dyDescent="0.3">
      <c r="S45" s="18"/>
      <c r="T45" s="18"/>
    </row>
    <row r="48" spans="2:24" x14ac:dyDescent="0.3">
      <c r="O48" s="40"/>
    </row>
    <row r="49" spans="3:15" x14ac:dyDescent="0.3">
      <c r="O49" s="40"/>
    </row>
    <row r="50" spans="3:15" x14ac:dyDescent="0.3">
      <c r="O50" s="6"/>
    </row>
    <row r="51" spans="3:15" x14ac:dyDescent="0.3">
      <c r="O51" s="6"/>
    </row>
    <row r="59" spans="3:15" x14ac:dyDescent="0.3">
      <c r="C59" t="s">
        <v>144</v>
      </c>
    </row>
    <row r="60" spans="3:15" x14ac:dyDescent="0.3">
      <c r="C60" t="s">
        <v>143</v>
      </c>
    </row>
    <row r="63" spans="3:15" x14ac:dyDescent="0.3">
      <c r="C63" t="s">
        <v>143</v>
      </c>
    </row>
    <row r="140" spans="3:3" x14ac:dyDescent="0.3">
      <c r="C140" t="s">
        <v>143</v>
      </c>
    </row>
    <row r="141" spans="3:3" x14ac:dyDescent="0.3">
      <c r="C141" t="s">
        <v>145</v>
      </c>
    </row>
    <row r="142" spans="3:3" x14ac:dyDescent="0.3">
      <c r="C142" t="s">
        <v>146</v>
      </c>
    </row>
    <row r="567" spans="3:3" x14ac:dyDescent="0.3">
      <c r="C567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45883</v>
      </c>
    </row>
    <row r="6" spans="1:31" ht="16.2" thickBot="1" x14ac:dyDescent="0.35">
      <c r="B6" s="136" t="s">
        <v>2</v>
      </c>
      <c r="C6" s="135" t="str">
        <f>'2229'!C10</f>
        <v>BILDER SPA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6" t="s">
        <v>97</v>
      </c>
      <c r="I7" s="337"/>
      <c r="J7" s="337"/>
      <c r="K7" s="338"/>
      <c r="N7" s="71"/>
      <c r="O7" s="335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11596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5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-13277.761064009663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'2229'!H24</f>
        <v>221388</v>
      </c>
      <c r="E11" s="128">
        <f>D11*0.19</f>
        <v>42063.72</v>
      </c>
      <c r="F11" s="127">
        <f>E11+D11</f>
        <v>263451.71999999997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92712.238935990332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94480.955743961342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74712.238935990332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126907.04425603866</v>
      </c>
      <c r="E13" s="217">
        <f>(D11/D12)-1</f>
        <v>1.3432023761481666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65712.238935990332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26712.238935990339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168648.506002971</v>
      </c>
      <c r="C15" s="209" t="s">
        <v>120</v>
      </c>
      <c r="D15" s="210">
        <v>0.5</v>
      </c>
      <c r="E15" s="211">
        <f>(100%+D15)*D12</f>
        <v>141721.43361594202</v>
      </c>
      <c r="F15" s="212">
        <f>E15-D12</f>
        <v>47240.477871980678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26712.238935990339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66712.238935990332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'2229'!O31</f>
        <v>14100</v>
      </c>
      <c r="E19" s="119">
        <f>D19*0.19</f>
        <v>2679</v>
      </c>
      <c r="F19" s="116">
        <f>SUM(D19:E19)</f>
        <v>16779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'2229'!O30</f>
        <v>7761.6</v>
      </c>
      <c r="E20" s="117">
        <f>D20*0.19</f>
        <v>1474.7040000000002</v>
      </c>
      <c r="F20" s="116">
        <f>SUM(D20:E20)</f>
        <v>9236.3040000000001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21861.599999999999</v>
      </c>
      <c r="E21" s="112">
        <f>SUM(E18:E20)</f>
        <v>4153.7039999999997</v>
      </c>
      <c r="F21" s="111">
        <f>SUM(F18:F20)</f>
        <v>26015.304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37910.016000000003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221388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21861.599999999999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126907.04425603866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126907.04425603866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2025-08-14T22:19:00Z</cp:lastPrinted>
  <dcterms:created xsi:type="dcterms:W3CDTF">2013-03-18T13:35:42Z</dcterms:created>
  <dcterms:modified xsi:type="dcterms:W3CDTF">2025-08-14T22:19:22Z</dcterms:modified>
</cp:coreProperties>
</file>