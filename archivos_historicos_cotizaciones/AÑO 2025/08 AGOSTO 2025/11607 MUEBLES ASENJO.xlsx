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67E74F30-22EE-4BD0-ABC1-5B4E8F9386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/>
  <c r="M21" i="1"/>
  <c r="N21" i="1"/>
  <c r="J15" i="1"/>
  <c r="J10" i="1"/>
  <c r="O21" i="1" l="1"/>
  <c r="P21" i="1" s="1"/>
  <c r="S21" i="1"/>
  <c r="S26" i="1" s="1"/>
  <c r="M25" i="1"/>
  <c r="T24" i="1"/>
  <c r="K39" i="1"/>
  <c r="P25" i="1" l="1"/>
  <c r="S27" i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R21" i="1" s="1"/>
  <c r="O39" i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<sst xmlns="http://schemas.openxmlformats.org/spreadsheetml/2006/main" count="230" uniqueCount="176">
  <si>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</si>
  <si>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</si>
  <si>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</si>
  <si>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</si>
  <si>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</si>
  <si>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</si>
  <si>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</si>
  <si>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</si>
  <si>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</si>
  <si>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</si>
  <si>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</si>
  <si>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</si>
  <si>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</si>
  <si>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</si>
  <si>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</si>
  <si>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</si>
  <si>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</si>
  <si>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</si>
  <si>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</si>
  <si>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</si>
  <si>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</si>
  <si>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</si>
  <si>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</si>
  <si>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</si>
  <si>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</si>
  <si>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</si>
  <si>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</si>
  <si>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</si>
  <si>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</si>
  <si>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</si>
  <si>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</si>
  <si>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</si>
  <si>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</si>
  <si>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</si>
  <si>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</si>
  <si>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</si>
  <si>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</si>
  <si>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</si>
  <si>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</si>
  <si>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</si>
  <si>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</si>
  <si>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</si>
  <si>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</si>
  <si>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</si>
  <si>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</si>
  <si>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</si>
  <si>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</si>
  <si>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</si>
  <si>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</si>
  <si>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</si>
  <si>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</si>
  <si>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</si>
  <si>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</si>
  <si>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</si>
  <si>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</si>
  <si>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</si>
  <si>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</si>
  <si>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</si>
  <si>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</si>
  <si>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</si>
  <si>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</si>
  <si>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</si>
  <si>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</si>
  <si>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</si>
  <si>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</si>
  <si>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</si>
  <si>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</si>
  <si>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</si>
  <si>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</si>
  <si>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</si>
  <si>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</si>
  <si>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</si>
  <si>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</si>
  <si>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</si>
  <si>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</si>
  <si>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</si>
  <si>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</si>
  <si>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</si>
  <si>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</si>
  <si>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</si>
  <si>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</si>
  <si>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</si>
  <si>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</si>
  <si>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</si>
  <si>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</si>
  <si>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</si>
  <si>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</si>
  <si>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</si>
  <si>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</si>
  <si>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</si>
  <si>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</si>
  <si>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</si>
  <si>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</si>
  <si>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</si>
  <si>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</si>
  <si>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</si>
  <si>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</si>
  <si>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</si>
  <si>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</si>
  <si>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</si>
  <si>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</si>
  <si>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</si>
  <si>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</si>
  <si>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</si>
  <si>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</si>
  <si>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</si>
  <si>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</si>
  <si>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</si>
  <si>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</si>
  <si>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</si>
  <si>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</si>
  <si>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</si>
  <si>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</si>
  <si>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</si>
  <si>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</si>
  <si>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</si>
  <si>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</si>
  <si>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</si>
  <si>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</si>
  <si>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</si>
  <si>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</si>
  <si>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</si>
  <si>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</si>
  <si>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</si>
  <si>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</si>
  <si>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</si>
  <si>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</si>
  <si>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</si>
  <si>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</si>
  <si>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</si>
  <si>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</si>
  <si>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</si>
  <si>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</si>
  <si>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</si>
  <si>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</si>
  <si>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</si>
  <si>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</si>
  <si>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</si>
  <si>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</si>
  <si>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</si>
  <si>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</si>
  <si>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</si>
  <si>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</si>
  <si>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</si>
  <si>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</si>
  <si>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</si>
  <si>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</si>
  <si>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</si>
  <si>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</si>
  <si>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</si>
  <si>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</si>
  <si>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</si>
  <si>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</si>
  <si>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</si>
  <si>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</si>
  <si>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</si>
  <si>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</si>
  <si>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</si>
  <si>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</si>
  <si>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</si>
  <si>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</si>
  <si>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</si>
  <si>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</si>
  <si>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</si>
  <si>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</si>
  <si>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</si>
  <si>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</si>
  <si>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</si>
  <si>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</si>
  <si>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</si>
  <si>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</si>
  <si>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</si>
  <si>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3 DIAS HABILES</t>
  </si>
  <si>
    <t>N° 11607</t>
  </si>
  <si>
    <t>CUB C/R 90° R8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</si>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</sst>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45890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F13" t="s">
        <v>171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53999.30232558139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174</v>
      </c>
      <c r="D21" s="333">
        <v>1.21</v>
      </c>
      <c r="E21" s="333">
        <v>0.6</v>
      </c>
      <c r="F21" s="330" t="s">
        <v>175</v>
      </c>
      <c r="G21" s="331">
        <v>41795</v>
      </c>
      <c r="H21" s="331">
        <f t="shared" ref="H21" si="1">G21*B21</f>
        <v>41795</v>
      </c>
      <c r="I21" s="320"/>
      <c r="J21" s="265">
        <v>19</v>
      </c>
      <c r="K21" s="47"/>
      <c r="L21" s="332">
        <f t="shared" ref="L21" si="2">B21</f>
        <v>1</v>
      </c>
      <c r="M21" s="39">
        <f t="shared" ref="M21" si="3">D21+M$19</f>
        <v>1.29</v>
      </c>
      <c r="N21" s="39">
        <f t="shared" ref="N21" si="4">E21+$N$19</f>
        <v>0.6</v>
      </c>
      <c r="O21" s="261">
        <f t="shared" ref="O21" si="5">M21*N21</f>
        <v>0.77400000000000002</v>
      </c>
      <c r="P21" s="259">
        <f t="shared" ref="P21" si="6">O21*L21</f>
        <v>0.77400000000000002</v>
      </c>
      <c r="Q21" s="252">
        <f t="shared" ref="Q21" si="7">Q$20*O21</f>
        <v>41795.46</v>
      </c>
      <c r="R21" s="319">
        <f t="shared" ref="R21" si="8">Q21+R$20</f>
        <v>43795.46</v>
      </c>
      <c r="S21" s="297">
        <f t="shared" ref="S21" si="9">M21*L21</f>
        <v>1.29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41795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7941.05</v>
      </c>
      <c r="I25" s="322"/>
      <c r="J25" s="265"/>
      <c r="K25" s="47"/>
      <c r="L25" s="47"/>
      <c r="M25" s="39">
        <f>SUM(M21:M24)</f>
        <v>1.29</v>
      </c>
      <c r="N25" s="12"/>
      <c r="O25" s="12"/>
      <c r="P25" s="253">
        <f>SUM(P21:P23)</f>
        <v>0.77400000000000002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49736.05</v>
      </c>
      <c r="I26" s="322"/>
      <c r="J26" s="265"/>
      <c r="K26" s="47"/>
      <c r="L26" s="47"/>
      <c r="M26" s="39"/>
      <c r="N26" s="12"/>
      <c r="O26" s="12"/>
      <c r="P26" s="253">
        <f>P25</f>
        <v>0.77400000000000002</v>
      </c>
      <c r="Q26" s="14"/>
      <c r="R26" s="12"/>
      <c r="S26" s="239">
        <f>SUM(S21:S25)</f>
        <v>1.29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0.15480000000000002</v>
      </c>
      <c r="Q27" s="39" t="s">
        <v>130</v>
      </c>
      <c r="R27" s="42"/>
      <c r="S27" s="240">
        <f>S26+T24</f>
        <v>1.29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0.92880000000000007</v>
      </c>
      <c r="Q28" s="14"/>
      <c r="R28" s="14"/>
      <c r="S28" s="238">
        <f>S27*20%</f>
        <v>0.25800000000000001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1.548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0.92880000000000007</v>
      </c>
      <c r="N30" s="12">
        <v>2000</v>
      </c>
      <c r="O30" s="12">
        <f t="shared" ref="O30:O35" si="10">M30*N30</f>
        <v>1857.6000000000001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0.25</v>
      </c>
      <c r="N31" s="12">
        <v>46000</v>
      </c>
      <c r="O31" s="12">
        <f t="shared" si="10"/>
        <v>11500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67000</v>
      </c>
      <c r="O32" s="12">
        <f t="shared" si="10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0.25</v>
      </c>
      <c r="N33" s="250">
        <v>23600</v>
      </c>
      <c r="O33" s="12">
        <f t="shared" si="10"/>
        <v>5900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0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1.29</v>
      </c>
      <c r="N35" s="12">
        <v>500</v>
      </c>
      <c r="O35" s="12">
        <f t="shared" si="10"/>
        <v>645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19902.599999999999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41795.46</v>
      </c>
      <c r="P37" s="14" t="s">
        <v>140</v>
      </c>
      <c r="Q37" s="14"/>
      <c r="R37" s="40">
        <f>P28/R36</f>
        <v>0.25043140638481448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53999.30232558139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45890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4911.8816332125598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41795</v>
      </c>
      <c r="E11" s="132">
        <f>D11*0.19</f>
        <v>7941.05</v>
      </c>
      <c r="F11" s="131">
        <f>E11+D11</f>
        <v>49736.05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110901.88163321256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43191.690787439613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92901.881633212557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-1396.6907874396129</v>
      </c>
      <c r="E13" s="221">
        <f>(D11/D12)-1</f>
        <v>-3.2337025061444868E-2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83901.881633212557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44901.881633212557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71266.289799275357</v>
      </c>
      <c r="F15" s="216">
        <f>E15-D12</f>
        <v>28074.599011835744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44901.881633212557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84901.881633212557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11500</v>
      </c>
      <c r="E19" s="123">
        <f>D19*0.19</f>
        <v>2185</v>
      </c>
      <c r="F19" s="120">
        <f>SUM(D19:E19)</f>
        <v>13685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1857.6000000000001</v>
      </c>
      <c r="E20" s="121">
        <f>D20*0.19</f>
        <v>352.94400000000002</v>
      </c>
      <c r="F20" s="120">
        <f>SUM(D20:E20)</f>
        <v>2210.5440000000003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13357.6</v>
      </c>
      <c r="E21" s="116">
        <f>SUM(E18:E20)</f>
        <v>2537.944</v>
      </c>
      <c r="F21" s="115">
        <f>SUM(F18:F20)</f>
        <v>15895.544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5403.1059999999998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41795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13357.6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-1396.6907874396129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-1396.6907874396129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2025-05-20T16:58:08Z</cp:lastPrinted>
  <dcterms:created xsi:type="dcterms:W3CDTF">2013-03-18T13:35:42Z</dcterms:created>
  <dcterms:modified xsi:type="dcterms:W3CDTF">2025-08-21T12:55:41Z</dcterms:modified>
</cp:coreProperties>
</file>