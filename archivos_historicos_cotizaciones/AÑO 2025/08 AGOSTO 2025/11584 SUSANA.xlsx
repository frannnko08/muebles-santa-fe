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D7201044-A6A5-4C1E-81F3-F06889CBB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L22" i="1" l="1"/>
  <c r="M22" i="1"/>
  <c r="N22" i="1"/>
  <c r="O22" i="1" s="1"/>
  <c r="P22" i="1" s="1"/>
  <c r="K24" i="1"/>
  <c r="M14" i="1"/>
  <c r="M16" i="1" s="1"/>
  <c r="H22" i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Q22" i="1" s="1"/>
  <c r="R22" i="1" s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<sst xmlns="http://schemas.openxmlformats.org/spreadsheetml/2006/main" count="236" uniqueCount="178">
  <si>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</si>
  <si>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</si>
  <si>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</si>
  <si>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</si>
  <si>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</si>
  <si>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</si>
  <si>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</si>
  <si>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</si>
  <si>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</si>
  <si>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</si>
  <si>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</si>
  <si>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</si>
  <si>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</si>
  <si>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</si>
  <si>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</si>
  <si>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</si>
  <si>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</si>
  <si>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</si>
  <si>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</si>
  <si>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</si>
  <si>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</si>
  <si>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</si>
  <si>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</si>
  <si>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</si>
  <si>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</si>
  <si>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</si>
  <si>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</si>
  <si>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</si>
  <si>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</si>
  <si>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</si>
  <si>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</si>
  <si>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</si>
  <si>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</si>
  <si>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</si>
  <si>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</si>
  <si>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</si>
  <si>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</si>
  <si>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</si>
  <si>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</si>
  <si>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</si>
  <si>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</si>
  <si>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</si>
  <si>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</si>
  <si>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</si>
  <si>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</si>
  <si>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</si>
  <si>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</si>
  <si>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</si>
  <si>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</si>
  <si>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</si>
  <si>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</si>
  <si>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</si>
  <si>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</si>
  <si>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</si>
  <si>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</si>
  <si>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</si>
  <si>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</si>
  <si>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</si>
  <si>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</si>
  <si>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</si>
  <si>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</si>
  <si>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</si>
  <si>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</si>
  <si>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</si>
  <si>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</si>
  <si>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</si>
  <si>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</si>
  <si>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</si>
  <si>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</si>
  <si>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</si>
  <si>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</si>
  <si>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</si>
  <si>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</si>
  <si>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</si>
  <si>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</si>
  <si>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</si>
  <si>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</si>
  <si>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</si>
  <si>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</si>
  <si>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</si>
  <si>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</si>
  <si>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</si>
  <si>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</si>
  <si>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</si>
  <si>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</si>
  <si>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</si>
  <si>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</si>
  <si>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</si>
  <si>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</si>
  <si>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</si>
  <si>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</si>
  <si>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</si>
  <si>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</si>
  <si>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</si>
  <si>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</si>
  <si>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</si>
  <si>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</si>
  <si>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</si>
  <si>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</si>
  <si>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</si>
  <si>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</si>
  <si>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</si>
  <si>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</si>
  <si>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</si>
  <si>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</si>
  <si>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</si>
  <si>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</si>
  <si>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</si>
  <si>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</si>
  <si>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</si>
  <si>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</si>
  <si>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</si>
  <si>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</si>
  <si>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</si>
  <si>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</si>
  <si>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</si>
  <si>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</si>
  <si>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</si>
  <si>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</si>
  <si>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</si>
  <si>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</si>
  <si>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</si>
  <si>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</si>
  <si>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</si>
  <si>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</si>
  <si>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</si>
  <si>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</si>
  <si>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</si>
  <si>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</si>
  <si>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</si>
  <si>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</si>
  <si>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</si>
  <si>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</si>
  <si>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</si>
  <si>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</si>
  <si>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</si>
  <si>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</si>
  <si>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</si>
  <si>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</si>
  <si>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</si>
  <si>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</si>
  <si>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</si>
  <si>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</si>
  <si>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</si>
  <si>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</si>
  <si>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</si>
  <si>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</si>
  <si>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</si>
  <si>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</si>
  <si>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</si>
  <si>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</si>
  <si>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</si>
  <si>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</si>
  <si>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</si>
  <si>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</si>
  <si>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</si>
  <si>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</si>
  <si>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</si>
  <si>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</si>
  <si>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</si>
  <si>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</si>
  <si>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</si>
  <si>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</si>
  <si>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</si>
  <si>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</si>
  <si>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</si>
  <si>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</si>
  <si>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</si>
  <si>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</si>
  <si>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</si>
  <si>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</si>
  <si>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</si>
  <si>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5 DIAS HABILES </t>
  </si>
  <si>
    <t>SUSANA</t>
  </si>
  <si>
    <t>+56 9 9715 5874</t>
  </si>
  <si>
    <t>CUB CON RESPALDO FRENTE 180°</t>
  </si>
  <si>
    <t>GRANITINO NEGRO</t>
  </si>
  <si>
    <t>N° 11584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</si>
</sst>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CORTADAS A LA MEDIDA Y ENCHAPADAS EN LOS COSTADOS.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J13" sqref="J13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173</v>
      </c>
      <c r="D10" s="236"/>
      <c r="E10" s="236"/>
      <c r="F10" s="237" t="s">
        <v>163</v>
      </c>
      <c r="G10" s="268">
        <v>45881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174</v>
      </c>
      <c r="D15" s="304"/>
      <c r="F15" t="s">
        <v>164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171</v>
      </c>
      <c r="D17" s="289"/>
      <c r="E17" s="113"/>
      <c r="F17" s="345" t="s">
        <v>159</v>
      </c>
      <c r="G17" s="345"/>
      <c r="H17" s="346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7" t="s">
        <v>92</v>
      </c>
      <c r="C19" s="348"/>
      <c r="D19" s="348"/>
      <c r="E19" s="348"/>
      <c r="F19" s="348"/>
      <c r="G19" s="348"/>
      <c r="H19" s="349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66531.36063408191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40">
        <v>1</v>
      </c>
      <c r="C21" s="341" t="s">
        <v>175</v>
      </c>
      <c r="D21" s="342">
        <v>2.15</v>
      </c>
      <c r="E21" s="342">
        <v>0.56000000000000005</v>
      </c>
      <c r="F21" s="341" t="s">
        <v>176</v>
      </c>
      <c r="G21" s="343">
        <f>R21</f>
        <v>85084.363159841494</v>
      </c>
      <c r="H21" s="344">
        <f>G21*B21</f>
        <v>85084.363159841494</v>
      </c>
      <c r="I21" s="292"/>
      <c r="J21" s="257"/>
      <c r="K21" s="44"/>
      <c r="L21" s="44">
        <f>B21</f>
        <v>1</v>
      </c>
      <c r="M21" s="36">
        <f>D21+M$19</f>
        <v>2.23</v>
      </c>
      <c r="N21" s="36">
        <f>E21+$N$19</f>
        <v>0.56000000000000005</v>
      </c>
      <c r="O21" s="253">
        <f t="shared" ref="O21" si="1">M21*N21</f>
        <v>1.2488000000000001</v>
      </c>
      <c r="P21" s="251">
        <f t="shared" ref="P21" si="2">O21*L21</f>
        <v>1.2488000000000001</v>
      </c>
      <c r="Q21" s="244">
        <f t="shared" ref="Q21" si="3">Q$20*O21</f>
        <v>83084.363159841494</v>
      </c>
      <c r="R21" s="291">
        <f t="shared" ref="R21" si="4">Q21+R$20</f>
        <v>85084.363159841494</v>
      </c>
      <c r="S21" s="279">
        <f>M21*L21</f>
        <v>2.23</v>
      </c>
      <c r="T21" s="43">
        <f>N21*2*L21*2</f>
        <v>2.2400000000000002</v>
      </c>
      <c r="U21" s="9"/>
      <c r="X21" s="4"/>
    </row>
    <row r="22" spans="1:25" ht="18" thickBot="1" x14ac:dyDescent="0.35">
      <c r="B22" s="358">
        <v>1</v>
      </c>
      <c r="C22" s="359" t="s">
        <v>175</v>
      </c>
      <c r="D22" s="360">
        <v>1.4750000000000001</v>
      </c>
      <c r="E22" s="360">
        <v>0.56000000000000005</v>
      </c>
      <c r="F22" s="359" t="s">
        <v>176</v>
      </c>
      <c r="G22" s="361">
        <f>R22</f>
        <v>59935.508840158538</v>
      </c>
      <c r="H22" s="362">
        <f>G22*B22</f>
        <v>59935.508840158538</v>
      </c>
      <c r="I22" s="292"/>
      <c r="J22" s="257"/>
      <c r="K22" s="44"/>
      <c r="L22" s="44">
        <f>B22</f>
        <v>1</v>
      </c>
      <c r="M22" s="36">
        <f>D22+M$19</f>
        <v>1.5550000000000002</v>
      </c>
      <c r="N22" s="36">
        <f>E22+$N$19</f>
        <v>0.56000000000000005</v>
      </c>
      <c r="O22" s="253">
        <f t="shared" ref="O22" si="5">M22*N22</f>
        <v>0.87080000000000013</v>
      </c>
      <c r="P22" s="251">
        <f t="shared" ref="P22" si="6">O22*L22</f>
        <v>0.87080000000000013</v>
      </c>
      <c r="Q22" s="244">
        <f t="shared" ref="Q22" si="7">Q$20*O22</f>
        <v>57935.508840158538</v>
      </c>
      <c r="R22" s="291">
        <f t="shared" ref="R22" si="8">Q22+R$20</f>
        <v>59935.508840158538</v>
      </c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45000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4" t="s">
        <v>28</v>
      </c>
      <c r="H24" s="335">
        <f>SUM(H21:H23)</f>
        <v>145019.87200000003</v>
      </c>
      <c r="I24" s="294"/>
      <c r="J24" s="327"/>
      <c r="K24" s="309">
        <f>K23/1.19</f>
        <v>37815.126050420171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2.2400000000000002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8" t="s">
        <v>51</v>
      </c>
      <c r="H25" s="330">
        <f>H24*0.19</f>
        <v>27553.775680000006</v>
      </c>
      <c r="I25" s="294"/>
      <c r="J25" s="257"/>
      <c r="K25" s="309"/>
      <c r="L25" s="44"/>
      <c r="M25" s="36">
        <f>SUM(M21:M22)</f>
        <v>3.7850000000000001</v>
      </c>
      <c r="N25" s="12"/>
      <c r="O25" s="12"/>
      <c r="P25" s="245">
        <f>SUM(P21:P23)</f>
        <v>2.1196000000000002</v>
      </c>
      <c r="Q25" s="14"/>
      <c r="R25" s="12"/>
      <c r="S25" s="232">
        <f>SUM(S21:S24)</f>
        <v>2.23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9" t="s">
        <v>6</v>
      </c>
      <c r="H26" s="331">
        <f>H25+H24</f>
        <v>172573.64768000005</v>
      </c>
      <c r="I26" s="294"/>
      <c r="J26" s="257"/>
      <c r="K26" s="309"/>
      <c r="L26" s="44"/>
      <c r="M26" s="36"/>
      <c r="N26" s="12"/>
      <c r="O26" s="12"/>
      <c r="P26" s="245">
        <f>P25</f>
        <v>2.1196000000000002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0.42392000000000007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2.54352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2.54352</v>
      </c>
      <c r="N30" s="12">
        <v>3500</v>
      </c>
      <c r="O30" s="12">
        <f t="shared" ref="O30:O35" si="9">M30*N30</f>
        <v>8902.32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0.7</v>
      </c>
      <c r="N31" s="12">
        <v>23500</v>
      </c>
      <c r="O31" s="12">
        <f t="shared" si="9"/>
        <v>16450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9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2</v>
      </c>
      <c r="N33" s="242">
        <v>19000</v>
      </c>
      <c r="O33" s="12">
        <f t="shared" si="9"/>
        <v>38000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9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3.8</v>
      </c>
      <c r="N35" s="12">
        <v>1000</v>
      </c>
      <c r="O35" s="12">
        <f t="shared" si="9"/>
        <v>3800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67152.320000000007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141019.87200000003</v>
      </c>
      <c r="P37" s="14" t="s">
        <v>135</v>
      </c>
      <c r="Q37" s="14"/>
      <c r="R37" s="37">
        <f>P28/R36</f>
        <v>0.68580672993960312</v>
      </c>
      <c r="S37"/>
      <c r="T37" s="249"/>
    </row>
    <row r="38" spans="2:24" s="223" customFormat="1" ht="17.399999999999999" x14ac:dyDescent="0.35">
      <c r="G38"/>
      <c r="H38" s="252"/>
      <c r="I38" s="252"/>
      <c r="J38" s="332"/>
      <c r="L38" s="242"/>
      <c r="M38" s="14"/>
      <c r="N38" s="12"/>
      <c r="O38" s="12">
        <f>O37/P26</f>
        <v>66531.36063408191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4"/>
      <c r="J40" s="333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5"/>
      <c r="D41" s="275"/>
      <c r="E41" s="275"/>
      <c r="F41" s="274"/>
      <c r="G41" s="310"/>
      <c r="H41" s="314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4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4"/>
      <c r="L43" s="242"/>
    </row>
    <row r="44" spans="2:24" ht="17.399999999999999" x14ac:dyDescent="0.35">
      <c r="D44" s="275"/>
      <c r="E44" s="275"/>
      <c r="F44" s="274"/>
      <c r="G44" s="310"/>
      <c r="H44" s="314"/>
      <c r="L44" s="242"/>
      <c r="T44" s="262"/>
    </row>
    <row r="45" spans="2:24" ht="17.399999999999999" x14ac:dyDescent="0.35">
      <c r="D45" s="275"/>
      <c r="E45" s="275"/>
      <c r="F45" s="274"/>
      <c r="G45" s="310"/>
      <c r="H45" s="314"/>
      <c r="L45" s="242"/>
    </row>
    <row r="46" spans="2:24" ht="15" customHeight="1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 s="51"/>
      <c r="P50" s="51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45881</v>
      </c>
    </row>
    <row r="6" spans="1:31" ht="16.2" thickBot="1" x14ac:dyDescent="0.35">
      <c r="B6" s="134" t="s">
        <v>2</v>
      </c>
      <c r="C6" s="133" t="str">
        <f>'2229'!C10</f>
        <v>SUSANA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5" t="s">
        <v>95</v>
      </c>
      <c r="I7" s="356"/>
      <c r="J7" s="356"/>
      <c r="K7" s="357"/>
      <c r="N7" s="72"/>
      <c r="O7" s="354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11584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4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2321693.8260489134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4779671.0796868978</v>
      </c>
      <c r="C15" s="207" t="s">
        <v>118</v>
      </c>
      <c r="D15" s="208">
        <v>0.73</v>
      </c>
      <c r="E15" s="209">
        <f>(100%+D15)*D12</f>
        <v>4016530.31906462</v>
      </c>
      <c r="F15" s="210">
        <f>E15-D12</f>
        <v>1694836.4930157065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169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38000</v>
      </c>
      <c r="E19" s="117">
        <f>D19*0.19</f>
        <v>7220</v>
      </c>
      <c r="F19" s="114">
        <f>SUM(D19:E19)</f>
        <v>45220</v>
      </c>
      <c r="H19" s="324"/>
      <c r="I19" s="323"/>
      <c r="J19" s="144" t="s">
        <v>170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'2229'!O31</f>
        <v>16450</v>
      </c>
      <c r="E20" s="117">
        <f>D20*0.19</f>
        <v>3125.5</v>
      </c>
      <c r="F20" s="114">
        <f>SUM(D20:E20)</f>
        <v>19575.5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'2229'!O30</f>
        <v>8902.32</v>
      </c>
      <c r="E21" s="115">
        <f>D21*0.19</f>
        <v>1691.4407999999999</v>
      </c>
      <c r="F21" s="114">
        <f>SUM(D21:E21)</f>
        <v>10593.7608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63352.32</v>
      </c>
      <c r="E22" s="110">
        <f>SUM(E18:E21)</f>
        <v>12036.9408</v>
      </c>
      <c r="F22" s="109">
        <f>SUM(F18:F21)</f>
        <v>75389.260800000004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1" t="s">
        <v>60</v>
      </c>
      <c r="I43" s="352"/>
      <c r="J43" s="352"/>
      <c r="K43" s="352"/>
      <c r="L43" s="352"/>
      <c r="M43" s="353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63352.32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0"/>
      <c r="J52" s="350"/>
      <c r="K52" s="350"/>
      <c r="L52" s="35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2025-08-12T14:56:52Z</cp:lastPrinted>
  <dcterms:created xsi:type="dcterms:W3CDTF">2013-03-18T13:35:42Z</dcterms:created>
  <dcterms:modified xsi:type="dcterms:W3CDTF">2025-08-12T14:57:07Z</dcterms:modified>
</cp:coreProperties>
</file>