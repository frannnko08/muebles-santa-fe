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50E23F42-AB92-4504-8130-614E3B77C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32" i="1" l="1"/>
  <c r="L21" i="1"/>
  <c r="N21" i="1"/>
  <c r="S21" i="1" l="1"/>
  <c r="S32" i="1" s="1"/>
  <c r="T21" i="1"/>
  <c r="T31" i="1" s="1"/>
  <c r="O21" i="1"/>
  <c r="P21" i="1" s="1"/>
  <c r="P32" i="1" s="1"/>
  <c r="V39" i="1" l="1"/>
  <c r="V40" i="1" s="1"/>
  <c r="O38" i="1" l="1"/>
  <c r="P33" i="1" l="1"/>
  <c r="N20" i="1"/>
  <c r="L20" i="1"/>
  <c r="P34" i="1" l="1"/>
  <c r="P35" i="1" s="1"/>
  <c r="M37" i="1" s="1"/>
  <c r="O39" i="1"/>
  <c r="R43" i="1"/>
  <c r="R44" i="1" l="1"/>
  <c r="O4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4" i="1" s="1"/>
  <c r="O45" i="1" l="1"/>
  <c r="Q20" i="1" s="1"/>
  <c r="D20" i="3"/>
  <c r="E20" i="3" s="1"/>
  <c r="E21" i="3" s="1"/>
  <c r="D21" i="3" l="1"/>
  <c r="M43" i="3" s="1"/>
  <c r="D12" i="3" s="1"/>
  <c r="E15" i="3" s="1"/>
  <c r="A15" i="3" s="1"/>
  <c r="F20" i="3"/>
  <c r="F21" i="3" s="1"/>
  <c r="O46" i="1" l="1"/>
  <c r="Q21" i="1" l="1"/>
  <c r="G21" i="1" s="1"/>
  <c r="F15" i="3"/>
  <c r="R21" i="1" l="1"/>
  <c r="H21" i="1" l="1"/>
  <c r="H31" i="1" s="1"/>
  <c r="H32" i="1" l="1"/>
  <c r="H33" i="1" s="1"/>
  <c r="D11" i="3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<sst xmlns="http://schemas.openxmlformats.org/spreadsheetml/2006/main" count="241" uniqueCount="186">
  <si>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</si>
  <si>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</si>
  <si>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</si>
  <si>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</si>
  <si>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</si>
  <si>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</si>
  <si>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</si>
  <si>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</si>
  <si>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</si>
  <si>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</si>
  <si>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</si>
  <si>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</si>
  <si>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</si>
  <si>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</si>
  <si>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</si>
  <si>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</si>
  <si>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</si>
  <si>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</si>
  <si>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</si>
  <si>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</si>
  <si>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</si>
  <si>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</si>
  <si>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</si>
  <si>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</si>
  <si>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</si>
  <si>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</si>
  <si>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</si>
  <si>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</si>
  <si>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</si>
  <si>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</si>
  <si>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</si>
  <si>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</si>
  <si>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</si>
  <si>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</si>
  <si>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</si>
  <si>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</si>
  <si>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</si>
  <si>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</si>
  <si>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</si>
  <si>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</si>
  <si>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</si>
  <si>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</si>
  <si>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</si>
  <si>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</si>
  <si>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</si>
  <si>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</si>
  <si>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</si>
  <si>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</si>
  <si>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</si>
  <si>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</si>
  <si>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</si>
  <si>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</si>
  <si>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</si>
  <si>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</si>
  <si>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</si>
  <si>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</si>
  <si>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</si>
  <si>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</si>
  <si>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</si>
  <si>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</si>
  <si>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</si>
  <si>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</si>
  <si>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</si>
  <si>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</si>
  <si>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</si>
  <si>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</si>
  <si>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</si>
  <si>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</si>
  <si>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</si>
  <si>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</si>
  <si>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</si>
  <si>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</si>
  <si>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</si>
  <si>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</si>
  <si>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</si>
  <si>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</si>
  <si>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</si>
  <si>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</si>
  <si>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</si>
  <si>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</si>
  <si>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</si>
  <si>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</si>
  <si>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</si>
  <si>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</si>
  <si>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</si>
  <si>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</si>
  <si>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</si>
  <si>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</si>
  <si>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</si>
  <si>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</si>
  <si>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</si>
  <si>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</si>
  <si>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</si>
  <si>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</si>
  <si>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</si>
  <si>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</si>
  <si>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</si>
  <si>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</si>
  <si>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</si>
  <si>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</si>
  <si>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</si>
  <si>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</si>
  <si>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</si>
  <si>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</si>
  <si>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</si>
  <si>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</si>
  <si>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</si>
  <si>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</si>
  <si>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</si>
  <si>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</si>
  <si>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</si>
  <si>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</si>
  <si>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</si>
  <si>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</si>
  <si>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</si>
  <si>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</si>
  <si>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</si>
  <si>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</si>
  <si>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</si>
  <si>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</si>
  <si>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</si>
  <si>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</si>
  <si>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</si>
  <si>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</si>
  <si>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</si>
  <si>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</si>
  <si>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</si>
  <si>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</si>
  <si>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</si>
  <si>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</si>
  <si>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</si>
  <si>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</si>
  <si>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</si>
  <si>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</si>
  <si>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</si>
  <si>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</si>
  <si>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</si>
  <si>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</si>
  <si>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</si>
  <si>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</si>
  <si>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</si>
  <si>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</si>
  <si>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</si>
  <si>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</si>
  <si>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</si>
  <si>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</si>
  <si>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</si>
  <si>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</si>
  <si>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</si>
  <si>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</si>
  <si>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</si>
  <si>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</si>
  <si>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</si>
  <si>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</si>
  <si>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</si>
  <si>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</si>
  <si>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</si>
  <si>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</si>
  <si>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</si>
  <si>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</si>
  <si>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</si>
  <si>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</si>
  <si>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</si>
  <si>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</si>
  <si>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</si>
  <si>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</si>
  <si>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</si>
  <si>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</si>
  <si>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</si>
  <si>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</si>
  <si>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</si>
  <si>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MIGUEL DIAZ</t>
  </si>
  <si>
    <t>+569 7714 6693</t>
  </si>
  <si>
    <t>CUB CON RESPALDO FRENTE 90°</t>
  </si>
  <si>
    <t>HAYA 1750 MT</t>
  </si>
  <si>
    <t>SERVICIO DE INSTALACIÓN</t>
  </si>
  <si>
    <t>INCLUYE:</t>
  </si>
  <si>
    <t>FLETE</t>
  </si>
  <si>
    <t>DESMONTURA DE CUBIERTAS ANTIGUAS  Y MONTAJE DE CUBIERTAS NUEVAS</t>
  </si>
  <si>
    <t>INSUMOS Y MATERIALES PARA UNA CORRECTA INSTALACIÓN</t>
  </si>
  <si>
    <t>6 MESES DE GARANTÍA</t>
  </si>
  <si>
    <t>NO INCLUYE:</t>
  </si>
  <si>
    <t>CONEXIONES DE GASFITERIA</t>
  </si>
  <si>
    <t>LLEVARSE LOS MATERIALES ANTIGUOS (CUBIERTAS, PUERTAS, ETC.)</t>
  </si>
  <si>
    <t>CORTE Y DESFONDADOS PARA LAVAPLATOS Y ENCIMERA</t>
  </si>
  <si>
    <t>N° 11561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</si>
</sst>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1" fillId="0" borderId="57" xfId="0" applyFont="1" applyBorder="1" applyAlignment="1">
      <alignment horizontal="center"/>
    </xf>
    <xf numFmtId="0" fontId="29" fillId="0" borderId="12" xfId="0" applyFont="1" applyBorder="1" applyAlignment="1">
      <alignment horizontal="left" vertical="center"/>
    </xf>
    <xf numFmtId="0" fontId="32" fillId="0" borderId="12" xfId="0" applyFont="1" applyBorder="1" applyAlignment="1">
      <alignment horizontal="center" vertical="center"/>
    </xf>
    <xf numFmtId="166" fontId="32" fillId="0" borderId="12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67" fontId="11" fillId="0" borderId="11" xfId="2" applyNumberFormat="1" applyFont="1" applyFill="1" applyBorder="1" applyAlignment="1">
      <alignment horizontal="center" vertical="center"/>
    </xf>
    <xf numFmtId="0" fontId="0" fillId="0" borderId="58" xfId="0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167" fontId="11" fillId="0" borderId="59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0" fillId="0" borderId="60" xfId="0" applyBorder="1"/>
    <xf numFmtId="0" fontId="0" fillId="0" borderId="16" xfId="0" applyBorder="1"/>
    <xf numFmtId="0" fontId="40" fillId="0" borderId="16" xfId="0" applyFont="1" applyBorder="1" applyAlignment="1">
      <alignment horizontal="left" vertical="center"/>
    </xf>
    <xf numFmtId="167" fontId="11" fillId="0" borderId="15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SOBREMEDIDA EN</a:t>
          </a:r>
          <a:r>
            <a:rPr lang="es-CL" sz="1200" b="1" baseline="0"/>
            <a:t> EL LARGO.</a:t>
          </a:r>
          <a:endParaRPr lang="es-CL" sz="1200" b="1"/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7776</xdr:colOff>
      <xdr:row>27</xdr:row>
      <xdr:rowOff>0</xdr:rowOff>
    </xdr:from>
    <xdr:to>
      <xdr:col>7</xdr:col>
      <xdr:colOff>0</xdr:colOff>
      <xdr:row>27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1976358-2944-44BC-8397-A82A24CC5D41}"/>
            </a:ext>
          </a:extLst>
        </xdr:cNvPr>
        <xdr:cNvCxnSpPr/>
      </xdr:nvCxnSpPr>
      <xdr:spPr>
        <a:xfrm>
          <a:off x="1138486" y="5432323"/>
          <a:ext cx="72926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3.77734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185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171</v>
      </c>
      <c r="D10" s="239"/>
      <c r="E10" s="239"/>
      <c r="F10" s="240" t="s">
        <v>167</v>
      </c>
      <c r="G10" s="271">
        <v>45873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172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O45</f>
        <v>69231.932634644501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9">
        <v>1</v>
      </c>
      <c r="C21" s="330" t="s">
        <v>173</v>
      </c>
      <c r="D21" s="331">
        <v>2.7269999999999999</v>
      </c>
      <c r="E21" s="331">
        <v>0.55000000000000004</v>
      </c>
      <c r="F21" s="330" t="s">
        <v>174</v>
      </c>
      <c r="G21" s="332">
        <f>Q21</f>
        <v>108402.66780000001</v>
      </c>
      <c r="H21" s="333">
        <f>G21*B21</f>
        <v>108402.66780000001</v>
      </c>
      <c r="I21" s="297"/>
      <c r="J21" s="260"/>
      <c r="K21" s="44"/>
      <c r="L21" s="44">
        <f>B21</f>
        <v>1</v>
      </c>
      <c r="M21" s="36">
        <f>D21+M$19</f>
        <v>2.7469999999999999</v>
      </c>
      <c r="N21" s="36">
        <f>E21+$N$19</f>
        <v>0.57000000000000006</v>
      </c>
      <c r="O21" s="256">
        <f t="shared" ref="O21" si="1">M21*N21</f>
        <v>1.56579</v>
      </c>
      <c r="P21" s="254">
        <f t="shared" ref="P21" si="2">O21*L21</f>
        <v>1.56579</v>
      </c>
      <c r="Q21" s="247">
        <f t="shared" ref="Q21" si="3">Q$20*O21</f>
        <v>108402.66780000001</v>
      </c>
      <c r="R21" s="296">
        <f t="shared" ref="R21" si="4">Q21+R$20</f>
        <v>111402.66780000001</v>
      </c>
      <c r="S21" s="284">
        <f>M21*L21</f>
        <v>2.7469999999999999</v>
      </c>
      <c r="T21" s="43">
        <f>N21*2*L21*2</f>
        <v>2.2800000000000002</v>
      </c>
      <c r="U21" s="9"/>
      <c r="X21" s="4"/>
    </row>
    <row r="22" spans="2:25" ht="17.399999999999999" x14ac:dyDescent="0.3">
      <c r="B22" s="346">
        <v>1</v>
      </c>
      <c r="C22" s="347" t="s">
        <v>175</v>
      </c>
      <c r="D22" s="348"/>
      <c r="E22" s="349"/>
      <c r="F22" s="348"/>
      <c r="G22" s="350"/>
      <c r="H22" s="351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2:25" ht="17.399999999999999" x14ac:dyDescent="0.3">
      <c r="B23" s="352"/>
      <c r="C23" s="353" t="s">
        <v>176</v>
      </c>
      <c r="D23" s="354" t="s">
        <v>177</v>
      </c>
      <c r="H23" s="355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2:25" ht="17.399999999999999" x14ac:dyDescent="0.3">
      <c r="B24" s="352"/>
      <c r="C24" s="356"/>
      <c r="D24" s="354" t="s">
        <v>178</v>
      </c>
      <c r="H24" s="355"/>
      <c r="I24" s="297"/>
      <c r="J24" s="260"/>
      <c r="K24" s="44"/>
      <c r="L24" s="44"/>
      <c r="M24" s="36"/>
      <c r="N24" s="36"/>
      <c r="O24" s="256"/>
      <c r="P24" s="254"/>
      <c r="Q24" s="247"/>
      <c r="R24" s="296"/>
      <c r="S24" s="284"/>
      <c r="T24" s="43"/>
      <c r="U24" s="9"/>
      <c r="X24" s="4"/>
    </row>
    <row r="25" spans="2:25" ht="17.399999999999999" x14ac:dyDescent="0.3">
      <c r="B25" s="352"/>
      <c r="C25" s="356"/>
      <c r="D25" s="354" t="s">
        <v>184</v>
      </c>
      <c r="H25" s="355"/>
      <c r="I25" s="297"/>
      <c r="J25" s="260"/>
      <c r="K25" s="44"/>
      <c r="L25" s="44"/>
      <c r="M25" s="36"/>
      <c r="N25" s="36"/>
      <c r="O25" s="256"/>
      <c r="P25" s="254"/>
      <c r="Q25" s="247"/>
      <c r="R25" s="296"/>
      <c r="S25" s="284"/>
      <c r="T25" s="43"/>
      <c r="U25" s="9"/>
      <c r="X25" s="4"/>
    </row>
    <row r="26" spans="2:25" ht="17.399999999999999" x14ac:dyDescent="0.3">
      <c r="B26" s="352"/>
      <c r="C26" s="356"/>
      <c r="D26" s="354" t="s">
        <v>179</v>
      </c>
      <c r="H26" s="355"/>
      <c r="I26" s="297"/>
      <c r="J26" s="260"/>
      <c r="K26" s="44"/>
      <c r="L26" s="44"/>
      <c r="M26" s="36"/>
      <c r="N26" s="36"/>
      <c r="O26" s="256"/>
      <c r="P26" s="254"/>
      <c r="Q26" s="247"/>
      <c r="R26" s="296"/>
      <c r="S26" s="284"/>
      <c r="T26" s="43"/>
      <c r="U26" s="9"/>
      <c r="X26" s="4"/>
    </row>
    <row r="27" spans="2:25" ht="17.399999999999999" x14ac:dyDescent="0.3">
      <c r="B27" s="352"/>
      <c r="C27" s="356"/>
      <c r="D27" s="354" t="s">
        <v>180</v>
      </c>
      <c r="H27" s="355"/>
      <c r="I27" s="297"/>
      <c r="J27" s="260"/>
      <c r="K27" s="44"/>
      <c r="L27" s="44"/>
      <c r="M27" s="36"/>
      <c r="N27" s="36"/>
      <c r="O27" s="256"/>
      <c r="P27" s="254"/>
      <c r="Q27" s="247"/>
      <c r="R27" s="296"/>
      <c r="S27" s="284"/>
      <c r="T27" s="43"/>
      <c r="U27" s="9"/>
      <c r="X27" s="4"/>
    </row>
    <row r="28" spans="2:25" ht="17.399999999999999" x14ac:dyDescent="0.3">
      <c r="B28" s="352"/>
      <c r="C28" s="357" t="s">
        <v>181</v>
      </c>
      <c r="D28" s="356" t="s">
        <v>182</v>
      </c>
      <c r="H28" s="355"/>
      <c r="I28" s="297"/>
      <c r="J28" s="260"/>
      <c r="K28" s="44"/>
      <c r="L28" s="44"/>
      <c r="M28" s="36"/>
      <c r="N28" s="36"/>
      <c r="O28" s="256"/>
      <c r="P28" s="254"/>
      <c r="Q28" s="247"/>
      <c r="R28" s="296"/>
      <c r="S28" s="284"/>
      <c r="T28" s="43"/>
      <c r="U28" s="9"/>
      <c r="X28" s="4"/>
    </row>
    <row r="29" spans="2:25" ht="17.399999999999999" x14ac:dyDescent="0.3">
      <c r="B29" s="358"/>
      <c r="C29" s="359"/>
      <c r="D29" s="360" t="s">
        <v>183</v>
      </c>
      <c r="E29" s="359"/>
      <c r="F29" s="359"/>
      <c r="G29" s="359"/>
      <c r="H29" s="361">
        <v>100000</v>
      </c>
      <c r="I29" s="297"/>
      <c r="J29" s="260"/>
      <c r="K29" s="44"/>
      <c r="L29" s="44"/>
      <c r="M29" s="36"/>
      <c r="N29" s="36"/>
      <c r="O29" s="256"/>
      <c r="P29" s="254"/>
      <c r="Q29" s="247"/>
      <c r="R29" s="296"/>
      <c r="S29" s="284"/>
      <c r="T29" s="43"/>
      <c r="U29" s="9"/>
      <c r="X29" s="4"/>
    </row>
    <row r="30" spans="2:25" ht="18" thickBot="1" x14ac:dyDescent="0.35">
      <c r="B30" s="278"/>
      <c r="C30" s="278"/>
      <c r="D30" s="279"/>
      <c r="E30" s="279"/>
      <c r="F30" s="278"/>
      <c r="G30" s="260"/>
      <c r="H30" s="298"/>
      <c r="I30" s="300"/>
      <c r="J30" s="229"/>
      <c r="K30" s="44"/>
      <c r="L30" s="44"/>
      <c r="M30" s="36"/>
      <c r="N30" s="36"/>
      <c r="O30" s="256"/>
      <c r="P30" s="254"/>
      <c r="Q30" s="247"/>
      <c r="R30" s="253"/>
      <c r="S30" s="284"/>
      <c r="T30" s="14"/>
      <c r="U30" s="9"/>
      <c r="X30" s="4"/>
    </row>
    <row r="31" spans="2:25" ht="17.399999999999999" x14ac:dyDescent="0.3">
      <c r="B31" s="278"/>
      <c r="C31" s="278"/>
      <c r="D31" s="279"/>
      <c r="E31" s="279"/>
      <c r="F31" s="278"/>
      <c r="G31" s="301" t="s">
        <v>28</v>
      </c>
      <c r="H31" s="326">
        <f>SUM(H21:H30)</f>
        <v>208402.6678</v>
      </c>
      <c r="I31" s="299"/>
      <c r="J31" s="260"/>
      <c r="K31" s="316"/>
      <c r="L31" s="44"/>
      <c r="M31" s="36"/>
      <c r="N31" s="36"/>
      <c r="O31" s="256"/>
      <c r="P31" s="254"/>
      <c r="Q31" s="247"/>
      <c r="R31" s="253"/>
      <c r="S31" s="284"/>
      <c r="T31" s="43">
        <f>SUM(T21:T30)</f>
        <v>2.2800000000000002</v>
      </c>
      <c r="U31" s="9"/>
      <c r="X31" s="4"/>
    </row>
    <row r="32" spans="2:25" ht="17.399999999999999" x14ac:dyDescent="0.3">
      <c r="B32" s="272"/>
      <c r="C32" s="275"/>
      <c r="D32" s="276"/>
      <c r="E32" s="276"/>
      <c r="F32" s="277"/>
      <c r="G32" s="283" t="s">
        <v>51</v>
      </c>
      <c r="H32" s="327">
        <f>H31*19%</f>
        <v>39596.506882000001</v>
      </c>
      <c r="I32" s="299"/>
      <c r="J32" s="260"/>
      <c r="K32" s="316"/>
      <c r="L32" s="44"/>
      <c r="M32" s="36">
        <f>SUM(M21:M21)</f>
        <v>2.7469999999999999</v>
      </c>
      <c r="N32" s="12"/>
      <c r="O32" s="12"/>
      <c r="P32" s="248">
        <f>SUM(P21:P30)</f>
        <v>1.56579</v>
      </c>
      <c r="Q32" s="14"/>
      <c r="R32" s="12"/>
      <c r="S32" s="235">
        <f>SUM(S21:S31)</f>
        <v>2.7469999999999999</v>
      </c>
      <c r="T32" s="43"/>
      <c r="U32" s="9"/>
      <c r="X32" s="4"/>
    </row>
    <row r="33" spans="1:24" ht="18" thickBot="1" x14ac:dyDescent="0.35">
      <c r="B33" s="270"/>
      <c r="C33" s="274"/>
      <c r="D33" s="267"/>
      <c r="E33" s="267"/>
      <c r="F33" s="268"/>
      <c r="G33" s="273" t="s">
        <v>6</v>
      </c>
      <c r="H33" s="328">
        <f>H31+H32</f>
        <v>247999.17468200001</v>
      </c>
      <c r="I33" s="299"/>
      <c r="J33" s="260"/>
      <c r="K33" s="316"/>
      <c r="L33" s="44"/>
      <c r="M33" s="36"/>
      <c r="N33" s="12"/>
      <c r="O33" s="12"/>
      <c r="P33" s="248">
        <f>P32</f>
        <v>1.56579</v>
      </c>
      <c r="Q33" s="14"/>
      <c r="R33" s="12"/>
      <c r="S33" s="235"/>
      <c r="T33" s="43"/>
      <c r="U33" s="9"/>
      <c r="X33" s="4"/>
    </row>
    <row r="34" spans="1:24" ht="17.399999999999999" x14ac:dyDescent="0.3">
      <c r="B34" s="270"/>
      <c r="C34" s="266"/>
      <c r="D34" s="267"/>
      <c r="E34" s="267"/>
      <c r="F34" s="268"/>
      <c r="J34" s="260"/>
      <c r="K34" s="316"/>
      <c r="L34" s="44"/>
      <c r="M34" s="14"/>
      <c r="N34" s="12"/>
      <c r="O34" s="12"/>
      <c r="P34" s="36">
        <f>P33*20%</f>
        <v>0.31315800000000005</v>
      </c>
      <c r="Q34" s="36" t="s">
        <v>129</v>
      </c>
      <c r="R34" s="39"/>
      <c r="S34" s="236"/>
      <c r="T34" s="14"/>
      <c r="U34" s="9"/>
      <c r="X34" s="4"/>
    </row>
    <row r="35" spans="1:24" ht="17.399999999999999" x14ac:dyDescent="0.35">
      <c r="B35" s="264"/>
      <c r="C35" s="226"/>
      <c r="D35" s="226"/>
      <c r="E35" s="229"/>
      <c r="F35" s="230"/>
      <c r="G35" s="226"/>
      <c r="H35" s="269"/>
      <c r="I35" s="269"/>
      <c r="J35" s="260"/>
      <c r="K35" s="44"/>
      <c r="L35" s="44"/>
      <c r="M35" s="14"/>
      <c r="N35" s="12"/>
      <c r="O35" s="12"/>
      <c r="P35" s="43">
        <f>P33+P34</f>
        <v>1.8789480000000001</v>
      </c>
      <c r="Q35" s="14"/>
      <c r="R35" s="14"/>
      <c r="S35" s="234"/>
      <c r="T35" s="14"/>
      <c r="U35" s="9"/>
      <c r="X35" s="4"/>
    </row>
    <row r="36" spans="1:24" ht="17.399999999999999" x14ac:dyDescent="0.35">
      <c r="B36" s="231"/>
      <c r="C36" s="232"/>
      <c r="D36" s="233"/>
      <c r="E36" s="231"/>
      <c r="F36" s="226"/>
      <c r="G36" s="226"/>
      <c r="I36" s="269"/>
      <c r="J36" s="260"/>
      <c r="K36" s="44"/>
      <c r="L36" s="44"/>
      <c r="M36" s="14"/>
      <c r="N36" s="14"/>
      <c r="O36" s="14"/>
      <c r="P36" s="14"/>
      <c r="Q36" s="14"/>
      <c r="R36" s="14"/>
      <c r="S36" s="236"/>
      <c r="T36" s="14"/>
      <c r="U36" s="288" t="s">
        <v>21</v>
      </c>
      <c r="V36" s="285" t="s">
        <v>149</v>
      </c>
      <c r="W36" s="289">
        <v>44971</v>
      </c>
      <c r="X36" s="290"/>
    </row>
    <row r="37" spans="1:24" ht="17.399999999999999" x14ac:dyDescent="0.35">
      <c r="B37" s="226"/>
      <c r="C37" s="226"/>
      <c r="D37" s="226"/>
      <c r="E37" s="226"/>
      <c r="F37" s="226"/>
      <c r="G37" s="226"/>
      <c r="J37" s="260"/>
      <c r="K37" s="44"/>
      <c r="L37" s="44"/>
      <c r="M37" s="36">
        <f>P35</f>
        <v>1.8789480000000001</v>
      </c>
      <c r="N37" s="12">
        <v>3500</v>
      </c>
      <c r="O37" s="12">
        <f t="shared" ref="O37:O42" si="5">M37*N37</f>
        <v>6576.3180000000002</v>
      </c>
      <c r="P37" s="14" t="s">
        <v>21</v>
      </c>
      <c r="Q37" s="14"/>
      <c r="R37" s="14"/>
      <c r="S37" s="237"/>
      <c r="T37" s="14"/>
      <c r="U37" s="288" t="s">
        <v>150</v>
      </c>
      <c r="V37" s="285">
        <v>3625</v>
      </c>
      <c r="W37" s="56" t="s">
        <v>151</v>
      </c>
      <c r="X37" s="290"/>
    </row>
    <row r="38" spans="1:24" ht="17.399999999999999" x14ac:dyDescent="0.35">
      <c r="A38" s="226"/>
      <c r="B38" s="226"/>
      <c r="C38" s="226"/>
      <c r="D38" s="226"/>
      <c r="E38" s="226"/>
      <c r="F38" s="226"/>
      <c r="G38" s="226"/>
      <c r="H38" s="226"/>
      <c r="J38" s="260"/>
      <c r="K38" s="44"/>
      <c r="L38" s="44"/>
      <c r="M38" s="244">
        <v>0.5</v>
      </c>
      <c r="N38" s="12">
        <v>23500</v>
      </c>
      <c r="O38" s="12">
        <f t="shared" si="5"/>
        <v>11750</v>
      </c>
      <c r="P38" s="36" t="s">
        <v>169</v>
      </c>
      <c r="Q38" s="39"/>
      <c r="R38" s="14"/>
      <c r="S38" s="236"/>
      <c r="T38" s="14"/>
      <c r="U38" s="288"/>
      <c r="V38" s="56">
        <v>906.25</v>
      </c>
      <c r="W38" s="56" t="s">
        <v>152</v>
      </c>
      <c r="X38" s="290"/>
    </row>
    <row r="39" spans="1:24" s="226" customFormat="1" ht="17.399999999999999" x14ac:dyDescent="0.35">
      <c r="B39" s="21" t="s">
        <v>148</v>
      </c>
      <c r="J39" s="257"/>
      <c r="K39" s="228"/>
      <c r="L39" s="245"/>
      <c r="M39" s="14"/>
      <c r="N39" s="245">
        <v>80000</v>
      </c>
      <c r="O39" s="12">
        <f t="shared" si="5"/>
        <v>0</v>
      </c>
      <c r="P39" s="36" t="s">
        <v>30</v>
      </c>
      <c r="Q39" s="39"/>
      <c r="S39" s="236"/>
      <c r="T39" s="251"/>
      <c r="U39" s="56"/>
      <c r="V39" s="56">
        <f>V38*20%</f>
        <v>181.25</v>
      </c>
      <c r="W39" s="290" t="s">
        <v>153</v>
      </c>
      <c r="X39" s="56"/>
    </row>
    <row r="40" spans="1:24" s="226" customFormat="1" ht="17.399999999999999" x14ac:dyDescent="0.35">
      <c r="B40" s="21" t="s">
        <v>164</v>
      </c>
      <c r="C40"/>
      <c r="D40"/>
      <c r="E40"/>
      <c r="F40"/>
      <c r="J40" s="257"/>
      <c r="K40" s="228"/>
      <c r="L40" s="245"/>
      <c r="M40" s="14">
        <v>1</v>
      </c>
      <c r="N40" s="245">
        <v>29169</v>
      </c>
      <c r="O40" s="12">
        <f t="shared" si="5"/>
        <v>29169</v>
      </c>
      <c r="P40" s="14" t="s">
        <v>139</v>
      </c>
      <c r="Q40" s="17"/>
      <c r="S40" s="234"/>
      <c r="T40" s="251"/>
      <c r="U40" s="56"/>
      <c r="V40" s="56">
        <f>V38+V39</f>
        <v>1087.5</v>
      </c>
      <c r="W40" s="290" t="s">
        <v>154</v>
      </c>
      <c r="X40" s="56"/>
    </row>
    <row r="41" spans="1:24" s="226" customFormat="1" ht="17.399999999999999" x14ac:dyDescent="0.35">
      <c r="B41" s="26" t="s">
        <v>124</v>
      </c>
      <c r="C41"/>
      <c r="D41"/>
      <c r="E41"/>
      <c r="F41" s="225" t="s">
        <v>15</v>
      </c>
      <c r="J41" s="257"/>
      <c r="K41" s="255"/>
      <c r="L41" s="245"/>
      <c r="M41" s="244"/>
      <c r="N41" s="245">
        <v>900</v>
      </c>
      <c r="O41" s="12">
        <f t="shared" si="5"/>
        <v>0</v>
      </c>
      <c r="P41" s="14" t="s">
        <v>32</v>
      </c>
      <c r="Q41" s="14"/>
      <c r="R41" s="226">
        <v>1.52</v>
      </c>
      <c r="S41" s="234"/>
      <c r="T41" s="234"/>
    </row>
    <row r="42" spans="1:24" s="226" customFormat="1" ht="17.399999999999999" x14ac:dyDescent="0.35">
      <c r="J42" s="282"/>
      <c r="K42" s="255"/>
      <c r="L42" s="245"/>
      <c r="M42" s="261">
        <v>2.75</v>
      </c>
      <c r="N42" s="12">
        <v>1500</v>
      </c>
      <c r="O42" s="12">
        <f t="shared" si="5"/>
        <v>4125</v>
      </c>
      <c r="P42" s="14" t="s">
        <v>22</v>
      </c>
      <c r="Q42" s="14"/>
      <c r="R42">
        <v>2.44</v>
      </c>
      <c r="S42"/>
      <c r="T42" s="234"/>
      <c r="X42" s="227"/>
    </row>
    <row r="43" spans="1:24" s="226" customFormat="1" ht="17.399999999999999" x14ac:dyDescent="0.35">
      <c r="K43" s="255"/>
      <c r="L43" s="245"/>
      <c r="M43" s="14"/>
      <c r="N43" s="12"/>
      <c r="O43" s="12">
        <f>SUM(O37:O42)</f>
        <v>51620.317999999999</v>
      </c>
      <c r="P43" s="36" t="s">
        <v>23</v>
      </c>
      <c r="Q43" s="14"/>
      <c r="R43">
        <f>R41*R42</f>
        <v>3.7088000000000001</v>
      </c>
      <c r="S43"/>
      <c r="T43" s="234"/>
      <c r="X43" s="227"/>
    </row>
    <row r="44" spans="1:24" s="226" customFormat="1" ht="17.399999999999999" x14ac:dyDescent="0.35">
      <c r="L44" s="245"/>
      <c r="M44" s="249" t="s">
        <v>33</v>
      </c>
      <c r="N44" s="12"/>
      <c r="O44" s="250">
        <f>O43*2.1</f>
        <v>108402.66780000001</v>
      </c>
      <c r="P44" s="14" t="s">
        <v>138</v>
      </c>
      <c r="Q44" s="14"/>
      <c r="R44" s="37">
        <f>P35/R43</f>
        <v>0.50661885245901639</v>
      </c>
      <c r="S44"/>
      <c r="T44" s="252"/>
    </row>
    <row r="45" spans="1:24" s="226" customFormat="1" ht="17.399999999999999" x14ac:dyDescent="0.35">
      <c r="G45"/>
      <c r="H45" s="255"/>
      <c r="I45" s="255"/>
      <c r="J45" s="255"/>
      <c r="L45" s="245"/>
      <c r="M45" s="14"/>
      <c r="N45" s="12"/>
      <c r="O45" s="12">
        <f>O44/P33</f>
        <v>69231.932634644501</v>
      </c>
      <c r="P45" s="42" t="s">
        <v>24</v>
      </c>
      <c r="Q45" s="14"/>
      <c r="R45" s="14"/>
      <c r="S45"/>
      <c r="T45" s="234"/>
      <c r="U45" s="56" t="s">
        <v>155</v>
      </c>
      <c r="V45" s="285">
        <v>43650</v>
      </c>
    </row>
    <row r="46" spans="1:24" s="226" customFormat="1" ht="17.399999999999999" x14ac:dyDescent="0.35">
      <c r="G46"/>
      <c r="L46" s="245"/>
      <c r="M46" s="13"/>
      <c r="N46" s="14"/>
      <c r="O46" s="17">
        <f>O44/O43</f>
        <v>2.1</v>
      </c>
      <c r="P46" s="15"/>
      <c r="Q46"/>
      <c r="R46"/>
      <c r="S46"/>
      <c r="T46" s="234"/>
      <c r="U46" s="56" t="s">
        <v>157</v>
      </c>
      <c r="V46" s="286" t="s">
        <v>156</v>
      </c>
      <c r="W46" s="56">
        <v>2.4</v>
      </c>
    </row>
    <row r="47" spans="1:24" s="226" customFormat="1" ht="17.399999999999999" x14ac:dyDescent="0.35">
      <c r="D47" s="279"/>
      <c r="E47" s="279"/>
      <c r="F47" s="278"/>
      <c r="G47" s="317"/>
      <c r="H47" s="324"/>
      <c r="L47" s="12"/>
      <c r="T47" s="234"/>
      <c r="U47" s="56" t="s">
        <v>158</v>
      </c>
      <c r="V47" s="287">
        <v>395.37</v>
      </c>
    </row>
    <row r="48" spans="1:24" s="226" customFormat="1" ht="17.399999999999999" x14ac:dyDescent="0.35">
      <c r="B48"/>
      <c r="C48" s="325"/>
      <c r="D48" s="279"/>
      <c r="E48" s="279"/>
      <c r="F48" s="278"/>
      <c r="G48" s="317"/>
      <c r="H48" s="324"/>
      <c r="L48" s="12"/>
      <c r="T48" s="234"/>
      <c r="U48" s="56" t="s">
        <v>153</v>
      </c>
      <c r="V48" s="56">
        <v>474.45</v>
      </c>
    </row>
    <row r="49" spans="4:22" ht="14.4" customHeight="1" x14ac:dyDescent="0.35">
      <c r="D49" s="279"/>
      <c r="E49" s="279"/>
      <c r="F49" s="278"/>
      <c r="G49" s="317"/>
      <c r="H49" s="324"/>
      <c r="L49" s="12"/>
      <c r="U49" s="56"/>
      <c r="V49" s="56"/>
    </row>
    <row r="50" spans="4:22" ht="17.399999999999999" x14ac:dyDescent="0.35">
      <c r="D50" s="279"/>
      <c r="E50" s="279"/>
      <c r="F50" s="278"/>
      <c r="G50" s="317"/>
      <c r="H50" s="324"/>
      <c r="L50" s="245"/>
    </row>
    <row r="51" spans="4:22" ht="17.399999999999999" x14ac:dyDescent="0.35">
      <c r="D51" s="279"/>
      <c r="E51" s="279"/>
      <c r="F51" s="278"/>
      <c r="G51" s="317"/>
      <c r="H51" s="324"/>
      <c r="L51" s="245"/>
      <c r="T51" s="265"/>
    </row>
    <row r="52" spans="4:22" ht="17.399999999999999" x14ac:dyDescent="0.35">
      <c r="D52" s="279"/>
      <c r="E52" s="279"/>
      <c r="F52" s="278"/>
      <c r="G52" s="317"/>
      <c r="H52" s="324"/>
      <c r="L52" s="245"/>
    </row>
    <row r="53" spans="4:22" ht="15" customHeight="1" x14ac:dyDescent="0.35">
      <c r="D53" s="279"/>
      <c r="E53" s="279"/>
      <c r="F53" s="278"/>
      <c r="G53" s="317"/>
      <c r="H53" s="324"/>
    </row>
    <row r="54" spans="4:22" ht="17.399999999999999" x14ac:dyDescent="0.35">
      <c r="D54" s="279"/>
      <c r="E54" s="279"/>
      <c r="F54" s="278"/>
      <c r="G54" s="317"/>
      <c r="H54" s="324"/>
    </row>
    <row r="55" spans="4:22" ht="17.399999999999999" x14ac:dyDescent="0.35">
      <c r="D55" s="279"/>
      <c r="E55" s="279"/>
      <c r="F55" s="278"/>
      <c r="G55" s="317"/>
      <c r="H55" s="324"/>
      <c r="O55">
        <v>40935</v>
      </c>
      <c r="P55" t="s">
        <v>16</v>
      </c>
      <c r="Q55" t="s">
        <v>26</v>
      </c>
    </row>
    <row r="56" spans="4:22" ht="17.399999999999999" x14ac:dyDescent="0.35">
      <c r="D56" s="279"/>
      <c r="E56" s="279"/>
      <c r="F56" s="278"/>
      <c r="G56" s="317"/>
      <c r="H56" s="324"/>
    </row>
    <row r="57" spans="4:22" ht="17.399999999999999" x14ac:dyDescent="0.35">
      <c r="D57" s="279"/>
      <c r="E57" s="279"/>
      <c r="F57" s="278"/>
      <c r="G57" s="317"/>
      <c r="H57" s="324"/>
      <c r="O57" s="51"/>
      <c r="P57" s="51"/>
    </row>
    <row r="58" spans="4:22" ht="17.399999999999999" x14ac:dyDescent="0.35">
      <c r="D58" s="279"/>
      <c r="E58" s="279"/>
      <c r="F58" s="278"/>
      <c r="G58" s="317"/>
      <c r="H58" s="324"/>
      <c r="S58" s="18"/>
      <c r="T58" s="18"/>
    </row>
    <row r="59" spans="4:22" ht="17.399999999999999" x14ac:dyDescent="0.35">
      <c r="D59" s="279"/>
      <c r="E59" s="279"/>
      <c r="F59" s="278"/>
      <c r="G59" s="317"/>
      <c r="H59" s="324"/>
      <c r="S59" s="18"/>
      <c r="T59" s="18"/>
    </row>
    <row r="60" spans="4:22" ht="17.399999999999999" x14ac:dyDescent="0.35">
      <c r="D60" s="279"/>
      <c r="E60" s="279"/>
      <c r="F60" s="278"/>
      <c r="G60" s="317"/>
      <c r="H60" s="324"/>
      <c r="S60" s="18"/>
      <c r="T60" s="18"/>
    </row>
    <row r="61" spans="4:22" x14ac:dyDescent="0.3">
      <c r="S61" s="18"/>
      <c r="T61" s="18"/>
    </row>
    <row r="62" spans="4:22" x14ac:dyDescent="0.3">
      <c r="S62" s="18"/>
      <c r="T62" s="18"/>
    </row>
    <row r="63" spans="4:22" x14ac:dyDescent="0.3">
      <c r="S63" s="18"/>
      <c r="T63" s="18"/>
    </row>
    <row r="64" spans="4:22" x14ac:dyDescent="0.3">
      <c r="S64" s="18"/>
      <c r="T64" s="18"/>
    </row>
    <row r="65" spans="3:20" x14ac:dyDescent="0.3">
      <c r="S65" s="18"/>
      <c r="T65" s="18"/>
    </row>
    <row r="66" spans="3:20" x14ac:dyDescent="0.3">
      <c r="S66" s="18"/>
      <c r="T66" s="18"/>
    </row>
    <row r="69" spans="3:20" x14ac:dyDescent="0.3">
      <c r="O69" s="40"/>
    </row>
    <row r="70" spans="3:20" x14ac:dyDescent="0.3">
      <c r="O70" s="40"/>
    </row>
    <row r="71" spans="3:20" x14ac:dyDescent="0.3">
      <c r="O71" s="6"/>
    </row>
    <row r="72" spans="3:20" x14ac:dyDescent="0.3">
      <c r="O72" s="6"/>
    </row>
    <row r="80" spans="3:20" x14ac:dyDescent="0.3">
      <c r="C80" t="s">
        <v>145</v>
      </c>
    </row>
    <row r="81" spans="3:3" x14ac:dyDescent="0.3">
      <c r="C81" t="s">
        <v>144</v>
      </c>
    </row>
    <row r="84" spans="3:3" x14ac:dyDescent="0.3">
      <c r="C84" t="s">
        <v>144</v>
      </c>
    </row>
    <row r="161" spans="3:3" x14ac:dyDescent="0.3">
      <c r="C161" t="s">
        <v>144</v>
      </c>
    </row>
    <row r="162" spans="3:3" x14ac:dyDescent="0.3">
      <c r="C162" t="s">
        <v>146</v>
      </c>
    </row>
    <row r="163" spans="3:3" x14ac:dyDescent="0.3">
      <c r="C163" t="s">
        <v>147</v>
      </c>
    </row>
    <row r="588" spans="3:3" x14ac:dyDescent="0.3">
      <c r="C588" t="s">
        <v>144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45873</v>
      </c>
    </row>
    <row r="6" spans="1:31" ht="16.2" thickBot="1" x14ac:dyDescent="0.35">
      <c r="B6" s="137" t="s">
        <v>2</v>
      </c>
      <c r="C6" s="136" t="str">
        <f>'2229'!C10</f>
        <v>MIGUEL DIAZ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11561 A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-24519.050426570047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'2229'!H31</f>
        <v>208402.6678</v>
      </c>
      <c r="E11" s="129">
        <f>D11*0.19</f>
        <v>39596.506882000001</v>
      </c>
      <c r="F11" s="128">
        <f>E11+D11</f>
        <v>247999.17468200001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81470.949573429956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38305.228275362315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63470.949573429956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170097.43952463768</v>
      </c>
      <c r="E13" s="218">
        <f>(D11/D12)-1</f>
        <v>4.4405802336398894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54470.949573429956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15470.949573429953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72933.154636289837</v>
      </c>
      <c r="C15" s="210" t="s">
        <v>121</v>
      </c>
      <c r="D15" s="211">
        <v>0.6</v>
      </c>
      <c r="E15" s="212">
        <f>(100%+D15)*D12</f>
        <v>61288.365240579704</v>
      </c>
      <c r="F15" s="213">
        <f>E15-D12</f>
        <v>22983.136965217389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15470.949573429953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55470.949573429956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'2229'!O39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'2229'!O38</f>
        <v>11750</v>
      </c>
      <c r="E19" s="120">
        <f>D19*0.19</f>
        <v>2232.5</v>
      </c>
      <c r="F19" s="117">
        <f>SUM(D19:E19)</f>
        <v>13982.5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'2229'!O37</f>
        <v>6576.3180000000002</v>
      </c>
      <c r="E20" s="118">
        <f>D20*0.19</f>
        <v>1249.5004200000001</v>
      </c>
      <c r="F20" s="117">
        <f>SUM(D20:E20)</f>
        <v>7825.8184200000005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18326.317999999999</v>
      </c>
      <c r="E21" s="113">
        <f>SUM(E18:E20)</f>
        <v>3482.0004200000003</v>
      </c>
      <c r="F21" s="112">
        <f>SUM(F18:F20)</f>
        <v>21808.31842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36114.506462000005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208402.6678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18326.317999999999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170097.43952463768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170097.43952463768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2025-08-04T18:49:39Z</cp:lastPrinted>
  <dcterms:created xsi:type="dcterms:W3CDTF">2013-03-18T13:35:42Z</dcterms:created>
  <dcterms:modified xsi:type="dcterms:W3CDTF">2025-08-04T19:10:34Z</dcterms:modified>
</cp:coreProperties>
</file>