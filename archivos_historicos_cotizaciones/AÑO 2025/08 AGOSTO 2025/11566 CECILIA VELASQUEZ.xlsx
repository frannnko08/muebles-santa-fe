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102E0CD-3DA2-42EC-9E0E-76ED87EF9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N22" i="1"/>
  <c r="J35" i="1"/>
  <c r="M21" i="1"/>
  <c r="S22" i="1" l="1"/>
  <c r="M26" i="1"/>
  <c r="O22" i="1"/>
  <c r="P22" i="1" s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O40" i="1"/>
  <c r="R22" i="1" l="1"/>
  <c r="Q21" i="1"/>
  <c r="F15" i="3"/>
  <c r="H22" i="1" l="1"/>
  <c r="R21" i="1"/>
  <c r="G21" i="1" s="1"/>
  <c r="H21" i="1" l="1"/>
  <c r="H25" i="1" s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<sst xmlns="http://schemas.openxmlformats.org/spreadsheetml/2006/main" count="232" uniqueCount="177">
  <si>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</si>
  <si>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</si>
  <si>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</si>
  <si>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</si>
  <si>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</si>
  <si>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</si>
  <si>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</si>
  <si>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</si>
  <si>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</si>
  <si>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</si>
  <si>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</si>
  <si>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</si>
  <si>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</si>
  <si>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</si>
  <si>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</si>
  <si>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</si>
  <si>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</si>
  <si>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</si>
  <si>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</si>
  <si>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</si>
  <si>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</si>
  <si>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</si>
  <si>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</si>
  <si>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</si>
  <si>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</si>
  <si>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</si>
  <si>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</si>
  <si>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</si>
  <si>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</si>
  <si>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</si>
  <si>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</si>
  <si>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</si>
  <si>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</si>
  <si>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</si>
  <si>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</si>
  <si>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</si>
  <si>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</si>
  <si>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</si>
  <si>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</si>
  <si>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</si>
  <si>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</si>
  <si>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</si>
  <si>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</si>
  <si>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</si>
  <si>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</si>
  <si>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</si>
  <si>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</si>
  <si>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</si>
  <si>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</si>
  <si>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</si>
  <si>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</si>
  <si>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</si>
  <si>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</si>
  <si>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</si>
  <si>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</si>
  <si>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</si>
  <si>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</si>
  <si>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</si>
  <si>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</si>
  <si>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</si>
  <si>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</si>
  <si>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</si>
  <si>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</si>
  <si>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</si>
  <si>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</si>
  <si>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</si>
  <si>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</si>
  <si>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</si>
  <si>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</si>
  <si>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</si>
  <si>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</si>
  <si>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</si>
  <si>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</si>
  <si>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</si>
  <si>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</si>
  <si>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</si>
  <si>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</si>
  <si>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</si>
  <si>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</si>
  <si>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</si>
  <si>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</si>
  <si>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</si>
  <si>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</si>
  <si>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</si>
  <si>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</si>
  <si>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</si>
  <si>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</si>
  <si>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</si>
  <si>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</si>
  <si>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</si>
  <si>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</si>
  <si>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</si>
  <si>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</si>
  <si>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</si>
  <si>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</si>
  <si>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</si>
  <si>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</si>
  <si>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</si>
  <si>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</si>
  <si>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</si>
  <si>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</si>
  <si>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</si>
  <si>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</si>
  <si>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</si>
  <si>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</si>
  <si>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</si>
  <si>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</si>
  <si>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</si>
  <si>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</si>
  <si>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</si>
  <si>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</si>
  <si>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</si>
  <si>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</si>
  <si>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</si>
  <si>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</si>
  <si>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</si>
  <si>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</si>
  <si>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</si>
  <si>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</si>
  <si>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</si>
  <si>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</si>
  <si>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</si>
  <si>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</si>
  <si>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</si>
  <si>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</si>
  <si>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</si>
  <si>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</si>
  <si>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</si>
  <si>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</si>
  <si>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</si>
  <si>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</si>
  <si>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</si>
  <si>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</si>
  <si>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</si>
  <si>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</si>
  <si>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</si>
  <si>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</si>
  <si>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</si>
  <si>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</si>
  <si>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</si>
  <si>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</si>
  <si>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</si>
  <si>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</si>
  <si>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</si>
  <si>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</si>
  <si>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</si>
  <si>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</si>
  <si>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</si>
  <si>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</si>
  <si>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</si>
  <si>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</si>
  <si>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</si>
  <si>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</si>
  <si>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</si>
  <si>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</si>
  <si>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</si>
  <si>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</si>
  <si>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</si>
  <si>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</si>
  <si>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</si>
  <si>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</si>
  <si>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</si>
  <si>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</si>
  <si>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</si>
  <si>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</si>
  <si>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</si>
  <si>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</si>
  <si>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</si>
  <si>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</si>
  <si>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CUB CON RESPALDO FRENTE 90° R6</t>
  </si>
  <si>
    <t>SANTIAGO</t>
  </si>
  <si>
    <t>N° 11566</t>
  </si>
  <si>
    <t>CECILIA VELESQUEZ</t>
  </si>
  <si>
    <t>+569 8228 4128</t>
  </si>
  <si>
    <t>5 DIAS HABILES</t>
  </si>
  <si>
    <t>NEGRO MATE O BRILLO</t>
  </si>
  <si>
    <t xml:space="preserve">DESFONDADOS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</si>
</sst>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9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167" fontId="0" fillId="7" borderId="0" xfId="0" applyNumberFormat="1" applyFill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1" t="s">
        <v>125</v>
      </c>
      <c r="C8" s="330"/>
      <c r="D8" s="332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166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167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170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8" t="s">
        <v>7</v>
      </c>
      <c r="C20" s="319" t="s">
        <v>1</v>
      </c>
      <c r="D20" s="319" t="s">
        <v>130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65447.586206896543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3">
        <v>1</v>
      </c>
      <c r="C21" s="323" t="s">
        <v>169</v>
      </c>
      <c r="D21" s="324">
        <v>2.42</v>
      </c>
      <c r="E21" s="324">
        <v>0.56000000000000005</v>
      </c>
      <c r="F21" s="323" t="s">
        <v>175</v>
      </c>
      <c r="G21" s="325">
        <f>R21</f>
        <v>96899</v>
      </c>
      <c r="H21" s="325">
        <f>G21*B21</f>
        <v>96899</v>
      </c>
      <c r="I21" s="297"/>
      <c r="J21" s="260"/>
      <c r="K21" s="44"/>
      <c r="L21" s="44">
        <f>B21</f>
        <v>1</v>
      </c>
      <c r="M21" s="36">
        <f>D21+M$19</f>
        <v>2.5</v>
      </c>
      <c r="N21" s="36">
        <f>E21+$N$19</f>
        <v>0.58000000000000007</v>
      </c>
      <c r="O21" s="256">
        <f t="shared" ref="O21" si="1">M21*N21</f>
        <v>1.4500000000000002</v>
      </c>
      <c r="P21" s="254">
        <f t="shared" ref="P21" si="2">O21*L21</f>
        <v>1.4500000000000002</v>
      </c>
      <c r="Q21" s="247">
        <f t="shared" ref="Q21" si="3">Q$20*O21</f>
        <v>94899</v>
      </c>
      <c r="R21" s="296">
        <f t="shared" ref="R21" si="4">Q21+R$20</f>
        <v>96899</v>
      </c>
      <c r="S21" s="284">
        <f>M21*L21</f>
        <v>2.5</v>
      </c>
      <c r="T21" s="43">
        <f>N21*2*L21*2</f>
        <v>2.3200000000000003</v>
      </c>
      <c r="U21" s="9"/>
      <c r="X21" s="4"/>
    </row>
    <row r="22" spans="1:25" ht="17.399999999999999" x14ac:dyDescent="0.3">
      <c r="B22" s="323">
        <v>2</v>
      </c>
      <c r="C22" s="323" t="s">
        <v>176</v>
      </c>
      <c r="D22" s="324"/>
      <c r="E22" s="324"/>
      <c r="F22" s="323"/>
      <c r="G22" s="325">
        <v>10000</v>
      </c>
      <c r="H22" s="325">
        <f t="shared" ref="H22" si="5">G22*B22</f>
        <v>20000</v>
      </c>
      <c r="I22" s="297"/>
      <c r="J22" s="260"/>
      <c r="K22" s="44"/>
      <c r="L22" s="329"/>
      <c r="M22" s="36">
        <f t="shared" ref="M22" si="6">D22+M$19</f>
        <v>0.08</v>
      </c>
      <c r="N22" s="36">
        <f t="shared" ref="N22" si="7">E22+$N$19</f>
        <v>0.02</v>
      </c>
      <c r="O22" s="256">
        <f t="shared" ref="O22" si="8">M22*N22</f>
        <v>1.6000000000000001E-3</v>
      </c>
      <c r="P22" s="254">
        <f t="shared" ref="P22" si="9">O22*L22</f>
        <v>0</v>
      </c>
      <c r="Q22" s="247">
        <f t="shared" ref="Q22" si="10">Q$20*O22</f>
        <v>104.71613793103448</v>
      </c>
      <c r="R22" s="296">
        <f t="shared" ref="R22" si="11">Q22+R$20</f>
        <v>2104.7161379310346</v>
      </c>
      <c r="S22" s="284">
        <f t="shared" ref="S22" si="12">M22*L22</f>
        <v>0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6">
        <f>SUM(H21:H24)</f>
        <v>116899</v>
      </c>
      <c r="I25" s="299"/>
      <c r="J25" s="260"/>
      <c r="K25" s="316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2.3200000000000003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7"/>
      <c r="I26" s="299"/>
      <c r="J26" s="260"/>
      <c r="K26" s="316"/>
      <c r="L26" s="44"/>
      <c r="M26" s="36">
        <f>SUM(M21:M22)</f>
        <v>2.58</v>
      </c>
      <c r="N26" s="12"/>
      <c r="O26" s="12"/>
      <c r="P26" s="248">
        <f>SUM(P21:P24)</f>
        <v>1.4500000000000002</v>
      </c>
      <c r="Q26" s="14"/>
      <c r="R26" s="12"/>
      <c r="S26" s="235">
        <f>SUM(S21:S25)</f>
        <v>2.5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8">
        <f>H25+H26</f>
        <v>116899</v>
      </c>
      <c r="I27" s="299"/>
      <c r="J27" s="260"/>
      <c r="K27" s="316"/>
      <c r="L27" s="44"/>
      <c r="M27" s="36"/>
      <c r="N27" s="12"/>
      <c r="O27" s="12"/>
      <c r="P27" s="248">
        <f>P26</f>
        <v>1.4500000000000002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6"/>
      <c r="L28" s="44"/>
      <c r="M28" s="14"/>
      <c r="N28" s="12"/>
      <c r="O28" s="12"/>
      <c r="P28" s="36">
        <f>P27*20%</f>
        <v>0.29000000000000004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1.7400000000000002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1.7400000000000002</v>
      </c>
      <c r="N31" s="12">
        <v>3500</v>
      </c>
      <c r="O31" s="12">
        <f t="shared" ref="O31:O36" si="13">M31*N31</f>
        <v>6090.0000000000009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0.5</v>
      </c>
      <c r="N32" s="12">
        <v>23500</v>
      </c>
      <c r="O32" s="12">
        <f t="shared" si="13"/>
        <v>11750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3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1</v>
      </c>
      <c r="N34" s="245">
        <v>23600</v>
      </c>
      <c r="O34" s="12">
        <f t="shared" si="13"/>
        <v>23600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3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2.5</v>
      </c>
      <c r="N36" s="12">
        <v>1500</v>
      </c>
      <c r="O36" s="12">
        <f t="shared" si="13"/>
        <v>3750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45190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94899</v>
      </c>
      <c r="P38" s="14" t="s">
        <v>138</v>
      </c>
      <c r="Q38" s="14"/>
      <c r="R38" s="37">
        <f>P29/R37</f>
        <v>0.46915444348576363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65447.586206896543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7"/>
      <c r="H41" s="321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2"/>
      <c r="D42" s="279"/>
      <c r="E42" s="279"/>
      <c r="F42" s="278"/>
      <c r="G42" s="317"/>
      <c r="H42" s="321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7"/>
      <c r="H43" s="321"/>
      <c r="L43" s="12"/>
      <c r="U43" s="56"/>
      <c r="V43" s="56"/>
    </row>
    <row r="44" spans="2:24" ht="17.399999999999999" x14ac:dyDescent="0.35">
      <c r="D44" s="279"/>
      <c r="E44" s="279"/>
      <c r="F44" s="278"/>
      <c r="G44" s="317"/>
      <c r="H44" s="321"/>
      <c r="L44" s="245"/>
    </row>
    <row r="45" spans="2:24" ht="17.399999999999999" x14ac:dyDescent="0.35">
      <c r="D45" s="279"/>
      <c r="E45" s="279"/>
      <c r="F45" s="278"/>
      <c r="G45" s="317"/>
      <c r="H45" s="321"/>
      <c r="L45" s="245"/>
      <c r="T45" s="265"/>
    </row>
    <row r="46" spans="2:24" ht="17.399999999999999" x14ac:dyDescent="0.35">
      <c r="D46" s="279"/>
      <c r="E46" s="279"/>
      <c r="F46" s="278"/>
      <c r="G46" s="317"/>
      <c r="H46" s="321"/>
      <c r="L46" s="245"/>
    </row>
    <row r="47" spans="2:24" ht="15" customHeight="1" x14ac:dyDescent="0.35">
      <c r="D47" s="279"/>
      <c r="E47" s="279"/>
      <c r="F47" s="278"/>
      <c r="G47" s="317"/>
      <c r="H47" s="321"/>
    </row>
    <row r="48" spans="2:24" ht="17.399999999999999" x14ac:dyDescent="0.35">
      <c r="D48" s="279"/>
      <c r="E48" s="279"/>
      <c r="F48" s="278"/>
      <c r="G48" s="317"/>
      <c r="H48" s="321"/>
    </row>
    <row r="49" spans="4:20" ht="17.399999999999999" x14ac:dyDescent="0.35">
      <c r="D49" s="279"/>
      <c r="E49" s="279"/>
      <c r="F49" s="278"/>
      <c r="G49" s="317"/>
      <c r="H49" s="321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7"/>
      <c r="H50" s="321"/>
    </row>
    <row r="51" spans="4:20" ht="17.399999999999999" x14ac:dyDescent="0.35">
      <c r="D51" s="279"/>
      <c r="E51" s="279"/>
      <c r="F51" s="278"/>
      <c r="G51" s="317"/>
      <c r="H51" s="321"/>
      <c r="O51" s="51"/>
      <c r="P51" s="51"/>
    </row>
    <row r="52" spans="4:20" ht="17.399999999999999" x14ac:dyDescent="0.35">
      <c r="D52" s="279"/>
      <c r="E52" s="279"/>
      <c r="F52" s="278"/>
      <c r="G52" s="317"/>
      <c r="H52" s="321"/>
      <c r="S52" s="18"/>
      <c r="T52" s="18"/>
    </row>
    <row r="53" spans="4:20" ht="17.399999999999999" x14ac:dyDescent="0.35">
      <c r="D53" s="279"/>
      <c r="E53" s="279"/>
      <c r="F53" s="278"/>
      <c r="G53" s="317"/>
      <c r="H53" s="321"/>
      <c r="S53" s="18"/>
      <c r="T53" s="18"/>
    </row>
    <row r="54" spans="4:20" ht="17.399999999999999" x14ac:dyDescent="0.35">
      <c r="D54" s="279"/>
      <c r="E54" s="279"/>
      <c r="F54" s="278"/>
      <c r="G54" s="317"/>
      <c r="H54" s="321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CECILIA VELESQUEZ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-9398.1239265700478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116899</v>
      </c>
      <c r="E11" s="129">
        <f>D11*0.19</f>
        <v>22210.81</v>
      </c>
      <c r="F11" s="128">
        <f>E11+D11</f>
        <v>139109.81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96591.876073429958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37818.910275362316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78591.876073429958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79080.089724637684</v>
      </c>
      <c r="E13" s="218">
        <f>(D11/D12)-1</f>
        <v>2.0910197874251168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69591.876073429958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30591.87607342995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72007.205164289844</v>
      </c>
      <c r="C15" s="210" t="s">
        <v>121</v>
      </c>
      <c r="D15" s="211">
        <v>0.6</v>
      </c>
      <c r="E15" s="212">
        <f>(100%+D15)*D12</f>
        <v>60510.256440579709</v>
      </c>
      <c r="F15" s="213">
        <f>E15-D12</f>
        <v>22691.346165217394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30591.87607342995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70591.876073429958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6090.0000000000009</v>
      </c>
      <c r="E20" s="118">
        <f>D20*0.19</f>
        <v>1157.1000000000001</v>
      </c>
      <c r="F20" s="117">
        <f>SUM(D20:E20)</f>
        <v>7247.1000000000013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17840</v>
      </c>
      <c r="E21" s="113">
        <f>SUM(E18:E20)</f>
        <v>3389.6000000000004</v>
      </c>
      <c r="F21" s="112">
        <f>SUM(F18:F20)</f>
        <v>21229.600000000002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18821.21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116899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17840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79080.089724637684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79080.089724637684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2025-08-05T19:35:23Z</dcterms:modified>
</cp:coreProperties>
</file>