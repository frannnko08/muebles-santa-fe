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2C113CF5-67CB-4C04-AD78-278CC1E54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L22" i="1" l="1"/>
  <c r="M22" i="1"/>
  <c r="N22" i="1"/>
  <c r="J36" i="1"/>
  <c r="M21" i="1"/>
  <c r="S22" i="1" l="1"/>
  <c r="M27" i="1"/>
  <c r="O22" i="1"/>
  <c r="P22" i="1" s="1"/>
  <c r="L21" i="1"/>
  <c r="N21" i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O40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O41" i="1"/>
  <c r="R22" i="1" l="1"/>
  <c r="G22" i="1" s="1"/>
  <c r="Q21" i="1"/>
  <c r="F15" i="3"/>
  <c r="H22" i="1" l="1"/>
  <c r="R21" i="1"/>
  <c r="G21" i="1" s="1"/>
  <c r="H21" i="1" l="1"/>
  <c r="H26" i="1" l="1"/>
  <c r="H27" i="1" s="1"/>
  <c r="H2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<sst xmlns="http://schemas.openxmlformats.org/spreadsheetml/2006/main" count="234" uniqueCount="177">
  <si>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</si>
  <si>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</si>
  <si>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</si>
  <si>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</si>
  <si>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</si>
  <si>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</si>
  <si>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</si>
  <si>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</si>
  <si>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</si>
  <si>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</si>
  <si>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</si>
  <si>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</si>
  <si>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</si>
  <si>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</si>
  <si>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</si>
  <si>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</si>
  <si>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</si>
  <si>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</si>
  <si>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</si>
  <si>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</si>
  <si>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</si>
  <si>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</si>
  <si>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</si>
  <si>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</si>
  <si>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</si>
  <si>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</si>
  <si>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</si>
  <si>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</si>
  <si>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</si>
  <si>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</si>
  <si>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</si>
  <si>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</si>
  <si>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</si>
  <si>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</si>
  <si>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</si>
  <si>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</si>
  <si>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</si>
  <si>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</si>
  <si>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</si>
  <si>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</si>
  <si>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</si>
  <si>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</si>
  <si>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</si>
  <si>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</si>
  <si>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</si>
  <si>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</si>
  <si>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</si>
  <si>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</si>
  <si>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</si>
  <si>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</si>
  <si>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</si>
  <si>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</si>
  <si>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</si>
  <si>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</si>
  <si>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</si>
  <si>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</si>
  <si>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</si>
  <si>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</si>
  <si>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</si>
  <si>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</si>
  <si>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</si>
  <si>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</si>
  <si>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</si>
  <si>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</si>
  <si>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</si>
  <si>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</si>
  <si>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</si>
  <si>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</si>
  <si>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</si>
  <si>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</si>
  <si>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</si>
  <si>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</si>
  <si>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</si>
  <si>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</si>
  <si>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</si>
  <si>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</si>
  <si>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</si>
  <si>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</si>
  <si>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</si>
  <si>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</si>
  <si>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</si>
  <si>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</si>
  <si>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</si>
  <si>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</si>
  <si>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</si>
  <si>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</si>
  <si>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</si>
  <si>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</si>
  <si>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</si>
  <si>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</si>
  <si>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</si>
  <si>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</si>
  <si>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</si>
  <si>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</si>
  <si>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</si>
  <si>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</si>
  <si>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</si>
  <si>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</si>
  <si>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</si>
  <si>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</si>
  <si>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</si>
  <si>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</si>
  <si>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</si>
  <si>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</si>
  <si>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</si>
  <si>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</si>
  <si>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</si>
  <si>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</si>
  <si>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</si>
  <si>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</si>
  <si>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</si>
  <si>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</si>
  <si>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</si>
  <si>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</si>
  <si>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</si>
  <si>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</si>
  <si>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</si>
  <si>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</si>
  <si>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</si>
  <si>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</si>
  <si>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</si>
  <si>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</si>
  <si>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</si>
  <si>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</si>
  <si>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</si>
  <si>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</si>
  <si>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</si>
  <si>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</si>
  <si>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</si>
  <si>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</si>
  <si>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</si>
  <si>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</si>
  <si>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</si>
  <si>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</si>
  <si>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</si>
  <si>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</si>
  <si>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</si>
  <si>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</si>
  <si>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</si>
  <si>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</si>
  <si>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</si>
  <si>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</si>
  <si>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</si>
  <si>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</si>
  <si>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</si>
  <si>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</si>
  <si>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</si>
  <si>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</si>
  <si>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</si>
  <si>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</si>
  <si>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</si>
  <si>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</si>
  <si>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</si>
  <si>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</si>
  <si>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</si>
  <si>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</si>
  <si>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</si>
  <si>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</si>
  <si>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</si>
  <si>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</si>
  <si>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</si>
  <si>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</si>
  <si>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</si>
  <si>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</si>
  <si>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</si>
  <si>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</si>
  <si>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</si>
  <si>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</si>
  <si>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</si>
  <si>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</si>
  <si>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BARMER DARK MARBLE 40478 SF</t>
  </si>
  <si>
    <t>CUB CON RESPALDO FRENTE 90° R6</t>
  </si>
  <si>
    <t>CORTE 45°</t>
  </si>
  <si>
    <t>KIBER ANDRES VENEGAS</t>
  </si>
  <si>
    <t>+569 4691 0978</t>
  </si>
  <si>
    <t>ILLAPEL</t>
  </si>
  <si>
    <t>N° 11563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</si>
</sst>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DESPACHAN EMBALADAS CON CARTON CORRUGADO CON FLETE POR PAGAR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C14" sqref="C14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173</v>
      </c>
      <c r="D10" s="239"/>
      <c r="E10" s="239"/>
      <c r="F10" s="240" t="s">
        <v>166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174</v>
      </c>
      <c r="D15" s="311"/>
      <c r="F15" t="s">
        <v>167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175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O40</f>
        <v>87401.159787287907</v>
      </c>
      <c r="R20" s="253">
        <v>2000</v>
      </c>
      <c r="S20" s="35"/>
      <c r="T20" s="14" t="s">
        <v>127</v>
      </c>
      <c r="U20" s="9"/>
      <c r="X20" s="4"/>
    </row>
    <row r="21" spans="2:25" ht="17.399999999999999" x14ac:dyDescent="0.3">
      <c r="B21" s="326">
        <v>1</v>
      </c>
      <c r="C21" s="326" t="s">
        <v>171</v>
      </c>
      <c r="D21" s="327">
        <v>1.85</v>
      </c>
      <c r="E21" s="327">
        <v>0.53</v>
      </c>
      <c r="F21" s="326" t="s">
        <v>170</v>
      </c>
      <c r="G21" s="328">
        <f>R21</f>
        <v>91892.092841225633</v>
      </c>
      <c r="H21" s="328">
        <f>G21*B21</f>
        <v>91892.092841225633</v>
      </c>
      <c r="I21" s="297"/>
      <c r="J21" s="260"/>
      <c r="K21" s="44"/>
      <c r="L21" s="44">
        <f>B21</f>
        <v>1</v>
      </c>
      <c r="M21" s="36">
        <f>D21+M$19</f>
        <v>1.87</v>
      </c>
      <c r="N21" s="36">
        <f>E21+$N$19</f>
        <v>0.55000000000000004</v>
      </c>
      <c r="O21" s="256">
        <f t="shared" ref="O21" si="1">M21*N21</f>
        <v>1.0285000000000002</v>
      </c>
      <c r="P21" s="254">
        <f t="shared" ref="P21" si="2">O21*L21</f>
        <v>1.0285000000000002</v>
      </c>
      <c r="Q21" s="247">
        <f t="shared" ref="Q21" si="3">Q$20*O21</f>
        <v>89892.092841225633</v>
      </c>
      <c r="R21" s="296">
        <f t="shared" ref="R21" si="4">Q21+R$20</f>
        <v>91892.092841225633</v>
      </c>
      <c r="S21" s="284">
        <f>M21*L21</f>
        <v>1.87</v>
      </c>
      <c r="T21" s="43">
        <f>N21*2*L21*2</f>
        <v>2.2000000000000002</v>
      </c>
      <c r="U21" s="9"/>
      <c r="X21" s="4"/>
    </row>
    <row r="22" spans="2:25" ht="17.399999999999999" x14ac:dyDescent="0.3">
      <c r="B22" s="326">
        <v>1</v>
      </c>
      <c r="C22" s="326" t="s">
        <v>171</v>
      </c>
      <c r="D22" s="327">
        <v>1.7</v>
      </c>
      <c r="E22" s="327">
        <v>0.53</v>
      </c>
      <c r="F22" s="326" t="s">
        <v>170</v>
      </c>
      <c r="G22" s="328">
        <f>R22</f>
        <v>84681.497158774364</v>
      </c>
      <c r="H22" s="328">
        <f t="shared" ref="H22" si="5">G22*B22</f>
        <v>84681.497158774364</v>
      </c>
      <c r="I22" s="297"/>
      <c r="J22" s="260"/>
      <c r="K22" s="44"/>
      <c r="L22" s="332">
        <f t="shared" ref="L22" si="6">B22</f>
        <v>1</v>
      </c>
      <c r="M22" s="36">
        <f t="shared" ref="M22" si="7">D22+M$19</f>
        <v>1.72</v>
      </c>
      <c r="N22" s="36">
        <f t="shared" ref="N22" si="8">E22+$N$19</f>
        <v>0.55000000000000004</v>
      </c>
      <c r="O22" s="256">
        <f t="shared" ref="O22" si="9">M22*N22</f>
        <v>0.94600000000000006</v>
      </c>
      <c r="P22" s="254">
        <f t="shared" ref="P22" si="10">O22*L22</f>
        <v>0.94600000000000006</v>
      </c>
      <c r="Q22" s="247">
        <f t="shared" ref="Q22" si="11">Q$20*O22</f>
        <v>82681.497158774364</v>
      </c>
      <c r="R22" s="296">
        <f t="shared" ref="R22" si="12">Q22+R$20</f>
        <v>84681.497158774364</v>
      </c>
      <c r="S22" s="284">
        <f t="shared" ref="S22" si="13">M22*L22</f>
        <v>1.72</v>
      </c>
      <c r="T22" s="43"/>
      <c r="U22" s="9"/>
      <c r="X22" s="4"/>
    </row>
    <row r="23" spans="2:25" ht="17.399999999999999" x14ac:dyDescent="0.3">
      <c r="B23" s="326">
        <v>2</v>
      </c>
      <c r="C23" s="326" t="s">
        <v>172</v>
      </c>
      <c r="D23" s="327"/>
      <c r="E23" s="327"/>
      <c r="F23" s="326"/>
      <c r="G23" s="328">
        <v>10000</v>
      </c>
      <c r="H23" s="328">
        <f t="shared" ref="H23" si="14">G23*B23</f>
        <v>20000</v>
      </c>
      <c r="I23" s="297"/>
      <c r="J23" s="260"/>
      <c r="K23" s="44"/>
      <c r="L23" s="332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2:25" ht="17.399999999999999" x14ac:dyDescent="0.3">
      <c r="B24" s="278"/>
      <c r="C24" s="278"/>
      <c r="D24" s="279"/>
      <c r="E24" s="279"/>
      <c r="F24" s="278"/>
      <c r="G24" s="297"/>
      <c r="H24" s="297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8" thickBot="1" x14ac:dyDescent="0.35">
      <c r="B25" s="278"/>
      <c r="C25" s="278"/>
      <c r="D25" s="279"/>
      <c r="E25" s="279"/>
      <c r="F25" s="278"/>
      <c r="G25" s="260"/>
      <c r="H25" s="298"/>
      <c r="I25" s="300"/>
      <c r="J25" s="229"/>
      <c r="K25" s="44"/>
      <c r="L25" s="44"/>
      <c r="M25" s="36"/>
      <c r="N25" s="36"/>
      <c r="O25" s="256"/>
      <c r="P25" s="254"/>
      <c r="Q25" s="247"/>
      <c r="R25" s="253"/>
      <c r="S25" s="284"/>
      <c r="T25" s="14"/>
      <c r="U25" s="9"/>
      <c r="X25" s="4"/>
    </row>
    <row r="26" spans="2:25" ht="17.399999999999999" x14ac:dyDescent="0.3">
      <c r="B26" s="278"/>
      <c r="C26" s="278"/>
      <c r="D26" s="279"/>
      <c r="E26" s="279"/>
      <c r="F26" s="278"/>
      <c r="G26" s="301" t="s">
        <v>28</v>
      </c>
      <c r="H26" s="329">
        <f>SUM(H21:H25)</f>
        <v>196573.59</v>
      </c>
      <c r="I26" s="299"/>
      <c r="J26" s="260"/>
      <c r="K26" s="316"/>
      <c r="L26" s="44"/>
      <c r="M26" s="36"/>
      <c r="N26" s="36"/>
      <c r="O26" s="256"/>
      <c r="P26" s="254"/>
      <c r="Q26" s="247"/>
      <c r="R26" s="253"/>
      <c r="S26" s="284"/>
      <c r="T26" s="43">
        <f>SUM(T21:T25)</f>
        <v>2.2000000000000002</v>
      </c>
      <c r="U26" s="9"/>
      <c r="X26" s="4"/>
    </row>
    <row r="27" spans="2:25" ht="17.399999999999999" x14ac:dyDescent="0.3">
      <c r="B27" s="272"/>
      <c r="C27" s="275"/>
      <c r="D27" s="276"/>
      <c r="E27" s="276"/>
      <c r="F27" s="277"/>
      <c r="G27" s="283" t="s">
        <v>51</v>
      </c>
      <c r="H27" s="330">
        <f>H26*19%</f>
        <v>37348.982100000001</v>
      </c>
      <c r="I27" s="299"/>
      <c r="J27" s="260"/>
      <c r="K27" s="316"/>
      <c r="L27" s="44"/>
      <c r="M27" s="36">
        <f>SUM(M21:M22)</f>
        <v>3.59</v>
      </c>
      <c r="N27" s="12"/>
      <c r="O27" s="12"/>
      <c r="P27" s="248">
        <f>SUM(P21:P25)</f>
        <v>1.9745000000000004</v>
      </c>
      <c r="Q27" s="14"/>
      <c r="R27" s="12"/>
      <c r="S27" s="235">
        <f>SUM(S21:S26)</f>
        <v>3.59</v>
      </c>
      <c r="T27" s="43"/>
      <c r="U27" s="9"/>
      <c r="X27" s="4"/>
    </row>
    <row r="28" spans="2:25" ht="18" thickBot="1" x14ac:dyDescent="0.35">
      <c r="B28" s="270"/>
      <c r="C28" s="274"/>
      <c r="D28" s="267"/>
      <c r="E28" s="267"/>
      <c r="F28" s="268"/>
      <c r="G28" s="273" t="s">
        <v>6</v>
      </c>
      <c r="H28" s="331">
        <f>H26+H27</f>
        <v>233922.57209999999</v>
      </c>
      <c r="I28" s="299"/>
      <c r="J28" s="260"/>
      <c r="K28" s="316"/>
      <c r="L28" s="44"/>
      <c r="M28" s="36"/>
      <c r="N28" s="12"/>
      <c r="O28" s="12"/>
      <c r="P28" s="248">
        <f>P27</f>
        <v>1.9745000000000004</v>
      </c>
      <c r="Q28" s="14"/>
      <c r="R28" s="12"/>
      <c r="S28" s="235"/>
      <c r="T28" s="43"/>
      <c r="U28" s="9"/>
      <c r="X28" s="4"/>
    </row>
    <row r="29" spans="2:25" ht="17.399999999999999" x14ac:dyDescent="0.3">
      <c r="B29" s="270"/>
      <c r="C29" s="266"/>
      <c r="D29" s="267"/>
      <c r="E29" s="267"/>
      <c r="F29" s="268"/>
      <c r="J29" s="260"/>
      <c r="K29" s="316"/>
      <c r="L29" s="44"/>
      <c r="M29" s="14"/>
      <c r="N29" s="12"/>
      <c r="O29" s="12"/>
      <c r="P29" s="36">
        <f>P28*20%</f>
        <v>0.39490000000000008</v>
      </c>
      <c r="Q29" s="36" t="s">
        <v>129</v>
      </c>
      <c r="R29" s="39"/>
      <c r="S29" s="236"/>
      <c r="T29" s="14"/>
      <c r="U29" s="9"/>
      <c r="X29" s="4"/>
    </row>
    <row r="30" spans="2:25" ht="17.399999999999999" x14ac:dyDescent="0.35">
      <c r="B30" s="264"/>
      <c r="C30" s="226"/>
      <c r="D30" s="226"/>
      <c r="E30" s="229"/>
      <c r="F30" s="230"/>
      <c r="G30" s="226"/>
      <c r="H30" s="269"/>
      <c r="I30" s="269"/>
      <c r="J30" s="260"/>
      <c r="K30" s="44"/>
      <c r="L30" s="44"/>
      <c r="M30" s="14"/>
      <c r="N30" s="12"/>
      <c r="O30" s="12"/>
      <c r="P30" s="43">
        <f>P28+P29</f>
        <v>2.3694000000000006</v>
      </c>
      <c r="Q30" s="14"/>
      <c r="R30" s="14"/>
      <c r="S30" s="234"/>
      <c r="T30" s="14"/>
      <c r="U30" s="9"/>
      <c r="X30" s="4"/>
    </row>
    <row r="31" spans="2:25" ht="17.399999999999999" x14ac:dyDescent="0.35">
      <c r="B31" s="231"/>
      <c r="C31" s="232"/>
      <c r="D31" s="233"/>
      <c r="E31" s="231"/>
      <c r="F31" s="226"/>
      <c r="G31" s="226"/>
      <c r="I31" s="269"/>
      <c r="J31" s="260"/>
      <c r="K31" s="44"/>
      <c r="L31" s="44"/>
      <c r="M31" s="14"/>
      <c r="N31" s="14"/>
      <c r="O31" s="14"/>
      <c r="P31" s="14"/>
      <c r="Q31" s="14"/>
      <c r="R31" s="14"/>
      <c r="S31" s="236"/>
      <c r="T31" s="14"/>
      <c r="U31" s="288" t="s">
        <v>21</v>
      </c>
      <c r="V31" s="285" t="s">
        <v>149</v>
      </c>
      <c r="W31" s="289">
        <v>44971</v>
      </c>
      <c r="X31" s="290"/>
    </row>
    <row r="32" spans="2:25" ht="17.399999999999999" x14ac:dyDescent="0.35">
      <c r="B32" s="226"/>
      <c r="C32" s="226"/>
      <c r="D32" s="226"/>
      <c r="E32" s="226"/>
      <c r="F32" s="226"/>
      <c r="G32" s="226"/>
      <c r="J32" s="260"/>
      <c r="K32" s="44"/>
      <c r="L32" s="44"/>
      <c r="M32" s="36">
        <f>P30</f>
        <v>2.3694000000000006</v>
      </c>
      <c r="N32" s="12">
        <v>3500</v>
      </c>
      <c r="O32" s="12">
        <f t="shared" ref="O32:O37" si="15">M32*N32</f>
        <v>8292.9000000000015</v>
      </c>
      <c r="P32" s="14" t="s">
        <v>21</v>
      </c>
      <c r="Q32" s="14"/>
      <c r="R32" s="14"/>
      <c r="S32" s="237"/>
      <c r="T32" s="14"/>
      <c r="U32" s="288" t="s">
        <v>150</v>
      </c>
      <c r="V32" s="285">
        <v>3625</v>
      </c>
      <c r="W32" s="56" t="s">
        <v>151</v>
      </c>
      <c r="X32" s="290"/>
    </row>
    <row r="33" spans="1:24" ht="17.399999999999999" x14ac:dyDescent="0.35">
      <c r="A33" s="226"/>
      <c r="B33" s="226"/>
      <c r="C33" s="226"/>
      <c r="D33" s="226"/>
      <c r="E33" s="226"/>
      <c r="F33" s="226"/>
      <c r="G33" s="226"/>
      <c r="H33" s="226"/>
      <c r="J33" s="260"/>
      <c r="K33" s="44"/>
      <c r="L33" s="44"/>
      <c r="M33" s="244">
        <v>1</v>
      </c>
      <c r="N33" s="12">
        <v>23500</v>
      </c>
      <c r="O33" s="12">
        <f t="shared" si="15"/>
        <v>23500</v>
      </c>
      <c r="P33" s="36" t="s">
        <v>168</v>
      </c>
      <c r="Q33" s="39"/>
      <c r="R33" s="14"/>
      <c r="S33" s="236"/>
      <c r="T33" s="14"/>
      <c r="U33" s="288"/>
      <c r="V33" s="56">
        <v>906.25</v>
      </c>
      <c r="W33" s="56" t="s">
        <v>152</v>
      </c>
      <c r="X33" s="290"/>
    </row>
    <row r="34" spans="1:24" s="226" customFormat="1" ht="17.399999999999999" x14ac:dyDescent="0.35">
      <c r="B34" s="21" t="s">
        <v>148</v>
      </c>
      <c r="J34" s="257"/>
      <c r="K34" s="228"/>
      <c r="L34" s="245"/>
      <c r="M34" s="14"/>
      <c r="N34" s="245">
        <v>80000</v>
      </c>
      <c r="O34" s="12">
        <f t="shared" si="15"/>
        <v>0</v>
      </c>
      <c r="P34" s="36" t="s">
        <v>30</v>
      </c>
      <c r="Q34" s="39"/>
      <c r="S34" s="236"/>
      <c r="T34" s="251"/>
      <c r="U34" s="56"/>
      <c r="V34" s="56">
        <f>V33*20%</f>
        <v>181.25</v>
      </c>
      <c r="W34" s="290" t="s">
        <v>153</v>
      </c>
      <c r="X34" s="56"/>
    </row>
    <row r="35" spans="1:24" s="226" customFormat="1" ht="17.399999999999999" x14ac:dyDescent="0.35">
      <c r="B35" s="21" t="s">
        <v>163</v>
      </c>
      <c r="C35"/>
      <c r="D35"/>
      <c r="E35"/>
      <c r="F35"/>
      <c r="J35" s="257">
        <v>46000</v>
      </c>
      <c r="K35" s="228"/>
      <c r="L35" s="245"/>
      <c r="M35" s="14">
        <v>1</v>
      </c>
      <c r="N35" s="245">
        <v>45000</v>
      </c>
      <c r="O35" s="12">
        <f t="shared" si="15"/>
        <v>45000</v>
      </c>
      <c r="P35" s="14" t="s">
        <v>139</v>
      </c>
      <c r="Q35" s="17"/>
      <c r="S35" s="234"/>
      <c r="T35" s="251"/>
      <c r="U35" s="56"/>
      <c r="V35" s="56">
        <f>V33+V34</f>
        <v>1087.5</v>
      </c>
      <c r="W35" s="290" t="s">
        <v>154</v>
      </c>
      <c r="X35" s="56"/>
    </row>
    <row r="36" spans="1:24" s="226" customFormat="1" ht="17.399999999999999" x14ac:dyDescent="0.35">
      <c r="B36" s="26" t="s">
        <v>124</v>
      </c>
      <c r="C36"/>
      <c r="D36"/>
      <c r="E36"/>
      <c r="F36" s="225" t="s">
        <v>15</v>
      </c>
      <c r="J36" s="257">
        <f>J35/1.19</f>
        <v>38655.462184873948</v>
      </c>
      <c r="K36" s="255"/>
      <c r="L36" s="245"/>
      <c r="M36" s="244"/>
      <c r="N36" s="245">
        <v>900</v>
      </c>
      <c r="O36" s="12">
        <f t="shared" si="15"/>
        <v>0</v>
      </c>
      <c r="P36" s="14" t="s">
        <v>32</v>
      </c>
      <c r="Q36" s="14"/>
      <c r="R36" s="226">
        <v>1.52</v>
      </c>
      <c r="S36" s="234"/>
      <c r="T36" s="234"/>
    </row>
    <row r="37" spans="1:24" s="226" customFormat="1" ht="17.399999999999999" x14ac:dyDescent="0.35">
      <c r="J37" s="282"/>
      <c r="K37" s="255"/>
      <c r="L37" s="245"/>
      <c r="M37" s="261">
        <v>3.59</v>
      </c>
      <c r="N37" s="12">
        <v>1500</v>
      </c>
      <c r="O37" s="12">
        <f t="shared" si="15"/>
        <v>5385</v>
      </c>
      <c r="P37" s="14" t="s">
        <v>22</v>
      </c>
      <c r="Q37" s="14"/>
      <c r="R37">
        <v>2.44</v>
      </c>
      <c r="S37"/>
      <c r="T37" s="234"/>
      <c r="X37" s="227"/>
    </row>
    <row r="38" spans="1:24" s="226" customFormat="1" ht="17.399999999999999" x14ac:dyDescent="0.35">
      <c r="K38" s="255"/>
      <c r="L38" s="245"/>
      <c r="M38" s="14"/>
      <c r="N38" s="12"/>
      <c r="O38" s="12">
        <f>SUM(O32:O37)</f>
        <v>82177.899999999994</v>
      </c>
      <c r="P38" s="36" t="s">
        <v>23</v>
      </c>
      <c r="Q38" s="14"/>
      <c r="R38">
        <f>R36*R37</f>
        <v>3.7088000000000001</v>
      </c>
      <c r="S38"/>
      <c r="T38" s="234"/>
      <c r="X38" s="227"/>
    </row>
    <row r="39" spans="1:24" s="226" customFormat="1" ht="17.399999999999999" x14ac:dyDescent="0.35">
      <c r="L39" s="245"/>
      <c r="M39" s="249" t="s">
        <v>33</v>
      </c>
      <c r="N39" s="12"/>
      <c r="O39" s="250">
        <f>O38*2.1</f>
        <v>172573.59</v>
      </c>
      <c r="P39" s="14" t="s">
        <v>138</v>
      </c>
      <c r="Q39" s="14"/>
      <c r="R39" s="37">
        <f>P30/R38</f>
        <v>0.63885893011216577</v>
      </c>
      <c r="S39"/>
      <c r="T39" s="252"/>
    </row>
    <row r="40" spans="1:24" s="226" customFormat="1" ht="17.399999999999999" x14ac:dyDescent="0.35">
      <c r="G40"/>
      <c r="H40" s="255"/>
      <c r="I40" s="255"/>
      <c r="J40" s="255"/>
      <c r="L40" s="245"/>
      <c r="M40" s="14"/>
      <c r="N40" s="12"/>
      <c r="O40" s="12">
        <f>O39/P28</f>
        <v>87401.159787287907</v>
      </c>
      <c r="P40" s="42" t="s">
        <v>24</v>
      </c>
      <c r="Q40" s="14"/>
      <c r="R40" s="14"/>
      <c r="S40"/>
      <c r="T40" s="234"/>
      <c r="U40" s="56" t="s">
        <v>155</v>
      </c>
      <c r="V40" s="285">
        <v>43650</v>
      </c>
    </row>
    <row r="41" spans="1:24" s="226" customFormat="1" ht="17.399999999999999" x14ac:dyDescent="0.35">
      <c r="G41"/>
      <c r="L41" s="245"/>
      <c r="M41" s="13"/>
      <c r="N41" s="14"/>
      <c r="O41" s="17">
        <f>O39/O38</f>
        <v>2.1</v>
      </c>
      <c r="P41" s="15"/>
      <c r="Q41"/>
      <c r="R41"/>
      <c r="S41"/>
      <c r="T41" s="234"/>
      <c r="U41" s="56" t="s">
        <v>157</v>
      </c>
      <c r="V41" s="286" t="s">
        <v>156</v>
      </c>
      <c r="W41" s="56">
        <v>2.4</v>
      </c>
    </row>
    <row r="42" spans="1:24" s="226" customFormat="1" ht="17.399999999999999" x14ac:dyDescent="0.35">
      <c r="D42" s="279"/>
      <c r="E42" s="279"/>
      <c r="F42" s="278"/>
      <c r="G42" s="317"/>
      <c r="H42" s="324"/>
      <c r="L42" s="12"/>
      <c r="T42" s="234"/>
      <c r="U42" s="56" t="s">
        <v>158</v>
      </c>
      <c r="V42" s="287">
        <v>395.37</v>
      </c>
    </row>
    <row r="43" spans="1:24" s="226" customFormat="1" ht="17.399999999999999" x14ac:dyDescent="0.35">
      <c r="B43"/>
      <c r="C43" s="325"/>
      <c r="D43" s="279"/>
      <c r="E43" s="279"/>
      <c r="F43" s="278"/>
      <c r="G43" s="317"/>
      <c r="H43" s="324"/>
      <c r="L43" s="12"/>
      <c r="T43" s="234"/>
      <c r="U43" s="56" t="s">
        <v>153</v>
      </c>
      <c r="V43" s="56">
        <v>474.45</v>
      </c>
    </row>
    <row r="44" spans="1:24" ht="14.4" customHeight="1" x14ac:dyDescent="0.35">
      <c r="D44" s="279"/>
      <c r="E44" s="279"/>
      <c r="F44" s="278"/>
      <c r="G44" s="317"/>
      <c r="H44" s="324"/>
      <c r="L44" s="12"/>
      <c r="U44" s="56"/>
      <c r="V44" s="56"/>
    </row>
    <row r="45" spans="1:24" ht="17.399999999999999" x14ac:dyDescent="0.35">
      <c r="D45" s="279"/>
      <c r="E45" s="279"/>
      <c r="F45" s="278"/>
      <c r="G45" s="317"/>
      <c r="H45" s="324"/>
      <c r="L45" s="245"/>
    </row>
    <row r="46" spans="1:24" ht="17.399999999999999" x14ac:dyDescent="0.35">
      <c r="D46" s="279"/>
      <c r="E46" s="279"/>
      <c r="F46" s="278"/>
      <c r="G46" s="317"/>
      <c r="H46" s="324"/>
      <c r="L46" s="245"/>
      <c r="T46" s="265"/>
    </row>
    <row r="47" spans="1:24" ht="17.399999999999999" x14ac:dyDescent="0.35">
      <c r="D47" s="279"/>
      <c r="E47" s="279"/>
      <c r="F47" s="278"/>
      <c r="G47" s="317"/>
      <c r="H47" s="324"/>
      <c r="L47" s="245"/>
    </row>
    <row r="48" spans="1:24" ht="15" customHeight="1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  <c r="O50">
        <v>40935</v>
      </c>
      <c r="P50" t="s">
        <v>16</v>
      </c>
      <c r="Q50" t="s">
        <v>26</v>
      </c>
    </row>
    <row r="51" spans="4:20" ht="17.399999999999999" x14ac:dyDescent="0.35">
      <c r="D51" s="279"/>
      <c r="E51" s="279"/>
      <c r="F51" s="278"/>
      <c r="G51" s="317"/>
      <c r="H51" s="324"/>
    </row>
    <row r="52" spans="4:20" ht="17.399999999999999" x14ac:dyDescent="0.35">
      <c r="D52" s="279"/>
      <c r="E52" s="279"/>
      <c r="F52" s="278"/>
      <c r="G52" s="317"/>
      <c r="H52" s="324"/>
      <c r="O52" s="51"/>
      <c r="P52" s="51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ht="17.399999999999999" x14ac:dyDescent="0.35">
      <c r="D55" s="279"/>
      <c r="E55" s="279"/>
      <c r="F55" s="278"/>
      <c r="G55" s="317"/>
      <c r="H55" s="324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145</v>
      </c>
    </row>
    <row r="76" spans="3:15" x14ac:dyDescent="0.3">
      <c r="C76" t="s">
        <v>144</v>
      </c>
    </row>
    <row r="79" spans="3:15" x14ac:dyDescent="0.3">
      <c r="C79" t="s">
        <v>144</v>
      </c>
    </row>
    <row r="156" spans="3:3" x14ac:dyDescent="0.3">
      <c r="C156" t="s">
        <v>144</v>
      </c>
    </row>
    <row r="157" spans="3:3" x14ac:dyDescent="0.3">
      <c r="C157" t="s">
        <v>146</v>
      </c>
    </row>
    <row r="158" spans="3:3" x14ac:dyDescent="0.3">
      <c r="C158" t="s">
        <v>147</v>
      </c>
    </row>
    <row r="583" spans="3:3" x14ac:dyDescent="0.3">
      <c r="C583" t="s">
        <v>144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KIBER ANDRES VENEGAS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-18956.448926570047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'2229'!H26</f>
        <v>196573.59</v>
      </c>
      <c r="E11" s="129">
        <f>D11*0.19</f>
        <v>37348.982100000001</v>
      </c>
      <c r="F11" s="128">
        <f>E11+D11</f>
        <v>233922.57209999999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87033.551073429961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51771.810275362317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69033.551073429961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144801.77972463769</v>
      </c>
      <c r="E13" s="218">
        <f>(D11/D12)-1</f>
        <v>2.7969232475061316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60033.551073429953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21033.551073429953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98573.526764289854</v>
      </c>
      <c r="C15" s="210" t="s">
        <v>121</v>
      </c>
      <c r="D15" s="211">
        <v>0.6</v>
      </c>
      <c r="E15" s="212">
        <f>(100%+D15)*D12</f>
        <v>82834.896440579716</v>
      </c>
      <c r="F15" s="213">
        <f>E15-D12</f>
        <v>31063.086165217399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21033.551073429953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61033.551073429953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'2229'!O34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'2229'!O33</f>
        <v>23500</v>
      </c>
      <c r="E19" s="120">
        <f>D19*0.19</f>
        <v>4465</v>
      </c>
      <c r="F19" s="117">
        <f>SUM(D19:E19)</f>
        <v>27965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'2229'!O32</f>
        <v>8292.9000000000015</v>
      </c>
      <c r="E20" s="118">
        <f>D20*0.19</f>
        <v>1575.6510000000003</v>
      </c>
      <c r="F20" s="117">
        <f>SUM(D20:E20)</f>
        <v>9868.5510000000013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31792.9</v>
      </c>
      <c r="E21" s="113">
        <f>SUM(E18:E20)</f>
        <v>6040.6509999999998</v>
      </c>
      <c r="F21" s="112">
        <f>SUM(F18:F20)</f>
        <v>37833.550999999999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31308.331100000003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196573.59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31792.9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144801.77972463769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144801.77972463769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2025-08-05T00:27:39Z</cp:lastPrinted>
  <dcterms:created xsi:type="dcterms:W3CDTF">2013-03-18T13:35:42Z</dcterms:created>
  <dcterms:modified xsi:type="dcterms:W3CDTF">2025-08-05T00:28:02Z</dcterms:modified>
</cp:coreProperties>
</file>