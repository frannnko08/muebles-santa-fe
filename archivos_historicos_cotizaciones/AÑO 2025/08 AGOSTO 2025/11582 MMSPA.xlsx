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F7B9C246-4113-407A-8E7E-DBB7B6529C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K25" i="1"/>
  <c r="M14" i="1"/>
  <c r="M16" i="1" s="1"/>
  <c r="H22" i="1"/>
  <c r="B28" i="3" l="1"/>
  <c r="D29" i="3" s="1"/>
  <c r="N16" i="3"/>
  <c r="K18" i="3"/>
  <c r="I27" i="3" l="1"/>
  <c r="I39" i="3"/>
  <c r="A23" i="3"/>
  <c r="A22" i="3"/>
  <c r="A21" i="3"/>
  <c r="B23" i="3"/>
  <c r="D24" i="3" s="1"/>
  <c r="O20" i="3"/>
  <c r="O21" i="3" s="1"/>
  <c r="M21" i="1"/>
  <c r="M26" i="1" s="1"/>
  <c r="L21" i="1" l="1"/>
  <c r="N21" i="1"/>
  <c r="S21" i="1" l="1"/>
  <c r="S26" i="1" s="1"/>
  <c r="T21" i="1"/>
  <c r="T25" i="1" s="1"/>
  <c r="O21" i="1"/>
  <c r="P21" i="1" s="1"/>
  <c r="P26" i="1" s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D19" i="3" s="1"/>
  <c r="E19" i="3" l="1"/>
  <c r="F19" i="3" s="1"/>
  <c r="C7" i="3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20" i="3"/>
  <c r="W18" i="3"/>
  <c r="K21" i="3"/>
  <c r="K22" i="3"/>
  <c r="K23" i="3"/>
  <c r="B24" i="3"/>
  <c r="K24" i="3"/>
  <c r="B25" i="3"/>
  <c r="K25" i="3"/>
  <c r="K27" i="3"/>
  <c r="B26" i="3"/>
  <c r="K28" i="3"/>
  <c r="B27" i="3"/>
  <c r="K29" i="3"/>
  <c r="K30" i="3"/>
  <c r="B29" i="3"/>
  <c r="I31" i="3"/>
  <c r="K31" i="3" s="1"/>
  <c r="I32" i="3"/>
  <c r="K32" i="3" s="1"/>
  <c r="B31" i="3"/>
  <c r="I33" i="3"/>
  <c r="K33" i="3" s="1"/>
  <c r="B32" i="3"/>
  <c r="K34" i="3"/>
  <c r="E34" i="3"/>
  <c r="H40" i="3" s="1"/>
  <c r="K40" i="3" s="1"/>
  <c r="K35" i="3"/>
  <c r="K36" i="3"/>
  <c r="K37" i="3"/>
  <c r="M23" i="3" l="1"/>
  <c r="D33" i="3"/>
  <c r="F29" i="3"/>
  <c r="D25" i="3"/>
  <c r="F25" i="3" s="1"/>
  <c r="D32" i="3"/>
  <c r="F32" i="3" s="1"/>
  <c r="D30" i="3"/>
  <c r="F30" i="3" s="1"/>
  <c r="D28" i="3"/>
  <c r="F28" i="3" s="1"/>
  <c r="D31" i="3"/>
  <c r="F31" i="3" s="1"/>
  <c r="D27" i="3"/>
  <c r="F27" i="3" s="1"/>
  <c r="D26" i="3"/>
  <c r="F26" i="3" s="1"/>
  <c r="H39" i="3"/>
  <c r="K39" i="3" s="1"/>
  <c r="W19" i="3"/>
  <c r="L26" i="3"/>
  <c r="D36" i="3" s="1"/>
  <c r="Y19" i="3"/>
  <c r="Y20" i="3" s="1"/>
  <c r="Y21" i="3" s="1"/>
  <c r="H41" i="3"/>
  <c r="K41" i="3" s="1"/>
  <c r="D42" i="3"/>
  <c r="L9" i="3"/>
  <c r="D35" i="3" s="1"/>
  <c r="F24" i="3"/>
  <c r="F33" i="3"/>
  <c r="A32" i="3"/>
  <c r="W20" i="3" l="1"/>
  <c r="W21" i="3" s="1"/>
  <c r="L38" i="3"/>
  <c r="D37" i="3" s="1"/>
  <c r="D39" i="3" s="1"/>
  <c r="M47" i="3" s="1"/>
  <c r="F34" i="3"/>
  <c r="M46" i="3" s="1"/>
  <c r="D34" i="3"/>
  <c r="D20" i="3" l="1"/>
  <c r="D18" i="3" l="1"/>
  <c r="E18" i="3" s="1"/>
  <c r="E20" i="3"/>
  <c r="F20" i="3" s="1"/>
  <c r="O36" i="1"/>
  <c r="O35" i="1"/>
  <c r="F18" i="3" l="1"/>
  <c r="O31" i="1" l="1"/>
  <c r="O37" i="1" s="1"/>
  <c r="O38" i="1" s="1"/>
  <c r="O39" i="1" l="1"/>
  <c r="D21" i="3"/>
  <c r="E21" i="3" s="1"/>
  <c r="E22" i="3" s="1"/>
  <c r="Q20" i="1" l="1"/>
  <c r="D22" i="3"/>
  <c r="M45" i="3" s="1"/>
  <c r="D12" i="3" s="1"/>
  <c r="E15" i="3" s="1"/>
  <c r="A15" i="3" s="1"/>
  <c r="F21" i="3"/>
  <c r="F22" i="3" s="1"/>
  <c r="O40" i="1" l="1"/>
  <c r="Q21" i="1" l="1"/>
  <c r="F15" i="3"/>
  <c r="R21" i="1" l="1"/>
  <c r="H21" i="1" l="1"/>
  <c r="H25" i="1" l="1"/>
  <c r="H26" i="1" s="1"/>
  <c r="H27" i="1" s="1"/>
  <c r="D11" i="3"/>
  <c r="X9" i="3" s="1"/>
  <c r="X15" i="3" s="1"/>
  <c r="X14" i="3" l="1"/>
  <c r="M44" i="3"/>
  <c r="M48" i="3" s="1"/>
  <c r="M51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<sst xmlns="http://schemas.openxmlformats.org/spreadsheetml/2006/main" count="237" uniqueCount="181">
  <si>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</si>
  <si>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</si>
  <si>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</si>
  <si>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</si>
  <si>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</si>
  <si>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</si>
  <si>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</si>
  <si>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</si>
  <si>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</si>
  <si>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</si>
  <si>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</si>
  <si>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</si>
  <si>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</si>
  <si>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</si>
  <si>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</si>
  <si>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</si>
  <si>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</si>
  <si>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</si>
  <si>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</si>
  <si>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</si>
  <si>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</si>
  <si>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</si>
  <si>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</si>
  <si>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</si>
  <si>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</si>
  <si>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</si>
  <si>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</si>
  <si>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</si>
  <si>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</si>
  <si>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</si>
  <si>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</si>
  <si>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</si>
  <si>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</si>
  <si>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</si>
  <si>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</si>
  <si>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</si>
  <si>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</si>
  <si>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</si>
  <si>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</si>
  <si>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</si>
  <si>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</si>
  <si>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</si>
  <si>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</si>
  <si>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</si>
  <si>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</si>
  <si>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</si>
  <si>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</si>
  <si>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</si>
  <si>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</si>
  <si>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</si>
  <si>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</si>
  <si>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</si>
  <si>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</si>
  <si>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</si>
  <si>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</si>
  <si>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</si>
  <si>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</si>
  <si>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</si>
  <si>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</si>
  <si>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</si>
  <si>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</si>
  <si>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</si>
  <si>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</si>
  <si>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</si>
  <si>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</si>
  <si>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</si>
  <si>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</si>
  <si>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</si>
  <si>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</si>
  <si>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</si>
  <si>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</si>
  <si>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</si>
  <si>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</si>
  <si>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</si>
  <si>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</si>
  <si>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</si>
  <si>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</si>
  <si>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</si>
  <si>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</si>
  <si>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</si>
  <si>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</si>
  <si>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</si>
  <si>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CARTON</t>
  </si>
  <si>
    <t>LIJAS</t>
  </si>
  <si>
    <t>COLAFRIA</t>
  </si>
  <si>
    <t>MATERIAL</t>
  </si>
  <si>
    <t>M. PRIMA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</si>
  <si>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</si>
  <si>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</si>
  <si>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</si>
  <si>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</si>
  <si>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</si>
  <si>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</si>
  <si>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</si>
  <si>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</si>
  <si>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</si>
  <si>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</si>
  <si>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</si>
  <si>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</si>
  <si>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</si>
  <si>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</si>
  <si>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</si>
  <si>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</si>
  <si>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</si>
  <si>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</si>
  <si>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</si>
  <si>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</si>
  <si>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</si>
  <si>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</si>
  <si>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</si>
  <si>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</si>
  <si>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</si>
  <si>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</si>
  <si>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</si>
  <si>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</si>
  <si>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</si>
  <si>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</si>
  <si>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</si>
  <si>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</si>
  <si>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</si>
  <si>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</si>
  <si>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</si>
  <si>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</si>
  <si>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</si>
  <si>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</si>
  <si>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</si>
  <si>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</si>
  <si>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</si>
  <si>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</si>
  <si>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</si>
  <si>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</si>
  <si>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</si>
  <si>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</si>
  <si>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</si>
  <si>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</si>
  <si>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</si>
  <si>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</si>
  <si>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</si>
  <si>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</si>
  <si>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</si>
  <si>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</si>
  <si>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</si>
  <si>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</si>
  <si>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</si>
  <si>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</si>
  <si>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</si>
  <si>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</si>
  <si>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</si>
  <si>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</si>
  <si>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</si>
  <si>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</si>
  <si>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</si>
  <si>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</si>
  <si>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</si>
  <si>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</si>
  <si>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</si>
  <si>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</si>
  <si>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</si>
  <si>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</si>
  <si>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</si>
  <si>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RUT : 77.054.606-0 CORREO: FRANCODONOSO@TOPMOBILI.CL</t>
  </si>
  <si>
    <t>EMBALAJE</t>
  </si>
  <si>
    <t>PLAZO ENTREGA</t>
  </si>
  <si>
    <t>FECHA</t>
  </si>
  <si>
    <t>DESPACHO</t>
  </si>
  <si>
    <t>LAMINA GRANDE</t>
  </si>
  <si>
    <t xml:space="preserve">LAMINA </t>
  </si>
  <si>
    <t>HUAIPE</t>
  </si>
  <si>
    <t>TORNILLOS 3,5X50 (100U)</t>
  </si>
  <si>
    <t>TORNILLOS 3,5X30 (100U)</t>
  </si>
  <si>
    <t>TORNILLOS 3,5X15</t>
  </si>
  <si>
    <t>MM SPA</t>
  </si>
  <si>
    <t>MARCELO LABRA</t>
  </si>
  <si>
    <t>+56 9 9018 4878</t>
  </si>
  <si>
    <t>SANTIAGO</t>
  </si>
  <si>
    <t>LAMINA</t>
  </si>
  <si>
    <t>PP-7268 TX CARVALHO  MEL</t>
  </si>
  <si>
    <t>SERVICIO DE ENCHAPE</t>
  </si>
  <si>
    <t xml:space="preserve">5 DIAS HABILES </t>
  </si>
  <si>
    <t>SI</t>
  </si>
  <si>
    <t>N° 11582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</si>
</sst>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4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  <font>
      <sz val="11"/>
      <color theme="0" tint="-0.14999847407452621"/>
      <name val="Calibri"/>
      <family val="2"/>
      <scheme val="minor"/>
    </font>
    <font>
      <sz val="10"/>
      <color theme="0" tint="-0.1499984740745262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6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1" fillId="0" borderId="0" xfId="0" applyFont="1"/>
    <xf numFmtId="1" fontId="21" fillId="0" borderId="0" xfId="0" applyNumberFormat="1" applyFont="1"/>
    <xf numFmtId="3" fontId="21" fillId="0" borderId="0" xfId="0" applyNumberFormat="1" applyFont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 indent="15"/>
    </xf>
    <xf numFmtId="0" fontId="21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1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7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1" fillId="0" borderId="0" xfId="0" applyFont="1" applyAlignment="1">
      <alignment horizontal="left" vertical="center"/>
    </xf>
    <xf numFmtId="171" fontId="0" fillId="0" borderId="0" xfId="0" applyNumberFormat="1"/>
    <xf numFmtId="0" fontId="23" fillId="0" borderId="0" xfId="0" applyFont="1" applyAlignment="1">
      <alignment horizontal="center" vertical="center"/>
    </xf>
    <xf numFmtId="166" fontId="23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67" fontId="25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14" fontId="26" fillId="8" borderId="46" xfId="0" applyNumberFormat="1" applyFont="1" applyFill="1" applyBorder="1" applyAlignment="1">
      <alignment horizontal="left"/>
    </xf>
    <xf numFmtId="0" fontId="28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66" fontId="26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166" fontId="29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1" fillId="0" borderId="0" xfId="0" applyNumberFormat="1" applyFont="1"/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6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1" fillId="0" borderId="0" xfId="4" applyFont="1" applyBorder="1" applyAlignment="1">
      <alignment horizontal="center" vertical="center"/>
    </xf>
    <xf numFmtId="42" fontId="30" fillId="0" borderId="0" xfId="8" applyFont="1" applyFill="1" applyBorder="1"/>
    <xf numFmtId="41" fontId="21" fillId="0" borderId="0" xfId="4" applyFont="1" applyFill="1" applyBorder="1" applyAlignment="1">
      <alignment horizontal="center" vertical="center"/>
    </xf>
    <xf numFmtId="0" fontId="32" fillId="0" borderId="0" xfId="0" applyFont="1"/>
    <xf numFmtId="14" fontId="26" fillId="0" borderId="0" xfId="0" applyNumberFormat="1" applyFont="1" applyAlignment="1">
      <alignment horizontal="left"/>
    </xf>
    <xf numFmtId="0" fontId="34" fillId="8" borderId="0" xfId="0" applyFont="1" applyFill="1"/>
    <xf numFmtId="0" fontId="0" fillId="8" borderId="0" xfId="0" applyFill="1"/>
    <xf numFmtId="0" fontId="26" fillId="8" borderId="0" xfId="0" applyFont="1" applyFill="1" applyAlignment="1">
      <alignment horizontal="left"/>
    </xf>
    <xf numFmtId="0" fontId="26" fillId="0" borderId="0" xfId="0" applyFont="1" applyAlignment="1">
      <alignment horizontal="left"/>
    </xf>
    <xf numFmtId="0" fontId="26" fillId="8" borderId="0" xfId="0" applyFont="1" applyFill="1"/>
    <xf numFmtId="0" fontId="33" fillId="0" borderId="0" xfId="0" quotePrefix="1" applyFont="1"/>
    <xf numFmtId="0" fontId="22" fillId="0" borderId="0" xfId="0" applyFont="1"/>
    <xf numFmtId="0" fontId="26" fillId="0" borderId="0" xfId="0" applyFont="1"/>
    <xf numFmtId="0" fontId="32" fillId="8" borderId="0" xfId="0" applyFont="1" applyFill="1"/>
    <xf numFmtId="0" fontId="14" fillId="8" borderId="0" xfId="0" applyFont="1" applyFill="1"/>
    <xf numFmtId="0" fontId="27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0" fillId="18" borderId="40" xfId="0" applyFont="1" applyFill="1" applyBorder="1" applyAlignment="1">
      <alignment horizontal="center" vertical="center"/>
    </xf>
    <xf numFmtId="0" fontId="20" fillId="18" borderId="39" xfId="0" applyFont="1" applyFill="1" applyBorder="1" applyAlignment="1">
      <alignment horizontal="center" vertical="center"/>
    </xf>
    <xf numFmtId="0" fontId="20" fillId="18" borderId="43" xfId="0" applyFont="1" applyFill="1" applyBorder="1" applyAlignment="1">
      <alignment horizontal="center" vertical="center"/>
    </xf>
    <xf numFmtId="166" fontId="21" fillId="0" borderId="0" xfId="0" applyNumberFormat="1" applyFont="1"/>
    <xf numFmtId="0" fontId="19" fillId="0" borderId="0" xfId="0" applyFont="1" applyAlignment="1">
      <alignment horizontal="center" vertical="center"/>
    </xf>
    <xf numFmtId="0" fontId="35" fillId="0" borderId="0" xfId="0" applyFont="1"/>
    <xf numFmtId="42" fontId="36" fillId="0" borderId="0" xfId="6" applyFont="1" applyFill="1"/>
    <xf numFmtId="0" fontId="36" fillId="0" borderId="0" xfId="0" applyFont="1"/>
    <xf numFmtId="1" fontId="0" fillId="0" borderId="0" xfId="1" applyNumberFormat="1" applyFont="1"/>
    <xf numFmtId="174" fontId="0" fillId="0" borderId="4" xfId="5" applyNumberFormat="1" applyFont="1" applyFill="1" applyBorder="1"/>
    <xf numFmtId="0" fontId="0" fillId="0" borderId="54" xfId="0" applyBorder="1" applyAlignment="1">
      <alignment horizontal="center"/>
    </xf>
    <xf numFmtId="174" fontId="0" fillId="0" borderId="32" xfId="5" applyNumberFormat="1" applyFont="1" applyFill="1" applyBorder="1"/>
    <xf numFmtId="0" fontId="0" fillId="0" borderId="1" xfId="0" applyBorder="1"/>
    <xf numFmtId="0" fontId="0" fillId="0" borderId="26" xfId="0" applyBorder="1"/>
    <xf numFmtId="0" fontId="0" fillId="0" borderId="20" xfId="0" applyBorder="1"/>
    <xf numFmtId="174" fontId="0" fillId="0" borderId="29" xfId="5" applyNumberFormat="1" applyFont="1" applyBorder="1"/>
    <xf numFmtId="42" fontId="20" fillId="0" borderId="0" xfId="0" applyNumberFormat="1" applyFont="1" applyAlignment="1">
      <alignment horizontal="center" vertical="center"/>
    </xf>
    <xf numFmtId="3" fontId="5" fillId="17" borderId="26" xfId="0" applyNumberFormat="1" applyFont="1" applyFill="1" applyBorder="1" applyAlignment="1">
      <alignment horizontal="center"/>
    </xf>
    <xf numFmtId="0" fontId="5" fillId="18" borderId="31" xfId="0" applyFont="1" applyFill="1" applyBorder="1" applyAlignment="1">
      <alignment horizontal="center"/>
    </xf>
    <xf numFmtId="42" fontId="37" fillId="17" borderId="20" xfId="8" applyFont="1" applyFill="1" applyBorder="1"/>
    <xf numFmtId="42" fontId="37" fillId="18" borderId="29" xfId="8" applyFont="1" applyFill="1" applyBorder="1"/>
    <xf numFmtId="165" fontId="21" fillId="0" borderId="0" xfId="0" applyNumberFormat="1" applyFont="1"/>
    <xf numFmtId="43" fontId="21" fillId="0" borderId="0" xfId="0" applyNumberFormat="1" applyFont="1"/>
    <xf numFmtId="0" fontId="5" fillId="18" borderId="28" xfId="0" applyFont="1" applyFill="1" applyBorder="1" applyAlignment="1">
      <alignment horizontal="center"/>
    </xf>
    <xf numFmtId="42" fontId="37" fillId="18" borderId="27" xfId="8" applyFont="1" applyFill="1" applyBorder="1"/>
    <xf numFmtId="0" fontId="38" fillId="20" borderId="2" xfId="0" applyFont="1" applyFill="1" applyBorder="1" applyAlignment="1">
      <alignment horizontal="left" indent="1"/>
    </xf>
    <xf numFmtId="0" fontId="39" fillId="20" borderId="9" xfId="0" applyFont="1" applyFill="1" applyBorder="1"/>
    <xf numFmtId="0" fontId="38" fillId="20" borderId="3" xfId="0" applyFont="1" applyFill="1" applyBorder="1" applyAlignment="1">
      <alignment horizontal="center"/>
    </xf>
    <xf numFmtId="0" fontId="9" fillId="8" borderId="0" xfId="3" applyFill="1"/>
    <xf numFmtId="0" fontId="29" fillId="0" borderId="28" xfId="0" applyFont="1" applyBorder="1" applyAlignment="1">
      <alignment horizontal="center" vertical="center"/>
    </xf>
    <xf numFmtId="0" fontId="29" fillId="0" borderId="36" xfId="0" applyFont="1" applyBorder="1" applyAlignment="1">
      <alignment horizontal="center" vertical="center"/>
    </xf>
    <xf numFmtId="166" fontId="29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7" fillId="0" borderId="37" xfId="0" applyFont="1" applyBorder="1" applyAlignment="1">
      <alignment horizontal="left"/>
    </xf>
    <xf numFmtId="0" fontId="17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29" fillId="0" borderId="25" xfId="0" applyFont="1" applyBorder="1" applyAlignment="1">
      <alignment horizontal="center" vertical="center"/>
    </xf>
    <xf numFmtId="0" fontId="29" fillId="0" borderId="42" xfId="0" applyFont="1" applyBorder="1" applyAlignment="1">
      <alignment horizontal="center" vertical="center"/>
    </xf>
    <xf numFmtId="166" fontId="29" fillId="0" borderId="42" xfId="0" applyNumberFormat="1" applyFont="1" applyBorder="1" applyAlignment="1">
      <alignment horizontal="center" vertical="center"/>
    </xf>
    <xf numFmtId="167" fontId="11" fillId="0" borderId="42" xfId="2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166" fontId="29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73331"/>
          <a:ext cx="6833420" cy="11211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NO</a:t>
          </a:r>
          <a:r>
            <a:rPr lang="es-CL" sz="1200" b="1" baseline="0"/>
            <a:t> INCLUYE EL SUSTRATO</a:t>
          </a:r>
          <a:endParaRPr lang="es-CL" sz="1200" b="1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36</xdr:row>
      <xdr:rowOff>144780</xdr:rowOff>
    </xdr:from>
    <xdr:to>
      <xdr:col>6</xdr:col>
      <xdr:colOff>472440</xdr:colOff>
      <xdr:row>38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5" zoomScale="93" zoomScaleNormal="93" workbookViewId="0">
      <selection activeCell="D15" sqref="D15"/>
    </sheetView>
  </sheetViews>
  <sheetFormatPr baseColWidth="10" defaultRowHeight="14.4" x14ac:dyDescent="0.3"/>
  <cols>
    <col min="1" max="1" width="6" customWidth="1"/>
    <col min="2" max="2" width="10.5546875" customWidth="1"/>
    <col min="3" max="3" width="38.33203125" customWidth="1"/>
    <col min="4" max="4" width="11.109375" customWidth="1"/>
    <col min="5" max="5" width="14.44140625" customWidth="1"/>
    <col min="6" max="6" width="31.77734375" customWidth="1"/>
    <col min="7" max="7" width="14" customWidth="1"/>
    <col min="8" max="8" width="14.21875" customWidth="1"/>
    <col min="9" max="9" width="15.44140625" customWidth="1"/>
    <col min="10" max="10" width="15.2187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5" t="s">
        <v>137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133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138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158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120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6" t="s">
        <v>122</v>
      </c>
      <c r="C8" s="337"/>
      <c r="D8" s="338" t="s">
        <v>180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86" t="s">
        <v>156</v>
      </c>
      <c r="C10" s="236" t="s">
        <v>171</v>
      </c>
      <c r="D10" s="236"/>
      <c r="E10" s="236"/>
      <c r="F10" s="237" t="s">
        <v>163</v>
      </c>
      <c r="G10" s="268">
        <v>45877</v>
      </c>
      <c r="H10" s="238"/>
      <c r="K10" s="1"/>
      <c r="R10" s="2"/>
      <c r="S10" s="3"/>
      <c r="T10" s="3"/>
      <c r="U10" s="4"/>
      <c r="V10" s="2"/>
      <c r="W10" s="3"/>
    </row>
    <row r="11" spans="2:24" ht="16.8" x14ac:dyDescent="0.4">
      <c r="B11" s="276" t="s">
        <v>12</v>
      </c>
      <c r="C11" s="296"/>
      <c r="F11" t="s">
        <v>162</v>
      </c>
      <c r="G11" s="297" t="s">
        <v>178</v>
      </c>
      <c r="H11" s="277"/>
      <c r="Q11" s="19"/>
      <c r="R11" s="22" t="s">
        <v>18</v>
      </c>
      <c r="S11" s="19"/>
    </row>
    <row r="12" spans="2:24" x14ac:dyDescent="0.3">
      <c r="B12" s="239" t="s">
        <v>139</v>
      </c>
      <c r="C12" s="298"/>
      <c r="D12" s="299"/>
      <c r="E12" s="299"/>
      <c r="F12" s="299" t="s">
        <v>123</v>
      </c>
      <c r="G12" s="300" t="s">
        <v>130</v>
      </c>
      <c r="H12" s="240"/>
      <c r="M12">
        <v>1.22</v>
      </c>
      <c r="Q12" s="19"/>
      <c r="R12" s="22"/>
      <c r="S12" s="19"/>
    </row>
    <row r="13" spans="2:24" x14ac:dyDescent="0.3">
      <c r="B13" s="276" t="s">
        <v>140</v>
      </c>
      <c r="C13" t="s">
        <v>172</v>
      </c>
      <c r="F13" t="s">
        <v>161</v>
      </c>
      <c r="G13" s="301" t="s">
        <v>130</v>
      </c>
      <c r="H13" s="277"/>
      <c r="M13">
        <v>3.05</v>
      </c>
      <c r="Q13" s="19"/>
      <c r="R13" s="22"/>
      <c r="S13" s="19"/>
    </row>
    <row r="14" spans="2:24" x14ac:dyDescent="0.3">
      <c r="B14" s="239" t="s">
        <v>134</v>
      </c>
      <c r="C14" s="339"/>
      <c r="D14" s="299"/>
      <c r="E14" s="299"/>
      <c r="F14" s="299" t="s">
        <v>131</v>
      </c>
      <c r="G14" s="302" t="s">
        <v>130</v>
      </c>
      <c r="H14" s="240"/>
      <c r="K14" s="26"/>
      <c r="M14">
        <f>M12*M13</f>
        <v>3.7209999999999996</v>
      </c>
      <c r="Q14" s="20"/>
      <c r="R14" s="23" t="s">
        <v>17</v>
      </c>
      <c r="S14" s="20"/>
    </row>
    <row r="15" spans="2:24" ht="15.6" x14ac:dyDescent="0.3">
      <c r="B15" s="276" t="s">
        <v>4</v>
      </c>
      <c r="C15" s="303" t="s">
        <v>173</v>
      </c>
      <c r="D15" s="304"/>
      <c r="F15" t="s">
        <v>164</v>
      </c>
      <c r="G15" s="305" t="s">
        <v>179</v>
      </c>
      <c r="H15" s="277"/>
      <c r="M15">
        <v>27</v>
      </c>
    </row>
    <row r="16" spans="2:24" ht="16.8" x14ac:dyDescent="0.4">
      <c r="B16" s="290" t="s">
        <v>3</v>
      </c>
      <c r="C16" s="306"/>
      <c r="D16" s="299"/>
      <c r="E16" s="299"/>
      <c r="F16" s="307" t="s">
        <v>125</v>
      </c>
      <c r="G16" s="308" t="s">
        <v>157</v>
      </c>
      <c r="H16" s="240"/>
      <c r="M16">
        <f>M15/M14</f>
        <v>7.2561139478634784</v>
      </c>
    </row>
    <row r="17" spans="1:25" ht="15" thickBot="1" x14ac:dyDescent="0.35">
      <c r="B17" s="287" t="s">
        <v>13</v>
      </c>
      <c r="C17" s="288" t="s">
        <v>174</v>
      </c>
      <c r="D17" s="289"/>
      <c r="E17" s="113"/>
      <c r="F17" s="346" t="s">
        <v>159</v>
      </c>
      <c r="G17" s="346"/>
      <c r="H17" s="347"/>
      <c r="I17" s="255"/>
      <c r="J17" s="255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48" t="s">
        <v>92</v>
      </c>
      <c r="C19" s="349"/>
      <c r="D19" s="349"/>
      <c r="E19" s="349"/>
      <c r="F19" s="349"/>
      <c r="G19" s="349"/>
      <c r="H19" s="350"/>
      <c r="I19" s="256"/>
      <c r="J19" s="256"/>
      <c r="K19" s="5"/>
      <c r="L19" s="242"/>
      <c r="M19" s="14">
        <v>0.08</v>
      </c>
      <c r="N19" s="14"/>
      <c r="O19" s="14"/>
      <c r="P19" s="243" t="s">
        <v>6</v>
      </c>
      <c r="Q19" s="33" t="s">
        <v>20</v>
      </c>
      <c r="R19" s="34" t="s">
        <v>129</v>
      </c>
      <c r="S19" s="10" t="s">
        <v>132</v>
      </c>
      <c r="U19" s="9"/>
      <c r="V19" s="9"/>
      <c r="X19" s="6"/>
      <c r="Y19" s="6"/>
    </row>
    <row r="20" spans="1:25" ht="18" thickBot="1" x14ac:dyDescent="0.35">
      <c r="B20" s="311" t="s">
        <v>7</v>
      </c>
      <c r="C20" s="312" t="s">
        <v>1</v>
      </c>
      <c r="D20" s="312" t="s">
        <v>127</v>
      </c>
      <c r="E20" s="312" t="s">
        <v>11</v>
      </c>
      <c r="F20" s="312" t="s">
        <v>8</v>
      </c>
      <c r="G20" s="312" t="s">
        <v>5</v>
      </c>
      <c r="H20" s="313" t="s">
        <v>6</v>
      </c>
      <c r="I20" s="257"/>
      <c r="J20" s="257"/>
      <c r="K20" s="44"/>
      <c r="L20" s="260" t="str">
        <f>B20</f>
        <v>UNIDAD</v>
      </c>
      <c r="M20" s="259" t="s">
        <v>127</v>
      </c>
      <c r="N20" s="36" t="str">
        <f t="shared" ref="N20" si="0">E20</f>
        <v>ANCHO</v>
      </c>
      <c r="O20" s="253" t="s">
        <v>128</v>
      </c>
      <c r="P20" s="251" t="s">
        <v>16</v>
      </c>
      <c r="Q20" s="244">
        <f>O39</f>
        <v>22076.21689785624</v>
      </c>
      <c r="R20" s="250">
        <v>2000</v>
      </c>
      <c r="S20" s="35"/>
      <c r="T20" s="14" t="s">
        <v>124</v>
      </c>
      <c r="U20" s="9"/>
      <c r="X20" s="4"/>
    </row>
    <row r="21" spans="1:25" ht="17.399999999999999" x14ac:dyDescent="0.3">
      <c r="B21" s="340">
        <v>8</v>
      </c>
      <c r="C21" s="341" t="s">
        <v>175</v>
      </c>
      <c r="D21" s="342">
        <v>1.22</v>
      </c>
      <c r="E21" s="342">
        <v>3.05</v>
      </c>
      <c r="F21" s="341" t="s">
        <v>176</v>
      </c>
      <c r="G21" s="343">
        <v>47815</v>
      </c>
      <c r="H21" s="344">
        <f>G21*B21</f>
        <v>382520</v>
      </c>
      <c r="I21" s="292"/>
      <c r="J21" s="257"/>
      <c r="K21" s="44"/>
      <c r="L21" s="44">
        <f>B21</f>
        <v>8</v>
      </c>
      <c r="M21" s="36">
        <f>D21+M$19</f>
        <v>1.3</v>
      </c>
      <c r="N21" s="36">
        <f>E21+$N$19</f>
        <v>3.05</v>
      </c>
      <c r="O21" s="253">
        <f t="shared" ref="O21" si="1">M21*N21</f>
        <v>3.9649999999999999</v>
      </c>
      <c r="P21" s="251">
        <f t="shared" ref="P21" si="2">O21*L21</f>
        <v>31.72</v>
      </c>
      <c r="Q21" s="244">
        <f t="shared" ref="Q21" si="3">Q$20*O21</f>
        <v>87532.2</v>
      </c>
      <c r="R21" s="291">
        <f t="shared" ref="R21" si="4">Q21+R$20</f>
        <v>89532.2</v>
      </c>
      <c r="S21" s="279">
        <f>M21*L21</f>
        <v>10.4</v>
      </c>
      <c r="T21" s="43">
        <f>N21*2*L21*2</f>
        <v>97.6</v>
      </c>
      <c r="U21" s="9"/>
      <c r="X21" s="4"/>
    </row>
    <row r="22" spans="1:25" ht="18" thickBot="1" x14ac:dyDescent="0.35">
      <c r="B22" s="359">
        <v>27</v>
      </c>
      <c r="C22" s="360" t="s">
        <v>177</v>
      </c>
      <c r="D22" s="361"/>
      <c r="E22" s="361"/>
      <c r="F22" s="360"/>
      <c r="G22" s="362">
        <v>35000</v>
      </c>
      <c r="H22" s="345">
        <f>G22*B22</f>
        <v>945000</v>
      </c>
      <c r="I22" s="292"/>
      <c r="J22" s="257"/>
      <c r="K22" s="44"/>
      <c r="L22" s="44"/>
      <c r="M22" s="36"/>
      <c r="N22" s="36"/>
      <c r="O22" s="253"/>
      <c r="P22" s="251"/>
      <c r="Q22" s="244"/>
      <c r="R22" s="291"/>
      <c r="S22" s="279"/>
      <c r="T22" s="43"/>
      <c r="U22" s="9"/>
      <c r="X22" s="4"/>
    </row>
    <row r="23" spans="1:25" ht="18" thickBot="1" x14ac:dyDescent="0.35">
      <c r="B23" s="363">
        <v>27</v>
      </c>
      <c r="C23" s="363" t="s">
        <v>21</v>
      </c>
      <c r="D23" s="364"/>
      <c r="E23" s="364"/>
      <c r="F23" s="363"/>
      <c r="G23" s="365">
        <v>7000</v>
      </c>
      <c r="H23" s="345">
        <f>G23*B23</f>
        <v>189000</v>
      </c>
      <c r="I23" s="292"/>
      <c r="J23" s="257"/>
      <c r="K23" s="44"/>
      <c r="L23" s="44"/>
      <c r="M23" s="36"/>
      <c r="N23" s="36"/>
      <c r="O23" s="253"/>
      <c r="P23" s="251"/>
      <c r="Q23" s="244"/>
      <c r="R23" s="291"/>
      <c r="S23" s="279"/>
      <c r="T23" s="43"/>
      <c r="U23" s="9"/>
      <c r="X23" s="4"/>
    </row>
    <row r="24" spans="1:25" ht="18" thickBot="1" x14ac:dyDescent="0.35">
      <c r="B24" s="274"/>
      <c r="C24" s="274"/>
      <c r="D24" s="275"/>
      <c r="E24" s="275"/>
      <c r="F24" s="274"/>
      <c r="G24" s="257"/>
      <c r="H24" s="293"/>
      <c r="I24" s="295"/>
      <c r="J24" s="226"/>
      <c r="K24" s="44">
        <v>45000</v>
      </c>
      <c r="L24" s="44"/>
      <c r="M24" s="36"/>
      <c r="N24" s="36"/>
      <c r="O24" s="253"/>
      <c r="P24" s="251"/>
      <c r="Q24" s="244"/>
      <c r="R24" s="250"/>
      <c r="S24" s="279"/>
      <c r="T24" s="14"/>
      <c r="U24" s="9"/>
      <c r="X24" s="4"/>
    </row>
    <row r="25" spans="1:25" ht="17.399999999999999" x14ac:dyDescent="0.3">
      <c r="B25" s="274"/>
      <c r="C25" s="274"/>
      <c r="D25" s="275"/>
      <c r="E25" s="275"/>
      <c r="F25" s="274"/>
      <c r="G25" s="334" t="s">
        <v>28</v>
      </c>
      <c r="H25" s="335">
        <f>SUM(H21:H24)</f>
        <v>1516520</v>
      </c>
      <c r="I25" s="294"/>
      <c r="J25" s="327"/>
      <c r="K25" s="309">
        <f>K24/1.19</f>
        <v>37815.126050420171</v>
      </c>
      <c r="L25" s="44"/>
      <c r="M25" s="36"/>
      <c r="N25" s="36"/>
      <c r="O25" s="253"/>
      <c r="P25" s="251"/>
      <c r="Q25" s="244"/>
      <c r="R25" s="250"/>
      <c r="S25" s="279"/>
      <c r="T25" s="43">
        <f>SUM(T21:T24)</f>
        <v>97.6</v>
      </c>
      <c r="U25" s="9"/>
      <c r="X25" s="4"/>
    </row>
    <row r="26" spans="1:25" ht="17.399999999999999" x14ac:dyDescent="0.3">
      <c r="B26" s="269"/>
      <c r="C26" s="271"/>
      <c r="D26" s="272"/>
      <c r="E26" s="272"/>
      <c r="F26" s="273"/>
      <c r="G26" s="328" t="s">
        <v>51</v>
      </c>
      <c r="H26" s="330">
        <f>H25*0.19</f>
        <v>288138.8</v>
      </c>
      <c r="I26" s="294"/>
      <c r="J26" s="257"/>
      <c r="K26" s="309"/>
      <c r="L26" s="44"/>
      <c r="M26" s="36">
        <f>SUM(M21:M22)</f>
        <v>1.3</v>
      </c>
      <c r="N26" s="12"/>
      <c r="O26" s="12"/>
      <c r="P26" s="245">
        <f>SUM(P21:P24)</f>
        <v>31.72</v>
      </c>
      <c r="Q26" s="14"/>
      <c r="R26" s="12"/>
      <c r="S26" s="232">
        <f>SUM(S21:S25)</f>
        <v>10.4</v>
      </c>
      <c r="T26" s="43"/>
      <c r="U26" s="9"/>
      <c r="X26" s="4"/>
    </row>
    <row r="27" spans="1:25" ht="18" thickBot="1" x14ac:dyDescent="0.35">
      <c r="B27" s="267"/>
      <c r="C27" s="270"/>
      <c r="D27" s="264"/>
      <c r="E27" s="264"/>
      <c r="F27" s="265"/>
      <c r="G27" s="329" t="s">
        <v>6</v>
      </c>
      <c r="H27" s="331">
        <f>H26+H25</f>
        <v>1804658.8</v>
      </c>
      <c r="I27" s="294"/>
      <c r="J27" s="257"/>
      <c r="K27" s="309"/>
      <c r="L27" s="44"/>
      <c r="M27" s="36"/>
      <c r="N27" s="12"/>
      <c r="O27" s="12"/>
      <c r="P27" s="245">
        <f>P26</f>
        <v>31.72</v>
      </c>
      <c r="Q27" s="14"/>
      <c r="R27" s="12"/>
      <c r="S27" s="232"/>
      <c r="T27" s="43"/>
      <c r="U27" s="9"/>
      <c r="X27" s="4"/>
    </row>
    <row r="28" spans="1:25" ht="17.399999999999999" x14ac:dyDescent="0.3">
      <c r="B28" s="267"/>
      <c r="C28" s="263"/>
      <c r="D28" s="264"/>
      <c r="E28" s="264"/>
      <c r="F28" s="265"/>
      <c r="J28" s="257"/>
      <c r="K28" s="309"/>
      <c r="L28" s="44"/>
      <c r="M28" s="14"/>
      <c r="N28" s="12"/>
      <c r="O28" s="12"/>
      <c r="P28" s="36">
        <f>P27*20%</f>
        <v>6.3440000000000003</v>
      </c>
      <c r="Q28" s="36" t="s">
        <v>126</v>
      </c>
      <c r="R28" s="39"/>
      <c r="S28" s="233"/>
      <c r="T28" s="14"/>
      <c r="U28" s="9"/>
      <c r="X28" s="4"/>
    </row>
    <row r="29" spans="1:25" ht="17.399999999999999" x14ac:dyDescent="0.35">
      <c r="B29" s="261"/>
      <c r="C29" s="223"/>
      <c r="D29" s="223"/>
      <c r="E29" s="226"/>
      <c r="F29" s="227"/>
      <c r="G29" s="223"/>
      <c r="H29" s="266"/>
      <c r="I29" s="266"/>
      <c r="J29" s="257"/>
      <c r="K29" s="44"/>
      <c r="L29" s="44"/>
      <c r="M29" s="14"/>
      <c r="N29" s="12"/>
      <c r="O29" s="12"/>
      <c r="P29" s="43">
        <f>P27+P28</f>
        <v>38.064</v>
      </c>
      <c r="Q29" s="14"/>
      <c r="R29" s="14"/>
      <c r="S29" s="231"/>
      <c r="T29" s="14"/>
      <c r="U29" s="9"/>
      <c r="X29" s="4"/>
    </row>
    <row r="30" spans="1:25" ht="17.399999999999999" x14ac:dyDescent="0.35">
      <c r="B30" s="228"/>
      <c r="C30" s="229"/>
      <c r="D30" s="230"/>
      <c r="E30" s="228"/>
      <c r="F30" s="223"/>
      <c r="G30" s="223"/>
      <c r="I30" s="266"/>
      <c r="J30" s="257"/>
      <c r="K30" s="44"/>
      <c r="L30" s="44"/>
      <c r="M30" s="14"/>
      <c r="N30" s="14"/>
      <c r="O30" s="14"/>
      <c r="P30" s="14"/>
      <c r="Q30" s="14"/>
      <c r="R30" s="14"/>
      <c r="S30" s="233"/>
      <c r="T30" s="14"/>
      <c r="U30" s="283" t="s">
        <v>21</v>
      </c>
      <c r="V30" s="280" t="s">
        <v>146</v>
      </c>
      <c r="W30" s="284">
        <v>44971</v>
      </c>
      <c r="X30" s="285"/>
    </row>
    <row r="31" spans="1:25" ht="17.399999999999999" x14ac:dyDescent="0.35">
      <c r="B31" s="223"/>
      <c r="C31" s="223"/>
      <c r="D31" s="223"/>
      <c r="E31" s="223"/>
      <c r="F31" s="223"/>
      <c r="G31" s="223"/>
      <c r="J31" s="257"/>
      <c r="K31" s="44"/>
      <c r="L31" s="44"/>
      <c r="M31" s="36">
        <f>P29</f>
        <v>38.064</v>
      </c>
      <c r="N31" s="12">
        <v>3500</v>
      </c>
      <c r="O31" s="12">
        <f t="shared" ref="O31:O36" si="5">M31*N31</f>
        <v>133224</v>
      </c>
      <c r="P31" s="14" t="s">
        <v>21</v>
      </c>
      <c r="Q31" s="14"/>
      <c r="R31" s="14"/>
      <c r="S31" s="234"/>
      <c r="T31" s="14"/>
      <c r="U31" s="283" t="s">
        <v>147</v>
      </c>
      <c r="V31" s="280">
        <v>3625</v>
      </c>
      <c r="W31" s="56" t="s">
        <v>148</v>
      </c>
      <c r="X31" s="285"/>
    </row>
    <row r="32" spans="1:25" ht="17.399999999999999" x14ac:dyDescent="0.35">
      <c r="A32" s="223"/>
      <c r="B32" s="223"/>
      <c r="C32" s="223"/>
      <c r="D32" s="223"/>
      <c r="E32" s="223"/>
      <c r="F32" s="223"/>
      <c r="G32" s="223"/>
      <c r="H32" s="223"/>
      <c r="J32" s="257"/>
      <c r="K32" s="44"/>
      <c r="L32" s="44"/>
      <c r="M32" s="241">
        <v>3</v>
      </c>
      <c r="N32" s="12">
        <v>23500</v>
      </c>
      <c r="O32" s="12">
        <f t="shared" si="5"/>
        <v>70500</v>
      </c>
      <c r="P32" s="36" t="s">
        <v>31</v>
      </c>
      <c r="Q32" s="39"/>
      <c r="R32" s="14"/>
      <c r="S32" s="233"/>
      <c r="T32" s="14"/>
      <c r="U32" s="283"/>
      <c r="V32" s="56">
        <v>906.25</v>
      </c>
      <c r="W32" s="56" t="s">
        <v>149</v>
      </c>
      <c r="X32" s="285"/>
    </row>
    <row r="33" spans="2:24" s="223" customFormat="1" ht="17.399999999999999" x14ac:dyDescent="0.35">
      <c r="B33" s="21" t="s">
        <v>145</v>
      </c>
      <c r="J33" s="254"/>
      <c r="K33" s="225"/>
      <c r="L33" s="242"/>
      <c r="M33" s="14"/>
      <c r="N33" s="242">
        <v>54782</v>
      </c>
      <c r="O33" s="12">
        <f t="shared" si="5"/>
        <v>0</v>
      </c>
      <c r="P33" s="36" t="s">
        <v>30</v>
      </c>
      <c r="Q33" s="39"/>
      <c r="S33" s="233"/>
      <c r="T33" s="248"/>
      <c r="U33" s="56"/>
      <c r="V33" s="56">
        <f>V32*20%</f>
        <v>181.25</v>
      </c>
      <c r="W33" s="285" t="s">
        <v>150</v>
      </c>
      <c r="X33" s="56"/>
    </row>
    <row r="34" spans="2:24" s="223" customFormat="1" ht="17.399999999999999" x14ac:dyDescent="0.35">
      <c r="B34" s="21" t="s">
        <v>160</v>
      </c>
      <c r="C34"/>
      <c r="D34"/>
      <c r="E34"/>
      <c r="F34"/>
      <c r="J34" s="254"/>
      <c r="K34" s="225"/>
      <c r="L34" s="242"/>
      <c r="M34" s="14">
        <v>6</v>
      </c>
      <c r="N34" s="242">
        <v>18622</v>
      </c>
      <c r="O34" s="12">
        <f t="shared" si="5"/>
        <v>111732</v>
      </c>
      <c r="P34" s="14" t="s">
        <v>136</v>
      </c>
      <c r="Q34" s="17"/>
      <c r="S34" s="231"/>
      <c r="T34" s="248"/>
      <c r="U34" s="56"/>
      <c r="V34" s="56">
        <f>V32+V33</f>
        <v>1087.5</v>
      </c>
      <c r="W34" s="285" t="s">
        <v>151</v>
      </c>
      <c r="X34" s="56"/>
    </row>
    <row r="35" spans="2:24" s="223" customFormat="1" ht="17.399999999999999" x14ac:dyDescent="0.35">
      <c r="B35" s="26" t="s">
        <v>121</v>
      </c>
      <c r="C35"/>
      <c r="D35"/>
      <c r="E35"/>
      <c r="F35" s="222" t="s">
        <v>15</v>
      </c>
      <c r="J35" s="254"/>
      <c r="K35" s="252"/>
      <c r="L35" s="242"/>
      <c r="M35" s="241"/>
      <c r="N35" s="242">
        <v>900</v>
      </c>
      <c r="O35" s="12">
        <f t="shared" si="5"/>
        <v>0</v>
      </c>
      <c r="P35" s="14" t="s">
        <v>32</v>
      </c>
      <c r="Q35" s="14"/>
      <c r="R35" s="223">
        <v>1.52</v>
      </c>
      <c r="S35" s="231"/>
      <c r="T35" s="231"/>
    </row>
    <row r="36" spans="2:24" s="223" customFormat="1" ht="17.399999999999999" x14ac:dyDescent="0.35">
      <c r="J36" s="278"/>
      <c r="K36" s="252"/>
      <c r="L36" s="242"/>
      <c r="M36" s="258">
        <v>18</v>
      </c>
      <c r="N36" s="12">
        <v>1000</v>
      </c>
      <c r="O36" s="12">
        <f t="shared" si="5"/>
        <v>18000</v>
      </c>
      <c r="P36" s="14" t="s">
        <v>22</v>
      </c>
      <c r="Q36" s="14"/>
      <c r="R36">
        <v>2.44</v>
      </c>
      <c r="S36"/>
      <c r="T36" s="231"/>
      <c r="X36" s="224"/>
    </row>
    <row r="37" spans="2:24" s="223" customFormat="1" ht="17.399999999999999" x14ac:dyDescent="0.35">
      <c r="K37" s="252"/>
      <c r="L37" s="242"/>
      <c r="M37" s="14"/>
      <c r="N37" s="12"/>
      <c r="O37" s="12">
        <f>SUM(O31:O36)</f>
        <v>333456</v>
      </c>
      <c r="P37" s="36" t="s">
        <v>23</v>
      </c>
      <c r="Q37" s="14"/>
      <c r="R37">
        <f>R35*R36</f>
        <v>3.7088000000000001</v>
      </c>
      <c r="S37"/>
      <c r="T37" s="231"/>
      <c r="X37" s="224"/>
    </row>
    <row r="38" spans="2:24" s="223" customFormat="1" ht="17.399999999999999" x14ac:dyDescent="0.35">
      <c r="L38" s="242"/>
      <c r="M38" s="246" t="s">
        <v>33</v>
      </c>
      <c r="N38" s="12"/>
      <c r="O38" s="247">
        <f>O37*2.1</f>
        <v>700257.6</v>
      </c>
      <c r="P38" s="14" t="s">
        <v>135</v>
      </c>
      <c r="Q38" s="14"/>
      <c r="R38" s="37">
        <f>P29/R37</f>
        <v>10.263157894736842</v>
      </c>
      <c r="S38"/>
      <c r="T38" s="249"/>
    </row>
    <row r="39" spans="2:24" s="223" customFormat="1" ht="17.399999999999999" x14ac:dyDescent="0.35">
      <c r="G39"/>
      <c r="H39" s="252"/>
      <c r="I39" s="252"/>
      <c r="J39" s="332"/>
      <c r="L39" s="242"/>
      <c r="M39" s="14"/>
      <c r="N39" s="12"/>
      <c r="O39" s="12">
        <f>O38/P27</f>
        <v>22076.21689785624</v>
      </c>
      <c r="P39" s="42" t="s">
        <v>24</v>
      </c>
      <c r="Q39" s="14"/>
      <c r="R39" s="14"/>
      <c r="S39"/>
      <c r="T39" s="231"/>
      <c r="U39" s="56" t="s">
        <v>152</v>
      </c>
      <c r="V39" s="280">
        <v>43650</v>
      </c>
    </row>
    <row r="40" spans="2:24" s="223" customFormat="1" ht="17.399999999999999" x14ac:dyDescent="0.35">
      <c r="G40"/>
      <c r="L40" s="242"/>
      <c r="M40" s="13"/>
      <c r="N40" s="14"/>
      <c r="O40" s="17">
        <f>O38/O37</f>
        <v>2.1</v>
      </c>
      <c r="P40" s="15"/>
      <c r="Q40"/>
      <c r="R40"/>
      <c r="S40"/>
      <c r="T40" s="231"/>
      <c r="U40" s="56" t="s">
        <v>154</v>
      </c>
      <c r="V40" s="281" t="s">
        <v>153</v>
      </c>
      <c r="W40" s="56">
        <v>2.4</v>
      </c>
    </row>
    <row r="41" spans="2:24" s="223" customFormat="1" ht="17.399999999999999" x14ac:dyDescent="0.35">
      <c r="D41" s="275"/>
      <c r="E41" s="275"/>
      <c r="F41" s="274"/>
      <c r="G41" s="310"/>
      <c r="H41" s="314"/>
      <c r="J41" s="333"/>
      <c r="L41" s="12"/>
      <c r="T41" s="231"/>
      <c r="U41" s="56" t="s">
        <v>155</v>
      </c>
      <c r="V41" s="282">
        <v>395.37</v>
      </c>
    </row>
    <row r="42" spans="2:24" s="223" customFormat="1" ht="17.399999999999999" x14ac:dyDescent="0.35">
      <c r="B42"/>
      <c r="C42" s="315"/>
      <c r="D42" s="275"/>
      <c r="E42" s="275"/>
      <c r="F42" s="274"/>
      <c r="G42" s="310"/>
      <c r="H42" s="314"/>
      <c r="L42" s="12"/>
      <c r="T42" s="231"/>
      <c r="U42" s="56" t="s">
        <v>150</v>
      </c>
      <c r="V42" s="56">
        <v>474.45</v>
      </c>
    </row>
    <row r="43" spans="2:24" ht="14.4" customHeight="1" x14ac:dyDescent="0.35">
      <c r="D43" s="275"/>
      <c r="E43" s="275"/>
      <c r="F43" s="274"/>
      <c r="G43" s="310"/>
      <c r="H43" s="314"/>
      <c r="L43" s="12"/>
      <c r="U43" s="56"/>
      <c r="V43" s="56"/>
    </row>
    <row r="44" spans="2:24" ht="17.399999999999999" x14ac:dyDescent="0.35">
      <c r="D44" s="275"/>
      <c r="E44" s="275"/>
      <c r="F44" s="274"/>
      <c r="G44" s="310"/>
      <c r="H44" s="314"/>
      <c r="L44" s="242"/>
    </row>
    <row r="45" spans="2:24" ht="17.399999999999999" x14ac:dyDescent="0.35">
      <c r="D45" s="275"/>
      <c r="E45" s="275"/>
      <c r="F45" s="274"/>
      <c r="G45" s="310"/>
      <c r="H45" s="314"/>
      <c r="L45" s="242"/>
      <c r="T45" s="262"/>
    </row>
    <row r="46" spans="2:24" ht="17.399999999999999" x14ac:dyDescent="0.35">
      <c r="D46" s="275"/>
      <c r="E46" s="275"/>
      <c r="F46" s="274"/>
      <c r="G46" s="310"/>
      <c r="H46" s="314"/>
      <c r="L46" s="242"/>
    </row>
    <row r="47" spans="2:24" ht="15" customHeight="1" x14ac:dyDescent="0.35">
      <c r="D47" s="275"/>
      <c r="E47" s="275"/>
      <c r="F47" s="274"/>
      <c r="G47" s="310"/>
      <c r="H47" s="314"/>
    </row>
    <row r="48" spans="2:24" ht="17.399999999999999" x14ac:dyDescent="0.35">
      <c r="D48" s="275"/>
      <c r="E48" s="275"/>
      <c r="F48" s="274"/>
      <c r="G48" s="310"/>
      <c r="H48" s="314"/>
    </row>
    <row r="49" spans="4:20" ht="17.399999999999999" x14ac:dyDescent="0.35">
      <c r="D49" s="275"/>
      <c r="E49" s="275"/>
      <c r="F49" s="274"/>
      <c r="G49" s="310"/>
      <c r="H49" s="314"/>
      <c r="O49">
        <v>40935</v>
      </c>
      <c r="P49" t="s">
        <v>16</v>
      </c>
      <c r="Q49" t="s">
        <v>26</v>
      </c>
    </row>
    <row r="50" spans="4:20" ht="17.399999999999999" x14ac:dyDescent="0.35">
      <c r="D50" s="275"/>
      <c r="E50" s="275"/>
      <c r="F50" s="274"/>
      <c r="G50" s="310"/>
      <c r="H50" s="314"/>
    </row>
    <row r="51" spans="4:20" ht="17.399999999999999" x14ac:dyDescent="0.35">
      <c r="D51" s="275"/>
      <c r="E51" s="275"/>
      <c r="F51" s="274"/>
      <c r="G51" s="310"/>
      <c r="H51" s="314"/>
      <c r="O51" s="51"/>
      <c r="P51" s="51"/>
    </row>
    <row r="52" spans="4:20" ht="17.399999999999999" x14ac:dyDescent="0.35">
      <c r="D52" s="275"/>
      <c r="E52" s="275"/>
      <c r="F52" s="274"/>
      <c r="G52" s="310"/>
      <c r="H52" s="314"/>
      <c r="S52" s="18"/>
      <c r="T52" s="18"/>
    </row>
    <row r="53" spans="4:20" ht="17.399999999999999" x14ac:dyDescent="0.35">
      <c r="D53" s="275"/>
      <c r="E53" s="275"/>
      <c r="F53" s="274"/>
      <c r="G53" s="310"/>
      <c r="H53" s="314"/>
      <c r="S53" s="18"/>
      <c r="T53" s="18"/>
    </row>
    <row r="54" spans="4:20" ht="17.399999999999999" x14ac:dyDescent="0.35">
      <c r="D54" s="275"/>
      <c r="E54" s="275"/>
      <c r="F54" s="274"/>
      <c r="G54" s="310"/>
      <c r="H54" s="314"/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3" spans="4:20" x14ac:dyDescent="0.3">
      <c r="O63" s="40"/>
    </row>
    <row r="64" spans="4:20" x14ac:dyDescent="0.3">
      <c r="O64" s="40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142</v>
      </c>
    </row>
    <row r="75" spans="3:15" x14ac:dyDescent="0.3">
      <c r="C75" t="s">
        <v>141</v>
      </c>
    </row>
    <row r="78" spans="3:15" x14ac:dyDescent="0.3">
      <c r="C78" t="s">
        <v>141</v>
      </c>
    </row>
    <row r="155" spans="3:3" x14ac:dyDescent="0.3">
      <c r="C155" t="s">
        <v>141</v>
      </c>
    </row>
    <row r="156" spans="3:3" x14ac:dyDescent="0.3">
      <c r="C156" t="s">
        <v>143</v>
      </c>
    </row>
    <row r="157" spans="3:3" x14ac:dyDescent="0.3">
      <c r="C157" t="s">
        <v>144</v>
      </c>
    </row>
    <row r="582" spans="3:3" x14ac:dyDescent="0.3">
      <c r="C582" t="s">
        <v>141</v>
      </c>
    </row>
  </sheetData>
  <mergeCells count="2">
    <mergeCell ref="F17:H17"/>
    <mergeCell ref="B19:H19"/>
  </mergeCells>
  <phoneticPr fontId="31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6" workbookViewId="0">
      <selection activeCell="B12" sqref="B12"/>
    </sheetView>
  </sheetViews>
  <sheetFormatPr baseColWidth="10" defaultColWidth="11.44140625" defaultRowHeight="14.4" x14ac:dyDescent="0.3"/>
  <cols>
    <col min="1" max="1" width="12" bestFit="1" customWidth="1"/>
    <col min="2" max="2" width="15.5546875" customWidth="1"/>
    <col min="3" max="3" width="20.6640625" bestFit="1" customWidth="1"/>
    <col min="4" max="4" width="13.21875" bestFit="1" customWidth="1"/>
    <col min="5" max="5" width="12.109375" bestFit="1" customWidth="1"/>
    <col min="6" max="6" width="13.21875" bestFit="1" customWidth="1"/>
    <col min="8" max="8" width="9.109375" customWidth="1"/>
    <col min="9" max="9" width="11.441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1" t="s">
        <v>102</v>
      </c>
      <c r="C2" s="45"/>
      <c r="D2" s="45"/>
      <c r="E2" s="140"/>
      <c r="F2" s="6"/>
    </row>
    <row r="3" spans="1:31" ht="18" x14ac:dyDescent="0.35">
      <c r="E3" s="139"/>
      <c r="F3" s="138"/>
    </row>
    <row r="5" spans="1:31" ht="15.6" x14ac:dyDescent="0.3">
      <c r="B5" s="134" t="s">
        <v>0</v>
      </c>
      <c r="C5" s="137">
        <f>'2229'!G10</f>
        <v>45877</v>
      </c>
    </row>
    <row r="6" spans="1:31" ht="16.2" thickBot="1" x14ac:dyDescent="0.35">
      <c r="B6" s="134" t="s">
        <v>2</v>
      </c>
      <c r="C6" s="133" t="str">
        <f>'2229'!C10</f>
        <v>MM SPA</v>
      </c>
      <c r="D6" s="132"/>
      <c r="E6" s="132"/>
      <c r="F6" s="132"/>
      <c r="N6" s="72" t="s">
        <v>101</v>
      </c>
      <c r="O6" s="72"/>
      <c r="P6" s="136" t="s">
        <v>100</v>
      </c>
      <c r="Q6" s="136"/>
    </row>
    <row r="7" spans="1:31" ht="16.2" thickBot="1" x14ac:dyDescent="0.35">
      <c r="B7" s="134" t="s">
        <v>3</v>
      </c>
      <c r="C7" s="133" t="e">
        <f>'2229'!#REF!</f>
        <v>#REF!</v>
      </c>
      <c r="D7" s="132"/>
      <c r="E7" s="132"/>
      <c r="F7" s="132"/>
      <c r="H7" s="356" t="s">
        <v>95</v>
      </c>
      <c r="I7" s="357"/>
      <c r="J7" s="357"/>
      <c r="K7" s="358"/>
      <c r="N7" s="72"/>
      <c r="O7" s="355" t="s">
        <v>99</v>
      </c>
      <c r="P7" s="135" t="s">
        <v>98</v>
      </c>
      <c r="Q7" s="135"/>
    </row>
    <row r="8" spans="1:31" ht="16.2" thickBot="1" x14ac:dyDescent="0.35">
      <c r="B8" s="134" t="s">
        <v>97</v>
      </c>
      <c r="C8" s="133" t="str">
        <f>'2229'!D8</f>
        <v>N° 11582</v>
      </c>
      <c r="D8" s="132"/>
      <c r="E8" s="132"/>
      <c r="F8" s="132"/>
      <c r="H8" s="176" t="s">
        <v>114</v>
      </c>
      <c r="I8" s="148" t="s">
        <v>113</v>
      </c>
      <c r="J8" s="221" t="s">
        <v>92</v>
      </c>
      <c r="K8" s="129" t="s">
        <v>6</v>
      </c>
      <c r="L8" s="128" t="s">
        <v>6</v>
      </c>
      <c r="N8" s="72"/>
      <c r="O8" s="355"/>
      <c r="P8" s="72" t="s">
        <v>96</v>
      </c>
      <c r="Q8" s="72"/>
      <c r="X8">
        <f>SUM(Q11:Q16)</f>
        <v>6</v>
      </c>
    </row>
    <row r="9" spans="1:31" ht="15" thickBot="1" x14ac:dyDescent="0.35">
      <c r="H9" s="191" t="s">
        <v>93</v>
      </c>
      <c r="I9" s="192" t="s">
        <v>112</v>
      </c>
      <c r="J9" s="177" t="s">
        <v>89</v>
      </c>
      <c r="K9" s="150"/>
      <c r="L9" s="97">
        <f>SUM(K10:K25)</f>
        <v>41495</v>
      </c>
      <c r="S9" s="25" t="s">
        <v>9</v>
      </c>
      <c r="T9" s="25"/>
      <c r="W9" s="8"/>
      <c r="X9" s="170" t="e">
        <f>(E15-D11)/X8</f>
        <v>#REF!</v>
      </c>
    </row>
    <row r="10" spans="1:31" ht="16.2" thickBot="1" x14ac:dyDescent="0.35">
      <c r="D10" s="212" t="s">
        <v>28</v>
      </c>
      <c r="E10" s="213" t="s">
        <v>51</v>
      </c>
      <c r="F10" s="214" t="s">
        <v>6</v>
      </c>
      <c r="H10" s="184">
        <v>0</v>
      </c>
      <c r="I10" s="198">
        <v>350</v>
      </c>
      <c r="J10" s="195" t="s">
        <v>32</v>
      </c>
      <c r="K10" s="151">
        <f t="shared" ref="K10:K18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1"/>
      <c r="AB10" s="6"/>
      <c r="AC10" s="14"/>
      <c r="AD10" s="220"/>
      <c r="AE10" s="10"/>
    </row>
    <row r="11" spans="1:31" ht="16.2" thickBot="1" x14ac:dyDescent="0.35">
      <c r="C11" s="205" t="s">
        <v>90</v>
      </c>
      <c r="D11" s="127" t="e">
        <f>'2229'!#REF!</f>
        <v>#REF!</v>
      </c>
      <c r="E11" s="126" t="e">
        <f>D11*0.19</f>
        <v>#REF!</v>
      </c>
      <c r="F11" s="125" t="e">
        <f>E11+D11</f>
        <v>#REF!</v>
      </c>
      <c r="H11" s="185">
        <v>0</v>
      </c>
      <c r="I11" s="168">
        <v>500</v>
      </c>
      <c r="J11" s="142" t="s">
        <v>22</v>
      </c>
      <c r="K11" s="152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0" t="e">
        <f t="shared" ref="X11:X16" si="2">V11+$X$9</f>
        <v>#REF!</v>
      </c>
      <c r="Y11" s="169">
        <v>108990</v>
      </c>
      <c r="AA11" s="6"/>
      <c r="AB11" s="6"/>
      <c r="AC11" s="219"/>
      <c r="AD11" s="50"/>
      <c r="AE11" s="216"/>
    </row>
    <row r="12" spans="1:31" ht="16.2" thickBot="1" x14ac:dyDescent="0.35">
      <c r="B12" s="58"/>
      <c r="C12" s="131" t="s">
        <v>94</v>
      </c>
      <c r="D12" s="130">
        <f>SUM(M45:M47)</f>
        <v>2573797.5060489131</v>
      </c>
      <c r="F12" s="58"/>
      <c r="H12" s="185">
        <v>0</v>
      </c>
      <c r="I12" s="168">
        <v>7500</v>
      </c>
      <c r="J12" s="144" t="s">
        <v>108</v>
      </c>
      <c r="K12" s="152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0" t="e">
        <f t="shared" si="2"/>
        <v>#REF!</v>
      </c>
      <c r="Y12" s="169">
        <v>89990</v>
      </c>
      <c r="Z12" s="2"/>
      <c r="AA12" s="217"/>
      <c r="AB12" s="218"/>
      <c r="AC12" s="219"/>
      <c r="AD12" s="50"/>
      <c r="AE12" s="216"/>
    </row>
    <row r="13" spans="1:31" ht="16.2" thickBot="1" x14ac:dyDescent="0.35">
      <c r="C13" s="206" t="s">
        <v>88</v>
      </c>
      <c r="D13" s="211" t="e">
        <f>D11-D12</f>
        <v>#REF!</v>
      </c>
      <c r="E13" s="215" t="e">
        <f>(D11/D12)-1</f>
        <v>#REF!</v>
      </c>
      <c r="H13" s="185">
        <v>0</v>
      </c>
      <c r="I13" s="168">
        <v>50</v>
      </c>
      <c r="J13" s="144" t="s">
        <v>109</v>
      </c>
      <c r="K13" s="152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0" t="e">
        <f t="shared" si="2"/>
        <v>#REF!</v>
      </c>
      <c r="Y13" s="169">
        <v>81990</v>
      </c>
      <c r="Z13" s="2"/>
      <c r="AA13" s="217"/>
      <c r="AB13" s="218"/>
      <c r="AC13" s="219"/>
      <c r="AD13" s="50"/>
      <c r="AE13" s="216"/>
    </row>
    <row r="14" spans="1:31" ht="15" thickBot="1" x14ac:dyDescent="0.35">
      <c r="D14" s="140" t="s">
        <v>119</v>
      </c>
      <c r="E14" s="173" t="s">
        <v>28</v>
      </c>
      <c r="F14" s="172" t="s">
        <v>107</v>
      </c>
      <c r="H14" s="185">
        <v>0</v>
      </c>
      <c r="I14" s="168">
        <v>50</v>
      </c>
      <c r="J14" s="144" t="s">
        <v>110</v>
      </c>
      <c r="K14" s="152">
        <f t="shared" si="0"/>
        <v>0</v>
      </c>
      <c r="L14" s="58"/>
      <c r="P14" s="120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0" t="e">
        <f t="shared" si="2"/>
        <v>#REF!</v>
      </c>
      <c r="Y14" s="169">
        <v>39990</v>
      </c>
      <c r="Z14" s="2"/>
      <c r="AA14" s="217"/>
      <c r="AB14" s="218"/>
      <c r="AC14" s="219"/>
      <c r="AD14" s="50"/>
      <c r="AE14" s="216"/>
    </row>
    <row r="15" spans="1:31" ht="15" thickBot="1" x14ac:dyDescent="0.35">
      <c r="A15" s="58">
        <f>E15*1.19</f>
        <v>5298676.9257028969</v>
      </c>
      <c r="C15" s="207" t="s">
        <v>118</v>
      </c>
      <c r="D15" s="208">
        <v>0.73</v>
      </c>
      <c r="E15" s="209">
        <f>(100%+D15)*D12</f>
        <v>4452669.6854646197</v>
      </c>
      <c r="F15" s="210">
        <f>E15-D12</f>
        <v>1878872.1794157065</v>
      </c>
      <c r="H15" s="185">
        <v>0</v>
      </c>
      <c r="I15" s="168">
        <v>10</v>
      </c>
      <c r="J15" s="144" t="s">
        <v>111</v>
      </c>
      <c r="K15" s="152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0" t="e">
        <f t="shared" si="2"/>
        <v>#REF!</v>
      </c>
      <c r="Y15" s="169">
        <v>39990</v>
      </c>
      <c r="Z15" s="96"/>
      <c r="AA15" s="96"/>
      <c r="AB15" s="118"/>
      <c r="AD15" s="37"/>
      <c r="AE15" s="38"/>
    </row>
    <row r="16" spans="1:31" ht="15" thickBot="1" x14ac:dyDescent="0.35">
      <c r="H16" s="186">
        <v>1</v>
      </c>
      <c r="I16" s="196"/>
      <c r="J16" s="142" t="s">
        <v>87</v>
      </c>
      <c r="K16" s="152">
        <f t="shared" si="0"/>
        <v>0</v>
      </c>
      <c r="L16" s="58"/>
      <c r="N16">
        <f>3*46</f>
        <v>138</v>
      </c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0" t="e">
        <f t="shared" si="2"/>
        <v>#REF!</v>
      </c>
      <c r="Y16" s="169">
        <v>83990</v>
      </c>
      <c r="Z16" s="96"/>
      <c r="AA16" s="96"/>
      <c r="AB16" s="36"/>
      <c r="AC16" s="36"/>
      <c r="AD16" s="39"/>
      <c r="AE16" s="39"/>
    </row>
    <row r="17" spans="1:31" ht="15" thickBot="1" x14ac:dyDescent="0.35">
      <c r="B17" s="124" t="s">
        <v>86</v>
      </c>
      <c r="C17" s="123" t="s">
        <v>85</v>
      </c>
      <c r="D17" s="123" t="s">
        <v>28</v>
      </c>
      <c r="E17" s="122" t="s">
        <v>51</v>
      </c>
      <c r="F17" s="121" t="s">
        <v>6</v>
      </c>
      <c r="H17" s="187">
        <v>6</v>
      </c>
      <c r="I17" s="196">
        <v>1103</v>
      </c>
      <c r="J17" s="182" t="s">
        <v>168</v>
      </c>
      <c r="K17" s="152">
        <f t="shared" si="0"/>
        <v>6618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0"/>
      <c r="Y17" s="14"/>
      <c r="Z17" s="96"/>
      <c r="AA17" s="96"/>
      <c r="AB17" s="43"/>
    </row>
    <row r="18" spans="1:31" x14ac:dyDescent="0.3">
      <c r="C18" s="119" t="s">
        <v>165</v>
      </c>
      <c r="D18" s="116">
        <f>'2229'!O33</f>
        <v>0</v>
      </c>
      <c r="E18" s="117">
        <f>D18*0.19</f>
        <v>0</v>
      </c>
      <c r="F18" s="114">
        <f>SUM(D18:E18)</f>
        <v>0</v>
      </c>
      <c r="H18" s="321">
        <v>6</v>
      </c>
      <c r="I18" s="320">
        <v>543</v>
      </c>
      <c r="J18" s="6" t="s">
        <v>169</v>
      </c>
      <c r="K18" s="322">
        <f t="shared" si="0"/>
        <v>3258</v>
      </c>
      <c r="N18">
        <v>5</v>
      </c>
      <c r="O18">
        <v>283</v>
      </c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0"/>
    </row>
    <row r="19" spans="1:31" x14ac:dyDescent="0.3">
      <c r="C19" s="119" t="s">
        <v>166</v>
      </c>
      <c r="D19" s="116">
        <f>'2229'!O34</f>
        <v>111732</v>
      </c>
      <c r="E19" s="117">
        <f>D19*0.19</f>
        <v>21229.08</v>
      </c>
      <c r="F19" s="114">
        <f>SUM(D19:E19)</f>
        <v>132961.08000000002</v>
      </c>
      <c r="H19" s="324"/>
      <c r="I19" s="323"/>
      <c r="J19" s="144" t="s">
        <v>170</v>
      </c>
      <c r="K19" s="325"/>
      <c r="Q19" s="16"/>
      <c r="T19" s="5"/>
      <c r="U19" s="6"/>
      <c r="V19" s="27" t="s">
        <v>28</v>
      </c>
      <c r="W19" s="31">
        <f>SUM(W11:W18)</f>
        <v>472940</v>
      </c>
      <c r="X19" s="100"/>
      <c r="Y19" s="170">
        <f>SUM(Y11:Y16)+SUM(W17:W18)</f>
        <v>484940</v>
      </c>
    </row>
    <row r="20" spans="1:31" x14ac:dyDescent="0.3">
      <c r="A20" s="316"/>
      <c r="C20" s="76" t="s">
        <v>31</v>
      </c>
      <c r="D20" s="116">
        <f>'2229'!O32</f>
        <v>70500</v>
      </c>
      <c r="E20" s="117">
        <f>D20*0.19</f>
        <v>13395</v>
      </c>
      <c r="F20" s="114">
        <f>SUM(D20:E20)</f>
        <v>83895</v>
      </c>
      <c r="H20" s="186">
        <v>4</v>
      </c>
      <c r="I20" s="168">
        <v>1572</v>
      </c>
      <c r="J20" s="178" t="s">
        <v>84</v>
      </c>
      <c r="K20" s="152">
        <f t="shared" ref="K20:K25" si="3">I20*H20</f>
        <v>6288</v>
      </c>
      <c r="L20" s="58"/>
      <c r="O20">
        <f>O18*N18</f>
        <v>1415</v>
      </c>
      <c r="V20" s="28" t="s">
        <v>29</v>
      </c>
      <c r="W20" s="32">
        <f>W19*19%</f>
        <v>89858.6</v>
      </c>
      <c r="X20" s="100"/>
      <c r="Y20" s="171">
        <f>Y19*0.19</f>
        <v>92138.6</v>
      </c>
      <c r="Z20" s="96"/>
      <c r="AA20" s="96"/>
      <c r="AB20" s="14"/>
      <c r="AC20" s="14"/>
      <c r="AE20" s="3"/>
    </row>
    <row r="21" spans="1:31" ht="15" thickBot="1" x14ac:dyDescent="0.35">
      <c r="A21" s="316">
        <f>1300000*1.2</f>
        <v>1560000</v>
      </c>
      <c r="B21" s="113"/>
      <c r="C21" s="71" t="s">
        <v>21</v>
      </c>
      <c r="D21" s="116">
        <f>'2229'!O31</f>
        <v>133224</v>
      </c>
      <c r="E21" s="115">
        <f>D21*0.19</f>
        <v>25312.560000000001</v>
      </c>
      <c r="F21" s="114">
        <f>SUM(D21:E21)</f>
        <v>158536.56</v>
      </c>
      <c r="H21" s="186">
        <v>1</v>
      </c>
      <c r="I21" s="196"/>
      <c r="J21" s="178" t="s">
        <v>83</v>
      </c>
      <c r="K21" s="152">
        <f t="shared" si="3"/>
        <v>0</v>
      </c>
      <c r="L21" s="58"/>
      <c r="O21">
        <f>O20/60</f>
        <v>23.583333333333332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0"/>
      <c r="Y21" s="171">
        <f>SUM(Y19:Y20)</f>
        <v>577078.6</v>
      </c>
      <c r="Z21" s="96"/>
      <c r="AA21" s="96"/>
      <c r="AB21" s="36"/>
      <c r="AC21" s="4"/>
      <c r="AE21" s="4"/>
    </row>
    <row r="22" spans="1:31" ht="15" thickBot="1" x14ac:dyDescent="0.35">
      <c r="A22" s="316">
        <f>1300000*1.2</f>
        <v>1560000</v>
      </c>
      <c r="B22" s="108" t="s">
        <v>80</v>
      </c>
      <c r="C22" s="112" t="s">
        <v>6</v>
      </c>
      <c r="D22" s="111">
        <f>SUM(D18:D21)</f>
        <v>315456</v>
      </c>
      <c r="E22" s="110">
        <f>SUM(E18:E21)</f>
        <v>59936.639999999999</v>
      </c>
      <c r="F22" s="109">
        <f>SUM(F18:F21)</f>
        <v>375392.64</v>
      </c>
      <c r="H22" s="186">
        <v>1</v>
      </c>
      <c r="I22" s="196"/>
      <c r="J22" s="178" t="s">
        <v>82</v>
      </c>
      <c r="K22" s="152">
        <f t="shared" si="3"/>
        <v>0</v>
      </c>
      <c r="N22" s="55"/>
      <c r="Q22" s="47" t="s">
        <v>34</v>
      </c>
      <c r="R22" s="47"/>
      <c r="S22" s="47"/>
      <c r="T22" s="47"/>
      <c r="X22" s="91"/>
      <c r="Y22" s="14"/>
      <c r="Z22" s="96"/>
      <c r="AA22" s="96"/>
      <c r="AB22" s="36"/>
      <c r="AC22" s="4"/>
      <c r="AD22" s="14"/>
      <c r="AE22" s="4"/>
    </row>
    <row r="23" spans="1:31" ht="15" thickBot="1" x14ac:dyDescent="0.35">
      <c r="A23" s="316">
        <f>950000*1.2</f>
        <v>1140000</v>
      </c>
      <c r="B23" s="317">
        <f>A21/23</f>
        <v>67826.086956521744</v>
      </c>
      <c r="C23" s="107" t="s">
        <v>79</v>
      </c>
      <c r="D23" s="106" t="s">
        <v>78</v>
      </c>
      <c r="E23" s="105" t="s">
        <v>77</v>
      </c>
      <c r="F23" s="104" t="s">
        <v>6</v>
      </c>
      <c r="H23" s="186">
        <v>3</v>
      </c>
      <c r="I23" s="168">
        <v>3535</v>
      </c>
      <c r="J23" s="178" t="s">
        <v>167</v>
      </c>
      <c r="K23" s="152">
        <f t="shared" si="3"/>
        <v>10605</v>
      </c>
      <c r="M23" s="147">
        <f>B32/9</f>
        <v>2318.840579710145</v>
      </c>
      <c r="N23" s="55"/>
      <c r="Q23" s="47" t="s">
        <v>27</v>
      </c>
      <c r="R23" s="47"/>
      <c r="X23" s="98"/>
      <c r="Y23" s="24"/>
      <c r="Z23" s="96"/>
      <c r="AA23" s="96"/>
      <c r="AB23" s="14"/>
      <c r="AC23" s="11"/>
      <c r="AD23" s="40"/>
    </row>
    <row r="24" spans="1:31" x14ac:dyDescent="0.3">
      <c r="A24" s="316">
        <v>450000</v>
      </c>
      <c r="B24" s="317">
        <f>A22/23</f>
        <v>67826.086956521744</v>
      </c>
      <c r="C24" s="78" t="s">
        <v>25</v>
      </c>
      <c r="D24" s="103">
        <f t="shared" ref="D24:D30" si="4">B23/8</f>
        <v>8478.2608695652179</v>
      </c>
      <c r="E24" s="102">
        <v>23.6</v>
      </c>
      <c r="F24" s="101">
        <f t="shared" ref="F24:F33" si="5">D24*E24</f>
        <v>200086.95652173916</v>
      </c>
      <c r="H24" s="186">
        <v>2</v>
      </c>
      <c r="I24" s="168">
        <v>7363</v>
      </c>
      <c r="J24" s="142" t="s">
        <v>81</v>
      </c>
      <c r="K24" s="152">
        <f t="shared" si="3"/>
        <v>14726</v>
      </c>
      <c r="M24" s="99"/>
      <c r="X24" s="96"/>
      <c r="Y24" s="96"/>
      <c r="Z24" s="96"/>
      <c r="AA24" s="96"/>
      <c r="AB24" s="14"/>
      <c r="AD24" s="40"/>
    </row>
    <row r="25" spans="1:31" ht="15" thickBot="1" x14ac:dyDescent="0.35">
      <c r="A25" s="316">
        <v>450000</v>
      </c>
      <c r="B25" s="317">
        <f>A23/23</f>
        <v>49565.217391304344</v>
      </c>
      <c r="C25" s="76" t="s">
        <v>74</v>
      </c>
      <c r="D25" s="95">
        <f t="shared" si="4"/>
        <v>8478.2608695652179</v>
      </c>
      <c r="E25" s="94">
        <v>23.6</v>
      </c>
      <c r="F25" s="93">
        <f t="shared" si="5"/>
        <v>200086.95652173916</v>
      </c>
      <c r="H25" s="188">
        <v>1</v>
      </c>
      <c r="I25" s="197"/>
      <c r="J25" s="179" t="s">
        <v>76</v>
      </c>
      <c r="K25" s="326">
        <f t="shared" si="3"/>
        <v>0</v>
      </c>
      <c r="M25" s="99"/>
      <c r="X25" s="96"/>
      <c r="Z25" s="96"/>
      <c r="AA25" s="96"/>
      <c r="AB25" s="36"/>
      <c r="AD25" s="40"/>
    </row>
    <row r="26" spans="1:31" ht="15" thickBot="1" x14ac:dyDescent="0.35">
      <c r="A26" s="316"/>
      <c r="B26" s="317">
        <f>A24/23</f>
        <v>19565.217391304348</v>
      </c>
      <c r="C26" s="76" t="s">
        <v>73</v>
      </c>
      <c r="D26" s="95">
        <f t="shared" si="4"/>
        <v>6195.652173913043</v>
      </c>
      <c r="E26" s="94"/>
      <c r="F26" s="93">
        <f t="shared" si="5"/>
        <v>0</v>
      </c>
      <c r="H26" s="145" t="s">
        <v>114</v>
      </c>
      <c r="I26" s="149" t="s">
        <v>112</v>
      </c>
      <c r="J26" s="175" t="s">
        <v>75</v>
      </c>
      <c r="K26" s="146" t="s">
        <v>91</v>
      </c>
      <c r="L26" s="97">
        <f>SUM(K27:K37)</f>
        <v>39086.956521739128</v>
      </c>
      <c r="X26" s="91"/>
      <c r="Z26" s="96"/>
      <c r="AA26" s="96"/>
      <c r="AB26" s="14"/>
      <c r="AD26" s="41"/>
    </row>
    <row r="27" spans="1:31" x14ac:dyDescent="0.3">
      <c r="A27" s="316">
        <v>350000</v>
      </c>
      <c r="B27" s="317">
        <f>A25/23</f>
        <v>19565.217391304348</v>
      </c>
      <c r="C27" s="76" t="s">
        <v>71</v>
      </c>
      <c r="D27" s="95">
        <f t="shared" si="4"/>
        <v>2445.6521739130435</v>
      </c>
      <c r="E27" s="94">
        <v>9.5</v>
      </c>
      <c r="F27" s="93">
        <f t="shared" si="5"/>
        <v>23233.695652173912</v>
      </c>
      <c r="H27" s="203">
        <v>10</v>
      </c>
      <c r="I27" s="198">
        <f>((480000/23)/8)</f>
        <v>2608.695652173913</v>
      </c>
      <c r="J27" s="181" t="s">
        <v>105</v>
      </c>
      <c r="K27" s="143">
        <f t="shared" ref="K27:K37" si="6">H27*I27</f>
        <v>26086.956521739128</v>
      </c>
      <c r="X27" s="91"/>
      <c r="Z27" s="96"/>
      <c r="AA27" s="96"/>
      <c r="AB27" s="42"/>
    </row>
    <row r="28" spans="1:31" x14ac:dyDescent="0.3">
      <c r="A28" s="316">
        <v>500000</v>
      </c>
      <c r="B28" s="317">
        <f>A28/23</f>
        <v>21739.130434782608</v>
      </c>
      <c r="C28" s="76" t="s">
        <v>70</v>
      </c>
      <c r="D28" s="95">
        <f t="shared" si="4"/>
        <v>2445.6521739130435</v>
      </c>
      <c r="E28" s="94"/>
      <c r="F28" s="93">
        <f t="shared" si="5"/>
        <v>0</v>
      </c>
      <c r="H28" s="186">
        <v>10</v>
      </c>
      <c r="I28" s="168">
        <v>1300</v>
      </c>
      <c r="J28" s="178" t="s">
        <v>72</v>
      </c>
      <c r="K28" s="92">
        <f t="shared" si="6"/>
        <v>13000</v>
      </c>
      <c r="L28" s="58"/>
      <c r="X28" s="91"/>
      <c r="Y28" s="13"/>
      <c r="Z28" s="14"/>
      <c r="AA28" s="17"/>
      <c r="AB28" s="90"/>
    </row>
    <row r="29" spans="1:31" x14ac:dyDescent="0.3">
      <c r="A29" s="316"/>
      <c r="B29" s="317">
        <f>A28/23</f>
        <v>21739.130434782608</v>
      </c>
      <c r="C29" s="76" t="s">
        <v>68</v>
      </c>
      <c r="D29" s="95">
        <f t="shared" si="4"/>
        <v>2717.391304347826</v>
      </c>
      <c r="E29" s="94">
        <v>47.2</v>
      </c>
      <c r="F29" s="93">
        <f t="shared" si="5"/>
        <v>128260.86956521739</v>
      </c>
      <c r="H29" s="186">
        <v>0</v>
      </c>
      <c r="I29" s="168"/>
      <c r="J29" s="178" t="s">
        <v>69</v>
      </c>
      <c r="K29" s="92">
        <f t="shared" si="6"/>
        <v>0</v>
      </c>
      <c r="L29" s="58"/>
    </row>
    <row r="30" spans="1:31" x14ac:dyDescent="0.3">
      <c r="A30" s="316">
        <v>450000</v>
      </c>
      <c r="B30" s="318"/>
      <c r="C30" s="76" t="s">
        <v>67</v>
      </c>
      <c r="D30" s="95">
        <f t="shared" si="4"/>
        <v>2717.391304347826</v>
      </c>
      <c r="E30" s="94">
        <v>38</v>
      </c>
      <c r="F30" s="93">
        <f t="shared" si="5"/>
        <v>103260.86956521739</v>
      </c>
      <c r="H30" s="186">
        <v>0</v>
      </c>
      <c r="I30" s="168"/>
      <c r="J30" s="178" t="s">
        <v>103</v>
      </c>
      <c r="K30" s="92">
        <f t="shared" si="6"/>
        <v>0</v>
      </c>
      <c r="L30" s="58"/>
    </row>
    <row r="31" spans="1:31" x14ac:dyDescent="0.3">
      <c r="A31" s="316">
        <v>350000</v>
      </c>
      <c r="B31" s="318">
        <f>A30/23</f>
        <v>19565.217391304348</v>
      </c>
      <c r="C31" s="76" t="s">
        <v>22</v>
      </c>
      <c r="D31" s="95">
        <f>B26/8</f>
        <v>2445.6521739130435</v>
      </c>
      <c r="E31" s="94">
        <v>24</v>
      </c>
      <c r="F31" s="93">
        <f t="shared" si="5"/>
        <v>58695.65217391304</v>
      </c>
      <c r="H31" s="185">
        <v>0</v>
      </c>
      <c r="I31" s="168">
        <f>((550000*1.2)/23)/9</f>
        <v>3188.4057971014495</v>
      </c>
      <c r="J31" s="144" t="s">
        <v>115</v>
      </c>
      <c r="K31" s="92">
        <f t="shared" si="6"/>
        <v>0</v>
      </c>
      <c r="L31" s="58"/>
    </row>
    <row r="32" spans="1:31" x14ac:dyDescent="0.3">
      <c r="A32" s="316">
        <f>A21+A24+A27+A28+A30</f>
        <v>3310000</v>
      </c>
      <c r="B32" s="318">
        <f>480000/23</f>
        <v>20869.565217391304</v>
      </c>
      <c r="C32" s="76" t="s">
        <v>65</v>
      </c>
      <c r="D32" s="95">
        <f>B31/8</f>
        <v>2445.6521739130435</v>
      </c>
      <c r="E32" s="94">
        <v>0</v>
      </c>
      <c r="F32" s="93">
        <f t="shared" si="5"/>
        <v>0</v>
      </c>
      <c r="H32" s="185">
        <v>0</v>
      </c>
      <c r="I32" s="168">
        <f>((450000*1.2)/23)/9</f>
        <v>2608.695652173913</v>
      </c>
      <c r="J32" s="144" t="s">
        <v>116</v>
      </c>
      <c r="K32" s="92">
        <f t="shared" si="6"/>
        <v>0</v>
      </c>
      <c r="L32" s="58"/>
    </row>
    <row r="33" spans="1:16" ht="15" thickBot="1" x14ac:dyDescent="0.35">
      <c r="A33" s="316"/>
      <c r="B33" s="316"/>
      <c r="C33" s="89" t="s">
        <v>64</v>
      </c>
      <c r="D33" s="88">
        <f>B32/8</f>
        <v>2608.695652173913</v>
      </c>
      <c r="E33" s="87">
        <v>24</v>
      </c>
      <c r="F33" s="86">
        <f t="shared" si="5"/>
        <v>62608.695652173912</v>
      </c>
      <c r="H33" s="185">
        <v>0</v>
      </c>
      <c r="I33" s="168">
        <f>((450000*1.2)/23)/9</f>
        <v>2608.695652173913</v>
      </c>
      <c r="J33" s="144" t="s">
        <v>117</v>
      </c>
      <c r="K33" s="92">
        <f t="shared" si="6"/>
        <v>0</v>
      </c>
    </row>
    <row r="34" spans="1:16" ht="15" thickBot="1" x14ac:dyDescent="0.35">
      <c r="B34" s="79" t="s">
        <v>63</v>
      </c>
      <c r="C34" s="84" t="s">
        <v>6</v>
      </c>
      <c r="D34" s="83">
        <f>SUM(D24:D33)</f>
        <v>40978.260869565209</v>
      </c>
      <c r="E34" s="82">
        <f>SUM(E24:E33)</f>
        <v>189.9</v>
      </c>
      <c r="F34" s="81">
        <f>SUM(F24:F33)</f>
        <v>776233.69565217406</v>
      </c>
      <c r="H34" s="187">
        <v>0</v>
      </c>
      <c r="I34" s="199"/>
      <c r="J34" s="182" t="s">
        <v>41</v>
      </c>
      <c r="K34" s="92">
        <f t="shared" si="6"/>
        <v>0</v>
      </c>
      <c r="N34" s="62"/>
      <c r="P34" s="58"/>
    </row>
    <row r="35" spans="1:16" x14ac:dyDescent="0.3">
      <c r="B35" s="72"/>
      <c r="C35" s="78" t="s">
        <v>62</v>
      </c>
      <c r="D35" s="77">
        <f>L9</f>
        <v>41495</v>
      </c>
      <c r="H35" s="189">
        <v>0</v>
      </c>
      <c r="I35" s="168"/>
      <c r="J35" s="180" t="s">
        <v>40</v>
      </c>
      <c r="K35" s="92">
        <f t="shared" si="6"/>
        <v>0</v>
      </c>
      <c r="N35" s="62"/>
    </row>
    <row r="36" spans="1:16" x14ac:dyDescent="0.3">
      <c r="B36" s="72"/>
      <c r="C36" s="76" t="s">
        <v>61</v>
      </c>
      <c r="D36" s="75">
        <f>L26</f>
        <v>39086.956521739128</v>
      </c>
      <c r="H36" s="186">
        <v>1</v>
      </c>
      <c r="I36" s="168"/>
      <c r="J36" s="142" t="s">
        <v>104</v>
      </c>
      <c r="K36" s="92">
        <f t="shared" si="6"/>
        <v>0</v>
      </c>
      <c r="N36" s="62"/>
    </row>
    <row r="37" spans="1:16" ht="15" thickBot="1" x14ac:dyDescent="0.35">
      <c r="B37" s="72"/>
      <c r="C37" s="76" t="s">
        <v>59</v>
      </c>
      <c r="D37" s="75">
        <f>L38</f>
        <v>1401525.853875</v>
      </c>
      <c r="E37" s="55"/>
      <c r="H37" s="188">
        <v>6</v>
      </c>
      <c r="I37" s="200"/>
      <c r="J37" s="174" t="s">
        <v>106</v>
      </c>
      <c r="K37" s="204">
        <f t="shared" si="6"/>
        <v>0</v>
      </c>
      <c r="N37" s="319"/>
      <c r="O37" s="62"/>
      <c r="P37" s="58"/>
    </row>
    <row r="38" spans="1:16" ht="15" thickBot="1" x14ac:dyDescent="0.35">
      <c r="C38" s="71" t="s">
        <v>42</v>
      </c>
      <c r="D38" s="70"/>
      <c r="H38" s="145" t="s">
        <v>93</v>
      </c>
      <c r="I38" s="149" t="s">
        <v>112</v>
      </c>
      <c r="J38" s="183" t="s">
        <v>66</v>
      </c>
      <c r="K38" s="146" t="s">
        <v>91</v>
      </c>
      <c r="L38" s="202">
        <f>SUM(K39:K41)</f>
        <v>1401525.853875</v>
      </c>
    </row>
    <row r="39" spans="1:16" ht="15" thickBot="1" x14ac:dyDescent="0.35">
      <c r="C39" s="68" t="s">
        <v>6</v>
      </c>
      <c r="D39" s="67">
        <f>SUM(D35:D38)</f>
        <v>1482107.8103967393</v>
      </c>
      <c r="H39" s="193">
        <f>$E$34</f>
        <v>189.9</v>
      </c>
      <c r="I39" s="198">
        <f>39130.69/8</f>
        <v>4891.3362500000003</v>
      </c>
      <c r="J39" s="181" t="s">
        <v>45</v>
      </c>
      <c r="K39" s="143">
        <f>I39*H39</f>
        <v>928864.75387500005</v>
      </c>
    </row>
    <row r="40" spans="1:16" ht="15" thickBot="1" x14ac:dyDescent="0.35">
      <c r="B40" s="65" t="s">
        <v>52</v>
      </c>
      <c r="C40" s="64" t="s">
        <v>51</v>
      </c>
      <c r="D40" s="63" t="e">
        <f>E11-E22</f>
        <v>#REF!</v>
      </c>
      <c r="H40" s="190">
        <f>$E$34</f>
        <v>189.9</v>
      </c>
      <c r="I40" s="168">
        <v>967</v>
      </c>
      <c r="J40" s="178" t="s">
        <v>43</v>
      </c>
      <c r="K40" s="85">
        <f>I40*H40</f>
        <v>183633.30000000002</v>
      </c>
    </row>
    <row r="41" spans="1:16" ht="15" thickBot="1" x14ac:dyDescent="0.35">
      <c r="H41" s="194">
        <f>$E$34</f>
        <v>189.9</v>
      </c>
      <c r="I41" s="200">
        <v>1522</v>
      </c>
      <c r="J41" s="179" t="s">
        <v>44</v>
      </c>
      <c r="K41" s="80">
        <f>I41*H41</f>
        <v>289027.8</v>
      </c>
    </row>
    <row r="42" spans="1:16" ht="15" thickBot="1" x14ac:dyDescent="0.35">
      <c r="B42" s="72" t="s">
        <v>46</v>
      </c>
      <c r="C42" s="72"/>
      <c r="D42" s="201">
        <f>E34</f>
        <v>189.9</v>
      </c>
    </row>
    <row r="43" spans="1:16" ht="15" thickBot="1" x14ac:dyDescent="0.35">
      <c r="D43" s="54"/>
      <c r="H43" s="352" t="s">
        <v>60</v>
      </c>
      <c r="I43" s="353"/>
      <c r="J43" s="353"/>
      <c r="K43" s="353"/>
      <c r="L43" s="353"/>
      <c r="M43" s="354"/>
    </row>
    <row r="44" spans="1:16" ht="15" thickBot="1" x14ac:dyDescent="0.35">
      <c r="D44" s="54"/>
      <c r="H44" s="74" t="s">
        <v>58</v>
      </c>
      <c r="I44" s="153" t="s">
        <v>57</v>
      </c>
      <c r="J44" s="154"/>
      <c r="K44" s="154"/>
      <c r="L44" s="155"/>
      <c r="M44" s="73" t="e">
        <f>D11</f>
        <v>#REF!</v>
      </c>
    </row>
    <row r="45" spans="1:16" ht="15" thickBot="1" x14ac:dyDescent="0.35">
      <c r="D45" s="57"/>
      <c r="H45" s="69" t="s">
        <v>56</v>
      </c>
      <c r="I45" s="156" t="s">
        <v>55</v>
      </c>
      <c r="J45" s="157"/>
      <c r="K45" s="157"/>
      <c r="L45" s="158"/>
      <c r="M45" s="61">
        <f>D22</f>
        <v>315456</v>
      </c>
    </row>
    <row r="46" spans="1:16" x14ac:dyDescent="0.3">
      <c r="D46" s="57"/>
      <c r="I46" s="159" t="s">
        <v>54</v>
      </c>
      <c r="J46" s="160"/>
      <c r="K46" s="160"/>
      <c r="L46" s="161"/>
      <c r="M46" s="66">
        <f>F34</f>
        <v>776233.69565217406</v>
      </c>
    </row>
    <row r="47" spans="1:16" ht="15" thickBot="1" x14ac:dyDescent="0.35">
      <c r="I47" s="162" t="s">
        <v>53</v>
      </c>
      <c r="J47" s="163"/>
      <c r="K47" s="163"/>
      <c r="L47" s="164"/>
      <c r="M47" s="60">
        <f>D39</f>
        <v>1482107.8103967393</v>
      </c>
    </row>
    <row r="48" spans="1:16" ht="15" thickBot="1" x14ac:dyDescent="0.35">
      <c r="D48" s="57"/>
      <c r="I48" s="165" t="s">
        <v>50</v>
      </c>
      <c r="J48" s="166"/>
      <c r="K48" s="166"/>
      <c r="L48" s="167"/>
      <c r="M48" s="59" t="e">
        <f>M44-(SUM(M45:M47))</f>
        <v>#REF!</v>
      </c>
    </row>
    <row r="49" spans="3:13" x14ac:dyDescent="0.3">
      <c r="C49" s="56"/>
      <c r="D49" s="55"/>
      <c r="I49" s="156" t="s">
        <v>49</v>
      </c>
      <c r="J49" s="157"/>
      <c r="K49" s="157"/>
      <c r="L49" s="158"/>
      <c r="M49" s="61"/>
    </row>
    <row r="50" spans="3:13" ht="15" thickBot="1" x14ac:dyDescent="0.35">
      <c r="I50" s="162" t="s">
        <v>48</v>
      </c>
      <c r="J50" s="163"/>
      <c r="K50" s="163"/>
      <c r="L50" s="164"/>
      <c r="M50" s="60"/>
    </row>
    <row r="51" spans="3:13" ht="15" thickBot="1" x14ac:dyDescent="0.35">
      <c r="I51" s="165" t="s">
        <v>47</v>
      </c>
      <c r="J51" s="166"/>
      <c r="K51" s="166"/>
      <c r="L51" s="167"/>
      <c r="M51" s="59" t="e">
        <f>M48-SUM(M49:M50)</f>
        <v>#REF!</v>
      </c>
    </row>
    <row r="52" spans="3:13" x14ac:dyDescent="0.3">
      <c r="D52" s="54"/>
      <c r="I52" s="351"/>
      <c r="J52" s="351"/>
      <c r="K52" s="351"/>
      <c r="L52" s="351"/>
    </row>
    <row r="54" spans="3:13" x14ac:dyDescent="0.3">
      <c r="D54" s="54"/>
    </row>
    <row r="56" spans="3:13" x14ac:dyDescent="0.3">
      <c r="D56" s="54"/>
    </row>
  </sheetData>
  <mergeCells count="4">
    <mergeCell ref="I52:L52"/>
    <mergeCell ref="H43:M43"/>
    <mergeCell ref="O7:O8"/>
    <mergeCell ref="H7:K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2025-08-11T17:10:58Z</cp:lastPrinted>
  <dcterms:created xsi:type="dcterms:W3CDTF">2013-03-18T13:35:42Z</dcterms:created>
  <dcterms:modified xsi:type="dcterms:W3CDTF">2025-08-11T22:26:05Z</dcterms:modified>
</cp:coreProperties>
</file>