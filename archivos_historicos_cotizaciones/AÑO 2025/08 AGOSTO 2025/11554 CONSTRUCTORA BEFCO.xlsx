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AE6483C9-6099-41D8-BF86-15923CF9BF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" i="1" l="1"/>
  <c r="S25" i="1"/>
  <c r="S24" i="1"/>
  <c r="T21" i="1"/>
  <c r="S21" i="1"/>
  <c r="L28" i="1"/>
  <c r="M29" i="1"/>
  <c r="M21" i="1"/>
  <c r="L21" i="1" l="1"/>
  <c r="N21" i="1"/>
  <c r="M24" i="1" l="1"/>
  <c r="T23" i="1" l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l="1"/>
  <c r="O37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8" i="1" l="1"/>
  <c r="Q21" i="1" l="1"/>
  <c r="F15" i="3"/>
  <c r="R21" i="1" l="1"/>
  <c r="H21" i="1" l="1"/>
  <c r="H23" i="1" l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<sst xmlns="http://schemas.openxmlformats.org/spreadsheetml/2006/main" count="232" uniqueCount="178">
  <si>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</si>
  <si>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</si>
  <si>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</si>
  <si>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</si>
  <si>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</si>
  <si>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</si>
  <si>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</si>
  <si>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</si>
  <si>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</si>
  <si>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</si>
  <si>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</si>
  <si>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</si>
  <si>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</si>
  <si>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</si>
  <si>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</si>
  <si>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</si>
  <si>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</si>
  <si>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</si>
  <si>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</si>
  <si>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</si>
  <si>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</si>
  <si>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</si>
  <si>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</si>
  <si>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</si>
  <si>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</si>
  <si>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</si>
  <si>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</si>
  <si>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</si>
  <si>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</si>
  <si>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</si>
  <si>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</si>
  <si>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</si>
  <si>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</si>
  <si>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</si>
  <si>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</si>
  <si>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</si>
  <si>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</si>
  <si>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</si>
  <si>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</si>
  <si>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</si>
  <si>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</si>
  <si>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</si>
  <si>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</si>
  <si>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</si>
  <si>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</si>
  <si>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</si>
  <si>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</si>
  <si>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</si>
  <si>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</si>
  <si>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</si>
  <si>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</si>
  <si>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</si>
  <si>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</si>
  <si>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</si>
  <si>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</si>
  <si>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</si>
  <si>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</si>
  <si>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</si>
  <si>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</si>
  <si>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</si>
  <si>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</si>
  <si>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</si>
  <si>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</si>
  <si>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</si>
  <si>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</si>
  <si>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</si>
  <si>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</si>
  <si>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</si>
  <si>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</si>
  <si>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</si>
  <si>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</si>
  <si>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</si>
  <si>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</si>
  <si>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</si>
  <si>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</si>
  <si>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</si>
  <si>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</si>
  <si>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</si>
  <si>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</si>
  <si>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</si>
  <si>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</si>
  <si>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</si>
  <si>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</si>
  <si>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</si>
  <si>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</si>
  <si>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</si>
  <si>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</si>
  <si>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</si>
  <si>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</si>
  <si>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</si>
  <si>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</si>
  <si>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</si>
  <si>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</si>
  <si>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</si>
  <si>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</si>
  <si>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</si>
  <si>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</si>
  <si>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</si>
  <si>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</si>
  <si>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</si>
  <si>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</si>
  <si>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</si>
  <si>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</si>
  <si>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</si>
  <si>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</si>
  <si>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</si>
  <si>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</si>
  <si>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</si>
  <si>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</si>
  <si>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</si>
  <si>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</si>
  <si>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</si>
  <si>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</si>
  <si>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</si>
  <si>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</si>
  <si>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</si>
  <si>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</si>
  <si>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</si>
  <si>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</si>
  <si>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</si>
  <si>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</si>
  <si>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</si>
  <si>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</si>
  <si>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</si>
  <si>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</si>
  <si>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</si>
  <si>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</si>
  <si>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</si>
  <si>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</si>
  <si>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</si>
  <si>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</si>
  <si>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</si>
  <si>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</si>
  <si>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</si>
  <si>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</si>
  <si>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</si>
  <si>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</si>
  <si>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</si>
  <si>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</si>
  <si>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</si>
  <si>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</si>
  <si>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</si>
  <si>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</si>
  <si>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</si>
  <si>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</si>
  <si>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</si>
  <si>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</si>
  <si>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</si>
  <si>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</si>
  <si>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</si>
  <si>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</si>
  <si>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</si>
  <si>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</si>
  <si>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</si>
  <si>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</si>
  <si>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</si>
  <si>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</si>
  <si>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</si>
  <si>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</si>
  <si>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</si>
  <si>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</si>
  <si>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</si>
  <si>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</si>
  <si>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</si>
  <si>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</si>
  <si>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</si>
  <si>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</si>
  <si>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</si>
  <si>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</si>
  <si>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</si>
  <si>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 xml:space="preserve">CONSTRUCTORA BEFCO </t>
  </si>
  <si>
    <t>LUIS FELIPE AVENDAÑO</t>
  </si>
  <si>
    <t>569 7792 0726</t>
  </si>
  <si>
    <t>15 DIAS HABILES</t>
  </si>
  <si>
    <t>SI</t>
  </si>
  <si>
    <t>WALNUT MARIBU PP-7967 SC</t>
  </si>
  <si>
    <t xml:space="preserve">ENCHAPE RECTO 1 CARA </t>
  </si>
  <si>
    <t>N° 11554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</si>
</sst>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ENCHAPAN POR SUS 4 CANTOS CON TAPACANTO PVC 22 X 1,5 LO MAS PARECIDO A LA LAMINA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E14" zoomScale="93" zoomScaleNormal="93" workbookViewId="0">
      <selection activeCell="J32" sqref="J32:J35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177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170</v>
      </c>
      <c r="D10" s="239"/>
      <c r="E10" s="239"/>
      <c r="F10" s="240" t="s">
        <v>167</v>
      </c>
      <c r="G10" s="271">
        <v>45882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173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171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174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172</v>
      </c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1:25" ht="15" thickBot="1" x14ac:dyDescent="0.35">
      <c r="B17" s="292" t="s">
        <v>13</v>
      </c>
      <c r="C17" s="293" t="s">
        <v>163</v>
      </c>
      <c r="D17" s="294"/>
      <c r="E17" s="116"/>
      <c r="F17" s="332" t="s">
        <v>162</v>
      </c>
      <c r="G17" s="332"/>
      <c r="H17" s="333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53911.56728576083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6">
        <v>150</v>
      </c>
      <c r="C21" s="326" t="s">
        <v>176</v>
      </c>
      <c r="D21" s="327">
        <v>1.3</v>
      </c>
      <c r="E21" s="327">
        <v>0.6</v>
      </c>
      <c r="F21" s="326" t="s">
        <v>175</v>
      </c>
      <c r="G21" s="328">
        <v>44121</v>
      </c>
      <c r="H21" s="328">
        <f>G21*B21</f>
        <v>6618150</v>
      </c>
      <c r="I21" s="297"/>
      <c r="J21" s="260"/>
      <c r="K21" s="44"/>
      <c r="L21" s="44">
        <f>B21</f>
        <v>150</v>
      </c>
      <c r="M21" s="36">
        <f>D21+M$19</f>
        <v>1.32</v>
      </c>
      <c r="N21" s="36">
        <f>E21+$N$19</f>
        <v>0.62</v>
      </c>
      <c r="O21" s="256">
        <f t="shared" ref="O21" si="1">M21*N21</f>
        <v>0.81840000000000002</v>
      </c>
      <c r="P21" s="254">
        <f t="shared" ref="P21" si="2">O21*L21</f>
        <v>122.76</v>
      </c>
      <c r="Q21" s="247">
        <f t="shared" ref="Q21" si="3">Q$20*O21</f>
        <v>44121.226666666662</v>
      </c>
      <c r="R21" s="296">
        <f t="shared" ref="R21" si="4">Q21+R$20</f>
        <v>47121.226666666662</v>
      </c>
      <c r="S21" s="284">
        <f>L21*M21*2</f>
        <v>396</v>
      </c>
      <c r="T21" s="43">
        <f>N21*L21*2</f>
        <v>186</v>
      </c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298"/>
      <c r="I22" s="300"/>
      <c r="J22" s="229"/>
      <c r="K22" s="44"/>
      <c r="L22" s="44"/>
      <c r="M22" s="36"/>
      <c r="N22" s="36"/>
      <c r="O22" s="256"/>
      <c r="P22" s="254"/>
      <c r="Q22" s="247"/>
      <c r="R22" s="253"/>
      <c r="S22" s="284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1" t="s">
        <v>28</v>
      </c>
      <c r="H23" s="329">
        <f>SUM(H21:H22)</f>
        <v>6618150</v>
      </c>
      <c r="I23" s="299"/>
      <c r="J23" s="260"/>
      <c r="K23" s="316"/>
      <c r="L23" s="44"/>
      <c r="M23" s="36"/>
      <c r="N23" s="36"/>
      <c r="O23" s="256"/>
      <c r="P23" s="254"/>
      <c r="Q23" s="247"/>
      <c r="R23" s="253"/>
      <c r="S23" s="284"/>
      <c r="T23" s="43">
        <f>SUM(T21:T22)</f>
        <v>186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3" t="s">
        <v>51</v>
      </c>
      <c r="H24" s="330">
        <f>H23*19%</f>
        <v>1257448.5</v>
      </c>
      <c r="I24" s="299"/>
      <c r="J24" s="260"/>
      <c r="K24" s="316"/>
      <c r="L24" s="44"/>
      <c r="M24" s="36">
        <f>SUM(M21:M21)</f>
        <v>1.32</v>
      </c>
      <c r="N24" s="12"/>
      <c r="O24" s="12"/>
      <c r="P24" s="248">
        <f>SUM(P21:P22)</f>
        <v>122.76</v>
      </c>
      <c r="Q24" s="14"/>
      <c r="R24" s="12"/>
      <c r="S24" s="235">
        <f>S21+T21</f>
        <v>582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331">
        <f>H23+H24</f>
        <v>7875598.5</v>
      </c>
      <c r="I25" s="299"/>
      <c r="J25" s="260"/>
      <c r="K25" s="316"/>
      <c r="L25" s="44"/>
      <c r="M25" s="36"/>
      <c r="N25" s="12"/>
      <c r="O25" s="12"/>
      <c r="P25" s="248">
        <f>P24</f>
        <v>122.76</v>
      </c>
      <c r="Q25" s="14"/>
      <c r="R25" s="12"/>
      <c r="S25" s="235">
        <f>S24*20%</f>
        <v>116.4</v>
      </c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16"/>
      <c r="L26" s="44"/>
      <c r="M26" s="14"/>
      <c r="N26" s="12"/>
      <c r="O26" s="12"/>
      <c r="P26" s="36">
        <f>P25*20%</f>
        <v>24.552000000000003</v>
      </c>
      <c r="Q26" s="36" t="s">
        <v>129</v>
      </c>
      <c r="R26" s="39"/>
      <c r="S26" s="236">
        <f>S24+S25</f>
        <v>698.4</v>
      </c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260"/>
      <c r="K27" s="44"/>
      <c r="L27" s="44">
        <v>150</v>
      </c>
      <c r="M27" s="14"/>
      <c r="N27" s="12"/>
      <c r="O27" s="12"/>
      <c r="P27" s="43">
        <f>P25+P26</f>
        <v>147.31200000000001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>
        <f>L27/4</f>
        <v>37.5</v>
      </c>
      <c r="M28" s="14"/>
      <c r="N28" s="14"/>
      <c r="O28" s="14"/>
      <c r="P28" s="14"/>
      <c r="Q28" s="14"/>
      <c r="R28" s="14"/>
      <c r="S28" s="236"/>
      <c r="T28" s="14"/>
      <c r="U28" s="288" t="s">
        <v>21</v>
      </c>
      <c r="V28" s="285" t="s">
        <v>149</v>
      </c>
      <c r="W28" s="289">
        <v>44971</v>
      </c>
      <c r="X28" s="290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147.31200000000001</v>
      </c>
      <c r="N29" s="12">
        <v>3500</v>
      </c>
      <c r="O29" s="12">
        <f t="shared" ref="O29:O34" si="5">M29*N29</f>
        <v>515592.00000000006</v>
      </c>
      <c r="P29" s="14" t="s">
        <v>21</v>
      </c>
      <c r="Q29" s="14"/>
      <c r="R29" s="14"/>
      <c r="S29" s="237"/>
      <c r="T29" s="14"/>
      <c r="U29" s="288" t="s">
        <v>150</v>
      </c>
      <c r="V29" s="285">
        <v>3625</v>
      </c>
      <c r="W29" s="56" t="s">
        <v>151</v>
      </c>
      <c r="X29" s="290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38</v>
      </c>
      <c r="N30" s="12">
        <v>23500</v>
      </c>
      <c r="O30" s="12">
        <f t="shared" si="5"/>
        <v>893000</v>
      </c>
      <c r="P30" s="36" t="s">
        <v>169</v>
      </c>
      <c r="Q30" s="39"/>
      <c r="R30" s="14"/>
      <c r="S30" s="236"/>
      <c r="T30" s="14"/>
      <c r="U30" s="288"/>
      <c r="V30" s="56">
        <v>906.25</v>
      </c>
      <c r="W30" s="56" t="s">
        <v>152</v>
      </c>
      <c r="X30" s="290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>
        <v>700</v>
      </c>
      <c r="N31" s="245">
        <v>720</v>
      </c>
      <c r="O31" s="12">
        <f t="shared" si="5"/>
        <v>504000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0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/>
      <c r="K32" s="228"/>
      <c r="L32" s="245"/>
      <c r="M32" s="14">
        <v>38</v>
      </c>
      <c r="N32" s="245">
        <v>36750</v>
      </c>
      <c r="O32" s="12">
        <f t="shared" si="5"/>
        <v>1396500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0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/>
      <c r="K33" s="255"/>
      <c r="L33" s="245"/>
      <c r="M33" s="244"/>
      <c r="N33" s="245">
        <v>900</v>
      </c>
      <c r="O33" s="12">
        <f t="shared" si="5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/>
      <c r="N34" s="12">
        <v>1500</v>
      </c>
      <c r="O34" s="12">
        <f t="shared" si="5"/>
        <v>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J35" s="282"/>
      <c r="K35" s="255"/>
      <c r="L35" s="245"/>
      <c r="M35" s="14"/>
      <c r="N35" s="12"/>
      <c r="O35" s="12">
        <f>SUM(O29:O34)</f>
        <v>3309092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</f>
        <v>6618184</v>
      </c>
      <c r="P36" s="14" t="s">
        <v>138</v>
      </c>
      <c r="Q36" s="14"/>
      <c r="R36" s="37">
        <f>P27/R35</f>
        <v>39.719585849870583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53911.56728576083</v>
      </c>
      <c r="P37" s="42" t="s">
        <v>24</v>
      </c>
      <c r="Q37" s="14"/>
      <c r="R37" s="14"/>
      <c r="S37"/>
      <c r="T37" s="234"/>
      <c r="U37" s="56" t="s">
        <v>155</v>
      </c>
      <c r="V37" s="285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</v>
      </c>
      <c r="P38" s="15"/>
      <c r="Q38"/>
      <c r="R38"/>
      <c r="S38"/>
      <c r="T38" s="234"/>
      <c r="U38" s="56" t="s">
        <v>157</v>
      </c>
      <c r="V38" s="286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17"/>
      <c r="H39" s="324"/>
      <c r="L39" s="12"/>
      <c r="T39" s="234"/>
      <c r="U39" s="56" t="s">
        <v>158</v>
      </c>
      <c r="V39" s="287">
        <v>395.37</v>
      </c>
    </row>
    <row r="40" spans="2:24" s="226" customFormat="1" ht="17.399999999999999" x14ac:dyDescent="0.35">
      <c r="B40"/>
      <c r="C40" s="325"/>
      <c r="D40" s="279"/>
      <c r="E40" s="279"/>
      <c r="F40" s="278"/>
      <c r="G40" s="317"/>
      <c r="H40" s="324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17"/>
      <c r="H41" s="324"/>
      <c r="L41" s="12"/>
      <c r="U41" s="56"/>
      <c r="V41" s="56"/>
    </row>
    <row r="42" spans="2:24" ht="17.399999999999999" x14ac:dyDescent="0.35">
      <c r="D42" s="279"/>
      <c r="E42" s="279"/>
      <c r="F42" s="278"/>
      <c r="G42" s="317"/>
      <c r="H42" s="324"/>
      <c r="L42" s="245"/>
    </row>
    <row r="43" spans="2:24" ht="17.399999999999999" x14ac:dyDescent="0.35">
      <c r="D43" s="279"/>
      <c r="E43" s="279"/>
      <c r="F43" s="278"/>
      <c r="G43" s="317"/>
      <c r="H43" s="324"/>
      <c r="L43" s="245"/>
      <c r="T43" s="265"/>
    </row>
    <row r="44" spans="2:24" ht="17.399999999999999" x14ac:dyDescent="0.35">
      <c r="D44" s="279"/>
      <c r="E44" s="279"/>
      <c r="F44" s="278"/>
      <c r="G44" s="317"/>
      <c r="H44" s="324"/>
      <c r="L44" s="245"/>
    </row>
    <row r="45" spans="2:24" ht="15" customHeight="1" x14ac:dyDescent="0.35">
      <c r="D45" s="279"/>
      <c r="E45" s="279"/>
      <c r="F45" s="278"/>
      <c r="G45" s="317"/>
      <c r="H45" s="324"/>
    </row>
    <row r="46" spans="2:24" ht="17.399999999999999" x14ac:dyDescent="0.35">
      <c r="D46" s="279"/>
      <c r="E46" s="279"/>
      <c r="F46" s="278"/>
      <c r="G46" s="317"/>
      <c r="H46" s="324"/>
    </row>
    <row r="47" spans="2:24" ht="17.399999999999999" x14ac:dyDescent="0.35">
      <c r="D47" s="279"/>
      <c r="E47" s="279"/>
      <c r="F47" s="278"/>
      <c r="G47" s="317"/>
      <c r="H47" s="324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17"/>
      <c r="H48" s="324"/>
    </row>
    <row r="49" spans="4:20" ht="17.399999999999999" x14ac:dyDescent="0.35">
      <c r="D49" s="279"/>
      <c r="E49" s="279"/>
      <c r="F49" s="278"/>
      <c r="G49" s="317"/>
      <c r="H49" s="324"/>
      <c r="O49" s="51"/>
      <c r="P49" s="51"/>
    </row>
    <row r="50" spans="4:20" ht="17.399999999999999" x14ac:dyDescent="0.35">
      <c r="D50" s="279"/>
      <c r="E50" s="279"/>
      <c r="F50" s="278"/>
      <c r="G50" s="317"/>
      <c r="H50" s="324"/>
      <c r="S50" s="18"/>
      <c r="T50" s="18"/>
    </row>
    <row r="51" spans="4:20" ht="17.399999999999999" x14ac:dyDescent="0.35">
      <c r="D51" s="279"/>
      <c r="E51" s="279"/>
      <c r="F51" s="278"/>
      <c r="G51" s="317"/>
      <c r="H51" s="324"/>
      <c r="S51" s="18"/>
      <c r="T51" s="18"/>
    </row>
    <row r="52" spans="4:20" ht="17.399999999999999" x14ac:dyDescent="0.35">
      <c r="D52" s="279"/>
      <c r="E52" s="279"/>
      <c r="F52" s="278"/>
      <c r="G52" s="317"/>
      <c r="H52" s="324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45882</v>
      </c>
    </row>
    <row r="6" spans="1:31" ht="16.2" thickBot="1" x14ac:dyDescent="0.35">
      <c r="B6" s="137" t="s">
        <v>2</v>
      </c>
      <c r="C6" s="136" t="str">
        <f>'2229'!C10</f>
        <v xml:space="preserve">CONSTRUCTORA BEFCO 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98</v>
      </c>
      <c r="I7" s="339"/>
      <c r="J7" s="339"/>
      <c r="K7" s="340"/>
      <c r="N7" s="72"/>
      <c r="O7" s="337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11554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7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-587672.75725990336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6618150</v>
      </c>
      <c r="E11" s="129">
        <f>D11*0.19</f>
        <v>1257448.5</v>
      </c>
      <c r="F11" s="128">
        <f>E11+D11</f>
        <v>7875598.5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-481682.75725990336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1932570.9102753624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-499682.75725990336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4685579.0897246376</v>
      </c>
      <c r="E13" s="218">
        <f>(D11/D12)-1</f>
        <v>2.4245315216180154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-508682.75725990336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-547682.75725990336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3679615.0131642902</v>
      </c>
      <c r="C15" s="210" t="s">
        <v>121</v>
      </c>
      <c r="D15" s="211">
        <v>0.6</v>
      </c>
      <c r="E15" s="212">
        <f>(100%+D15)*D12</f>
        <v>3092113.4564405801</v>
      </c>
      <c r="F15" s="213">
        <f>E15-D12</f>
        <v>1159542.5461652176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-547682.75725990336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-507682.75725990336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504000</v>
      </c>
      <c r="E18" s="120">
        <f>D18*0.19</f>
        <v>95760</v>
      </c>
      <c r="F18" s="117">
        <f>SUM(D18:E18)</f>
        <v>599760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893000</v>
      </c>
      <c r="E19" s="120">
        <f>D19*0.19</f>
        <v>169670</v>
      </c>
      <c r="F19" s="117">
        <f>SUM(D19:E19)</f>
        <v>1062670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515592.00000000006</v>
      </c>
      <c r="E20" s="118">
        <f>D20*0.19</f>
        <v>97962.48000000001</v>
      </c>
      <c r="F20" s="117">
        <f>SUM(D20:E20)</f>
        <v>613554.4800000001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1912592</v>
      </c>
      <c r="E21" s="113">
        <f>SUM(E18:E20)</f>
        <v>363392.48</v>
      </c>
      <c r="F21" s="112">
        <f>SUM(F18:F20)</f>
        <v>2275984.48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894056.02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6618150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1912592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4685579.0897246376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4685579.0897246376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2025-07-30T20:51:00Z</cp:lastPrinted>
  <dcterms:created xsi:type="dcterms:W3CDTF">2013-03-18T13:35:42Z</dcterms:created>
  <dcterms:modified xsi:type="dcterms:W3CDTF">2025-08-19T02:54:03Z</dcterms:modified>
</cp:coreProperties>
</file>