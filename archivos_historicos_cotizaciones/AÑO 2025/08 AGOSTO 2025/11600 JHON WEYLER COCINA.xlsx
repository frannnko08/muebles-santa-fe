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E96EDB7F-1013-4C3E-AD0B-DA1939B54E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6" i="1" l="1"/>
  <c r="O36" i="1"/>
  <c r="P36" i="1"/>
  <c r="M36" i="1"/>
  <c r="S36" i="1" s="1"/>
  <c r="L36" i="1"/>
  <c r="L35" i="1"/>
  <c r="P35" i="1"/>
  <c r="S35" i="1"/>
  <c r="N35" i="1"/>
  <c r="O35" i="1" s="1"/>
  <c r="M35" i="1"/>
  <c r="N34" i="1"/>
  <c r="O34" i="1" s="1"/>
  <c r="P34" i="1" s="1"/>
  <c r="M34" i="1"/>
  <c r="S34" i="1" s="1"/>
  <c r="L34" i="1"/>
  <c r="N33" i="1"/>
  <c r="O33" i="1"/>
  <c r="P33" i="1" s="1"/>
  <c r="M33" i="1"/>
  <c r="S33" i="1" s="1"/>
  <c r="L33" i="1"/>
  <c r="L32" i="1"/>
  <c r="P32" i="1"/>
  <c r="S32" i="1"/>
  <c r="N32" i="1"/>
  <c r="O32" i="1" s="1"/>
  <c r="M32" i="1"/>
  <c r="L31" i="1"/>
  <c r="P31" i="1" s="1"/>
  <c r="S31" i="1"/>
  <c r="N31" i="1"/>
  <c r="O31" i="1" s="1"/>
  <c r="M31" i="1"/>
  <c r="L30" i="1"/>
  <c r="P30" i="1"/>
  <c r="S30" i="1"/>
  <c r="N30" i="1"/>
  <c r="O30" i="1" s="1"/>
  <c r="M30" i="1"/>
  <c r="N29" i="1"/>
  <c r="M29" i="1"/>
  <c r="L29" i="1"/>
  <c r="L28" i="1"/>
  <c r="N28" i="1"/>
  <c r="M28" i="1"/>
  <c r="O28" i="1" s="1"/>
  <c r="L27" i="1"/>
  <c r="S27" i="1" s="1"/>
  <c r="M27" i="1"/>
  <c r="N27" i="1"/>
  <c r="L26" i="1"/>
  <c r="S26" i="1" s="1"/>
  <c r="M26" i="1"/>
  <c r="N26" i="1"/>
  <c r="M22" i="1"/>
  <c r="O22" i="1" s="1"/>
  <c r="N22" i="1"/>
  <c r="M23" i="1"/>
  <c r="N23" i="1"/>
  <c r="M24" i="1"/>
  <c r="S24" i="1" s="1"/>
  <c r="N24" i="1"/>
  <c r="M25" i="1"/>
  <c r="S25" i="1" s="1"/>
  <c r="N25" i="1"/>
  <c r="J49" i="1"/>
  <c r="M21" i="1"/>
  <c r="M40" i="1" s="1"/>
  <c r="P28" i="1" l="1"/>
  <c r="O27" i="1"/>
  <c r="S28" i="1"/>
  <c r="S29" i="1"/>
  <c r="O25" i="1"/>
  <c r="P25" i="1" s="1"/>
  <c r="O29" i="1"/>
  <c r="P29" i="1" s="1"/>
  <c r="P22" i="1"/>
  <c r="P27" i="1"/>
  <c r="S23" i="1"/>
  <c r="S22" i="1"/>
  <c r="O26" i="1"/>
  <c r="P26" i="1" s="1"/>
  <c r="O24" i="1"/>
  <c r="P24" i="1" s="1"/>
  <c r="O23" i="1"/>
  <c r="P23" i="1" s="1"/>
  <c r="N21" i="1"/>
  <c r="S21" i="1" l="1"/>
  <c r="S40" i="1" s="1"/>
  <c r="T21" i="1"/>
  <c r="T39" i="1" s="1"/>
  <c r="O21" i="1"/>
  <c r="P21" i="1" s="1"/>
  <c r="P40" i="1" s="1"/>
  <c r="V47" i="1" l="1"/>
  <c r="V48" i="1" s="1"/>
  <c r="O46" i="1" l="1"/>
  <c r="P41" i="1" l="1"/>
  <c r="N20" i="1"/>
  <c r="L20" i="1"/>
  <c r="P42" i="1" l="1"/>
  <c r="P43" i="1" s="1"/>
  <c r="M45" i="1" s="1"/>
  <c r="O47" i="1"/>
  <c r="R51" i="1"/>
  <c r="R52" i="1" l="1"/>
  <c r="O48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50" i="1"/>
  <c r="O49" i="1"/>
  <c r="F18" i="3" l="1"/>
  <c r="O45" i="1" l="1"/>
  <c r="O51" i="1" s="1"/>
  <c r="O52" i="1" s="1"/>
  <c r="O53" i="1" l="1"/>
  <c r="D20" i="3"/>
  <c r="E20" i="3" s="1"/>
  <c r="E21" i="3" s="1"/>
  <c r="Q20" i="1" l="1"/>
  <c r="Q36" i="1" s="1"/>
  <c r="R36" i="1" s="1"/>
  <c r="G36" i="1" s="1"/>
  <c r="H36" i="1" s="1"/>
  <c r="D21" i="3"/>
  <c r="M43" i="3" s="1"/>
  <c r="D12" i="3" s="1"/>
  <c r="E15" i="3" s="1"/>
  <c r="A15" i="3" s="1"/>
  <c r="F20" i="3"/>
  <c r="F21" i="3" s="1"/>
  <c r="Q34" i="1" l="1"/>
  <c r="R34" i="1" s="1"/>
  <c r="G34" i="1" s="1"/>
  <c r="H34" i="1" s="1"/>
  <c r="Q35" i="1"/>
  <c r="R35" i="1" s="1"/>
  <c r="G35" i="1" s="1"/>
  <c r="H35" i="1" s="1"/>
  <c r="Q32" i="1"/>
  <c r="R32" i="1" s="1"/>
  <c r="G32" i="1" s="1"/>
  <c r="H32" i="1" s="1"/>
  <c r="Q33" i="1"/>
  <c r="R33" i="1" s="1"/>
  <c r="G33" i="1" s="1"/>
  <c r="H33" i="1" s="1"/>
  <c r="Q30" i="1"/>
  <c r="R30" i="1" s="1"/>
  <c r="G30" i="1" s="1"/>
  <c r="H30" i="1" s="1"/>
  <c r="Q31" i="1"/>
  <c r="R31" i="1" s="1"/>
  <c r="G31" i="1" s="1"/>
  <c r="H31" i="1" s="1"/>
  <c r="Q28" i="1"/>
  <c r="R28" i="1" s="1"/>
  <c r="G28" i="1" s="1"/>
  <c r="H28" i="1" s="1"/>
  <c r="Q29" i="1"/>
  <c r="R29" i="1" s="1"/>
  <c r="G29" i="1" s="1"/>
  <c r="H29" i="1" s="1"/>
  <c r="Q26" i="1"/>
  <c r="R26" i="1" s="1"/>
  <c r="G26" i="1" s="1"/>
  <c r="H26" i="1" s="1"/>
  <c r="Q27" i="1"/>
  <c r="R27" i="1" s="1"/>
  <c r="G27" i="1" s="1"/>
  <c r="H27" i="1" s="1"/>
  <c r="Q22" i="1"/>
  <c r="R22" i="1" s="1"/>
  <c r="H22" i="1" s="1"/>
  <c r="Q23" i="1"/>
  <c r="R23" i="1" s="1"/>
  <c r="H23" i="1" s="1"/>
  <c r="Q24" i="1"/>
  <c r="R24" i="1" s="1"/>
  <c r="H24" i="1" s="1"/>
  <c r="Q25" i="1"/>
  <c r="R25" i="1" s="1"/>
  <c r="H25" i="1" s="1"/>
  <c r="O54" i="1"/>
  <c r="Q21" i="1" l="1"/>
  <c r="F15" i="3"/>
  <c r="R21" i="1" l="1"/>
  <c r="H21" i="1" l="1"/>
  <c r="H39" i="1" l="1"/>
  <c r="H40" i="1" s="1"/>
  <c r="H41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<sst xmlns="http://schemas.openxmlformats.org/spreadsheetml/2006/main" count="236" uniqueCount="178">
  <si>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</si>
  <si>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</si>
  <si>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</si>
  <si>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</si>
  <si>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</si>
  <si>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</si>
  <si>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</si>
  <si>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</si>
  <si>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</si>
  <si>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</si>
  <si>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</si>
  <si>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</si>
  <si>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</si>
  <si>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</si>
  <si>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</si>
  <si>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</si>
  <si>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</si>
  <si>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</si>
  <si>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</si>
  <si>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</si>
  <si>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</si>
  <si>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</si>
  <si>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</si>
  <si>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</si>
  <si>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</si>
  <si>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</si>
  <si>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</si>
  <si>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</si>
  <si>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</si>
  <si>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</si>
  <si>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</si>
  <si>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</si>
  <si>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</si>
  <si>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</si>
  <si>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</si>
  <si>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</si>
  <si>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</si>
  <si>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</si>
  <si>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</si>
  <si>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</si>
  <si>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</si>
  <si>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</si>
  <si>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</si>
  <si>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</si>
  <si>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</si>
  <si>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</si>
  <si>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</si>
  <si>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</si>
  <si>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</si>
  <si>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</si>
  <si>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</si>
  <si>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</si>
  <si>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</si>
  <si>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</si>
  <si>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</si>
  <si>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</si>
  <si>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</si>
  <si>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</si>
  <si>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</si>
  <si>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</si>
  <si>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</si>
  <si>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</si>
  <si>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</si>
  <si>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</si>
  <si>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</si>
  <si>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</si>
  <si>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</si>
  <si>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</si>
  <si>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</si>
  <si>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</si>
  <si>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</si>
  <si>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</si>
  <si>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</si>
  <si>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</si>
  <si>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</si>
  <si>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</si>
  <si>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</si>
  <si>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</si>
  <si>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</si>
  <si>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</si>
  <si>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</si>
  <si>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</si>
  <si>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</si>
  <si>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</si>
  <si>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</si>
  <si>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</si>
  <si>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</si>
  <si>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</si>
  <si>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</si>
  <si>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</si>
  <si>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</si>
  <si>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</si>
  <si>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</si>
  <si>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</si>
  <si>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</si>
  <si>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</si>
  <si>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</si>
  <si>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</si>
  <si>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</si>
  <si>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</si>
  <si>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</si>
  <si>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</si>
  <si>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</si>
  <si>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</si>
  <si>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</si>
  <si>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</si>
  <si>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</si>
  <si>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</si>
  <si>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</si>
  <si>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</si>
  <si>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</si>
  <si>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</si>
  <si>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</si>
  <si>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</si>
  <si>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</si>
  <si>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</si>
  <si>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</si>
  <si>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</si>
  <si>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</si>
  <si>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</si>
  <si>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</si>
  <si>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</si>
  <si>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</si>
  <si>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</si>
  <si>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</si>
  <si>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</si>
  <si>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</si>
  <si>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</si>
  <si>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</si>
  <si>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</si>
  <si>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</si>
  <si>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</si>
  <si>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</si>
  <si>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</si>
  <si>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</si>
  <si>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</si>
  <si>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</si>
  <si>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</si>
  <si>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</si>
  <si>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</si>
  <si>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</si>
  <si>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</si>
  <si>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</si>
  <si>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</si>
  <si>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</si>
  <si>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</si>
  <si>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</si>
  <si>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</si>
  <si>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</si>
  <si>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</si>
  <si>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</si>
  <si>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</si>
  <si>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</si>
  <si>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</si>
  <si>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</si>
  <si>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</si>
  <si>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</si>
  <si>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</si>
  <si>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</si>
  <si>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</si>
  <si>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</si>
  <si>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</si>
  <si>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</si>
  <si>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</si>
  <si>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</si>
  <si>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</si>
  <si>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</si>
  <si>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</si>
  <si>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</si>
  <si>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</si>
  <si>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CLASSIC 3111 BR</t>
  </si>
  <si>
    <t>CECILIA</t>
  </si>
  <si>
    <t>+569 8228 4128</t>
  </si>
  <si>
    <t>CUB MESA 2 LADOS</t>
  </si>
  <si>
    <t>5 DIAS HABILES</t>
  </si>
  <si>
    <t>N° 11600</t>
  </si>
  <si>
    <t>CUB C/R R6</t>
  </si>
  <si>
    <t>PR6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</si>
</sst>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42</xdr:row>
      <xdr:rowOff>8194</xdr:rowOff>
    </xdr:from>
    <xdr:to>
      <xdr:col>8</xdr:col>
      <xdr:colOff>8193</xdr:colOff>
      <xdr:row>45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44</xdr:row>
      <xdr:rowOff>154305</xdr:rowOff>
    </xdr:from>
    <xdr:to>
      <xdr:col>7</xdr:col>
      <xdr:colOff>853440</xdr:colOff>
      <xdr:row>44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42</xdr:row>
      <xdr:rowOff>9525</xdr:rowOff>
    </xdr:from>
    <xdr:to>
      <xdr:col>5</xdr:col>
      <xdr:colOff>1745226</xdr:colOff>
      <xdr:row>45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38</xdr:row>
      <xdr:rowOff>9525</xdr:rowOff>
    </xdr:from>
    <xdr:to>
      <xdr:col>5</xdr:col>
      <xdr:colOff>1728839</xdr:colOff>
      <xdr:row>41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CORTADAS A LA MEDIDA Y ENCHAPADAS CON REGRUESO EN LOS COSTADOS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6"/>
  <sheetViews>
    <sheetView tabSelected="1" topLeftCell="D30" zoomScale="93" zoomScaleNormal="93" workbookViewId="0">
      <selection activeCell="R51" sqref="R51"/>
    </sheetView>
  </sheetViews>
  <sheetFormatPr baseColWidth="10" defaultRowHeight="14.4" x14ac:dyDescent="0.3"/>
  <cols>
    <col min="1" max="1" width="6" customWidth="1"/>
    <col min="2" max="2" width="10.5546875" customWidth="1"/>
    <col min="3" max="3" width="31.66406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8" t="s">
        <v>125</v>
      </c>
      <c r="C8" s="319"/>
      <c r="D8" s="320" t="s">
        <v>175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171</v>
      </c>
      <c r="D10" s="239"/>
      <c r="E10" s="239"/>
      <c r="F10" s="240" t="s">
        <v>167</v>
      </c>
      <c r="G10" s="271">
        <v>45887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174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0" t="s">
        <v>172</v>
      </c>
      <c r="D15" s="311"/>
      <c r="F15" t="s">
        <v>168</v>
      </c>
      <c r="G15" s="312" t="s">
        <v>133</v>
      </c>
      <c r="H15" s="281"/>
    </row>
    <row r="16" spans="2:24" ht="16.8" x14ac:dyDescent="0.4">
      <c r="B16" s="295" t="s">
        <v>3</v>
      </c>
      <c r="C16" s="313"/>
      <c r="D16" s="305"/>
      <c r="E16" s="305"/>
      <c r="F16" s="314" t="s">
        <v>128</v>
      </c>
      <c r="G16" s="315" t="s">
        <v>160</v>
      </c>
      <c r="H16" s="243"/>
    </row>
    <row r="17" spans="2:25" ht="15" thickBot="1" x14ac:dyDescent="0.35">
      <c r="B17" s="292" t="s">
        <v>13</v>
      </c>
      <c r="C17" s="293" t="s">
        <v>163</v>
      </c>
      <c r="D17" s="294"/>
      <c r="E17" s="116"/>
      <c r="F17" s="332" t="s">
        <v>162</v>
      </c>
      <c r="G17" s="332"/>
      <c r="H17" s="333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21" t="s">
        <v>7</v>
      </c>
      <c r="C20" s="322" t="s">
        <v>1</v>
      </c>
      <c r="D20" s="322" t="s">
        <v>130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O53</f>
        <v>75129.467728088668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26">
        <v>1</v>
      </c>
      <c r="C21" s="326" t="s">
        <v>173</v>
      </c>
      <c r="D21" s="327">
        <v>1</v>
      </c>
      <c r="E21" s="327">
        <v>0.6</v>
      </c>
      <c r="F21" s="326" t="s">
        <v>170</v>
      </c>
      <c r="G21" s="328"/>
      <c r="H21" s="328">
        <f>G21*B21</f>
        <v>0</v>
      </c>
      <c r="I21" s="297"/>
      <c r="J21" s="260"/>
      <c r="K21" s="44"/>
      <c r="L21" s="44"/>
      <c r="M21" s="36">
        <f>D21+M$19</f>
        <v>1.08</v>
      </c>
      <c r="N21" s="36">
        <f>E21+$N$19</f>
        <v>0.6</v>
      </c>
      <c r="O21" s="256">
        <f t="shared" ref="O21" si="1">M21*N21</f>
        <v>0.64800000000000002</v>
      </c>
      <c r="P21" s="254">
        <f t="shared" ref="P21" si="2">O21*L21</f>
        <v>0</v>
      </c>
      <c r="Q21" s="247">
        <f t="shared" ref="Q21" si="3">Q$20*O21</f>
        <v>48683.895087801458</v>
      </c>
      <c r="R21" s="296">
        <f t="shared" ref="R21" si="4">Q21+R$20</f>
        <v>51683.895087801458</v>
      </c>
      <c r="S21" s="284">
        <f>M21*L21</f>
        <v>0</v>
      </c>
      <c r="T21" s="43">
        <f>N21*2*L21*2</f>
        <v>0</v>
      </c>
      <c r="U21" s="9"/>
      <c r="X21" s="4"/>
    </row>
    <row r="22" spans="2:25" ht="17.399999999999999" x14ac:dyDescent="0.3">
      <c r="B22" s="326">
        <v>1</v>
      </c>
      <c r="C22" s="326" t="s">
        <v>176</v>
      </c>
      <c r="D22" s="327">
        <v>2.94</v>
      </c>
      <c r="E22" s="327">
        <v>0.6</v>
      </c>
      <c r="F22" s="326"/>
      <c r="G22" s="328"/>
      <c r="H22" s="328">
        <f t="shared" ref="H22:H36" si="5">G22*B22</f>
        <v>0</v>
      </c>
      <c r="I22" s="297"/>
      <c r="J22" s="260"/>
      <c r="K22" s="44"/>
      <c r="L22" s="44"/>
      <c r="M22" s="36">
        <f t="shared" ref="M22:M36" si="6">D22+M$19</f>
        <v>3.02</v>
      </c>
      <c r="N22" s="36">
        <f t="shared" ref="N22:N36" si="7">E22+$N$19</f>
        <v>0.6</v>
      </c>
      <c r="O22" s="256">
        <f t="shared" ref="O22:O36" si="8">M22*N22</f>
        <v>1.8119999999999998</v>
      </c>
      <c r="P22" s="254">
        <f t="shared" ref="P22:P36" si="9">O22*L22</f>
        <v>0</v>
      </c>
      <c r="Q22" s="247">
        <f t="shared" ref="Q22:Q36" si="10">Q$20*O22</f>
        <v>136134.59552329665</v>
      </c>
      <c r="R22" s="296">
        <f t="shared" ref="R22:R36" si="11">Q22+R$20</f>
        <v>139134.59552329665</v>
      </c>
      <c r="S22" s="284">
        <f t="shared" ref="S22:S36" si="12">M22*L22</f>
        <v>0</v>
      </c>
      <c r="T22" s="43"/>
      <c r="U22" s="9"/>
      <c r="X22" s="4"/>
    </row>
    <row r="23" spans="2:25" ht="17.399999999999999" x14ac:dyDescent="0.3">
      <c r="B23" s="326">
        <v>1</v>
      </c>
      <c r="C23" s="326" t="s">
        <v>176</v>
      </c>
      <c r="D23" s="327">
        <v>2.58</v>
      </c>
      <c r="E23" s="327">
        <v>0.6</v>
      </c>
      <c r="F23" s="326"/>
      <c r="G23" s="328"/>
      <c r="H23" s="328">
        <f t="shared" si="5"/>
        <v>0</v>
      </c>
      <c r="I23" s="297"/>
      <c r="J23" s="260"/>
      <c r="K23" s="44"/>
      <c r="L23" s="44"/>
      <c r="M23" s="36">
        <f t="shared" si="6"/>
        <v>2.66</v>
      </c>
      <c r="N23" s="36">
        <f t="shared" si="7"/>
        <v>0.6</v>
      </c>
      <c r="O23" s="256">
        <f t="shared" si="8"/>
        <v>1.5960000000000001</v>
      </c>
      <c r="P23" s="254">
        <f t="shared" si="9"/>
        <v>0</v>
      </c>
      <c r="Q23" s="247">
        <f t="shared" si="10"/>
        <v>119906.63049402952</v>
      </c>
      <c r="R23" s="296">
        <f t="shared" si="11"/>
        <v>122906.63049402952</v>
      </c>
      <c r="S23" s="284">
        <f t="shared" si="12"/>
        <v>0</v>
      </c>
      <c r="T23" s="43"/>
      <c r="U23" s="9"/>
      <c r="X23" s="4"/>
    </row>
    <row r="24" spans="2:25" ht="17.399999999999999" x14ac:dyDescent="0.3">
      <c r="B24" s="326">
        <v>1</v>
      </c>
      <c r="C24" s="326" t="s">
        <v>176</v>
      </c>
      <c r="D24" s="327">
        <v>2.66</v>
      </c>
      <c r="E24" s="327">
        <v>0.6</v>
      </c>
      <c r="F24" s="326"/>
      <c r="G24" s="328"/>
      <c r="H24" s="328">
        <f t="shared" si="5"/>
        <v>0</v>
      </c>
      <c r="I24" s="297"/>
      <c r="J24" s="260"/>
      <c r="K24" s="44"/>
      <c r="L24" s="44"/>
      <c r="M24" s="36">
        <f t="shared" si="6"/>
        <v>2.74</v>
      </c>
      <c r="N24" s="36">
        <f t="shared" si="7"/>
        <v>0.6</v>
      </c>
      <c r="O24" s="256">
        <f t="shared" si="8"/>
        <v>1.6440000000000001</v>
      </c>
      <c r="P24" s="254">
        <f t="shared" si="9"/>
        <v>0</v>
      </c>
      <c r="Q24" s="247">
        <f t="shared" si="10"/>
        <v>123512.84494497778</v>
      </c>
      <c r="R24" s="296">
        <f t="shared" si="11"/>
        <v>126512.84494497778</v>
      </c>
      <c r="S24" s="284">
        <f t="shared" si="12"/>
        <v>0</v>
      </c>
      <c r="T24" s="43"/>
      <c r="U24" s="9"/>
      <c r="X24" s="4"/>
    </row>
    <row r="25" spans="2:25" ht="17.399999999999999" x14ac:dyDescent="0.3">
      <c r="B25" s="326">
        <v>1</v>
      </c>
      <c r="C25" s="326" t="s">
        <v>176</v>
      </c>
      <c r="D25" s="327">
        <v>2.56</v>
      </c>
      <c r="E25" s="327">
        <v>0.6</v>
      </c>
      <c r="F25" s="326"/>
      <c r="G25" s="328"/>
      <c r="H25" s="328">
        <f t="shared" si="5"/>
        <v>0</v>
      </c>
      <c r="I25" s="297"/>
      <c r="J25" s="260"/>
      <c r="K25" s="44"/>
      <c r="L25" s="44"/>
      <c r="M25" s="36">
        <f t="shared" si="6"/>
        <v>2.64</v>
      </c>
      <c r="N25" s="36">
        <f t="shared" si="7"/>
        <v>0.6</v>
      </c>
      <c r="O25" s="256">
        <f t="shared" si="8"/>
        <v>1.5840000000000001</v>
      </c>
      <c r="P25" s="254">
        <f t="shared" si="9"/>
        <v>0</v>
      </c>
      <c r="Q25" s="247">
        <f t="shared" si="10"/>
        <v>119005.07688129245</v>
      </c>
      <c r="R25" s="296">
        <f t="shared" si="11"/>
        <v>122005.07688129245</v>
      </c>
      <c r="S25" s="284">
        <f t="shared" si="12"/>
        <v>0</v>
      </c>
      <c r="T25" s="43"/>
      <c r="U25" s="9"/>
      <c r="X25" s="4"/>
    </row>
    <row r="26" spans="2:25" ht="17.399999999999999" x14ac:dyDescent="0.3">
      <c r="B26" s="326">
        <v>8</v>
      </c>
      <c r="C26" s="326" t="s">
        <v>177</v>
      </c>
      <c r="D26" s="327">
        <v>0.72</v>
      </c>
      <c r="E26" s="327">
        <v>0.318</v>
      </c>
      <c r="F26" s="326"/>
      <c r="G26" s="328">
        <f t="shared" ref="G22:G36" si="13">R26</f>
        <v>22112.936590025754</v>
      </c>
      <c r="H26" s="328">
        <f t="shared" si="5"/>
        <v>176903.49272020604</v>
      </c>
      <c r="I26" s="297"/>
      <c r="J26" s="260"/>
      <c r="K26" s="44"/>
      <c r="L26" s="44">
        <f t="shared" ref="L22:L36" si="14">B26</f>
        <v>8</v>
      </c>
      <c r="M26" s="36">
        <f t="shared" si="6"/>
        <v>0.79999999999999993</v>
      </c>
      <c r="N26" s="36">
        <f t="shared" si="7"/>
        <v>0.318</v>
      </c>
      <c r="O26" s="256">
        <f t="shared" si="8"/>
        <v>0.25439999999999996</v>
      </c>
      <c r="P26" s="254">
        <f t="shared" si="9"/>
        <v>2.0351999999999997</v>
      </c>
      <c r="Q26" s="247">
        <f t="shared" si="10"/>
        <v>19112.936590025754</v>
      </c>
      <c r="R26" s="296">
        <f t="shared" si="11"/>
        <v>22112.936590025754</v>
      </c>
      <c r="S26" s="284">
        <f t="shared" si="12"/>
        <v>6.3999999999999995</v>
      </c>
      <c r="T26" s="43"/>
      <c r="U26" s="9"/>
      <c r="X26" s="4"/>
    </row>
    <row r="27" spans="2:25" ht="17.399999999999999" x14ac:dyDescent="0.3">
      <c r="B27" s="326">
        <v>8</v>
      </c>
      <c r="C27" s="326"/>
      <c r="D27" s="327">
        <v>0.7</v>
      </c>
      <c r="E27" s="327">
        <v>0.318</v>
      </c>
      <c r="F27" s="326"/>
      <c r="G27" s="328">
        <f t="shared" si="13"/>
        <v>21635.113175275113</v>
      </c>
      <c r="H27" s="328">
        <f t="shared" si="5"/>
        <v>173080.90540220091</v>
      </c>
      <c r="I27" s="297"/>
      <c r="J27" s="260"/>
      <c r="K27" s="44"/>
      <c r="L27" s="44">
        <f t="shared" si="14"/>
        <v>8</v>
      </c>
      <c r="M27" s="36">
        <f t="shared" si="6"/>
        <v>0.77999999999999992</v>
      </c>
      <c r="N27" s="36">
        <f t="shared" si="7"/>
        <v>0.318</v>
      </c>
      <c r="O27" s="256">
        <f t="shared" si="8"/>
        <v>0.24803999999999998</v>
      </c>
      <c r="P27" s="254">
        <f t="shared" si="9"/>
        <v>1.9843199999999999</v>
      </c>
      <c r="Q27" s="247">
        <f t="shared" si="10"/>
        <v>18635.113175275113</v>
      </c>
      <c r="R27" s="296">
        <f t="shared" si="11"/>
        <v>21635.113175275113</v>
      </c>
      <c r="S27" s="284">
        <f t="shared" si="12"/>
        <v>6.2399999999999993</v>
      </c>
      <c r="T27" s="43"/>
      <c r="U27" s="9"/>
      <c r="X27" s="4"/>
    </row>
    <row r="28" spans="2:25" ht="17.399999999999999" x14ac:dyDescent="0.3">
      <c r="B28" s="326">
        <v>3</v>
      </c>
      <c r="C28" s="326"/>
      <c r="D28" s="327">
        <v>0.72</v>
      </c>
      <c r="E28" s="327">
        <v>0.65</v>
      </c>
      <c r="F28" s="326"/>
      <c r="G28" s="328">
        <f t="shared" si="13"/>
        <v>42067.323218606107</v>
      </c>
      <c r="H28" s="328">
        <f t="shared" si="5"/>
        <v>126201.96965581832</v>
      </c>
      <c r="I28" s="297"/>
      <c r="J28" s="260"/>
      <c r="K28" s="44"/>
      <c r="L28" s="44">
        <f t="shared" si="14"/>
        <v>3</v>
      </c>
      <c r="M28" s="36">
        <f t="shared" si="6"/>
        <v>0.79999999999999993</v>
      </c>
      <c r="N28" s="36">
        <f t="shared" si="7"/>
        <v>0.65</v>
      </c>
      <c r="O28" s="256">
        <f t="shared" si="8"/>
        <v>0.52</v>
      </c>
      <c r="P28" s="254">
        <f t="shared" si="9"/>
        <v>1.56</v>
      </c>
      <c r="Q28" s="247">
        <f t="shared" si="10"/>
        <v>39067.323218606107</v>
      </c>
      <c r="R28" s="296">
        <f t="shared" si="11"/>
        <v>42067.323218606107</v>
      </c>
      <c r="S28" s="284">
        <f t="shared" si="12"/>
        <v>2.4</v>
      </c>
      <c r="T28" s="43"/>
      <c r="U28" s="9"/>
      <c r="X28" s="4"/>
    </row>
    <row r="29" spans="2:25" ht="17.399999999999999" x14ac:dyDescent="0.3">
      <c r="B29" s="326">
        <v>2</v>
      </c>
      <c r="C29" s="326"/>
      <c r="D29" s="327">
        <v>0.72</v>
      </c>
      <c r="E29" s="327">
        <v>0.43</v>
      </c>
      <c r="F29" s="326"/>
      <c r="G29" s="328">
        <f t="shared" si="13"/>
        <v>28844.536898462498</v>
      </c>
      <c r="H29" s="328">
        <f t="shared" si="5"/>
        <v>57689.073796924997</v>
      </c>
      <c r="I29" s="297"/>
      <c r="J29" s="260"/>
      <c r="K29" s="44"/>
      <c r="L29" s="44">
        <f t="shared" si="14"/>
        <v>2</v>
      </c>
      <c r="M29" s="36">
        <f t="shared" si="6"/>
        <v>0.79999999999999993</v>
      </c>
      <c r="N29" s="36">
        <f t="shared" si="7"/>
        <v>0.43</v>
      </c>
      <c r="O29" s="256">
        <f t="shared" si="8"/>
        <v>0.34399999999999997</v>
      </c>
      <c r="P29" s="254">
        <f t="shared" si="9"/>
        <v>0.68799999999999994</v>
      </c>
      <c r="Q29" s="247">
        <f t="shared" si="10"/>
        <v>25844.536898462498</v>
      </c>
      <c r="R29" s="296">
        <f t="shared" si="11"/>
        <v>28844.536898462498</v>
      </c>
      <c r="S29" s="284">
        <f t="shared" si="12"/>
        <v>1.5999999999999999</v>
      </c>
      <c r="T29" s="43"/>
      <c r="U29" s="9"/>
      <c r="X29" s="4"/>
    </row>
    <row r="30" spans="2:25" ht="17.399999999999999" x14ac:dyDescent="0.3">
      <c r="B30" s="326">
        <v>2</v>
      </c>
      <c r="C30" s="326"/>
      <c r="D30" s="327">
        <v>0.72</v>
      </c>
      <c r="E30" s="327">
        <v>0.33</v>
      </c>
      <c r="F30" s="326"/>
      <c r="G30" s="328">
        <f t="shared" si="13"/>
        <v>22834.179480215411</v>
      </c>
      <c r="H30" s="328">
        <f t="shared" si="5"/>
        <v>45668.358960430822</v>
      </c>
      <c r="I30" s="297"/>
      <c r="J30" s="260"/>
      <c r="K30" s="44"/>
      <c r="L30" s="44">
        <f t="shared" si="14"/>
        <v>2</v>
      </c>
      <c r="M30" s="36">
        <f t="shared" si="6"/>
        <v>0.79999999999999993</v>
      </c>
      <c r="N30" s="36">
        <f t="shared" si="7"/>
        <v>0.33</v>
      </c>
      <c r="O30" s="256">
        <f t="shared" si="8"/>
        <v>0.26400000000000001</v>
      </c>
      <c r="P30" s="254">
        <f t="shared" si="9"/>
        <v>0.52800000000000002</v>
      </c>
      <c r="Q30" s="247">
        <f t="shared" si="10"/>
        <v>19834.179480215411</v>
      </c>
      <c r="R30" s="296">
        <f t="shared" si="11"/>
        <v>22834.179480215411</v>
      </c>
      <c r="S30" s="284">
        <f t="shared" si="12"/>
        <v>1.5999999999999999</v>
      </c>
      <c r="T30" s="43"/>
      <c r="U30" s="9"/>
      <c r="X30" s="4"/>
    </row>
    <row r="31" spans="2:25" ht="17.399999999999999" x14ac:dyDescent="0.3">
      <c r="B31" s="326">
        <v>2</v>
      </c>
      <c r="C31" s="326"/>
      <c r="D31" s="327">
        <v>0.72</v>
      </c>
      <c r="E31" s="327">
        <v>0.39800000000000002</v>
      </c>
      <c r="F31" s="326"/>
      <c r="G31" s="328">
        <f t="shared" si="13"/>
        <v>26921.222524623434</v>
      </c>
      <c r="H31" s="328">
        <f t="shared" si="5"/>
        <v>53842.445049246868</v>
      </c>
      <c r="I31" s="297"/>
      <c r="J31" s="260"/>
      <c r="K31" s="44"/>
      <c r="L31" s="44">
        <f t="shared" si="14"/>
        <v>2</v>
      </c>
      <c r="M31" s="36">
        <f t="shared" si="6"/>
        <v>0.79999999999999993</v>
      </c>
      <c r="N31" s="36">
        <f t="shared" si="7"/>
        <v>0.39800000000000002</v>
      </c>
      <c r="O31" s="256">
        <f t="shared" si="8"/>
        <v>0.31840000000000002</v>
      </c>
      <c r="P31" s="254">
        <f t="shared" si="9"/>
        <v>0.63680000000000003</v>
      </c>
      <c r="Q31" s="247">
        <f t="shared" si="10"/>
        <v>23921.222524623434</v>
      </c>
      <c r="R31" s="296">
        <f t="shared" si="11"/>
        <v>26921.222524623434</v>
      </c>
      <c r="S31" s="284">
        <f t="shared" si="12"/>
        <v>1.5999999999999999</v>
      </c>
      <c r="T31" s="43"/>
      <c r="U31" s="9"/>
      <c r="X31" s="4"/>
    </row>
    <row r="32" spans="2:25" ht="17.399999999999999" x14ac:dyDescent="0.3">
      <c r="B32" s="326">
        <v>1</v>
      </c>
      <c r="C32" s="326"/>
      <c r="D32" s="327">
        <v>0.72</v>
      </c>
      <c r="E32" s="327">
        <v>0.6</v>
      </c>
      <c r="F32" s="326"/>
      <c r="G32" s="328">
        <f t="shared" si="13"/>
        <v>39062.144509482554</v>
      </c>
      <c r="H32" s="328">
        <f t="shared" si="5"/>
        <v>39062.144509482554</v>
      </c>
      <c r="I32" s="297"/>
      <c r="J32" s="260"/>
      <c r="K32" s="44"/>
      <c r="L32" s="44">
        <f t="shared" si="14"/>
        <v>1</v>
      </c>
      <c r="M32" s="36">
        <f t="shared" si="6"/>
        <v>0.79999999999999993</v>
      </c>
      <c r="N32" s="36">
        <f t="shared" si="7"/>
        <v>0.6</v>
      </c>
      <c r="O32" s="256">
        <f t="shared" si="8"/>
        <v>0.47999999999999993</v>
      </c>
      <c r="P32" s="254">
        <f t="shared" si="9"/>
        <v>0.47999999999999993</v>
      </c>
      <c r="Q32" s="247">
        <f t="shared" si="10"/>
        <v>36062.144509482554</v>
      </c>
      <c r="R32" s="296">
        <f t="shared" si="11"/>
        <v>39062.144509482554</v>
      </c>
      <c r="S32" s="284">
        <f t="shared" si="12"/>
        <v>0.79999999999999993</v>
      </c>
      <c r="T32" s="43"/>
      <c r="U32" s="9"/>
      <c r="X32" s="4"/>
    </row>
    <row r="33" spans="1:24" ht="17.399999999999999" x14ac:dyDescent="0.3">
      <c r="B33" s="326">
        <v>1</v>
      </c>
      <c r="C33" s="326"/>
      <c r="D33" s="327">
        <v>0.72</v>
      </c>
      <c r="E33" s="327">
        <v>0.5</v>
      </c>
      <c r="F33" s="326"/>
      <c r="G33" s="328">
        <f t="shared" si="13"/>
        <v>33051.78709123547</v>
      </c>
      <c r="H33" s="328">
        <f t="shared" si="5"/>
        <v>33051.78709123547</v>
      </c>
      <c r="I33" s="297"/>
      <c r="J33" s="260"/>
      <c r="K33" s="44"/>
      <c r="L33" s="44">
        <f t="shared" si="14"/>
        <v>1</v>
      </c>
      <c r="M33" s="36">
        <f t="shared" si="6"/>
        <v>0.79999999999999993</v>
      </c>
      <c r="N33" s="36">
        <f t="shared" si="7"/>
        <v>0.5</v>
      </c>
      <c r="O33" s="256">
        <f t="shared" si="8"/>
        <v>0.39999999999999997</v>
      </c>
      <c r="P33" s="254">
        <f t="shared" si="9"/>
        <v>0.39999999999999997</v>
      </c>
      <c r="Q33" s="247">
        <f t="shared" si="10"/>
        <v>30051.787091235467</v>
      </c>
      <c r="R33" s="296">
        <f t="shared" si="11"/>
        <v>33051.78709123547</v>
      </c>
      <c r="S33" s="284">
        <f t="shared" si="12"/>
        <v>0.79999999999999993</v>
      </c>
      <c r="T33" s="43"/>
      <c r="U33" s="9"/>
      <c r="X33" s="4"/>
    </row>
    <row r="34" spans="1:24" ht="17.399999999999999" x14ac:dyDescent="0.3">
      <c r="B34" s="326">
        <v>2</v>
      </c>
      <c r="C34" s="326"/>
      <c r="D34" s="327">
        <v>0.72</v>
      </c>
      <c r="E34" s="327">
        <v>0.248</v>
      </c>
      <c r="F34" s="326"/>
      <c r="G34" s="328">
        <f t="shared" si="13"/>
        <v>17905.686397252794</v>
      </c>
      <c r="H34" s="328">
        <f t="shared" si="5"/>
        <v>35811.372794505587</v>
      </c>
      <c r="I34" s="297"/>
      <c r="J34" s="260"/>
      <c r="K34" s="44"/>
      <c r="L34" s="44">
        <f t="shared" si="14"/>
        <v>2</v>
      </c>
      <c r="M34" s="36">
        <f t="shared" si="6"/>
        <v>0.79999999999999993</v>
      </c>
      <c r="N34" s="36">
        <f t="shared" si="7"/>
        <v>0.248</v>
      </c>
      <c r="O34" s="256">
        <f t="shared" si="8"/>
        <v>0.19839999999999999</v>
      </c>
      <c r="P34" s="254">
        <f t="shared" si="9"/>
        <v>0.39679999999999999</v>
      </c>
      <c r="Q34" s="247">
        <f t="shared" si="10"/>
        <v>14905.686397252792</v>
      </c>
      <c r="R34" s="296">
        <f t="shared" si="11"/>
        <v>17905.686397252794</v>
      </c>
      <c r="S34" s="284">
        <f t="shared" si="12"/>
        <v>1.5999999999999999</v>
      </c>
      <c r="T34" s="43"/>
      <c r="U34" s="9"/>
      <c r="X34" s="4"/>
    </row>
    <row r="35" spans="1:24" ht="17.399999999999999" x14ac:dyDescent="0.3">
      <c r="B35" s="326">
        <v>3</v>
      </c>
      <c r="C35" s="326"/>
      <c r="D35" s="327">
        <v>0.7</v>
      </c>
      <c r="E35" s="327">
        <v>0.32800000000000001</v>
      </c>
      <c r="F35" s="326"/>
      <c r="G35" s="328">
        <f t="shared" si="13"/>
        <v>22221.123023554203</v>
      </c>
      <c r="H35" s="328">
        <f t="shared" si="5"/>
        <v>66663.369070662608</v>
      </c>
      <c r="I35" s="297"/>
      <c r="J35" s="260"/>
      <c r="K35" s="44"/>
      <c r="L35" s="44">
        <f t="shared" si="14"/>
        <v>3</v>
      </c>
      <c r="M35" s="36">
        <f t="shared" si="6"/>
        <v>0.77999999999999992</v>
      </c>
      <c r="N35" s="36">
        <f t="shared" si="7"/>
        <v>0.32800000000000001</v>
      </c>
      <c r="O35" s="256">
        <f t="shared" si="8"/>
        <v>0.25583999999999996</v>
      </c>
      <c r="P35" s="254">
        <f t="shared" si="9"/>
        <v>0.76751999999999987</v>
      </c>
      <c r="Q35" s="247">
        <f t="shared" si="10"/>
        <v>19221.123023554203</v>
      </c>
      <c r="R35" s="296">
        <f t="shared" si="11"/>
        <v>22221.123023554203</v>
      </c>
      <c r="S35" s="284">
        <f t="shared" si="12"/>
        <v>2.34</v>
      </c>
      <c r="T35" s="43"/>
      <c r="U35" s="9"/>
      <c r="X35" s="4"/>
    </row>
    <row r="36" spans="1:24" ht="17.399999999999999" x14ac:dyDescent="0.3">
      <c r="B36" s="326">
        <v>4</v>
      </c>
      <c r="C36" s="326"/>
      <c r="D36" s="327">
        <v>0.7</v>
      </c>
      <c r="E36" s="327">
        <v>0.248</v>
      </c>
      <c r="F36" s="326"/>
      <c r="G36" s="328">
        <f t="shared" si="13"/>
        <v>17533.044237321468</v>
      </c>
      <c r="H36" s="328">
        <f t="shared" si="5"/>
        <v>70132.176949285873</v>
      </c>
      <c r="I36" s="297"/>
      <c r="J36" s="260"/>
      <c r="K36" s="44"/>
      <c r="L36" s="44">
        <f t="shared" si="14"/>
        <v>4</v>
      </c>
      <c r="M36" s="36">
        <f t="shared" si="6"/>
        <v>0.77999999999999992</v>
      </c>
      <c r="N36" s="36">
        <f t="shared" si="7"/>
        <v>0.248</v>
      </c>
      <c r="O36" s="256">
        <f t="shared" si="8"/>
        <v>0.19343999999999997</v>
      </c>
      <c r="P36" s="254">
        <f t="shared" si="9"/>
        <v>0.77375999999999989</v>
      </c>
      <c r="Q36" s="247">
        <f t="shared" si="10"/>
        <v>14533.04423732147</v>
      </c>
      <c r="R36" s="296">
        <f t="shared" si="11"/>
        <v>17533.044237321468</v>
      </c>
      <c r="S36" s="284">
        <f t="shared" si="12"/>
        <v>3.1199999999999997</v>
      </c>
      <c r="T36" s="43"/>
      <c r="U36" s="9"/>
      <c r="X36" s="4"/>
    </row>
    <row r="37" spans="1:24" ht="17.399999999999999" x14ac:dyDescent="0.3">
      <c r="B37" s="278"/>
      <c r="C37" s="278"/>
      <c r="D37" s="279"/>
      <c r="E37" s="279"/>
      <c r="F37" s="278"/>
      <c r="G37" s="297"/>
      <c r="H37" s="297"/>
      <c r="I37" s="297"/>
      <c r="J37" s="260"/>
      <c r="K37" s="44"/>
      <c r="L37" s="44"/>
      <c r="M37" s="36"/>
      <c r="N37" s="36"/>
      <c r="O37" s="256"/>
      <c r="P37" s="254"/>
      <c r="Q37" s="247"/>
      <c r="R37" s="296"/>
      <c r="S37" s="284"/>
      <c r="T37" s="43"/>
      <c r="U37" s="9"/>
      <c r="X37" s="4"/>
    </row>
    <row r="38" spans="1:24" ht="18" thickBot="1" x14ac:dyDescent="0.35">
      <c r="B38" s="278"/>
      <c r="C38" s="278"/>
      <c r="D38" s="279"/>
      <c r="E38" s="279"/>
      <c r="F38" s="278"/>
      <c r="G38" s="260"/>
      <c r="H38" s="298"/>
      <c r="I38" s="300"/>
      <c r="J38" s="229"/>
      <c r="K38" s="44"/>
      <c r="L38" s="44"/>
      <c r="M38" s="36"/>
      <c r="N38" s="36"/>
      <c r="O38" s="256"/>
      <c r="P38" s="254"/>
      <c r="Q38" s="247"/>
      <c r="R38" s="253"/>
      <c r="S38" s="284"/>
      <c r="T38" s="14"/>
      <c r="U38" s="9"/>
      <c r="X38" s="4"/>
    </row>
    <row r="39" spans="1:24" ht="17.399999999999999" x14ac:dyDescent="0.3">
      <c r="B39" s="278"/>
      <c r="C39" s="278"/>
      <c r="D39" s="279"/>
      <c r="E39" s="279"/>
      <c r="F39" s="278"/>
      <c r="G39" s="301" t="s">
        <v>28</v>
      </c>
      <c r="H39" s="329">
        <f>SUM(H21:H38)</f>
        <v>878107.09600000014</v>
      </c>
      <c r="I39" s="299"/>
      <c r="J39" s="260"/>
      <c r="K39" s="316"/>
      <c r="L39" s="44"/>
      <c r="M39" s="36"/>
      <c r="N39" s="36"/>
      <c r="O39" s="256"/>
      <c r="P39" s="254"/>
      <c r="Q39" s="247"/>
      <c r="R39" s="253"/>
      <c r="S39" s="284"/>
      <c r="T39" s="43">
        <f>SUM(T21:T38)</f>
        <v>0</v>
      </c>
      <c r="U39" s="9"/>
      <c r="X39" s="4"/>
    </row>
    <row r="40" spans="1:24" ht="17.399999999999999" x14ac:dyDescent="0.3">
      <c r="B40" s="272"/>
      <c r="C40" s="275"/>
      <c r="D40" s="276"/>
      <c r="E40" s="276"/>
      <c r="F40" s="277"/>
      <c r="G40" s="283" t="s">
        <v>51</v>
      </c>
      <c r="H40" s="330">
        <f>H39*19%</f>
        <v>166840.34824000002</v>
      </c>
      <c r="I40" s="299"/>
      <c r="J40" s="260"/>
      <c r="K40" s="316"/>
      <c r="L40" s="44"/>
      <c r="M40" s="36">
        <f>SUM(M21:M21)</f>
        <v>1.08</v>
      </c>
      <c r="N40" s="12"/>
      <c r="O40" s="12"/>
      <c r="P40" s="248">
        <f>SUM(P21:P38)</f>
        <v>10.250399999999999</v>
      </c>
      <c r="Q40" s="14"/>
      <c r="R40" s="12"/>
      <c r="S40" s="235">
        <f>SUM(S21:S39)</f>
        <v>28.500000000000007</v>
      </c>
      <c r="T40" s="43"/>
      <c r="U40" s="9"/>
      <c r="X40" s="4"/>
    </row>
    <row r="41" spans="1:24" ht="18" thickBot="1" x14ac:dyDescent="0.35">
      <c r="B41" s="270"/>
      <c r="C41" s="274"/>
      <c r="D41" s="267"/>
      <c r="E41" s="267"/>
      <c r="F41" s="268"/>
      <c r="G41" s="273" t="s">
        <v>6</v>
      </c>
      <c r="H41" s="331">
        <f>H39+H40</f>
        <v>1044947.4442400001</v>
      </c>
      <c r="I41" s="299"/>
      <c r="J41" s="260"/>
      <c r="K41" s="316"/>
      <c r="L41" s="44"/>
      <c r="M41" s="36"/>
      <c r="N41" s="12"/>
      <c r="O41" s="12"/>
      <c r="P41" s="248">
        <f>P40</f>
        <v>10.250399999999999</v>
      </c>
      <c r="Q41" s="14"/>
      <c r="R41" s="12"/>
      <c r="S41" s="235"/>
      <c r="T41" s="43"/>
      <c r="U41" s="9"/>
      <c r="X41" s="4"/>
    </row>
    <row r="42" spans="1:24" ht="17.399999999999999" x14ac:dyDescent="0.3">
      <c r="B42" s="270"/>
      <c r="C42" s="266"/>
      <c r="D42" s="267"/>
      <c r="E42" s="267"/>
      <c r="F42" s="268"/>
      <c r="J42" s="260"/>
      <c r="K42" s="316"/>
      <c r="L42" s="44"/>
      <c r="M42" s="14"/>
      <c r="N42" s="12"/>
      <c r="O42" s="12"/>
      <c r="P42" s="36">
        <f>P41*20%</f>
        <v>2.0500799999999999</v>
      </c>
      <c r="Q42" s="36" t="s">
        <v>129</v>
      </c>
      <c r="R42" s="39"/>
      <c r="S42" s="236"/>
      <c r="T42" s="14"/>
      <c r="U42" s="9"/>
      <c r="X42" s="4"/>
    </row>
    <row r="43" spans="1:24" ht="17.399999999999999" x14ac:dyDescent="0.35">
      <c r="B43" s="264"/>
      <c r="C43" s="226"/>
      <c r="D43" s="226"/>
      <c r="E43" s="229"/>
      <c r="F43" s="230"/>
      <c r="G43" s="226"/>
      <c r="H43" s="269"/>
      <c r="I43" s="269"/>
      <c r="J43" s="260"/>
      <c r="K43" s="44"/>
      <c r="L43" s="44"/>
      <c r="M43" s="14"/>
      <c r="N43" s="12"/>
      <c r="O43" s="12"/>
      <c r="P43" s="43">
        <f>P41+P42</f>
        <v>12.300479999999999</v>
      </c>
      <c r="Q43" s="14"/>
      <c r="R43" s="14"/>
      <c r="S43" s="234"/>
      <c r="T43" s="14"/>
      <c r="U43" s="9"/>
      <c r="X43" s="4"/>
    </row>
    <row r="44" spans="1:24" ht="17.399999999999999" x14ac:dyDescent="0.35">
      <c r="B44" s="231"/>
      <c r="C44" s="232"/>
      <c r="D44" s="233"/>
      <c r="E44" s="231"/>
      <c r="F44" s="226"/>
      <c r="G44" s="226"/>
      <c r="I44" s="269"/>
      <c r="J44" s="260"/>
      <c r="K44" s="44"/>
      <c r="L44" s="44"/>
      <c r="M44" s="14"/>
      <c r="N44" s="14"/>
      <c r="O44" s="14"/>
      <c r="P44" s="14"/>
      <c r="Q44" s="14"/>
      <c r="R44" s="14"/>
      <c r="S44" s="236"/>
      <c r="T44" s="14"/>
      <c r="U44" s="288" t="s">
        <v>21</v>
      </c>
      <c r="V44" s="285" t="s">
        <v>149</v>
      </c>
      <c r="W44" s="289">
        <v>44971</v>
      </c>
      <c r="X44" s="290"/>
    </row>
    <row r="45" spans="1:24" ht="17.399999999999999" x14ac:dyDescent="0.35">
      <c r="B45" s="226"/>
      <c r="C45" s="226"/>
      <c r="D45" s="226"/>
      <c r="E45" s="226"/>
      <c r="F45" s="226"/>
      <c r="G45" s="226"/>
      <c r="J45" s="260"/>
      <c r="K45" s="44"/>
      <c r="L45" s="44"/>
      <c r="M45" s="36">
        <f>P43</f>
        <v>12.300479999999999</v>
      </c>
      <c r="N45" s="12">
        <v>3500</v>
      </c>
      <c r="O45" s="12">
        <f t="shared" ref="O45:O50" si="15">M45*N45</f>
        <v>43051.679999999993</v>
      </c>
      <c r="P45" s="14" t="s">
        <v>21</v>
      </c>
      <c r="Q45" s="14"/>
      <c r="R45" s="14"/>
      <c r="S45" s="237"/>
      <c r="T45" s="14"/>
      <c r="U45" s="288" t="s">
        <v>150</v>
      </c>
      <c r="V45" s="285">
        <v>3625</v>
      </c>
      <c r="W45" s="56" t="s">
        <v>151</v>
      </c>
      <c r="X45" s="290"/>
    </row>
    <row r="46" spans="1:24" ht="17.399999999999999" x14ac:dyDescent="0.35">
      <c r="A46" s="226"/>
      <c r="B46" s="226"/>
      <c r="C46" s="226"/>
      <c r="D46" s="226"/>
      <c r="E46" s="226"/>
      <c r="F46" s="226"/>
      <c r="G46" s="226"/>
      <c r="H46" s="226"/>
      <c r="J46" s="260"/>
      <c r="K46" s="44"/>
      <c r="L46" s="44"/>
      <c r="M46" s="244">
        <v>3.3170000000000002</v>
      </c>
      <c r="N46" s="12">
        <v>41000</v>
      </c>
      <c r="O46" s="12">
        <f t="shared" si="15"/>
        <v>135997</v>
      </c>
      <c r="P46" s="36" t="s">
        <v>169</v>
      </c>
      <c r="Q46" s="39"/>
      <c r="R46" s="14"/>
      <c r="S46" s="236"/>
      <c r="T46" s="14"/>
      <c r="U46" s="288"/>
      <c r="V46" s="56">
        <v>906.25</v>
      </c>
      <c r="W46" s="56" t="s">
        <v>152</v>
      </c>
      <c r="X46" s="290"/>
    </row>
    <row r="47" spans="1:24" s="226" customFormat="1" ht="17.399999999999999" x14ac:dyDescent="0.35">
      <c r="B47" s="21" t="s">
        <v>148</v>
      </c>
      <c r="J47" s="257"/>
      <c r="K47" s="228"/>
      <c r="L47" s="245"/>
      <c r="M47" s="14"/>
      <c r="N47" s="245">
        <v>80000</v>
      </c>
      <c r="O47" s="12">
        <f t="shared" si="15"/>
        <v>0</v>
      </c>
      <c r="P47" s="36" t="s">
        <v>30</v>
      </c>
      <c r="Q47" s="39"/>
      <c r="S47" s="236"/>
      <c r="T47" s="251"/>
      <c r="U47" s="56"/>
      <c r="V47" s="56">
        <f>V46*20%</f>
        <v>181.25</v>
      </c>
      <c r="W47" s="290" t="s">
        <v>153</v>
      </c>
      <c r="X47" s="56"/>
    </row>
    <row r="48" spans="1:24" s="226" customFormat="1" ht="17.399999999999999" x14ac:dyDescent="0.35">
      <c r="B48" s="21" t="s">
        <v>164</v>
      </c>
      <c r="C48"/>
      <c r="D48"/>
      <c r="E48"/>
      <c r="F48"/>
      <c r="J48" s="257">
        <v>46000</v>
      </c>
      <c r="K48" s="228"/>
      <c r="L48" s="245"/>
      <c r="M48" s="14">
        <v>6</v>
      </c>
      <c r="N48" s="245">
        <v>28500</v>
      </c>
      <c r="O48" s="12">
        <f t="shared" si="15"/>
        <v>171000</v>
      </c>
      <c r="P48" s="14" t="s">
        <v>139</v>
      </c>
      <c r="Q48" s="17"/>
      <c r="S48" s="234"/>
      <c r="T48" s="251"/>
      <c r="U48" s="56"/>
      <c r="V48" s="56">
        <f>V46+V47</f>
        <v>1087.5</v>
      </c>
      <c r="W48" s="290" t="s">
        <v>154</v>
      </c>
      <c r="X48" s="56"/>
    </row>
    <row r="49" spans="2:24" s="226" customFormat="1" ht="17.399999999999999" x14ac:dyDescent="0.35">
      <c r="B49" s="26" t="s">
        <v>124</v>
      </c>
      <c r="C49"/>
      <c r="D49"/>
      <c r="E49"/>
      <c r="F49" s="225" t="s">
        <v>15</v>
      </c>
      <c r="J49" s="257">
        <f>J48/1.19</f>
        <v>38655.462184873948</v>
      </c>
      <c r="K49" s="255"/>
      <c r="L49" s="245"/>
      <c r="M49" s="244"/>
      <c r="N49" s="245">
        <v>900</v>
      </c>
      <c r="O49" s="12">
        <f t="shared" si="15"/>
        <v>0</v>
      </c>
      <c r="P49" s="14" t="s">
        <v>32</v>
      </c>
      <c r="Q49" s="14"/>
      <c r="R49" s="226">
        <v>1.83</v>
      </c>
      <c r="S49" s="234"/>
      <c r="T49" s="234"/>
    </row>
    <row r="50" spans="2:24" s="226" customFormat="1" ht="17.399999999999999" x14ac:dyDescent="0.35">
      <c r="J50" s="282"/>
      <c r="K50" s="255"/>
      <c r="L50" s="245"/>
      <c r="M50" s="261"/>
      <c r="N50" s="12">
        <v>1500</v>
      </c>
      <c r="O50" s="12">
        <f t="shared" si="15"/>
        <v>0</v>
      </c>
      <c r="P50" s="14" t="s">
        <v>22</v>
      </c>
      <c r="Q50" s="14"/>
      <c r="R50">
        <v>2.5</v>
      </c>
      <c r="S50"/>
      <c r="T50" s="234"/>
      <c r="X50" s="227"/>
    </row>
    <row r="51" spans="2:24" s="226" customFormat="1" ht="17.399999999999999" x14ac:dyDescent="0.35">
      <c r="K51" s="255"/>
      <c r="L51" s="245"/>
      <c r="M51" s="14"/>
      <c r="N51" s="12"/>
      <c r="O51" s="12">
        <f>SUM(O45:O50)</f>
        <v>350048.68</v>
      </c>
      <c r="P51" s="36" t="s">
        <v>23</v>
      </c>
      <c r="Q51" s="14"/>
      <c r="R51">
        <f>R49*R50</f>
        <v>4.5750000000000002</v>
      </c>
      <c r="S51"/>
      <c r="T51" s="234"/>
      <c r="X51" s="227"/>
    </row>
    <row r="52" spans="2:24" s="226" customFormat="1" ht="17.399999999999999" x14ac:dyDescent="0.35">
      <c r="L52" s="245"/>
      <c r="M52" s="249" t="s">
        <v>33</v>
      </c>
      <c r="N52" s="12"/>
      <c r="O52" s="250">
        <f>O51*2.2</f>
        <v>770107.09600000002</v>
      </c>
      <c r="P52" s="14" t="s">
        <v>138</v>
      </c>
      <c r="Q52" s="14"/>
      <c r="R52" s="37">
        <f>P43/R51</f>
        <v>2.6886295081967209</v>
      </c>
      <c r="S52"/>
      <c r="T52" s="252"/>
    </row>
    <row r="53" spans="2:24" s="226" customFormat="1" ht="17.399999999999999" x14ac:dyDescent="0.35">
      <c r="G53"/>
      <c r="H53" s="255"/>
      <c r="I53" s="255"/>
      <c r="J53" s="255"/>
      <c r="L53" s="245"/>
      <c r="M53" s="14"/>
      <c r="N53" s="12"/>
      <c r="O53" s="12">
        <f>O52/P41</f>
        <v>75129.467728088668</v>
      </c>
      <c r="P53" s="42" t="s">
        <v>24</v>
      </c>
      <c r="Q53" s="14"/>
      <c r="R53" s="14"/>
      <c r="S53"/>
      <c r="T53" s="234"/>
      <c r="U53" s="56" t="s">
        <v>155</v>
      </c>
      <c r="V53" s="285">
        <v>43650</v>
      </c>
    </row>
    <row r="54" spans="2:24" s="226" customFormat="1" ht="17.399999999999999" x14ac:dyDescent="0.35">
      <c r="G54"/>
      <c r="L54" s="245"/>
      <c r="M54" s="13"/>
      <c r="N54" s="14"/>
      <c r="O54" s="17">
        <f>O52/O51</f>
        <v>2.2000000000000002</v>
      </c>
      <c r="P54" s="15"/>
      <c r="Q54"/>
      <c r="R54"/>
      <c r="S54"/>
      <c r="T54" s="234"/>
      <c r="U54" s="56" t="s">
        <v>157</v>
      </c>
      <c r="V54" s="286" t="s">
        <v>156</v>
      </c>
      <c r="W54" s="56">
        <v>2.4</v>
      </c>
    </row>
    <row r="55" spans="2:24" s="226" customFormat="1" ht="17.399999999999999" x14ac:dyDescent="0.35">
      <c r="D55" s="279"/>
      <c r="E55" s="279"/>
      <c r="F55" s="278"/>
      <c r="G55" s="317"/>
      <c r="H55" s="324"/>
      <c r="L55" s="12"/>
      <c r="T55" s="234"/>
      <c r="U55" s="56" t="s">
        <v>158</v>
      </c>
      <c r="V55" s="287">
        <v>395.37</v>
      </c>
    </row>
    <row r="56" spans="2:24" s="226" customFormat="1" ht="17.399999999999999" x14ac:dyDescent="0.35">
      <c r="B56"/>
      <c r="C56" s="325"/>
      <c r="D56" s="279"/>
      <c r="E56" s="279"/>
      <c r="F56" s="278"/>
      <c r="G56" s="317"/>
      <c r="H56" s="324"/>
      <c r="L56" s="12"/>
      <c r="T56" s="234"/>
      <c r="U56" s="56" t="s">
        <v>153</v>
      </c>
      <c r="V56" s="56">
        <v>474.45</v>
      </c>
    </row>
    <row r="57" spans="2:24" ht="14.4" customHeight="1" x14ac:dyDescent="0.35">
      <c r="D57" s="279"/>
      <c r="E57" s="279"/>
      <c r="F57" s="278"/>
      <c r="G57" s="317"/>
      <c r="H57" s="324"/>
      <c r="L57" s="12"/>
      <c r="U57" s="56"/>
      <c r="V57" s="56"/>
    </row>
    <row r="58" spans="2:24" ht="17.399999999999999" x14ac:dyDescent="0.35">
      <c r="D58" s="279"/>
      <c r="E58" s="279"/>
      <c r="F58" s="278"/>
      <c r="G58" s="317"/>
      <c r="H58" s="324"/>
      <c r="L58" s="245"/>
    </row>
    <row r="59" spans="2:24" ht="17.399999999999999" x14ac:dyDescent="0.35">
      <c r="D59" s="279"/>
      <c r="E59" s="279"/>
      <c r="F59" s="278"/>
      <c r="G59" s="317"/>
      <c r="H59" s="324"/>
      <c r="L59" s="245"/>
      <c r="T59" s="265"/>
    </row>
    <row r="60" spans="2:24" ht="17.399999999999999" x14ac:dyDescent="0.35">
      <c r="D60" s="279"/>
      <c r="E60" s="279"/>
      <c r="F60" s="278"/>
      <c r="G60" s="317"/>
      <c r="H60" s="324"/>
      <c r="L60" s="245"/>
    </row>
    <row r="61" spans="2:24" ht="15" customHeight="1" x14ac:dyDescent="0.35">
      <c r="D61" s="279"/>
      <c r="E61" s="279"/>
      <c r="F61" s="278"/>
      <c r="G61" s="317"/>
      <c r="H61" s="324"/>
    </row>
    <row r="62" spans="2:24" ht="17.399999999999999" x14ac:dyDescent="0.35">
      <c r="D62" s="279"/>
      <c r="E62" s="279"/>
      <c r="F62" s="278"/>
      <c r="G62" s="317"/>
      <c r="H62" s="324"/>
    </row>
    <row r="63" spans="2:24" ht="17.399999999999999" x14ac:dyDescent="0.35">
      <c r="D63" s="279"/>
      <c r="E63" s="279"/>
      <c r="F63" s="278"/>
      <c r="G63" s="317"/>
      <c r="H63" s="324"/>
      <c r="O63">
        <v>40935</v>
      </c>
      <c r="P63" t="s">
        <v>16</v>
      </c>
      <c r="Q63" t="s">
        <v>26</v>
      </c>
    </row>
    <row r="64" spans="2:24" ht="17.399999999999999" x14ac:dyDescent="0.35">
      <c r="D64" s="279"/>
      <c r="E64" s="279"/>
      <c r="F64" s="278"/>
      <c r="G64" s="317"/>
      <c r="H64" s="324"/>
    </row>
    <row r="65" spans="4:20" ht="17.399999999999999" x14ac:dyDescent="0.35">
      <c r="D65" s="279"/>
      <c r="E65" s="279"/>
      <c r="F65" s="278"/>
      <c r="G65" s="317"/>
      <c r="H65" s="324"/>
      <c r="O65" s="51"/>
      <c r="P65" s="51"/>
    </row>
    <row r="66" spans="4:20" ht="17.399999999999999" x14ac:dyDescent="0.35">
      <c r="D66" s="279"/>
      <c r="E66" s="279"/>
      <c r="F66" s="278"/>
      <c r="G66" s="317"/>
      <c r="H66" s="324"/>
      <c r="S66" s="18"/>
      <c r="T66" s="18"/>
    </row>
    <row r="67" spans="4:20" ht="17.399999999999999" x14ac:dyDescent="0.35">
      <c r="D67" s="279"/>
      <c r="E67" s="279"/>
      <c r="F67" s="278"/>
      <c r="G67" s="317"/>
      <c r="H67" s="324"/>
      <c r="S67" s="18"/>
      <c r="T67" s="18"/>
    </row>
    <row r="68" spans="4:20" ht="17.399999999999999" x14ac:dyDescent="0.35">
      <c r="D68" s="279"/>
      <c r="E68" s="279"/>
      <c r="F68" s="278"/>
      <c r="G68" s="317"/>
      <c r="H68" s="324"/>
      <c r="S68" s="18"/>
      <c r="T68" s="18"/>
    </row>
    <row r="69" spans="4:20" x14ac:dyDescent="0.3">
      <c r="S69" s="18"/>
      <c r="T69" s="18"/>
    </row>
    <row r="70" spans="4:20" x14ac:dyDescent="0.3">
      <c r="S70" s="18"/>
      <c r="T70" s="18"/>
    </row>
    <row r="71" spans="4:20" x14ac:dyDescent="0.3">
      <c r="S71" s="18"/>
      <c r="T71" s="18"/>
    </row>
    <row r="72" spans="4:20" x14ac:dyDescent="0.3">
      <c r="S72" s="18"/>
      <c r="T72" s="18"/>
    </row>
    <row r="73" spans="4:20" x14ac:dyDescent="0.3">
      <c r="S73" s="18"/>
      <c r="T73" s="18"/>
    </row>
    <row r="74" spans="4:20" x14ac:dyDescent="0.3">
      <c r="S74" s="18"/>
      <c r="T74" s="18"/>
    </row>
    <row r="77" spans="4:20" x14ac:dyDescent="0.3">
      <c r="O77" s="40"/>
    </row>
    <row r="78" spans="4:20" x14ac:dyDescent="0.3">
      <c r="O78" s="40"/>
    </row>
    <row r="79" spans="4:20" x14ac:dyDescent="0.3">
      <c r="O79" s="6"/>
    </row>
    <row r="80" spans="4:20" x14ac:dyDescent="0.3">
      <c r="O80" s="6"/>
    </row>
    <row r="88" spans="3:3" x14ac:dyDescent="0.3">
      <c r="C88" t="s">
        <v>145</v>
      </c>
    </row>
    <row r="89" spans="3:3" x14ac:dyDescent="0.3">
      <c r="C89" t="s">
        <v>144</v>
      </c>
    </row>
    <row r="92" spans="3:3" x14ac:dyDescent="0.3">
      <c r="C92" t="s">
        <v>144</v>
      </c>
    </row>
    <row r="169" spans="3:3" x14ac:dyDescent="0.3">
      <c r="C169" t="s">
        <v>144</v>
      </c>
    </row>
    <row r="170" spans="3:3" x14ac:dyDescent="0.3">
      <c r="C170" t="s">
        <v>146</v>
      </c>
    </row>
    <row r="171" spans="3:3" x14ac:dyDescent="0.3">
      <c r="C171" t="s">
        <v>147</v>
      </c>
    </row>
    <row r="596" spans="3:3" x14ac:dyDescent="0.3">
      <c r="C596" t="s">
        <v>144</v>
      </c>
    </row>
  </sheetData>
  <mergeCells count="2">
    <mergeCell ref="F17:H17"/>
    <mergeCell ref="B19:H19"/>
  </mergeCells>
  <phoneticPr fontId="34" type="noConversion"/>
  <hyperlinks>
    <hyperlink ref="F4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45887</v>
      </c>
    </row>
    <row r="6" spans="1:31" ht="16.2" thickBot="1" x14ac:dyDescent="0.35">
      <c r="B6" s="137" t="s">
        <v>2</v>
      </c>
      <c r="C6" s="136" t="str">
        <f>'2229'!C10</f>
        <v>CECILIA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8" t="s">
        <v>98</v>
      </c>
      <c r="I7" s="339"/>
      <c r="J7" s="339"/>
      <c r="K7" s="340"/>
      <c r="N7" s="72"/>
      <c r="O7" s="337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11600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7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-93277.158593236745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'2229'!H39</f>
        <v>878107.09600000014</v>
      </c>
      <c r="E11" s="129">
        <f>D11*0.19</f>
        <v>166840.34824000002</v>
      </c>
      <c r="F11" s="128">
        <f>E11+D11</f>
        <v>1044947.4442400001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12712.841406763255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199027.59027536231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-5287.1585932367452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679079.50572463777</v>
      </c>
      <c r="E13" s="218">
        <f>(D11/D12)-1</f>
        <v>3.4119867742211278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-14287.158593236745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-53287.158593236745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378948.53188428981</v>
      </c>
      <c r="C15" s="210" t="s">
        <v>121</v>
      </c>
      <c r="D15" s="211">
        <v>0.6</v>
      </c>
      <c r="E15" s="212">
        <f>(100%+D15)*D12</f>
        <v>318444.14444057969</v>
      </c>
      <c r="F15" s="213">
        <f>E15-D12</f>
        <v>119416.55416521739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-53287.158593236745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-13287.158593236745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'2229'!O47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'2229'!O46</f>
        <v>135997</v>
      </c>
      <c r="E19" s="120">
        <f>D19*0.19</f>
        <v>25839.43</v>
      </c>
      <c r="F19" s="117">
        <f>SUM(D19:E19)</f>
        <v>161836.43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'2229'!O45</f>
        <v>43051.679999999993</v>
      </c>
      <c r="E20" s="118">
        <f>D20*0.19</f>
        <v>8179.819199999999</v>
      </c>
      <c r="F20" s="117">
        <f>SUM(D20:E20)</f>
        <v>51231.499199999991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179048.68</v>
      </c>
      <c r="E21" s="113">
        <f>SUM(E18:E20)</f>
        <v>34019.249199999998</v>
      </c>
      <c r="F21" s="112">
        <f>SUM(F18:F20)</f>
        <v>213067.92919999998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132821.09904000003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878107.09600000014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179048.68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679079.50572463777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679079.50572463777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2025-08-18T20:06:03Z</cp:lastPrinted>
  <dcterms:created xsi:type="dcterms:W3CDTF">2013-03-18T13:35:42Z</dcterms:created>
  <dcterms:modified xsi:type="dcterms:W3CDTF">2025-08-19T03:48:15Z</dcterms:modified>
</cp:coreProperties>
</file>