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09DE9F5B-C911-4E04-960B-6EB49A898B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L24" i="1"/>
  <c r="M24" i="1"/>
  <c r="N24" i="1"/>
  <c r="O24" i="1"/>
  <c r="P24" i="1" s="1"/>
  <c r="H23" i="1"/>
  <c r="M22" i="1"/>
  <c r="N22" i="1"/>
  <c r="O22" i="1"/>
  <c r="P22" i="1"/>
  <c r="M23" i="1"/>
  <c r="N23" i="1"/>
  <c r="O23" i="1"/>
  <c r="P23" i="1" s="1"/>
  <c r="H22" i="1"/>
  <c r="M21" i="1" l="1"/>
  <c r="M28" i="1" l="1"/>
  <c r="N21" i="1"/>
  <c r="S21" i="1" l="1"/>
  <c r="S28" i="1" s="1"/>
  <c r="T21" i="1"/>
  <c r="T27" i="1" s="1"/>
  <c r="O21" i="1"/>
  <c r="P21" i="1" s="1"/>
  <c r="P28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Q20" i="1" s="1"/>
  <c r="Q24" i="1" s="1"/>
  <c r="R24" i="1" s="1"/>
  <c r="D20" i="3"/>
  <c r="E20" i="3" s="1"/>
  <c r="E21" i="3" s="1"/>
  <c r="Q23" i="1" l="1"/>
  <c r="R23" i="1" s="1"/>
  <c r="Q22" i="1"/>
  <c r="R22" i="1" s="1"/>
  <c r="D21" i="3"/>
  <c r="M43" i="3" s="1"/>
  <c r="D12" i="3" s="1"/>
  <c r="E15" i="3" s="1"/>
  <c r="A15" i="3" s="1"/>
  <c r="F20" i="3"/>
  <c r="F21" i="3" s="1"/>
  <c r="O42" i="1" l="1"/>
  <c r="Q21" i="1" l="1"/>
  <c r="F15" i="3"/>
  <c r="R21" i="1" l="1"/>
  <c r="H21" i="1" l="1"/>
  <c r="H27" i="1" l="1"/>
  <c r="H28" i="1" s="1"/>
  <c r="H29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<sst xmlns="http://schemas.openxmlformats.org/spreadsheetml/2006/main" count="237" uniqueCount="177">
  <si>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</si>
  <si>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</si>
  <si>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</si>
  <si>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</si>
  <si>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</si>
  <si>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</si>
  <si>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</si>
  <si>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</si>
  <si>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</si>
  <si>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</si>
  <si>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</si>
  <si>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</si>
  <si>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</si>
  <si>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</si>
  <si>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</si>
  <si>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</si>
  <si>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</si>
  <si>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</si>
  <si>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</si>
  <si>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</si>
  <si>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</si>
  <si>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</si>
  <si>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</si>
  <si>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</si>
  <si>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</si>
  <si>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</si>
  <si>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</si>
  <si>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</si>
  <si>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</si>
  <si>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</si>
  <si>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</si>
  <si>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</si>
  <si>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</si>
  <si>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</si>
  <si>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</si>
  <si>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</si>
  <si>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</si>
  <si>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</si>
  <si>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</si>
  <si>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</si>
  <si>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</si>
  <si>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</si>
  <si>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</si>
  <si>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</si>
  <si>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</si>
  <si>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</si>
  <si>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</si>
  <si>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</si>
  <si>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</si>
  <si>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</si>
  <si>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</si>
  <si>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</si>
  <si>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</si>
  <si>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</si>
  <si>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</si>
  <si>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</si>
  <si>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</si>
  <si>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</si>
  <si>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</si>
  <si>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</si>
  <si>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</si>
  <si>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</si>
  <si>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</si>
  <si>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</si>
  <si>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</si>
  <si>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</si>
  <si>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</si>
  <si>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</si>
  <si>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</si>
  <si>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</si>
  <si>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</si>
  <si>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</si>
  <si>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</si>
  <si>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</si>
  <si>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</si>
  <si>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</si>
  <si>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</si>
  <si>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</si>
  <si>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</si>
  <si>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</si>
  <si>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</si>
  <si>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</si>
  <si>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</si>
  <si>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</si>
  <si>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</si>
  <si>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</si>
  <si>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</si>
  <si>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</si>
  <si>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</si>
  <si>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</si>
  <si>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</si>
  <si>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</si>
  <si>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</si>
  <si>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</si>
  <si>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</si>
  <si>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</si>
  <si>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</si>
  <si>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</si>
  <si>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</si>
  <si>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</si>
  <si>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</si>
  <si>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</si>
  <si>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</si>
  <si>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</si>
  <si>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</si>
  <si>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</si>
  <si>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</si>
  <si>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</si>
  <si>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</si>
  <si>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</si>
  <si>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</si>
  <si>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</si>
  <si>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</si>
  <si>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</si>
  <si>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</si>
  <si>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</si>
  <si>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</si>
  <si>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</si>
  <si>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</si>
  <si>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</si>
  <si>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</si>
  <si>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</si>
  <si>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</si>
  <si>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</si>
  <si>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</si>
  <si>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</si>
  <si>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</si>
  <si>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</si>
  <si>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</si>
  <si>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</si>
  <si>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</si>
  <si>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</si>
  <si>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</si>
  <si>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</si>
  <si>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</si>
  <si>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</si>
  <si>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</si>
  <si>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</si>
  <si>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</si>
  <si>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</si>
  <si>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</si>
  <si>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</si>
  <si>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</si>
  <si>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</si>
  <si>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</si>
  <si>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</si>
  <si>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</si>
  <si>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</si>
  <si>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</si>
  <si>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</si>
  <si>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</si>
  <si>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</si>
  <si>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</si>
  <si>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</si>
  <si>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</si>
  <si>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</si>
  <si>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</si>
  <si>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</si>
  <si>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</si>
  <si>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</si>
  <si>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</si>
  <si>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</si>
  <si>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</si>
  <si>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</si>
  <si>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</si>
  <si>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</si>
  <si>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</si>
  <si>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</si>
  <si>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</si>
  <si>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</si>
  <si>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</si>
  <si>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N° 11562</t>
  </si>
  <si>
    <t>DIEGO LOBO VENEGAS</t>
  </si>
  <si>
    <t>+569 3662 1518</t>
  </si>
  <si>
    <t>PR12</t>
  </si>
  <si>
    <t>BLANCO OPACO</t>
  </si>
  <si>
    <t>PERAL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</si>
</sst>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PUERTAS</a:t>
          </a:r>
          <a:r>
            <a:rPr lang="es-CL" sz="1200" b="1" baseline="0"/>
            <a:t> DE ENTREGAN CORTADAS A LA MEDIDA Y ENCHAPADAS CON TAPACANTO PVC 0,4MM</a:t>
          </a:r>
          <a:endParaRPr lang="es-CL" sz="1200" b="1" u="non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35.10937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171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45873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173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2:25" ht="15" thickBot="1" x14ac:dyDescent="0.35">
      <c r="B17" s="292" t="s">
        <v>13</v>
      </c>
      <c r="C17" s="293" t="s">
        <v>163</v>
      </c>
      <c r="D17" s="294"/>
      <c r="E17" s="116"/>
      <c r="F17" s="329" t="s">
        <v>162</v>
      </c>
      <c r="G17" s="329"/>
      <c r="H17" s="330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1" t="s">
        <v>95</v>
      </c>
      <c r="C19" s="332"/>
      <c r="D19" s="332"/>
      <c r="E19" s="332"/>
      <c r="F19" s="332"/>
      <c r="G19" s="332"/>
      <c r="H19" s="333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O41</f>
        <v>98228.725602755425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43">
        <v>2</v>
      </c>
      <c r="C21" s="343" t="s">
        <v>174</v>
      </c>
      <c r="D21" s="344">
        <v>0.74</v>
      </c>
      <c r="E21" s="344">
        <v>0.44</v>
      </c>
      <c r="F21" s="343" t="s">
        <v>175</v>
      </c>
      <c r="G21" s="345">
        <v>26772</v>
      </c>
      <c r="H21" s="345">
        <f>G21*B21</f>
        <v>53544</v>
      </c>
      <c r="I21" s="297"/>
      <c r="J21" s="260"/>
      <c r="K21" s="44"/>
      <c r="L21" s="44"/>
      <c r="M21" s="36">
        <f>D21+M$19</f>
        <v>0.76</v>
      </c>
      <c r="N21" s="36">
        <f>E21+$N$19</f>
        <v>0.46</v>
      </c>
      <c r="O21" s="256">
        <f t="shared" ref="O21" si="1">M21*N21</f>
        <v>0.34960000000000002</v>
      </c>
      <c r="P21" s="254">
        <f t="shared" ref="P21" si="2">O21*L21</f>
        <v>0</v>
      </c>
      <c r="Q21" s="247">
        <f t="shared" ref="Q21" si="3">Q$20*O21</f>
        <v>34340.762470723297</v>
      </c>
      <c r="R21" s="296">
        <f t="shared" ref="R21" si="4">Q21+R$20</f>
        <v>37340.762470723297</v>
      </c>
      <c r="S21" s="284">
        <f>M21*L21</f>
        <v>0</v>
      </c>
      <c r="T21" s="43">
        <f>N21*2*L21*2</f>
        <v>0</v>
      </c>
      <c r="U21" s="9"/>
      <c r="X21" s="4"/>
    </row>
    <row r="22" spans="2:25" ht="17.399999999999999" x14ac:dyDescent="0.3">
      <c r="B22" s="343">
        <v>1</v>
      </c>
      <c r="C22" s="343" t="s">
        <v>174</v>
      </c>
      <c r="D22" s="344">
        <v>0.74</v>
      </c>
      <c r="E22" s="344">
        <v>0.4</v>
      </c>
      <c r="F22" s="343" t="s">
        <v>175</v>
      </c>
      <c r="G22" s="345">
        <v>24705</v>
      </c>
      <c r="H22" s="345">
        <f>G22*B22</f>
        <v>24705</v>
      </c>
      <c r="I22" s="297"/>
      <c r="J22" s="260"/>
      <c r="K22" s="44"/>
      <c r="L22" s="44"/>
      <c r="M22" s="36">
        <f t="shared" ref="M22:M23" si="5">D22+M$19</f>
        <v>0.76</v>
      </c>
      <c r="N22" s="36">
        <f t="shared" ref="N22:N23" si="6">E22+$N$19</f>
        <v>0.42000000000000004</v>
      </c>
      <c r="O22" s="256">
        <f t="shared" ref="O22:O23" si="7">M22*N22</f>
        <v>0.31920000000000004</v>
      </c>
      <c r="P22" s="254">
        <f t="shared" ref="P22:P23" si="8">O22*L22</f>
        <v>0</v>
      </c>
      <c r="Q22" s="247">
        <f t="shared" ref="Q22:Q23" si="9">Q$20*O22</f>
        <v>31354.609212399537</v>
      </c>
      <c r="R22" s="296">
        <f t="shared" ref="R22:R23" si="10">Q22+R$20</f>
        <v>34354.609212399533</v>
      </c>
      <c r="S22" s="284"/>
      <c r="T22" s="43"/>
      <c r="U22" s="9"/>
      <c r="X22" s="4"/>
    </row>
    <row r="23" spans="2:25" ht="17.399999999999999" x14ac:dyDescent="0.3">
      <c r="B23" s="343">
        <v>3</v>
      </c>
      <c r="C23" s="343" t="s">
        <v>174</v>
      </c>
      <c r="D23" s="344">
        <v>0.73</v>
      </c>
      <c r="E23" s="344">
        <v>0.36799999999999999</v>
      </c>
      <c r="F23" s="343" t="s">
        <v>175</v>
      </c>
      <c r="G23" s="345">
        <v>22788</v>
      </c>
      <c r="H23" s="345">
        <f>G23*B23</f>
        <v>68364</v>
      </c>
      <c r="I23" s="297"/>
      <c r="J23" s="260"/>
      <c r="K23" s="44"/>
      <c r="L23" s="44"/>
      <c r="M23" s="36">
        <f t="shared" si="5"/>
        <v>0.75</v>
      </c>
      <c r="N23" s="36">
        <f t="shared" si="6"/>
        <v>0.38800000000000001</v>
      </c>
      <c r="O23" s="256">
        <f t="shared" si="7"/>
        <v>0.29100000000000004</v>
      </c>
      <c r="P23" s="254">
        <f t="shared" si="8"/>
        <v>0</v>
      </c>
      <c r="Q23" s="247">
        <f t="shared" si="9"/>
        <v>28584.559150401834</v>
      </c>
      <c r="R23" s="296">
        <f t="shared" si="10"/>
        <v>31584.559150401834</v>
      </c>
      <c r="S23" s="284"/>
      <c r="T23" s="43"/>
      <c r="U23" s="9"/>
      <c r="X23" s="4"/>
    </row>
    <row r="24" spans="2:25" ht="17.399999999999999" x14ac:dyDescent="0.3">
      <c r="B24" s="343">
        <v>2</v>
      </c>
      <c r="C24" s="343" t="s">
        <v>174</v>
      </c>
      <c r="D24" s="344">
        <v>0.37</v>
      </c>
      <c r="E24" s="344">
        <v>0.65</v>
      </c>
      <c r="F24" s="343" t="s">
        <v>176</v>
      </c>
      <c r="G24" s="345">
        <v>28667</v>
      </c>
      <c r="H24" s="345">
        <f>G24*B24</f>
        <v>57334</v>
      </c>
      <c r="I24" s="297"/>
      <c r="J24" s="260"/>
      <c r="K24" s="44"/>
      <c r="L24" s="44">
        <f t="shared" ref="L24" si="11">B24</f>
        <v>2</v>
      </c>
      <c r="M24" s="36">
        <f t="shared" ref="M24" si="12">D24+M$19</f>
        <v>0.39</v>
      </c>
      <c r="N24" s="36">
        <f t="shared" ref="N24" si="13">E24+$N$19</f>
        <v>0.67</v>
      </c>
      <c r="O24" s="256">
        <f t="shared" ref="O24" si="14">M24*N24</f>
        <v>0.26130000000000003</v>
      </c>
      <c r="P24" s="254">
        <f t="shared" ref="P24" si="15">O24*L24</f>
        <v>0.52260000000000006</v>
      </c>
      <c r="Q24" s="247">
        <f t="shared" ref="Q24" si="16">Q$20*O24</f>
        <v>25667.165999999997</v>
      </c>
      <c r="R24" s="296">
        <f t="shared" ref="R24" si="17">Q24+R$20</f>
        <v>28667.165999999997</v>
      </c>
      <c r="S24" s="284"/>
      <c r="T24" s="43"/>
      <c r="U24" s="9"/>
      <c r="X24" s="4"/>
    </row>
    <row r="25" spans="2:25" ht="17.399999999999999" x14ac:dyDescent="0.3">
      <c r="B25" s="341"/>
      <c r="C25" s="341"/>
      <c r="D25" s="342"/>
      <c r="E25" s="342"/>
      <c r="F25" s="341"/>
      <c r="G25" s="297"/>
      <c r="H25" s="297"/>
      <c r="I25" s="297"/>
      <c r="J25" s="260"/>
      <c r="K25" s="44"/>
      <c r="L25" s="44"/>
      <c r="M25" s="36"/>
      <c r="N25" s="36"/>
      <c r="O25" s="256"/>
      <c r="P25" s="254"/>
      <c r="Q25" s="247"/>
      <c r="R25" s="296"/>
      <c r="S25" s="284"/>
      <c r="T25" s="43"/>
      <c r="U25" s="9"/>
      <c r="X25" s="4"/>
    </row>
    <row r="26" spans="2:25" ht="18" thickBot="1" x14ac:dyDescent="0.35">
      <c r="B26" s="278"/>
      <c r="C26" s="278"/>
      <c r="D26" s="279"/>
      <c r="E26" s="279"/>
      <c r="F26" s="278"/>
      <c r="G26" s="260"/>
      <c r="H26" s="298"/>
      <c r="I26" s="300"/>
      <c r="J26" s="229"/>
      <c r="K26" s="44"/>
      <c r="L26" s="44"/>
      <c r="M26" s="36"/>
      <c r="N26" s="36"/>
      <c r="O26" s="256"/>
      <c r="P26" s="254"/>
      <c r="Q26" s="247"/>
      <c r="R26" s="253"/>
      <c r="S26" s="284"/>
      <c r="T26" s="14"/>
      <c r="U26" s="9"/>
      <c r="X26" s="4"/>
    </row>
    <row r="27" spans="2:25" ht="17.399999999999999" x14ac:dyDescent="0.3">
      <c r="B27" s="278"/>
      <c r="C27" s="278"/>
      <c r="D27" s="279"/>
      <c r="E27" s="279"/>
      <c r="F27" s="278"/>
      <c r="G27" s="301" t="s">
        <v>28</v>
      </c>
      <c r="H27" s="326">
        <f>SUM(H21:H26)</f>
        <v>203947</v>
      </c>
      <c r="I27" s="299"/>
      <c r="J27" s="260"/>
      <c r="K27" s="316"/>
      <c r="L27" s="44"/>
      <c r="M27" s="36"/>
      <c r="N27" s="36"/>
      <c r="O27" s="256"/>
      <c r="P27" s="254"/>
      <c r="Q27" s="247"/>
      <c r="R27" s="253"/>
      <c r="S27" s="284"/>
      <c r="T27" s="43">
        <f>SUM(T21:T26)</f>
        <v>0</v>
      </c>
      <c r="U27" s="9"/>
      <c r="X27" s="4"/>
    </row>
    <row r="28" spans="2:25" ht="17.399999999999999" x14ac:dyDescent="0.3">
      <c r="B28" s="272"/>
      <c r="C28" s="275"/>
      <c r="D28" s="276"/>
      <c r="E28" s="276"/>
      <c r="F28" s="277"/>
      <c r="G28" s="283" t="s">
        <v>51</v>
      </c>
      <c r="H28" s="327">
        <f>H27*19%</f>
        <v>38749.93</v>
      </c>
      <c r="I28" s="299"/>
      <c r="J28" s="260"/>
      <c r="K28" s="316"/>
      <c r="L28" s="44"/>
      <c r="M28" s="36">
        <f>SUM(M21:M21)</f>
        <v>0.76</v>
      </c>
      <c r="N28" s="12"/>
      <c r="O28" s="12"/>
      <c r="P28" s="248">
        <f>SUM(P21:P26)</f>
        <v>0.52260000000000006</v>
      </c>
      <c r="Q28" s="14"/>
      <c r="R28" s="12"/>
      <c r="S28" s="235">
        <f>SUM(S21:S27)</f>
        <v>0</v>
      </c>
      <c r="T28" s="43"/>
      <c r="U28" s="9"/>
      <c r="X28" s="4"/>
    </row>
    <row r="29" spans="2:25" ht="18" thickBot="1" x14ac:dyDescent="0.35">
      <c r="B29" s="270"/>
      <c r="C29" s="274"/>
      <c r="D29" s="267"/>
      <c r="E29" s="267"/>
      <c r="F29" s="268"/>
      <c r="G29" s="273" t="s">
        <v>6</v>
      </c>
      <c r="H29" s="328">
        <f>H27+H28</f>
        <v>242696.93</v>
      </c>
      <c r="I29" s="299"/>
      <c r="J29" s="260"/>
      <c r="K29" s="316"/>
      <c r="L29" s="44"/>
      <c r="M29" s="36"/>
      <c r="N29" s="12"/>
      <c r="O29" s="12"/>
      <c r="P29" s="248">
        <f>P28</f>
        <v>0.52260000000000006</v>
      </c>
      <c r="Q29" s="14"/>
      <c r="R29" s="12"/>
      <c r="S29" s="235"/>
      <c r="T29" s="43"/>
      <c r="U29" s="9"/>
      <c r="X29" s="4"/>
    </row>
    <row r="30" spans="2:25" ht="17.399999999999999" x14ac:dyDescent="0.3">
      <c r="B30" s="270"/>
      <c r="C30" s="266"/>
      <c r="D30" s="267"/>
      <c r="E30" s="267"/>
      <c r="F30" s="268"/>
      <c r="J30" s="260"/>
      <c r="K30" s="316"/>
      <c r="L30" s="44"/>
      <c r="M30" s="14"/>
      <c r="N30" s="12"/>
      <c r="O30" s="12"/>
      <c r="P30" s="36">
        <f>P29*20%</f>
        <v>0.10452000000000002</v>
      </c>
      <c r="Q30" s="36" t="s">
        <v>129</v>
      </c>
      <c r="R30" s="39"/>
      <c r="S30" s="236"/>
      <c r="T30" s="14"/>
      <c r="U30" s="9"/>
      <c r="X30" s="4"/>
    </row>
    <row r="31" spans="2:25" ht="17.399999999999999" x14ac:dyDescent="0.35">
      <c r="B31" s="264"/>
      <c r="C31" s="226"/>
      <c r="D31" s="226"/>
      <c r="E31" s="229"/>
      <c r="F31" s="230"/>
      <c r="G31" s="226"/>
      <c r="H31" s="269"/>
      <c r="I31" s="269"/>
      <c r="J31" s="260"/>
      <c r="K31" s="44"/>
      <c r="L31" s="44"/>
      <c r="M31" s="14"/>
      <c r="N31" s="12"/>
      <c r="O31" s="12"/>
      <c r="P31" s="43">
        <f>P29+P30</f>
        <v>0.62712000000000012</v>
      </c>
      <c r="Q31" s="14"/>
      <c r="R31" s="14"/>
      <c r="S31" s="234"/>
      <c r="T31" s="14"/>
      <c r="U31" s="9"/>
      <c r="X31" s="4"/>
    </row>
    <row r="32" spans="2:25" ht="17.399999999999999" x14ac:dyDescent="0.35">
      <c r="B32" s="231"/>
      <c r="C32" s="232"/>
      <c r="D32" s="233"/>
      <c r="E32" s="231"/>
      <c r="F32" s="226"/>
      <c r="G32" s="226"/>
      <c r="I32" s="269"/>
      <c r="J32" s="260"/>
      <c r="K32" s="44"/>
      <c r="L32" s="44"/>
      <c r="M32" s="14"/>
      <c r="N32" s="14"/>
      <c r="O32" s="14"/>
      <c r="P32" s="14"/>
      <c r="Q32" s="14"/>
      <c r="R32" s="14"/>
      <c r="S32" s="236"/>
      <c r="T32" s="14"/>
      <c r="U32" s="288" t="s">
        <v>21</v>
      </c>
      <c r="V32" s="285" t="s">
        <v>149</v>
      </c>
      <c r="W32" s="289">
        <v>44971</v>
      </c>
      <c r="X32" s="290"/>
    </row>
    <row r="33" spans="1:24" ht="17.399999999999999" x14ac:dyDescent="0.35">
      <c r="B33" s="226"/>
      <c r="C33" s="226"/>
      <c r="D33" s="226"/>
      <c r="E33" s="226"/>
      <c r="F33" s="226"/>
      <c r="G33" s="226"/>
      <c r="J33" s="260"/>
      <c r="K33" s="44"/>
      <c r="L33" s="44"/>
      <c r="M33" s="36">
        <f>P31</f>
        <v>0.62712000000000012</v>
      </c>
      <c r="N33" s="12">
        <v>3500</v>
      </c>
      <c r="O33" s="12">
        <f t="shared" ref="O33:O38" si="18">M33*N33</f>
        <v>2194.9200000000005</v>
      </c>
      <c r="P33" s="14" t="s">
        <v>21</v>
      </c>
      <c r="Q33" s="14"/>
      <c r="R33" s="14"/>
      <c r="S33" s="237"/>
      <c r="T33" s="14"/>
      <c r="U33" s="288" t="s">
        <v>150</v>
      </c>
      <c r="V33" s="285">
        <v>3625</v>
      </c>
      <c r="W33" s="56" t="s">
        <v>151</v>
      </c>
      <c r="X33" s="290"/>
    </row>
    <row r="34" spans="1:24" ht="17.399999999999999" x14ac:dyDescent="0.35">
      <c r="A34" s="226"/>
      <c r="B34" s="226"/>
      <c r="C34" s="226"/>
      <c r="D34" s="226"/>
      <c r="E34" s="226"/>
      <c r="F34" s="226"/>
      <c r="G34" s="226"/>
      <c r="H34" s="226"/>
      <c r="J34" s="260"/>
      <c r="K34" s="44"/>
      <c r="L34" s="44"/>
      <c r="M34" s="244">
        <v>0.2</v>
      </c>
      <c r="N34" s="12">
        <v>40000</v>
      </c>
      <c r="O34" s="12">
        <f t="shared" si="18"/>
        <v>8000</v>
      </c>
      <c r="P34" s="36" t="s">
        <v>169</v>
      </c>
      <c r="Q34" s="39"/>
      <c r="R34" s="14"/>
      <c r="S34" s="236"/>
      <c r="T34" s="14"/>
      <c r="U34" s="288"/>
      <c r="V34" s="56">
        <v>906.25</v>
      </c>
      <c r="W34" s="56" t="s">
        <v>152</v>
      </c>
      <c r="X34" s="290"/>
    </row>
    <row r="35" spans="1:24" s="226" customFormat="1" ht="17.399999999999999" x14ac:dyDescent="0.35">
      <c r="B35" s="21" t="s">
        <v>148</v>
      </c>
      <c r="J35" s="257"/>
      <c r="K35" s="228"/>
      <c r="L35" s="245"/>
      <c r="M35" s="14"/>
      <c r="N35" s="245">
        <v>80000</v>
      </c>
      <c r="O35" s="12">
        <f t="shared" si="18"/>
        <v>0</v>
      </c>
      <c r="P35" s="36" t="s">
        <v>30</v>
      </c>
      <c r="Q35" s="39"/>
      <c r="S35" s="236"/>
      <c r="T35" s="251"/>
      <c r="U35" s="56"/>
      <c r="V35" s="56">
        <f>V34*20%</f>
        <v>181.25</v>
      </c>
      <c r="W35" s="290" t="s">
        <v>153</v>
      </c>
      <c r="X35" s="56"/>
    </row>
    <row r="36" spans="1:24" s="226" customFormat="1" ht="17.399999999999999" x14ac:dyDescent="0.35">
      <c r="B36" s="21" t="s">
        <v>164</v>
      </c>
      <c r="C36"/>
      <c r="D36"/>
      <c r="E36"/>
      <c r="F36"/>
      <c r="J36" s="257"/>
      <c r="K36" s="228"/>
      <c r="L36" s="245"/>
      <c r="M36" s="14">
        <v>0.5</v>
      </c>
      <c r="N36" s="245">
        <v>28500</v>
      </c>
      <c r="O36" s="12">
        <f t="shared" si="18"/>
        <v>14250</v>
      </c>
      <c r="P36" s="14" t="s">
        <v>139</v>
      </c>
      <c r="Q36" s="17"/>
      <c r="S36" s="234"/>
      <c r="T36" s="251"/>
      <c r="U36" s="56"/>
      <c r="V36" s="56">
        <f>V34+V35</f>
        <v>1087.5</v>
      </c>
      <c r="W36" s="290" t="s">
        <v>154</v>
      </c>
      <c r="X36" s="56"/>
    </row>
    <row r="37" spans="1:24" s="226" customFormat="1" ht="17.399999999999999" x14ac:dyDescent="0.35">
      <c r="B37" s="26" t="s">
        <v>124</v>
      </c>
      <c r="C37"/>
      <c r="D37"/>
      <c r="E37"/>
      <c r="F37" s="225" t="s">
        <v>15</v>
      </c>
      <c r="J37" s="257"/>
      <c r="K37" s="255"/>
      <c r="L37" s="245"/>
      <c r="M37" s="244"/>
      <c r="N37" s="245">
        <v>900</v>
      </c>
      <c r="O37" s="12">
        <f t="shared" si="18"/>
        <v>0</v>
      </c>
      <c r="P37" s="14" t="s">
        <v>32</v>
      </c>
      <c r="Q37" s="14"/>
      <c r="R37" s="226">
        <v>1.52</v>
      </c>
      <c r="S37" s="234"/>
      <c r="T37" s="234"/>
    </row>
    <row r="38" spans="1:24" s="226" customFormat="1" ht="17.399999999999999" x14ac:dyDescent="0.35">
      <c r="J38" s="282"/>
      <c r="K38" s="255"/>
      <c r="L38" s="245"/>
      <c r="M38" s="261"/>
      <c r="N38" s="12">
        <v>1500</v>
      </c>
      <c r="O38" s="12">
        <f t="shared" si="18"/>
        <v>0</v>
      </c>
      <c r="P38" s="14" t="s">
        <v>22</v>
      </c>
      <c r="Q38" s="14"/>
      <c r="R38">
        <v>2.44</v>
      </c>
      <c r="S38"/>
      <c r="T38" s="234"/>
      <c r="X38" s="227"/>
    </row>
    <row r="39" spans="1:24" s="226" customFormat="1" ht="17.399999999999999" x14ac:dyDescent="0.35">
      <c r="K39" s="255"/>
      <c r="L39" s="245"/>
      <c r="M39" s="14"/>
      <c r="N39" s="12"/>
      <c r="O39" s="12">
        <f>SUM(O33:O38)</f>
        <v>24444.92</v>
      </c>
      <c r="P39" s="36" t="s">
        <v>23</v>
      </c>
      <c r="Q39" s="14"/>
      <c r="R39">
        <f>R37*R38</f>
        <v>3.7088000000000001</v>
      </c>
      <c r="S39"/>
      <c r="T39" s="234"/>
      <c r="X39" s="227"/>
    </row>
    <row r="40" spans="1:24" s="226" customFormat="1" ht="17.399999999999999" x14ac:dyDescent="0.35">
      <c r="L40" s="245"/>
      <c r="M40" s="249" t="s">
        <v>33</v>
      </c>
      <c r="N40" s="12"/>
      <c r="O40" s="250">
        <f>O39*2.1</f>
        <v>51334.331999999995</v>
      </c>
      <c r="P40" s="14" t="s">
        <v>138</v>
      </c>
      <c r="Q40" s="14"/>
      <c r="R40" s="37">
        <f>P31/R39</f>
        <v>0.16908973252804144</v>
      </c>
      <c r="S40"/>
      <c r="T40" s="252"/>
    </row>
    <row r="41" spans="1:24" s="226" customFormat="1" ht="17.399999999999999" x14ac:dyDescent="0.35">
      <c r="G41"/>
      <c r="H41" s="255"/>
      <c r="I41" s="255"/>
      <c r="J41" s="255"/>
      <c r="L41" s="245"/>
      <c r="M41" s="14"/>
      <c r="N41" s="12"/>
      <c r="O41" s="12">
        <f>O40/P29</f>
        <v>98228.725602755425</v>
      </c>
      <c r="P41" s="42" t="s">
        <v>24</v>
      </c>
      <c r="Q41" s="14"/>
      <c r="R41" s="14"/>
      <c r="S41"/>
      <c r="T41" s="234"/>
      <c r="U41" s="56" t="s">
        <v>155</v>
      </c>
      <c r="V41" s="285">
        <v>43650</v>
      </c>
    </row>
    <row r="42" spans="1:24" s="226" customFormat="1" ht="17.399999999999999" x14ac:dyDescent="0.35">
      <c r="G42"/>
      <c r="L42" s="245"/>
      <c r="M42" s="13"/>
      <c r="N42" s="14"/>
      <c r="O42" s="17">
        <f>O40/O39</f>
        <v>2.1</v>
      </c>
      <c r="P42" s="15"/>
      <c r="Q42"/>
      <c r="R42"/>
      <c r="S42"/>
      <c r="T42" s="234"/>
      <c r="U42" s="56" t="s">
        <v>157</v>
      </c>
      <c r="V42" s="286" t="s">
        <v>156</v>
      </c>
      <c r="W42" s="56">
        <v>2.4</v>
      </c>
    </row>
    <row r="43" spans="1:24" s="226" customFormat="1" ht="17.399999999999999" x14ac:dyDescent="0.35">
      <c r="D43" s="279"/>
      <c r="E43" s="279"/>
      <c r="F43" s="278"/>
      <c r="G43" s="317"/>
      <c r="H43" s="324"/>
      <c r="L43" s="12"/>
      <c r="T43" s="234"/>
      <c r="U43" s="56" t="s">
        <v>158</v>
      </c>
      <c r="V43" s="287">
        <v>395.37</v>
      </c>
    </row>
    <row r="44" spans="1:24" s="226" customFormat="1" ht="17.399999999999999" x14ac:dyDescent="0.35">
      <c r="B44"/>
      <c r="C44" s="325"/>
      <c r="D44" s="279"/>
      <c r="E44" s="279"/>
      <c r="F44" s="278"/>
      <c r="G44" s="317"/>
      <c r="H44" s="324"/>
      <c r="L44" s="12"/>
      <c r="T44" s="234"/>
      <c r="U44" s="56" t="s">
        <v>153</v>
      </c>
      <c r="V44" s="56">
        <v>474.45</v>
      </c>
    </row>
    <row r="45" spans="1:24" ht="14.4" customHeight="1" x14ac:dyDescent="0.35">
      <c r="D45" s="279"/>
      <c r="E45" s="279"/>
      <c r="F45" s="278"/>
      <c r="G45" s="317"/>
      <c r="H45" s="324"/>
      <c r="L45" s="12"/>
      <c r="U45" s="56"/>
      <c r="V45" s="56"/>
    </row>
    <row r="46" spans="1:24" ht="17.399999999999999" x14ac:dyDescent="0.35">
      <c r="D46" s="279"/>
      <c r="E46" s="279"/>
      <c r="F46" s="278"/>
      <c r="G46" s="317"/>
      <c r="H46" s="324"/>
      <c r="L46" s="245"/>
    </row>
    <row r="47" spans="1:24" ht="17.399999999999999" x14ac:dyDescent="0.35">
      <c r="D47" s="279"/>
      <c r="E47" s="279"/>
      <c r="F47" s="278"/>
      <c r="G47" s="317"/>
      <c r="H47" s="324"/>
      <c r="L47" s="245"/>
      <c r="T47" s="265"/>
    </row>
    <row r="48" spans="1:24" ht="17.399999999999999" x14ac:dyDescent="0.35">
      <c r="D48" s="279"/>
      <c r="E48" s="279"/>
      <c r="F48" s="278"/>
      <c r="G48" s="317"/>
      <c r="H48" s="324"/>
      <c r="L48" s="245"/>
    </row>
    <row r="49" spans="4:20" ht="15" customHeight="1" x14ac:dyDescent="0.35">
      <c r="D49" s="279"/>
      <c r="E49" s="279"/>
      <c r="F49" s="278"/>
      <c r="G49" s="317"/>
      <c r="H49" s="324"/>
    </row>
    <row r="50" spans="4:20" ht="17.399999999999999" x14ac:dyDescent="0.35">
      <c r="D50" s="279"/>
      <c r="E50" s="279"/>
      <c r="F50" s="278"/>
      <c r="G50" s="317"/>
      <c r="H50" s="324"/>
    </row>
    <row r="51" spans="4:20" ht="17.399999999999999" x14ac:dyDescent="0.35">
      <c r="D51" s="279"/>
      <c r="E51" s="279"/>
      <c r="F51" s="278"/>
      <c r="G51" s="317"/>
      <c r="H51" s="324"/>
      <c r="O51">
        <v>40935</v>
      </c>
      <c r="P51" t="s">
        <v>16</v>
      </c>
      <c r="Q51" t="s">
        <v>26</v>
      </c>
    </row>
    <row r="52" spans="4:20" ht="17.399999999999999" x14ac:dyDescent="0.35">
      <c r="D52" s="279"/>
      <c r="E52" s="279"/>
      <c r="F52" s="278"/>
      <c r="G52" s="317"/>
      <c r="H52" s="324"/>
    </row>
    <row r="53" spans="4:20" ht="17.399999999999999" x14ac:dyDescent="0.35">
      <c r="D53" s="279"/>
      <c r="E53" s="279"/>
      <c r="F53" s="278"/>
      <c r="G53" s="317"/>
      <c r="H53" s="324"/>
      <c r="O53" s="51"/>
      <c r="P53" s="51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ht="17.399999999999999" x14ac:dyDescent="0.35">
      <c r="D55" s="279"/>
      <c r="E55" s="279"/>
      <c r="F55" s="278"/>
      <c r="G55" s="317"/>
      <c r="H55" s="324"/>
      <c r="S55" s="18"/>
      <c r="T55" s="18"/>
    </row>
    <row r="56" spans="4:20" ht="17.399999999999999" x14ac:dyDescent="0.35">
      <c r="D56" s="279"/>
      <c r="E56" s="279"/>
      <c r="F56" s="278"/>
      <c r="G56" s="317"/>
      <c r="H56" s="324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45873</v>
      </c>
    </row>
    <row r="6" spans="1:31" ht="16.2" thickBot="1" x14ac:dyDescent="0.35">
      <c r="B6" s="137" t="s">
        <v>2</v>
      </c>
      <c r="C6" s="136" t="str">
        <f>'2229'!C10</f>
        <v>DIEGO LOBO VENEGAS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5" t="s">
        <v>98</v>
      </c>
      <c r="I7" s="336"/>
      <c r="J7" s="336"/>
      <c r="K7" s="337"/>
      <c r="N7" s="72"/>
      <c r="O7" s="334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11562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4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-25944.811926570048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'2229'!H27</f>
        <v>203947</v>
      </c>
      <c r="E11" s="129">
        <f>D11*0.19</f>
        <v>38749.93</v>
      </c>
      <c r="F11" s="128">
        <f>E11+D11</f>
        <v>242696.93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80045.188073429948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30173.830275362317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62045.188073429948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173773.16972463767</v>
      </c>
      <c r="E13" s="218">
        <f>(D11/D12)-1</f>
        <v>5.7590689726430853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53045.188073429948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14045.188073429952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57450.972844289856</v>
      </c>
      <c r="C15" s="210" t="s">
        <v>121</v>
      </c>
      <c r="D15" s="211">
        <v>0.6</v>
      </c>
      <c r="E15" s="212">
        <f>(100%+D15)*D12</f>
        <v>48278.128440579712</v>
      </c>
      <c r="F15" s="213">
        <f>E15-D12</f>
        <v>18104.298165217395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14045.188073429952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54045.188073429948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'2229'!O35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'2229'!O34</f>
        <v>8000</v>
      </c>
      <c r="E19" s="120">
        <f>D19*0.19</f>
        <v>1520</v>
      </c>
      <c r="F19" s="117">
        <f>SUM(D19:E19)</f>
        <v>9520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'2229'!O33</f>
        <v>2194.9200000000005</v>
      </c>
      <c r="E20" s="118">
        <f>D20*0.19</f>
        <v>417.03480000000013</v>
      </c>
      <c r="F20" s="117">
        <f>SUM(D20:E20)</f>
        <v>2611.9548000000004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10194.92</v>
      </c>
      <c r="E21" s="113">
        <f>SUM(E18:E20)</f>
        <v>1937.0348000000001</v>
      </c>
      <c r="F21" s="112">
        <f>SUM(F18:F20)</f>
        <v>12131.9548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36812.895199999999</v>
      </c>
    </row>
    <row r="41" spans="2:16" ht="15" thickBot="1" x14ac:dyDescent="0.35">
      <c r="H41" s="338" t="s">
        <v>60</v>
      </c>
      <c r="I41" s="339"/>
      <c r="J41" s="339"/>
      <c r="K41" s="339"/>
      <c r="L41" s="339"/>
      <c r="M41" s="340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203947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10194.92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173773.16972463767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173773.16972463767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2025-08-04T18:32:22Z</cp:lastPrinted>
  <dcterms:created xsi:type="dcterms:W3CDTF">2013-03-18T13:35:42Z</dcterms:created>
  <dcterms:modified xsi:type="dcterms:W3CDTF">2025-08-05T00:14:46Z</dcterms:modified>
</cp:coreProperties>
</file>