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4A7EE3E9-CC42-4A71-AE8E-128D31381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H24" i="1"/>
  <c r="M21" i="1" l="1"/>
  <c r="M27" i="1" l="1"/>
  <c r="L21" i="1"/>
  <c r="N21" i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Q20" i="1" s="1"/>
  <c r="Q22" i="1" s="1"/>
  <c r="D20" i="3"/>
  <c r="E20" i="3" s="1"/>
  <c r="E21" i="3" s="1"/>
  <c r="R22" i="1" l="1"/>
  <c r="G22" i="1"/>
  <c r="H22" i="1"/>
  <c r="D21" i="3"/>
  <c r="M43" i="3" s="1"/>
  <c r="D12" i="3" s="1"/>
  <c r="E15" i="3" s="1"/>
  <c r="A15" i="3" s="1"/>
  <c r="F20" i="3"/>
  <c r="F21" i="3" s="1"/>
  <c r="O41" i="1" l="1"/>
  <c r="Q21" i="1" l="1"/>
  <c r="G21" i="1" s="1"/>
  <c r="F15" i="3"/>
  <c r="R21" i="1" l="1"/>
  <c r="H21" i="1" l="1"/>
  <c r="H26" i="1" l="1"/>
  <c r="H27" i="1" s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<sst xmlns="http://schemas.openxmlformats.org/spreadsheetml/2006/main" count="236" uniqueCount="178">
  <si>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</si>
  <si>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</si>
  <si>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</si>
  <si>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</si>
  <si>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</si>
  <si>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</si>
  <si>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</si>
  <si>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</si>
  <si>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</si>
  <si>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</si>
  <si>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</si>
  <si>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</si>
  <si>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</si>
  <si>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</si>
  <si>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</si>
  <si>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</si>
  <si>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</si>
  <si>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</si>
  <si>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</si>
  <si>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</si>
  <si>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</si>
  <si>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</si>
  <si>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</si>
  <si>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</si>
  <si>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</si>
  <si>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</si>
  <si>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</si>
  <si>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</si>
  <si>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</si>
  <si>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</si>
  <si>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</si>
  <si>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</si>
  <si>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</si>
  <si>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</si>
  <si>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</si>
  <si>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</si>
  <si>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</si>
  <si>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</si>
  <si>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</si>
  <si>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</si>
  <si>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</si>
  <si>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</si>
  <si>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</si>
  <si>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</si>
  <si>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</si>
  <si>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</si>
  <si>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</si>
  <si>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</si>
  <si>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</si>
  <si>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</si>
  <si>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</si>
  <si>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</si>
  <si>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</si>
  <si>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</si>
  <si>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</si>
  <si>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</si>
  <si>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</si>
  <si>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</si>
  <si>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</si>
  <si>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</si>
  <si>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</si>
  <si>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</si>
  <si>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</si>
  <si>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</si>
  <si>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</si>
  <si>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</si>
  <si>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</si>
  <si>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</si>
  <si>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</si>
  <si>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</si>
  <si>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</si>
  <si>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</si>
  <si>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</si>
  <si>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</si>
  <si>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</si>
  <si>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</si>
  <si>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</si>
  <si>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</si>
  <si>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</si>
  <si>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</si>
  <si>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</si>
  <si>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</si>
  <si>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</si>
  <si>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</si>
  <si>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</si>
  <si>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</si>
  <si>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</si>
  <si>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</si>
  <si>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</si>
  <si>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</si>
  <si>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</si>
  <si>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</si>
  <si>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</si>
  <si>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</si>
  <si>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</si>
  <si>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</si>
  <si>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</si>
  <si>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</si>
  <si>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</si>
  <si>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</si>
  <si>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</si>
  <si>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</si>
  <si>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</si>
  <si>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</si>
  <si>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</si>
  <si>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</si>
  <si>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</si>
  <si>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</si>
  <si>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</si>
  <si>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</si>
  <si>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</si>
  <si>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</si>
  <si>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</si>
  <si>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</si>
  <si>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</si>
  <si>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</si>
  <si>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</si>
  <si>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</si>
  <si>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</si>
  <si>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</si>
  <si>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</si>
  <si>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</si>
  <si>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</si>
  <si>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</si>
  <si>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</si>
  <si>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</si>
  <si>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</si>
  <si>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</si>
  <si>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</si>
  <si>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</si>
  <si>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</si>
  <si>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</si>
  <si>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</si>
  <si>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</si>
  <si>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</si>
  <si>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</si>
  <si>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</si>
  <si>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</si>
  <si>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</si>
  <si>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</si>
  <si>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</si>
  <si>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</si>
  <si>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</si>
  <si>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</si>
  <si>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</si>
  <si>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</si>
  <si>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</si>
  <si>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</si>
  <si>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</si>
  <si>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</si>
  <si>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</si>
  <si>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</si>
  <si>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</si>
  <si>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</si>
  <si>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</si>
  <si>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</si>
  <si>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</si>
  <si>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</si>
  <si>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</si>
  <si>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</si>
  <si>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</si>
  <si>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</si>
  <si>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</si>
  <si>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</si>
  <si>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</si>
  <si>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</si>
  <si>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</si>
  <si>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</si>
  <si>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</si>
  <si>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</si>
  <si>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</si>
  <si>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NEGRO MATE</t>
  </si>
  <si>
    <t>MAURICIO SILVA</t>
  </si>
  <si>
    <t>+569 9773 5945</t>
  </si>
  <si>
    <t>SERVICIO CORTE 45°</t>
  </si>
  <si>
    <t>N° 11560A</t>
  </si>
  <si>
    <t>CUB SIN RESPALDO R2</t>
  </si>
  <si>
    <t xml:space="preserve">ZOCALO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</si>
</sst>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SOBREMEDIDA EN</a:t>
          </a:r>
          <a:r>
            <a:rPr lang="es-CL" sz="1200" b="1" baseline="0"/>
            <a:t> EL LARGO.</a:t>
          </a:r>
          <a:endParaRPr lang="es-CL" sz="1200" b="1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F24" sqref="F24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2.44140625" bestFit="1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45874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9" t="s">
        <v>162</v>
      </c>
      <c r="G17" s="339"/>
      <c r="H17" s="340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54922.452475333463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9">
        <v>1</v>
      </c>
      <c r="C21" s="330" t="s">
        <v>176</v>
      </c>
      <c r="D21" s="331">
        <v>1.9830000000000001</v>
      </c>
      <c r="E21" s="331">
        <v>0.55000000000000004</v>
      </c>
      <c r="F21" s="330" t="s">
        <v>171</v>
      </c>
      <c r="G21" s="332">
        <f>Q21</f>
        <v>62705.513215612977</v>
      </c>
      <c r="H21" s="333">
        <f>G21*B21</f>
        <v>62705.513215612977</v>
      </c>
      <c r="I21" s="297"/>
      <c r="J21" s="260"/>
      <c r="K21" s="44"/>
      <c r="L21" s="44">
        <f>B21</f>
        <v>1</v>
      </c>
      <c r="M21" s="36">
        <f>D21+M$19</f>
        <v>2.0030000000000001</v>
      </c>
      <c r="N21" s="36">
        <f>E21+$N$19</f>
        <v>0.57000000000000006</v>
      </c>
      <c r="O21" s="256">
        <f t="shared" ref="O21" si="1">M21*N21</f>
        <v>1.1417100000000002</v>
      </c>
      <c r="P21" s="254">
        <f t="shared" ref="P21" si="2">O21*L21</f>
        <v>1.1417100000000002</v>
      </c>
      <c r="Q21" s="247">
        <f t="shared" ref="Q21" si="3">Q$20*O21</f>
        <v>62705.513215612977</v>
      </c>
      <c r="R21" s="296">
        <f t="shared" ref="R21" si="4">Q21+R$20</f>
        <v>65705.513215612969</v>
      </c>
      <c r="S21" s="284">
        <f>M21*L21</f>
        <v>2.0030000000000001</v>
      </c>
      <c r="T21" s="43">
        <f>N21*2*L21*2</f>
        <v>2.2800000000000002</v>
      </c>
      <c r="U21" s="9"/>
      <c r="X21" s="4"/>
    </row>
    <row r="22" spans="2:25" ht="17.399999999999999" x14ac:dyDescent="0.3">
      <c r="B22" s="351">
        <v>1</v>
      </c>
      <c r="C22" s="352" t="s">
        <v>176</v>
      </c>
      <c r="D22" s="353">
        <v>1.615</v>
      </c>
      <c r="E22" s="353">
        <v>0.55000000000000004</v>
      </c>
      <c r="F22" s="352" t="s">
        <v>171</v>
      </c>
      <c r="G22" s="354">
        <f>Q22</f>
        <v>51184.979584387023</v>
      </c>
      <c r="H22" s="355">
        <f>Q22</f>
        <v>51184.979584387023</v>
      </c>
      <c r="I22" s="297"/>
      <c r="J22" s="260"/>
      <c r="K22" s="44"/>
      <c r="L22" s="44">
        <f>B22</f>
        <v>1</v>
      </c>
      <c r="M22" s="36">
        <f>D22+M$19</f>
        <v>1.635</v>
      </c>
      <c r="N22" s="36">
        <f>E22+$N$19</f>
        <v>0.57000000000000006</v>
      </c>
      <c r="O22" s="256">
        <f t="shared" ref="O22" si="5">M22*N22</f>
        <v>0.93195000000000006</v>
      </c>
      <c r="P22" s="254">
        <f t="shared" ref="P22" si="6">O22*L22</f>
        <v>0.93195000000000006</v>
      </c>
      <c r="Q22" s="247">
        <f t="shared" ref="Q22" si="7">Q$20*O22</f>
        <v>51184.979584387023</v>
      </c>
      <c r="R22" s="296">
        <f t="shared" ref="R22" si="8">Q22+R$20</f>
        <v>54184.979584387023</v>
      </c>
      <c r="S22" s="284"/>
      <c r="T22" s="43"/>
      <c r="U22" s="9"/>
      <c r="X22" s="4"/>
    </row>
    <row r="23" spans="2:25" ht="17.399999999999999" x14ac:dyDescent="0.3">
      <c r="B23" s="351">
        <v>2</v>
      </c>
      <c r="C23" s="352" t="s">
        <v>177</v>
      </c>
      <c r="D23" s="353">
        <v>3</v>
      </c>
      <c r="E23" s="353">
        <v>0.1</v>
      </c>
      <c r="F23" s="352" t="s">
        <v>171</v>
      </c>
      <c r="G23" s="354"/>
      <c r="H23" s="355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2:25" ht="18" thickBot="1" x14ac:dyDescent="0.35">
      <c r="B24" s="334">
        <v>2</v>
      </c>
      <c r="C24" s="335" t="s">
        <v>174</v>
      </c>
      <c r="D24" s="336"/>
      <c r="E24" s="336"/>
      <c r="F24" s="335"/>
      <c r="G24" s="337">
        <v>7000</v>
      </c>
      <c r="H24" s="338">
        <f>G24*B24</f>
        <v>14000</v>
      </c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6">
        <f>SUM(H21:H25)</f>
        <v>127890.49280000001</v>
      </c>
      <c r="I26" s="299"/>
      <c r="J26" s="260"/>
      <c r="K26" s="316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2.2800000000000002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27">
        <f>H26*19%</f>
        <v>24299.193632000002</v>
      </c>
      <c r="I27" s="299"/>
      <c r="J27" s="260"/>
      <c r="K27" s="316"/>
      <c r="L27" s="44"/>
      <c r="M27" s="36">
        <f>SUM(M21:M21)</f>
        <v>2.0030000000000001</v>
      </c>
      <c r="N27" s="12"/>
      <c r="O27" s="12"/>
      <c r="P27" s="248">
        <f>SUM(P21:P25)</f>
        <v>2.0736600000000003</v>
      </c>
      <c r="Q27" s="14"/>
      <c r="R27" s="12"/>
      <c r="S27" s="235">
        <f>SUM(S21:S26)</f>
        <v>2.0030000000000001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28">
        <f>H26+H27</f>
        <v>152189.68643200002</v>
      </c>
      <c r="I28" s="299"/>
      <c r="J28" s="260"/>
      <c r="K28" s="316"/>
      <c r="L28" s="44"/>
      <c r="M28" s="36"/>
      <c r="N28" s="12"/>
      <c r="O28" s="12"/>
      <c r="P28" s="248">
        <f>P27</f>
        <v>2.0736600000000003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6"/>
      <c r="L29" s="44"/>
      <c r="M29" s="14"/>
      <c r="N29" s="12"/>
      <c r="O29" s="12"/>
      <c r="P29" s="36">
        <f>P28*20%</f>
        <v>0.4147320000000001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2.4883920000000002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2.4883920000000002</v>
      </c>
      <c r="N32" s="12">
        <v>3500</v>
      </c>
      <c r="O32" s="12">
        <f t="shared" ref="O32:O37" si="9">M32*N32</f>
        <v>8709.3720000000012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0.67</v>
      </c>
      <c r="N33" s="12">
        <v>23500</v>
      </c>
      <c r="O33" s="12">
        <f t="shared" si="9"/>
        <v>15745.000000000002</v>
      </c>
      <c r="P33" s="36" t="s">
        <v>169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9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164</v>
      </c>
      <c r="C35"/>
      <c r="D35"/>
      <c r="E35"/>
      <c r="F35"/>
      <c r="J35" s="257"/>
      <c r="K35" s="228"/>
      <c r="L35" s="245"/>
      <c r="M35" s="14">
        <v>1</v>
      </c>
      <c r="N35" s="245">
        <v>23000</v>
      </c>
      <c r="O35" s="12">
        <f t="shared" si="9"/>
        <v>23000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/>
      <c r="K36" s="255"/>
      <c r="L36" s="245"/>
      <c r="M36" s="244"/>
      <c r="N36" s="245">
        <v>900</v>
      </c>
      <c r="O36" s="12">
        <f t="shared" si="9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/>
      <c r="N37" s="12">
        <v>1500</v>
      </c>
      <c r="O37" s="12">
        <f t="shared" si="9"/>
        <v>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47454.372000000003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O38*2.4</f>
        <v>113890.49280000001</v>
      </c>
      <c r="P39" s="14" t="s">
        <v>138</v>
      </c>
      <c r="Q39" s="14"/>
      <c r="R39" s="37">
        <f>P30/R38</f>
        <v>0.67094262295081974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54922.452475333463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2.4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7"/>
      <c r="H42" s="324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5"/>
      <c r="D43" s="279"/>
      <c r="E43" s="279"/>
      <c r="F43" s="278"/>
      <c r="G43" s="317"/>
      <c r="H43" s="324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7"/>
      <c r="H44" s="324"/>
      <c r="L44" s="12"/>
      <c r="U44" s="56"/>
      <c r="V44" s="56"/>
    </row>
    <row r="45" spans="1:24" ht="17.399999999999999" x14ac:dyDescent="0.35">
      <c r="D45" s="279"/>
      <c r="E45" s="279"/>
      <c r="F45" s="278"/>
      <c r="G45" s="317"/>
      <c r="H45" s="324"/>
      <c r="L45" s="245"/>
    </row>
    <row r="46" spans="1:24" ht="17.399999999999999" x14ac:dyDescent="0.35">
      <c r="D46" s="279"/>
      <c r="E46" s="279"/>
      <c r="F46" s="278"/>
      <c r="G46" s="317"/>
      <c r="H46" s="324"/>
      <c r="L46" s="245"/>
      <c r="T46" s="265"/>
    </row>
    <row r="47" spans="1:24" ht="17.399999999999999" x14ac:dyDescent="0.35">
      <c r="D47" s="279"/>
      <c r="E47" s="279"/>
      <c r="F47" s="278"/>
      <c r="G47" s="317"/>
      <c r="H47" s="324"/>
      <c r="L47" s="245"/>
    </row>
    <row r="48" spans="1:24" ht="15" customHeight="1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  <c r="O52" s="51"/>
      <c r="P52" s="51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ht="17.399999999999999" x14ac:dyDescent="0.35">
      <c r="D55" s="279"/>
      <c r="E55" s="279"/>
      <c r="F55" s="278"/>
      <c r="G55" s="317"/>
      <c r="H55" s="32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45874</v>
      </c>
    </row>
    <row r="6" spans="1:31" ht="16.2" thickBot="1" x14ac:dyDescent="0.35">
      <c r="B6" s="137" t="s">
        <v>2</v>
      </c>
      <c r="C6" s="136" t="str">
        <f>'2229'!C10</f>
        <v>MAURICIO SILVA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5" t="s">
        <v>98</v>
      </c>
      <c r="I7" s="346"/>
      <c r="J7" s="346"/>
      <c r="K7" s="347"/>
      <c r="N7" s="72"/>
      <c r="O7" s="34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11560A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-9466.2068599033828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127890.49280000001</v>
      </c>
      <c r="E11" s="129">
        <f>D11*0.19</f>
        <v>24299.193632000002</v>
      </c>
      <c r="F11" s="128">
        <f>E11+D11</f>
        <v>152189.68643200002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96523.793140096619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44433.282275362319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78523.793140096619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83457.210524637689</v>
      </c>
      <c r="E13" s="218">
        <f>(D11/D12)-1</f>
        <v>1.8782589592962307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69523.793140096619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30523.793140096619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84600.96945228985</v>
      </c>
      <c r="C15" s="210" t="s">
        <v>121</v>
      </c>
      <c r="D15" s="211">
        <v>0.6</v>
      </c>
      <c r="E15" s="212">
        <f>(100%+D15)*D12</f>
        <v>71093.251640579707</v>
      </c>
      <c r="F15" s="213">
        <f>E15-D12</f>
        <v>26659.969365217388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30523.793140096619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70523.793140096619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15745.000000000002</v>
      </c>
      <c r="E19" s="120">
        <f>D19*0.19</f>
        <v>2991.55</v>
      </c>
      <c r="F19" s="117">
        <f>SUM(D19:E19)</f>
        <v>18736.550000000003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8709.3720000000012</v>
      </c>
      <c r="E20" s="118">
        <f>D20*0.19</f>
        <v>1654.7806800000003</v>
      </c>
      <c r="F20" s="117">
        <f>SUM(D20:E20)</f>
        <v>10364.152680000001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24454.372000000003</v>
      </c>
      <c r="E21" s="113">
        <f>SUM(E18:E20)</f>
        <v>4646.3306800000009</v>
      </c>
      <c r="F21" s="112">
        <f>SUM(F18:F20)</f>
        <v>29100.702680000002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19652.862952000003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127890.49280000001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24454.372000000003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83457.210524637689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83457.210524637689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2025-08-05T18:41:19Z</cp:lastPrinted>
  <dcterms:created xsi:type="dcterms:W3CDTF">2013-03-18T13:35:42Z</dcterms:created>
  <dcterms:modified xsi:type="dcterms:W3CDTF">2025-08-06T14:25:27Z</dcterms:modified>
</cp:coreProperties>
</file>