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D3DF8175-B30B-40B6-AC64-A0009D05D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G22" i="1"/>
  <c r="G21" i="1"/>
  <c r="L22" i="1" l="1"/>
  <c r="M22" i="1"/>
  <c r="S22" i="1" s="1"/>
  <c r="N22" i="1"/>
  <c r="J35" i="1"/>
  <c r="M21" i="1"/>
  <c r="M26" i="1" l="1"/>
  <c r="O22" i="1"/>
  <c r="P22" i="1" s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O40" i="1"/>
  <c r="R22" i="1" l="1"/>
  <c r="Q21" i="1"/>
  <c r="F15" i="3"/>
  <c r="H22" i="1" l="1"/>
  <c r="R21" i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<sst xmlns="http://schemas.openxmlformats.org/spreadsheetml/2006/main" count="234" uniqueCount="177">
  <si>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</si>
  <si>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</si>
  <si>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</si>
  <si>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</si>
  <si>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</si>
  <si>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</si>
  <si>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</si>
  <si>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</si>
  <si>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</si>
  <si>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</si>
  <si>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</si>
  <si>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</si>
  <si>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</si>
  <si>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</si>
  <si>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</si>
  <si>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</si>
  <si>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</si>
  <si>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</si>
  <si>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</si>
  <si>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</si>
  <si>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</si>
  <si>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</si>
  <si>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</si>
  <si>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</si>
  <si>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</si>
  <si>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</si>
  <si>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</si>
  <si>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</si>
  <si>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</si>
  <si>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</si>
  <si>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</si>
  <si>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</si>
  <si>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</si>
  <si>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</si>
  <si>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</si>
  <si>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</si>
  <si>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</si>
  <si>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</si>
  <si>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</si>
  <si>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</si>
  <si>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</si>
  <si>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</si>
  <si>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</si>
  <si>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</si>
  <si>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</si>
  <si>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</si>
  <si>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</si>
  <si>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</si>
  <si>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</si>
  <si>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</si>
  <si>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</si>
  <si>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</si>
  <si>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</si>
  <si>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</si>
  <si>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</si>
  <si>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</si>
  <si>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</si>
  <si>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</si>
  <si>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</si>
  <si>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</si>
  <si>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</si>
  <si>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</si>
  <si>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</si>
  <si>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</si>
  <si>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</si>
  <si>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</si>
  <si>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</si>
  <si>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</si>
  <si>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</si>
  <si>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</si>
  <si>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</si>
  <si>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</si>
  <si>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</si>
  <si>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</si>
  <si>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</si>
  <si>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</si>
  <si>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</si>
  <si>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</si>
  <si>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</si>
  <si>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</si>
  <si>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</si>
  <si>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</si>
  <si>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</si>
  <si>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</si>
  <si>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</si>
  <si>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</si>
  <si>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</si>
  <si>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</si>
  <si>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</si>
  <si>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</si>
  <si>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</si>
  <si>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</si>
  <si>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</si>
  <si>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</si>
  <si>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</si>
  <si>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</si>
  <si>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</si>
  <si>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</si>
  <si>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</si>
  <si>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</si>
  <si>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</si>
  <si>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</si>
  <si>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</si>
  <si>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</si>
  <si>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</si>
  <si>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</si>
  <si>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</si>
  <si>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</si>
  <si>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</si>
  <si>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</si>
  <si>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</si>
  <si>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</si>
  <si>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</si>
  <si>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</si>
  <si>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</si>
  <si>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</si>
  <si>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</si>
  <si>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</si>
  <si>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</si>
  <si>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</si>
  <si>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</si>
  <si>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</si>
  <si>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</si>
  <si>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</si>
  <si>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</si>
  <si>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</si>
  <si>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</si>
  <si>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</si>
  <si>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</si>
  <si>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</si>
  <si>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</si>
  <si>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</si>
  <si>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</si>
  <si>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</si>
  <si>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</si>
  <si>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</si>
  <si>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</si>
  <si>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</si>
  <si>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</si>
  <si>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</si>
  <si>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</si>
  <si>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</si>
  <si>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</si>
  <si>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</si>
  <si>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</si>
  <si>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</si>
  <si>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</si>
  <si>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</si>
  <si>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</si>
  <si>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</si>
  <si>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</si>
  <si>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</si>
  <si>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</si>
  <si>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</si>
  <si>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</si>
  <si>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</si>
  <si>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</si>
  <si>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</si>
  <si>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</si>
  <si>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</si>
  <si>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</si>
  <si>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</si>
  <si>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</si>
  <si>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</si>
  <si>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</si>
  <si>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</si>
  <si>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</si>
  <si>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</si>
  <si>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</si>
  <si>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</si>
  <si>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</si>
  <si>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11558</t>
  </si>
  <si>
    <t>SOLUCIONES SURA SPA</t>
  </si>
  <si>
    <t>JUAN ZURA</t>
  </si>
  <si>
    <t>+569 4493 9030</t>
  </si>
  <si>
    <t>CUB SIN RESPALDO FTE. 180°</t>
  </si>
  <si>
    <t>CLASSIC 3111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</si>
</sst>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K13" sqref="K13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J11">
        <v>33</v>
      </c>
      <c r="K11">
        <v>21000</v>
      </c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K12">
        <f>J11*K11</f>
        <v>693000</v>
      </c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174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72393.584029712176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2</v>
      </c>
      <c r="C21" s="326" t="s">
        <v>175</v>
      </c>
      <c r="D21" s="327">
        <v>2.0499999999999998</v>
      </c>
      <c r="E21" s="327">
        <v>0.7</v>
      </c>
      <c r="F21" s="326" t="s">
        <v>176</v>
      </c>
      <c r="G21" s="328">
        <f>R21</f>
        <v>109895.39763788301</v>
      </c>
      <c r="H21" s="328">
        <f>G21*B21</f>
        <v>219790.79527576602</v>
      </c>
      <c r="I21" s="297"/>
      <c r="J21" s="260"/>
      <c r="K21" s="44"/>
      <c r="L21" s="44">
        <f>B21</f>
        <v>2</v>
      </c>
      <c r="M21" s="36">
        <f>D21+M$19</f>
        <v>2.0699999999999998</v>
      </c>
      <c r="N21" s="36">
        <f>E21+$N$19</f>
        <v>0.72</v>
      </c>
      <c r="O21" s="256">
        <f t="shared" ref="O21" si="1">M21*N21</f>
        <v>1.4903999999999997</v>
      </c>
      <c r="P21" s="254">
        <f t="shared" ref="P21" si="2">O21*L21</f>
        <v>2.9807999999999995</v>
      </c>
      <c r="Q21" s="247">
        <f t="shared" ref="Q21" si="3">Q$20*O21</f>
        <v>107895.39763788301</v>
      </c>
      <c r="R21" s="296">
        <f t="shared" ref="R21" si="4">Q21+R$20</f>
        <v>109895.39763788301</v>
      </c>
      <c r="S21" s="284">
        <f>M21*L21</f>
        <v>4.1399999999999997</v>
      </c>
      <c r="T21" s="43">
        <f>N21*2*L21*2</f>
        <v>5.76</v>
      </c>
      <c r="U21" s="9"/>
      <c r="X21" s="4"/>
    </row>
    <row r="22" spans="1:25" ht="17.399999999999999" x14ac:dyDescent="0.3">
      <c r="B22" s="326">
        <v>2</v>
      </c>
      <c r="C22" s="326" t="s">
        <v>175</v>
      </c>
      <c r="D22" s="327">
        <v>1.5</v>
      </c>
      <c r="E22" s="327">
        <v>0.7</v>
      </c>
      <c r="F22" s="326" t="s">
        <v>176</v>
      </c>
      <c r="G22" s="328">
        <f>R22</f>
        <v>81227.538362117004</v>
      </c>
      <c r="H22" s="328">
        <f t="shared" ref="H22" si="5">G22*B22</f>
        <v>162455.07672423401</v>
      </c>
      <c r="I22" s="297"/>
      <c r="J22" s="260"/>
      <c r="K22" s="44"/>
      <c r="L22" s="332">
        <f t="shared" ref="L22" si="6">B22</f>
        <v>2</v>
      </c>
      <c r="M22" s="36">
        <f t="shared" ref="M22" si="7">D22+M$19</f>
        <v>1.52</v>
      </c>
      <c r="N22" s="36">
        <f t="shared" ref="N22" si="8">E22+$N$19</f>
        <v>0.72</v>
      </c>
      <c r="O22" s="256">
        <f t="shared" ref="O22" si="9">M22*N22</f>
        <v>1.0944</v>
      </c>
      <c r="P22" s="254">
        <f t="shared" ref="P22" si="10">O22*L22</f>
        <v>2.1888000000000001</v>
      </c>
      <c r="Q22" s="247">
        <f t="shared" ref="Q22" si="11">Q$20*O22</f>
        <v>79227.538362117004</v>
      </c>
      <c r="R22" s="296">
        <f t="shared" ref="R22" si="12">Q22+R$20</f>
        <v>81227.538362117004</v>
      </c>
      <c r="S22" s="284">
        <f t="shared" ref="S22" si="13">M22*L22</f>
        <v>3.04</v>
      </c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9">
        <f>SUM(H21:H24)</f>
        <v>382245.87200000003</v>
      </c>
      <c r="I25" s="299"/>
      <c r="J25" s="260"/>
      <c r="K25" s="316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5.76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30">
        <f>H25*19%</f>
        <v>72626.715680000008</v>
      </c>
      <c r="I26" s="299"/>
      <c r="J26" s="260"/>
      <c r="K26" s="316"/>
      <c r="L26" s="44"/>
      <c r="M26" s="36">
        <f>SUM(M21:M22)</f>
        <v>3.59</v>
      </c>
      <c r="N26" s="12"/>
      <c r="O26" s="12"/>
      <c r="P26" s="248">
        <f>SUM(P21:P24)</f>
        <v>5.1695999999999991</v>
      </c>
      <c r="Q26" s="14"/>
      <c r="R26" s="12"/>
      <c r="S26" s="235">
        <f>SUM(S21:S25)</f>
        <v>7.18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31">
        <f>H25+H26</f>
        <v>454872.58768000006</v>
      </c>
      <c r="I27" s="299"/>
      <c r="J27" s="260"/>
      <c r="K27" s="316"/>
      <c r="L27" s="44"/>
      <c r="M27" s="36"/>
      <c r="N27" s="12"/>
      <c r="O27" s="12"/>
      <c r="P27" s="248">
        <f>P26</f>
        <v>5.1695999999999991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6"/>
      <c r="L28" s="44"/>
      <c r="M28" s="14"/>
      <c r="N28" s="12"/>
      <c r="O28" s="12"/>
      <c r="P28" s="36">
        <f>P27*20%</f>
        <v>1.03392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6.2035199999999993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6.2035199999999993</v>
      </c>
      <c r="N31" s="12">
        <v>3500</v>
      </c>
      <c r="O31" s="12">
        <f t="shared" ref="O31:O36" si="14">M31*N31</f>
        <v>21712.319999999996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2</v>
      </c>
      <c r="N32" s="12">
        <v>23500</v>
      </c>
      <c r="O32" s="12">
        <f t="shared" si="14"/>
        <v>47000</v>
      </c>
      <c r="P32" s="36" t="s">
        <v>169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4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>
        <v>46000</v>
      </c>
      <c r="K34" s="228"/>
      <c r="L34" s="245"/>
      <c r="M34" s="14">
        <v>3</v>
      </c>
      <c r="N34" s="245">
        <v>36500</v>
      </c>
      <c r="O34" s="12">
        <f t="shared" si="14"/>
        <v>109500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4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4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178212.32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374245.87200000003</v>
      </c>
      <c r="P38" s="14" t="s">
        <v>138</v>
      </c>
      <c r="Q38" s="14"/>
      <c r="R38" s="37">
        <f>P29/R37</f>
        <v>1.6726488352027609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72393.584029712176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7"/>
      <c r="H41" s="324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5"/>
      <c r="D42" s="279"/>
      <c r="E42" s="279"/>
      <c r="F42" s="278"/>
      <c r="G42" s="317"/>
      <c r="H42" s="324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7"/>
      <c r="H43" s="324"/>
      <c r="L43" s="12"/>
      <c r="U43" s="56"/>
      <c r="V43" s="56"/>
    </row>
    <row r="44" spans="2:24" ht="17.399999999999999" x14ac:dyDescent="0.35">
      <c r="D44" s="279"/>
      <c r="E44" s="279"/>
      <c r="F44" s="278"/>
      <c r="G44" s="317"/>
      <c r="H44" s="324"/>
      <c r="L44" s="245"/>
    </row>
    <row r="45" spans="2:24" ht="17.399999999999999" x14ac:dyDescent="0.35">
      <c r="D45" s="279"/>
      <c r="E45" s="279"/>
      <c r="F45" s="278"/>
      <c r="G45" s="317"/>
      <c r="H45" s="324"/>
      <c r="L45" s="245"/>
      <c r="T45" s="265"/>
    </row>
    <row r="46" spans="2:24" ht="17.399999999999999" x14ac:dyDescent="0.35">
      <c r="D46" s="279"/>
      <c r="E46" s="279"/>
      <c r="F46" s="278"/>
      <c r="G46" s="317"/>
      <c r="H46" s="324"/>
      <c r="L46" s="245"/>
    </row>
    <row r="47" spans="2:24" ht="15" customHeight="1" x14ac:dyDescent="0.35">
      <c r="D47" s="279"/>
      <c r="E47" s="279"/>
      <c r="F47" s="278"/>
      <c r="G47" s="317"/>
      <c r="H47" s="324"/>
    </row>
    <row r="48" spans="2:24" ht="17.399999999999999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7"/>
      <c r="H50" s="324"/>
    </row>
    <row r="51" spans="4:20" ht="17.399999999999999" x14ac:dyDescent="0.35">
      <c r="D51" s="279"/>
      <c r="E51" s="279"/>
      <c r="F51" s="278"/>
      <c r="G51" s="317"/>
      <c r="H51" s="324"/>
      <c r="O51" s="51"/>
      <c r="P51" s="51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SOLUCIONES SURA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-40056.650593236722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382245.87200000003</v>
      </c>
      <c r="E11" s="129">
        <f>D11*0.19</f>
        <v>72626.715680000008</v>
      </c>
      <c r="F11" s="128">
        <f>E11+D11</f>
        <v>454872.58768000006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65933.349406763271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88691.230275362308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47933.349406763278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293554.64172463771</v>
      </c>
      <c r="E13" s="218">
        <f>(D11/D12)-1</f>
        <v>3.3098496978024761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38933.349406763278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-66.650593236721761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168868.10244428983</v>
      </c>
      <c r="C15" s="210" t="s">
        <v>121</v>
      </c>
      <c r="D15" s="211">
        <v>0.6</v>
      </c>
      <c r="E15" s="212">
        <f>(100%+D15)*D12</f>
        <v>141905.96844057969</v>
      </c>
      <c r="F15" s="213">
        <f>E15-D12</f>
        <v>53214.738165217379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-66.650593236721761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39933.349406763278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47000</v>
      </c>
      <c r="E19" s="120">
        <f>D19*0.19</f>
        <v>8930</v>
      </c>
      <c r="F19" s="117">
        <f>SUM(D19:E19)</f>
        <v>55930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21712.319999999996</v>
      </c>
      <c r="E20" s="118">
        <f>D20*0.19</f>
        <v>4125.340799999999</v>
      </c>
      <c r="F20" s="117">
        <f>SUM(D20:E20)</f>
        <v>25837.660799999994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68712.319999999992</v>
      </c>
      <c r="E21" s="113">
        <f>SUM(E18:E20)</f>
        <v>13055.340799999998</v>
      </c>
      <c r="F21" s="112">
        <f>SUM(F18:F20)</f>
        <v>81767.660799999998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59571.37488000001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382245.87200000003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68712.319999999992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293554.64172463771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293554.64172463771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2025-08-01T20:16:17Z</cp:lastPrinted>
  <dcterms:created xsi:type="dcterms:W3CDTF">2013-03-18T13:35:42Z</dcterms:created>
  <dcterms:modified xsi:type="dcterms:W3CDTF">2025-08-11T15:06:42Z</dcterms:modified>
</cp:coreProperties>
</file>