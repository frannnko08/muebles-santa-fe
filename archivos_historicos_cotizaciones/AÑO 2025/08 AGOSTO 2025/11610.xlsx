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A5680BFE-24DC-4DD9-AE54-87757550A4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G23" i="1"/>
  <c r="L23" i="1"/>
  <c r="M23" i="1"/>
  <c r="N23" i="1"/>
  <c r="O23" i="1"/>
  <c r="P23" i="1" s="1"/>
  <c r="L22" i="1"/>
  <c r="M22" i="1"/>
  <c r="N22" i="1"/>
  <c r="O22" i="1"/>
  <c r="P22" i="1" s="1"/>
  <c r="L21" i="1"/>
  <c r="M21" i="1"/>
  <c r="M26" i="1" s="1"/>
  <c r="N21" i="1"/>
  <c r="O21" i="1" l="1"/>
  <c r="P21" i="1" s="1"/>
  <c r="J35" i="1"/>
  <c r="S26" i="1" l="1"/>
  <c r="T25" i="1"/>
  <c r="P26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Q23" i="1"/>
  <c r="R23" i="1" s="1"/>
  <c r="Q21" i="1"/>
  <c r="O40" i="1"/>
  <c r="G22" i="1" l="1"/>
  <c r="H22" i="1" s="1"/>
  <c r="R21" i="1"/>
  <c r="G21" i="1"/>
  <c r="F15" i="3"/>
  <c r="H21" i="1" l="1"/>
  <c r="H25" i="1" s="1"/>
  <c r="H26" i="1" s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<sst xmlns="http://schemas.openxmlformats.org/spreadsheetml/2006/main" count="233" uniqueCount="175">
  <si>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</si>
  <si>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</si>
  <si>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</si>
  <si>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</si>
  <si>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</si>
  <si>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</si>
  <si>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</si>
  <si>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</si>
  <si>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</si>
  <si>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</si>
  <si>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</si>
  <si>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</si>
  <si>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</si>
  <si>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</si>
  <si>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</si>
  <si>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</si>
  <si>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</si>
  <si>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</si>
  <si>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</si>
  <si>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</si>
  <si>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</si>
  <si>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</si>
  <si>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</si>
  <si>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</si>
  <si>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</si>
  <si>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</si>
  <si>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</si>
  <si>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</si>
  <si>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</si>
  <si>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</si>
  <si>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</si>
  <si>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</si>
  <si>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</si>
  <si>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</si>
  <si>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</si>
  <si>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</si>
  <si>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</si>
  <si>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</si>
  <si>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</si>
  <si>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</si>
  <si>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</si>
  <si>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</si>
  <si>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</si>
  <si>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</si>
  <si>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</si>
  <si>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</si>
  <si>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</si>
  <si>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</si>
  <si>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</si>
  <si>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</si>
  <si>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</si>
  <si>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</si>
  <si>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</si>
  <si>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</si>
  <si>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</si>
  <si>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</si>
  <si>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</si>
  <si>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</si>
  <si>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</si>
  <si>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</si>
  <si>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</si>
  <si>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</si>
  <si>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</si>
  <si>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</si>
  <si>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</si>
  <si>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</si>
  <si>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</si>
  <si>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</si>
  <si>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</si>
  <si>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</si>
  <si>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</si>
  <si>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</si>
  <si>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</si>
  <si>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</si>
  <si>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</si>
  <si>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</si>
  <si>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</si>
  <si>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</si>
  <si>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</si>
  <si>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</si>
  <si>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</si>
  <si>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</si>
  <si>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</si>
  <si>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</si>
  <si>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</si>
  <si>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</si>
  <si>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</si>
  <si>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</si>
  <si>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</si>
  <si>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</si>
  <si>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</si>
  <si>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</si>
  <si>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</si>
  <si>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</si>
  <si>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</si>
  <si>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</si>
  <si>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</si>
  <si>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</si>
  <si>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</si>
  <si>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</si>
  <si>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</si>
  <si>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</si>
  <si>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</si>
  <si>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</si>
  <si>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</si>
  <si>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</si>
  <si>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</si>
  <si>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</si>
  <si>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</si>
  <si>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</si>
  <si>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</si>
  <si>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</si>
  <si>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</si>
  <si>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</si>
  <si>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</si>
  <si>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</si>
  <si>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</si>
  <si>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</si>
  <si>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</si>
  <si>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</si>
  <si>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</si>
  <si>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</si>
  <si>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</si>
  <si>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</si>
  <si>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</si>
  <si>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</si>
  <si>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</si>
  <si>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</si>
  <si>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</si>
  <si>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</si>
  <si>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</si>
  <si>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</si>
  <si>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</si>
  <si>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</si>
  <si>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</si>
  <si>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</si>
  <si>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</si>
  <si>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</si>
  <si>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</si>
  <si>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</si>
  <si>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</si>
  <si>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</si>
  <si>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</si>
  <si>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</si>
  <si>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</si>
  <si>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</si>
  <si>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</si>
  <si>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</si>
  <si>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</si>
  <si>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</si>
  <si>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</si>
  <si>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</si>
  <si>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</si>
  <si>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</si>
  <si>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</si>
  <si>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</si>
  <si>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</si>
  <si>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</si>
  <si>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</si>
  <si>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</si>
  <si>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</si>
  <si>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</si>
  <si>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</si>
  <si>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</si>
  <si>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</si>
  <si>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</si>
  <si>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</si>
  <si>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</si>
  <si>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</si>
  <si>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</si>
  <si>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</si>
  <si>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CUB CON RESPALDO FTE 90°</t>
  </si>
  <si>
    <t>WHITE LILY MOSAIC MT</t>
  </si>
  <si>
    <t>CUB MESA 2 LADOS</t>
  </si>
  <si>
    <t>N° 11610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</si>
</sst>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6" fillId="0" borderId="0" xfId="0" quotePrefix="1" applyFont="1" applyAlignment="1">
      <alignment horizontal="left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DE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5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2.77734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7" t="s">
        <v>125</v>
      </c>
      <c r="C8" s="318"/>
      <c r="D8" s="319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/>
      <c r="D10" s="239"/>
      <c r="E10" s="239"/>
      <c r="F10" s="240" t="s">
        <v>167</v>
      </c>
      <c r="G10" s="271">
        <v>45891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33"/>
      <c r="D15" s="310"/>
      <c r="F15" t="s">
        <v>168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163</v>
      </c>
      <c r="D17" s="294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0" t="s">
        <v>7</v>
      </c>
      <c r="C20" s="321" t="s">
        <v>1</v>
      </c>
      <c r="D20" s="321" t="s">
        <v>130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85295.553992261703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46">
        <v>1</v>
      </c>
      <c r="C21" s="347" t="s">
        <v>171</v>
      </c>
      <c r="D21" s="348">
        <v>2.92</v>
      </c>
      <c r="E21" s="348">
        <v>0.61</v>
      </c>
      <c r="F21" s="347" t="s">
        <v>172</v>
      </c>
      <c r="G21" s="349">
        <f>Q21</f>
        <v>156090.86380583892</v>
      </c>
      <c r="H21" s="350">
        <f t="shared" ref="H21" si="1">G21*B21</f>
        <v>156090.86380583892</v>
      </c>
      <c r="I21" s="297"/>
      <c r="J21" s="260"/>
      <c r="K21" s="44"/>
      <c r="L21" s="44">
        <f t="shared" ref="L21" si="2">B21</f>
        <v>1</v>
      </c>
      <c r="M21" s="36">
        <f t="shared" ref="M21" si="3">D21+M$19</f>
        <v>3</v>
      </c>
      <c r="N21" s="36">
        <f t="shared" ref="N21" si="4">E21+$N$19</f>
        <v>0.61</v>
      </c>
      <c r="O21" s="256">
        <f t="shared" ref="O21" si="5">M21*N21</f>
        <v>1.83</v>
      </c>
      <c r="P21" s="254">
        <f t="shared" ref="P21" si="6">O21*L21</f>
        <v>1.83</v>
      </c>
      <c r="Q21" s="247">
        <f t="shared" ref="Q21" si="7">Q$20*O21</f>
        <v>156090.86380583892</v>
      </c>
      <c r="R21" s="296">
        <f t="shared" ref="R21" si="8">Q21+R$20</f>
        <v>159090.86380583892</v>
      </c>
      <c r="S21" s="284"/>
      <c r="T21" s="43"/>
      <c r="U21" s="9"/>
      <c r="X21" s="4"/>
    </row>
    <row r="22" spans="1:25" ht="17.399999999999999" x14ac:dyDescent="0.3">
      <c r="B22" s="331">
        <v>1</v>
      </c>
      <c r="C22" s="325" t="s">
        <v>171</v>
      </c>
      <c r="D22" s="326">
        <v>3</v>
      </c>
      <c r="E22" s="326">
        <v>0.51</v>
      </c>
      <c r="F22" s="325" t="s">
        <v>172</v>
      </c>
      <c r="G22" s="327">
        <f>Q22</f>
        <v>133982.25621104467</v>
      </c>
      <c r="H22" s="332">
        <f t="shared" ref="H22" si="9">G22*B22</f>
        <v>133982.25621104467</v>
      </c>
      <c r="I22" s="297"/>
      <c r="J22" s="260"/>
      <c r="K22" s="44"/>
      <c r="L22" s="44">
        <f t="shared" ref="L22" si="10">B22</f>
        <v>1</v>
      </c>
      <c r="M22" s="36">
        <f t="shared" ref="M22" si="11">D22+M$19</f>
        <v>3.08</v>
      </c>
      <c r="N22" s="36">
        <f t="shared" ref="N22" si="12">E22+$N$19</f>
        <v>0.51</v>
      </c>
      <c r="O22" s="256">
        <f t="shared" ref="O22" si="13">M22*N22</f>
        <v>1.5708</v>
      </c>
      <c r="P22" s="254">
        <f t="shared" ref="P22" si="14">O22*L22</f>
        <v>1.5708</v>
      </c>
      <c r="Q22" s="247">
        <f t="shared" ref="Q22" si="15">Q$20*O22</f>
        <v>133982.25621104467</v>
      </c>
      <c r="R22" s="296">
        <f t="shared" ref="R22" si="16">Q22+R$20</f>
        <v>136982.25621104467</v>
      </c>
      <c r="S22" s="284"/>
      <c r="T22" s="43"/>
      <c r="U22" s="9"/>
      <c r="X22" s="4"/>
    </row>
    <row r="23" spans="1:25" ht="18" thickBot="1" x14ac:dyDescent="0.35">
      <c r="B23" s="351">
        <v>4</v>
      </c>
      <c r="C23" s="352" t="s">
        <v>173</v>
      </c>
      <c r="D23" s="353">
        <v>1.3</v>
      </c>
      <c r="E23" s="353">
        <v>0.62</v>
      </c>
      <c r="F23" s="352" t="s">
        <v>172</v>
      </c>
      <c r="G23" s="354">
        <f>Q23</f>
        <v>72978.875995779119</v>
      </c>
      <c r="H23" s="355">
        <f>G23*B23</f>
        <v>291915.50398311648</v>
      </c>
      <c r="I23" s="297"/>
      <c r="J23" s="260"/>
      <c r="K23" s="44"/>
      <c r="L23" s="44">
        <f t="shared" ref="L23" si="17">B23</f>
        <v>4</v>
      </c>
      <c r="M23" s="36">
        <f t="shared" ref="M23" si="18">D23+M$19</f>
        <v>1.3800000000000001</v>
      </c>
      <c r="N23" s="36">
        <f t="shared" ref="N23" si="19">E23+$N$19</f>
        <v>0.62</v>
      </c>
      <c r="O23" s="256">
        <f t="shared" ref="O23" si="20">M23*N23</f>
        <v>0.85560000000000003</v>
      </c>
      <c r="P23" s="254">
        <f t="shared" ref="P23" si="21">O23*L23</f>
        <v>3.4224000000000001</v>
      </c>
      <c r="Q23" s="247">
        <f t="shared" ref="Q23" si="22">Q$20*O23</f>
        <v>72978.875995779119</v>
      </c>
      <c r="R23" s="296">
        <f t="shared" ref="R23" si="23">Q23+R$20</f>
        <v>75978.875995779119</v>
      </c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8">
        <f>SUM(H21:H24)</f>
        <v>581988.62400000007</v>
      </c>
      <c r="I25" s="299"/>
      <c r="J25" s="260"/>
      <c r="K25" s="315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0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29">
        <f>H25*19%</f>
        <v>110577.83856000002</v>
      </c>
      <c r="I26" s="299"/>
      <c r="J26" s="260"/>
      <c r="K26" s="315"/>
      <c r="L26" s="44"/>
      <c r="M26" s="36">
        <f>SUM(M21:M22)</f>
        <v>6.08</v>
      </c>
      <c r="N26" s="12"/>
      <c r="O26" s="12"/>
      <c r="P26" s="248">
        <f>SUM(P21:P24)</f>
        <v>6.8231999999999999</v>
      </c>
      <c r="Q26" s="14"/>
      <c r="R26" s="12"/>
      <c r="S26" s="235">
        <f>SUM(S21:S25)</f>
        <v>0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30">
        <f>H25+H26</f>
        <v>692566.46256000013</v>
      </c>
      <c r="I27" s="299"/>
      <c r="J27" s="260"/>
      <c r="K27" s="315"/>
      <c r="L27" s="44"/>
      <c r="M27" s="36"/>
      <c r="N27" s="12"/>
      <c r="O27" s="12"/>
      <c r="P27" s="248">
        <f>P26</f>
        <v>6.8231999999999999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5"/>
      <c r="L28" s="44"/>
      <c r="M28" s="14"/>
      <c r="N28" s="12"/>
      <c r="O28" s="12"/>
      <c r="P28" s="36">
        <f>P27*20%</f>
        <v>1.3646400000000001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8.1878399999999996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8.1878399999999996</v>
      </c>
      <c r="N31" s="12">
        <v>3500</v>
      </c>
      <c r="O31" s="12">
        <f t="shared" ref="O31:O36" si="24">M31*N31</f>
        <v>28657.439999999999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2.2000000000000002</v>
      </c>
      <c r="N32" s="12">
        <v>25000</v>
      </c>
      <c r="O32" s="12">
        <f t="shared" si="24"/>
        <v>55000.000000000007</v>
      </c>
      <c r="P32" s="36" t="s">
        <v>169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24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164</v>
      </c>
      <c r="C34"/>
      <c r="D34"/>
      <c r="E34"/>
      <c r="F34"/>
      <c r="J34" s="257">
        <v>46000</v>
      </c>
      <c r="K34" s="228"/>
      <c r="L34" s="245"/>
      <c r="M34" s="14">
        <v>4</v>
      </c>
      <c r="N34" s="245">
        <v>46120</v>
      </c>
      <c r="O34" s="12">
        <f t="shared" si="24"/>
        <v>184480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24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>
        <v>6</v>
      </c>
      <c r="N36" s="12">
        <v>1500</v>
      </c>
      <c r="O36" s="12">
        <f t="shared" si="24"/>
        <v>9000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277137.44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O37*2.1</f>
        <v>581988.62400000007</v>
      </c>
      <c r="P38" s="14" t="s">
        <v>138</v>
      </c>
      <c r="Q38" s="14"/>
      <c r="R38" s="37">
        <f>P29/R37</f>
        <v>2.2076790336496979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85295.553992261703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6"/>
      <c r="H41" s="323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4"/>
      <c r="D42" s="279"/>
      <c r="E42" s="279"/>
      <c r="F42" s="278"/>
      <c r="G42" s="316"/>
      <c r="H42" s="323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6"/>
      <c r="H43" s="323"/>
      <c r="L43" s="12"/>
      <c r="U43" s="56"/>
      <c r="V43" s="56"/>
    </row>
    <row r="44" spans="2:24" ht="17.399999999999999" x14ac:dyDescent="0.35">
      <c r="D44" s="279"/>
      <c r="E44" s="279"/>
      <c r="F44" s="278"/>
      <c r="G44" s="316"/>
      <c r="H44" s="323"/>
      <c r="L44" s="245"/>
    </row>
    <row r="45" spans="2:24" ht="17.399999999999999" x14ac:dyDescent="0.35">
      <c r="D45" s="279"/>
      <c r="E45" s="279"/>
      <c r="F45" s="278"/>
      <c r="G45" s="316"/>
      <c r="H45" s="323"/>
      <c r="L45" s="245"/>
      <c r="T45" s="265"/>
    </row>
    <row r="46" spans="2:24" ht="17.399999999999999" x14ac:dyDescent="0.35">
      <c r="D46" s="279"/>
      <c r="E46" s="279"/>
      <c r="F46" s="278"/>
      <c r="G46" s="316"/>
      <c r="H46" s="323"/>
      <c r="L46" s="245"/>
    </row>
    <row r="47" spans="2:24" ht="15" customHeight="1" x14ac:dyDescent="0.35">
      <c r="D47" s="279"/>
      <c r="E47" s="279"/>
      <c r="F47" s="278"/>
      <c r="G47" s="316"/>
      <c r="H47" s="323"/>
    </row>
    <row r="48" spans="2:24" ht="17.399999999999999" x14ac:dyDescent="0.35">
      <c r="D48" s="279"/>
      <c r="E48" s="279"/>
      <c r="F48" s="278"/>
      <c r="G48" s="316"/>
      <c r="H48" s="323"/>
    </row>
    <row r="49" spans="4:20" ht="17.399999999999999" x14ac:dyDescent="0.35">
      <c r="D49" s="279"/>
      <c r="E49" s="279"/>
      <c r="F49" s="278"/>
      <c r="G49" s="316"/>
      <c r="H49" s="323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6"/>
      <c r="H50" s="323"/>
    </row>
    <row r="51" spans="4:20" ht="17.399999999999999" x14ac:dyDescent="0.35">
      <c r="D51" s="279"/>
      <c r="E51" s="279"/>
      <c r="F51" s="278"/>
      <c r="G51" s="316"/>
      <c r="H51" s="323"/>
      <c r="O51" s="51"/>
      <c r="P51" s="51"/>
    </row>
    <row r="52" spans="4:20" ht="17.399999999999999" x14ac:dyDescent="0.35">
      <c r="D52" s="279"/>
      <c r="E52" s="279"/>
      <c r="F52" s="278"/>
      <c r="G52" s="316"/>
      <c r="H52" s="323"/>
      <c r="S52" s="18"/>
      <c r="T52" s="18"/>
    </row>
    <row r="53" spans="4:20" ht="17.399999999999999" x14ac:dyDescent="0.35">
      <c r="D53" s="279"/>
      <c r="E53" s="279"/>
      <c r="F53" s="278"/>
      <c r="G53" s="316"/>
      <c r="H53" s="323"/>
      <c r="S53" s="18"/>
      <c r="T53" s="18"/>
    </row>
    <row r="54" spans="4:20" ht="17.399999999999999" x14ac:dyDescent="0.35">
      <c r="D54" s="279"/>
      <c r="E54" s="279"/>
      <c r="F54" s="278"/>
      <c r="G54" s="316"/>
      <c r="H54" s="323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45891</v>
      </c>
    </row>
    <row r="6" spans="1:31" ht="16.2" thickBot="1" x14ac:dyDescent="0.35">
      <c r="B6" s="137" t="s">
        <v>2</v>
      </c>
      <c r="C6" s="136">
        <f>'2229'!C10</f>
        <v>0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11610 A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-69361.743926570052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581988.62400000007</v>
      </c>
      <c r="E11" s="129">
        <f>D11*0.19</f>
        <v>110577.83856000002</v>
      </c>
      <c r="F11" s="128">
        <f>E11+D11</f>
        <v>692566.46256000013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36628.256073429948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103636.35027536232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18628.256073429948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478352.27372463775</v>
      </c>
      <c r="E13" s="218">
        <f>(D11/D12)-1</f>
        <v>4.6156804292475879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9628.2560734299477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-29371.743926570052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197323.61092428985</v>
      </c>
      <c r="C15" s="210" t="s">
        <v>121</v>
      </c>
      <c r="D15" s="211">
        <v>0.6</v>
      </c>
      <c r="E15" s="212">
        <f>(100%+D15)*D12</f>
        <v>165818.16044057973</v>
      </c>
      <c r="F15" s="213">
        <f>E15-D12</f>
        <v>62181.810165217408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-29371.743926570052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10628.256073429948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55000.000000000007</v>
      </c>
      <c r="E19" s="120">
        <f>D19*0.19</f>
        <v>10450.000000000002</v>
      </c>
      <c r="F19" s="117">
        <f>SUM(D19:E19)</f>
        <v>65450.000000000007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28657.439999999999</v>
      </c>
      <c r="E20" s="118">
        <f>D20*0.19</f>
        <v>5444.9135999999999</v>
      </c>
      <c r="F20" s="117">
        <f>SUM(D20:E20)</f>
        <v>34102.353600000002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83657.440000000002</v>
      </c>
      <c r="E21" s="113">
        <f>SUM(E18:E20)</f>
        <v>15894.913600000002</v>
      </c>
      <c r="F21" s="112">
        <f>SUM(F18:F20)</f>
        <v>99552.353600000002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94682.924960000018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581988.62400000007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83657.440000000002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478352.27372463775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478352.27372463775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2025-08-22T19:03:00Z</cp:lastPrinted>
  <dcterms:created xsi:type="dcterms:W3CDTF">2013-03-18T13:35:42Z</dcterms:created>
  <dcterms:modified xsi:type="dcterms:W3CDTF">2025-08-24T03:26:37Z</dcterms:modified>
</cp:coreProperties>
</file>