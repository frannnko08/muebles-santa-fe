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ABD5D660-EDED-4299-809C-B95A0032B1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L22" i="1"/>
  <c r="M22" i="1"/>
  <c r="O22" i="1" s="1"/>
  <c r="P22" i="1" s="1"/>
  <c r="N22" i="1"/>
  <c r="L23" i="1"/>
  <c r="M23" i="1"/>
  <c r="N23" i="1"/>
  <c r="O23" i="1"/>
  <c r="P23" i="1" s="1"/>
  <c r="N21" i="1" l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7" i="1" s="1"/>
  <c r="L21" i="1" l="1"/>
  <c r="S21" i="1" l="1"/>
  <c r="S27" i="1" s="1"/>
  <c r="T21" i="1"/>
  <c r="T26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O34" i="1"/>
  <c r="R38" i="1"/>
  <c r="M32" i="1" l="1"/>
  <c r="R39" i="1"/>
  <c r="O35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7" i="1"/>
  <c r="O36" i="1"/>
  <c r="F18" i="3" l="1"/>
  <c r="O32" i="1" l="1"/>
  <c r="O38" i="1" s="1"/>
  <c r="O39" i="1" s="1"/>
  <c r="O40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23" i="1" l="1"/>
  <c r="Q22" i="1"/>
  <c r="O41" i="1"/>
  <c r="R22" i="1" l="1"/>
  <c r="G22" i="1"/>
  <c r="H22" i="1" s="1"/>
  <c r="R23" i="1"/>
  <c r="G23" i="1"/>
  <c r="H23" i="1" s="1"/>
  <c r="Q21" i="1"/>
  <c r="F15" i="3"/>
  <c r="R21" i="1" l="1"/>
  <c r="G21" i="1" s="1"/>
  <c r="H21" i="1" s="1"/>
  <c r="H28" i="1" l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<sst xmlns="http://schemas.openxmlformats.org/spreadsheetml/2006/main" count="238" uniqueCount="179">
  <si>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</si>
  <si>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</si>
  <si>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</si>
  <si>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</si>
  <si>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</si>
  <si>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</si>
  <si>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</si>
  <si>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</si>
  <si>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</si>
  <si>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</si>
  <si>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</si>
  <si>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</si>
  <si>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</si>
  <si>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</si>
  <si>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</si>
  <si>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</si>
  <si>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</si>
  <si>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</si>
  <si>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</si>
  <si>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</si>
  <si>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</si>
  <si>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</si>
  <si>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</si>
  <si>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</si>
  <si>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</si>
  <si>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</si>
  <si>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</si>
  <si>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</si>
  <si>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</si>
  <si>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</si>
  <si>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</si>
  <si>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</si>
  <si>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</si>
  <si>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</si>
  <si>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</si>
  <si>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</si>
  <si>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</si>
  <si>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</si>
  <si>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</si>
  <si>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</si>
  <si>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</si>
  <si>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</si>
  <si>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</si>
  <si>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</si>
  <si>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</si>
  <si>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</si>
  <si>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</si>
  <si>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</si>
  <si>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</si>
  <si>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</si>
  <si>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</si>
  <si>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</si>
  <si>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</si>
  <si>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</si>
  <si>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</si>
  <si>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</si>
  <si>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</si>
  <si>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</si>
  <si>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</si>
  <si>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</si>
  <si>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</si>
  <si>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</si>
  <si>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</si>
  <si>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</si>
  <si>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</si>
  <si>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</si>
  <si>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</si>
  <si>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</si>
  <si>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</si>
  <si>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</si>
  <si>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</si>
  <si>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</si>
  <si>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</si>
  <si>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</si>
  <si>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</si>
  <si>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</si>
  <si>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</si>
  <si>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</si>
  <si>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</si>
  <si>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</si>
  <si>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</si>
  <si>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</si>
  <si>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</si>
  <si>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</si>
  <si>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</si>
  <si>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</si>
  <si>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</si>
  <si>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</si>
  <si>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</si>
  <si>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</si>
  <si>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</si>
  <si>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</si>
  <si>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</si>
  <si>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</si>
  <si>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</si>
  <si>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</si>
  <si>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</si>
  <si>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</si>
  <si>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</si>
  <si>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</si>
  <si>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</si>
  <si>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</si>
  <si>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</si>
  <si>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</si>
  <si>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</si>
  <si>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</si>
  <si>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</si>
  <si>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</si>
  <si>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</si>
  <si>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</si>
  <si>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</si>
  <si>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</si>
  <si>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</si>
  <si>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</si>
  <si>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</si>
  <si>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</si>
  <si>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</si>
  <si>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</si>
  <si>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</si>
  <si>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</si>
  <si>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</si>
  <si>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</si>
  <si>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</si>
  <si>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</si>
  <si>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</si>
  <si>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</si>
  <si>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</si>
  <si>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</si>
  <si>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</si>
  <si>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</si>
  <si>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</si>
  <si>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</si>
  <si>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</si>
  <si>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</si>
  <si>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</si>
  <si>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</si>
  <si>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</si>
  <si>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</si>
  <si>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</si>
  <si>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</si>
  <si>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</si>
  <si>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</si>
  <si>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</si>
  <si>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</si>
  <si>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</si>
  <si>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</si>
  <si>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</si>
  <si>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</si>
  <si>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</si>
  <si>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</si>
  <si>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</si>
  <si>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</si>
  <si>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</si>
  <si>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</si>
  <si>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</si>
  <si>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</si>
  <si>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</si>
  <si>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</si>
  <si>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</si>
  <si>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</si>
  <si>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</si>
  <si>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</si>
  <si>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</si>
  <si>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</si>
  <si>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</si>
  <si>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SANTIAGO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</si>
  <si>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</si>
  <si>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</si>
  <si>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</si>
  <si>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</si>
  <si>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</si>
  <si>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</si>
  <si>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JUAN RUBIO</t>
  </si>
  <si>
    <t>+54 9 11 4026 4966</t>
  </si>
  <si>
    <t>CUB CON RESPALDO FRENTE 90°</t>
  </si>
  <si>
    <t>3 DIAS HABILES</t>
  </si>
  <si>
    <t>N° 11581</t>
  </si>
  <si>
    <t>CUB SIN RESPALDO 90°</t>
  </si>
  <si>
    <t>GRANITINO NEGRO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</si>
</sst>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166" fontId="29" fillId="0" borderId="4" xfId="0" applyNumberFormat="1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139290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15783"/>
          <a:ext cx="6833420" cy="80163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100" b="1"/>
            <a:t> </a:t>
          </a:r>
          <a:r>
            <a:rPr lang="es-CL" sz="1000" b="1"/>
            <a:t>CUBIERTA DE 2,42 VA CORTADA A LA MEDIDA Y ENCHAPADA EN EL COSTADO</a:t>
          </a:r>
          <a:r>
            <a:rPr lang="es-CL" sz="1000" b="1" baseline="0"/>
            <a:t> IZQ MIRANDOLA DESDE EL FRENTE. CUBIERTA DE 0,66 VA CORTADA A LA MEDIDA Y ENCHAPADA EN EL LADO DER MIRANDOLA DESDE EL FRENTE.</a:t>
          </a:r>
        </a:p>
        <a:p>
          <a:pPr algn="l"/>
          <a:r>
            <a:rPr lang="es-CL" sz="1000" b="1" baseline="0"/>
            <a:t>CUBIERTA SIN RESPALDO VA ENCHAPADA EN EL COSTADO DERECHO MIRANDOLA DESDE EL FRENTE Y EN LA PARTE TRASERA.</a:t>
          </a:r>
          <a:endParaRPr lang="es-CL" sz="1050" b="1" baseline="0"/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F24" sqref="F24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172</v>
      </c>
      <c r="D10" s="236"/>
      <c r="E10" s="236"/>
      <c r="F10" s="237" t="s">
        <v>163</v>
      </c>
      <c r="G10" s="268">
        <v>45881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175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Q12" s="19"/>
      <c r="R12" s="22"/>
      <c r="S12" s="19"/>
    </row>
    <row r="13" spans="2:24" x14ac:dyDescent="0.3">
      <c r="B13" s="276" t="s">
        <v>140</v>
      </c>
      <c r="F13" t="s">
        <v>161</v>
      </c>
      <c r="G13" s="301" t="s">
        <v>130</v>
      </c>
      <c r="H13" s="277"/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130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173</v>
      </c>
      <c r="D15" s="304"/>
      <c r="F15" t="s">
        <v>164</v>
      </c>
      <c r="G15" s="305" t="s">
        <v>130</v>
      </c>
      <c r="H15" s="277"/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</row>
    <row r="17" spans="2:25" ht="15" thickBot="1" x14ac:dyDescent="0.35">
      <c r="B17" s="287" t="s">
        <v>13</v>
      </c>
      <c r="C17" s="288" t="s">
        <v>165</v>
      </c>
      <c r="D17" s="289"/>
      <c r="E17" s="113"/>
      <c r="F17" s="355" t="s">
        <v>159</v>
      </c>
      <c r="G17" s="355"/>
      <c r="H17" s="356"/>
      <c r="I17" s="255"/>
      <c r="J17" s="255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57" t="s">
        <v>92</v>
      </c>
      <c r="C19" s="358"/>
      <c r="D19" s="358"/>
      <c r="E19" s="358"/>
      <c r="F19" s="358"/>
      <c r="G19" s="358"/>
      <c r="H19" s="359"/>
      <c r="I19" s="256"/>
      <c r="J19" s="256"/>
      <c r="K19" s="5"/>
      <c r="L19" s="242"/>
      <c r="M19" s="14">
        <v>0.08</v>
      </c>
      <c r="N19" s="14">
        <v>0.08</v>
      </c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2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O40</f>
        <v>54558.628662161376</v>
      </c>
      <c r="R20" s="250">
        <v>2000</v>
      </c>
      <c r="S20" s="35"/>
      <c r="T20" s="14" t="s">
        <v>124</v>
      </c>
      <c r="U20" s="9"/>
      <c r="X20" s="4"/>
    </row>
    <row r="21" spans="2:25" ht="17.399999999999999" x14ac:dyDescent="0.3">
      <c r="B21" s="340">
        <v>1</v>
      </c>
      <c r="C21" s="341" t="s">
        <v>174</v>
      </c>
      <c r="D21" s="342">
        <v>2.42</v>
      </c>
      <c r="E21" s="342">
        <v>0.5</v>
      </c>
      <c r="F21" s="341" t="s">
        <v>178</v>
      </c>
      <c r="G21" s="343">
        <f>R21</f>
        <v>81110.011560133993</v>
      </c>
      <c r="H21" s="344">
        <f>G21*B21</f>
        <v>81110.011560133993</v>
      </c>
      <c r="I21" s="292"/>
      <c r="J21" s="257"/>
      <c r="K21" s="44"/>
      <c r="L21" s="44">
        <f>B21</f>
        <v>1</v>
      </c>
      <c r="M21" s="36">
        <f>D21+M$19</f>
        <v>2.5</v>
      </c>
      <c r="N21" s="36">
        <f>E21+$N$19</f>
        <v>0.57999999999999996</v>
      </c>
      <c r="O21" s="253">
        <f t="shared" ref="O21" si="1">M21*N21</f>
        <v>1.45</v>
      </c>
      <c r="P21" s="251">
        <f>O21*L21</f>
        <v>1.45</v>
      </c>
      <c r="Q21" s="244">
        <f t="shared" ref="Q21" si="2">Q$20*O21</f>
        <v>79110.011560133993</v>
      </c>
      <c r="R21" s="291">
        <f t="shared" ref="R21" si="3">Q21+R$20</f>
        <v>81110.011560133993</v>
      </c>
      <c r="S21" s="279">
        <f>M21*L21</f>
        <v>2.5</v>
      </c>
      <c r="T21" s="43">
        <f>N21*2*L21*2</f>
        <v>2.3199999999999998</v>
      </c>
      <c r="U21" s="9"/>
      <c r="X21" s="4"/>
    </row>
    <row r="22" spans="2:25" ht="17.399999999999999" x14ac:dyDescent="0.3">
      <c r="B22" s="350">
        <v>1</v>
      </c>
      <c r="C22" s="351" t="s">
        <v>174</v>
      </c>
      <c r="D22" s="352">
        <v>0.65</v>
      </c>
      <c r="E22" s="352">
        <v>0.5</v>
      </c>
      <c r="F22" s="351" t="s">
        <v>178</v>
      </c>
      <c r="G22" s="353">
        <f>Q22</f>
        <v>23100.123375559124</v>
      </c>
      <c r="H22" s="354">
        <f>G22*B22</f>
        <v>23100.123375559124</v>
      </c>
      <c r="I22" s="292"/>
      <c r="J22" s="257"/>
      <c r="K22" s="44"/>
      <c r="L22" s="44">
        <f t="shared" ref="L22:L23" si="4">B22</f>
        <v>1</v>
      </c>
      <c r="M22" s="36">
        <f t="shared" ref="M22:M23" si="5">D22+M$19</f>
        <v>0.73</v>
      </c>
      <c r="N22" s="36">
        <f t="shared" ref="N22:N23" si="6">E22+$N$19</f>
        <v>0.57999999999999996</v>
      </c>
      <c r="O22" s="253">
        <f t="shared" ref="O22:O23" si="7">M22*N22</f>
        <v>0.42339999999999994</v>
      </c>
      <c r="P22" s="251">
        <f t="shared" ref="P22:P23" si="8">O22*L22</f>
        <v>0.42339999999999994</v>
      </c>
      <c r="Q22" s="244">
        <f t="shared" ref="Q22:Q23" si="9">Q$20*O22</f>
        <v>23100.123375559124</v>
      </c>
      <c r="R22" s="291">
        <f t="shared" ref="R22:R23" si="10">Q22+R$20</f>
        <v>25100.123375559124</v>
      </c>
      <c r="S22" s="279"/>
      <c r="T22" s="43"/>
      <c r="U22" s="9"/>
      <c r="X22" s="4"/>
    </row>
    <row r="23" spans="2:25" ht="18" thickBot="1" x14ac:dyDescent="0.35">
      <c r="B23" s="345">
        <v>1</v>
      </c>
      <c r="C23" s="346" t="s">
        <v>177</v>
      </c>
      <c r="D23" s="347">
        <v>1.4950000000000001</v>
      </c>
      <c r="E23" s="347">
        <v>0.37</v>
      </c>
      <c r="F23" s="346" t="s">
        <v>178</v>
      </c>
      <c r="G23" s="348">
        <f>Q23</f>
        <v>38668.428064306878</v>
      </c>
      <c r="H23" s="349">
        <f>G23*B23</f>
        <v>38668.428064306878</v>
      </c>
      <c r="I23" s="292"/>
      <c r="J23" s="257"/>
      <c r="K23" s="44"/>
      <c r="L23" s="44">
        <f t="shared" si="4"/>
        <v>1</v>
      </c>
      <c r="M23" s="36">
        <f t="shared" si="5"/>
        <v>1.5750000000000002</v>
      </c>
      <c r="N23" s="36">
        <f t="shared" si="6"/>
        <v>0.45</v>
      </c>
      <c r="O23" s="253">
        <f t="shared" si="7"/>
        <v>0.7087500000000001</v>
      </c>
      <c r="P23" s="251">
        <f t="shared" si="8"/>
        <v>0.7087500000000001</v>
      </c>
      <c r="Q23" s="244">
        <f t="shared" si="9"/>
        <v>38668.428064306878</v>
      </c>
      <c r="R23" s="291">
        <f t="shared" si="10"/>
        <v>40668.428064306878</v>
      </c>
      <c r="S23" s="279"/>
      <c r="T23" s="43"/>
      <c r="U23" s="9"/>
      <c r="X23" s="4"/>
    </row>
    <row r="24" spans="2:25" ht="17.399999999999999" x14ac:dyDescent="0.3">
      <c r="B24" s="274"/>
      <c r="C24" s="274"/>
      <c r="D24" s="275"/>
      <c r="E24" s="275"/>
      <c r="F24" s="274"/>
      <c r="G24" s="292"/>
      <c r="H24" s="292"/>
      <c r="I24" s="292"/>
      <c r="J24" s="257"/>
      <c r="K24" s="44"/>
      <c r="L24" s="44"/>
      <c r="M24" s="36"/>
      <c r="N24" s="36"/>
      <c r="O24" s="253"/>
      <c r="P24" s="251"/>
      <c r="Q24" s="244"/>
      <c r="R24" s="291"/>
      <c r="S24" s="279"/>
      <c r="T24" s="43"/>
      <c r="U24" s="9"/>
      <c r="X24" s="4"/>
    </row>
    <row r="25" spans="2:25" ht="18" thickBot="1" x14ac:dyDescent="0.35">
      <c r="B25" s="274"/>
      <c r="C25" s="274"/>
      <c r="D25" s="275"/>
      <c r="E25" s="275"/>
      <c r="F25" s="274"/>
      <c r="G25" s="257"/>
      <c r="H25" s="293"/>
      <c r="I25" s="295"/>
      <c r="J25" s="226"/>
      <c r="K25" s="44"/>
      <c r="L25" s="44"/>
      <c r="M25" s="36"/>
      <c r="N25" s="36"/>
      <c r="O25" s="253"/>
      <c r="P25" s="251"/>
      <c r="Q25" s="244"/>
      <c r="R25" s="250"/>
      <c r="S25" s="279"/>
      <c r="T25" s="14"/>
      <c r="U25" s="9"/>
      <c r="X25" s="4"/>
    </row>
    <row r="26" spans="2:25" ht="17.399999999999999" x14ac:dyDescent="0.3">
      <c r="B26" s="274"/>
      <c r="C26" s="274"/>
      <c r="D26" s="275"/>
      <c r="E26" s="275"/>
      <c r="F26" s="274"/>
      <c r="G26" s="334" t="s">
        <v>28</v>
      </c>
      <c r="H26" s="335">
        <v>113580</v>
      </c>
      <c r="I26" s="294"/>
      <c r="J26" s="327"/>
      <c r="K26" s="309"/>
      <c r="L26" s="44"/>
      <c r="M26" s="36"/>
      <c r="N26" s="36"/>
      <c r="O26" s="253"/>
      <c r="P26" s="251"/>
      <c r="Q26" s="244"/>
      <c r="R26" s="250"/>
      <c r="S26" s="279"/>
      <c r="T26" s="43">
        <f>SUM(T21:T25)</f>
        <v>2.3199999999999998</v>
      </c>
      <c r="U26" s="9"/>
      <c r="X26" s="4"/>
    </row>
    <row r="27" spans="2:25" ht="17.399999999999999" x14ac:dyDescent="0.3">
      <c r="B27" s="269"/>
      <c r="C27" s="271"/>
      <c r="D27" s="272"/>
      <c r="E27" s="272"/>
      <c r="F27" s="273"/>
      <c r="G27" s="328" t="s">
        <v>51</v>
      </c>
      <c r="H27" s="330">
        <f>H26*0.19</f>
        <v>21580.2</v>
      </c>
      <c r="I27" s="294"/>
      <c r="J27" s="257"/>
      <c r="K27" s="309"/>
      <c r="L27" s="44"/>
      <c r="M27" s="36">
        <f>SUM(M21:M21)</f>
        <v>2.5</v>
      </c>
      <c r="N27" s="12"/>
      <c r="O27" s="12"/>
      <c r="P27" s="245">
        <f>SUM(P21:P25)</f>
        <v>2.5821499999999999</v>
      </c>
      <c r="Q27" s="14"/>
      <c r="R27" s="12"/>
      <c r="S27" s="232">
        <f>SUM(S21:S26)</f>
        <v>2.5</v>
      </c>
      <c r="T27" s="43"/>
      <c r="U27" s="9"/>
      <c r="X27" s="4"/>
    </row>
    <row r="28" spans="2:25" ht="18" thickBot="1" x14ac:dyDescent="0.35">
      <c r="B28" s="267"/>
      <c r="C28" s="270"/>
      <c r="D28" s="264"/>
      <c r="E28" s="264"/>
      <c r="F28" s="265"/>
      <c r="G28" s="329" t="s">
        <v>6</v>
      </c>
      <c r="H28" s="331">
        <f>H27+H26</f>
        <v>135160.20000000001</v>
      </c>
      <c r="I28" s="294"/>
      <c r="J28" s="327"/>
      <c r="K28" s="309"/>
      <c r="L28" s="44"/>
      <c r="M28" s="36"/>
      <c r="N28" s="12"/>
      <c r="O28" s="12"/>
      <c r="P28" s="245">
        <f>P27</f>
        <v>2.5821499999999999</v>
      </c>
      <c r="Q28" s="14"/>
      <c r="R28" s="12"/>
      <c r="S28" s="232"/>
      <c r="T28" s="43"/>
      <c r="U28" s="9"/>
      <c r="X28" s="4"/>
    </row>
    <row r="29" spans="2:25" ht="17.399999999999999" x14ac:dyDescent="0.3">
      <c r="B29" s="267"/>
      <c r="C29" s="263"/>
      <c r="D29" s="264"/>
      <c r="E29" s="264"/>
      <c r="F29" s="265"/>
      <c r="J29" s="257"/>
      <c r="K29" s="309"/>
      <c r="L29" s="44"/>
      <c r="M29" s="14"/>
      <c r="N29" s="12"/>
      <c r="O29" s="12"/>
      <c r="P29" s="36">
        <f>P28*20%</f>
        <v>0.51643000000000006</v>
      </c>
      <c r="Q29" s="36" t="s">
        <v>126</v>
      </c>
      <c r="R29" s="39"/>
      <c r="S29" s="233"/>
      <c r="T29" s="14"/>
      <c r="U29" s="9"/>
      <c r="X29" s="4"/>
    </row>
    <row r="30" spans="2:25" ht="17.399999999999999" x14ac:dyDescent="0.35">
      <c r="B30" s="261"/>
      <c r="C30" s="223"/>
      <c r="D30" s="223"/>
      <c r="E30" s="226"/>
      <c r="F30" s="227"/>
      <c r="G30" s="223"/>
      <c r="H30" s="266"/>
      <c r="I30" s="266"/>
      <c r="J30" s="257"/>
      <c r="K30" s="44"/>
      <c r="L30" s="44"/>
      <c r="M30" s="14"/>
      <c r="N30" s="12"/>
      <c r="O30" s="12"/>
      <c r="P30" s="43">
        <f>P28+P29</f>
        <v>3.0985800000000001</v>
      </c>
      <c r="Q30" s="14"/>
      <c r="R30" s="14"/>
      <c r="S30" s="231"/>
      <c r="T30" s="14"/>
      <c r="U30" s="9"/>
      <c r="X30" s="4"/>
    </row>
    <row r="31" spans="2:25" ht="17.399999999999999" x14ac:dyDescent="0.35">
      <c r="B31" s="228"/>
      <c r="C31" s="229"/>
      <c r="D31" s="230"/>
      <c r="E31" s="228"/>
      <c r="F31" s="223"/>
      <c r="G31" s="223"/>
      <c r="I31" s="266"/>
      <c r="J31" s="257"/>
      <c r="K31" s="44"/>
      <c r="L31" s="44"/>
      <c r="M31" s="14"/>
      <c r="N31" s="14"/>
      <c r="O31" s="14"/>
      <c r="P31" s="14"/>
      <c r="Q31" s="14"/>
      <c r="R31" s="14"/>
      <c r="S31" s="233"/>
      <c r="T31" s="14"/>
      <c r="U31" s="283" t="s">
        <v>21</v>
      </c>
      <c r="V31" s="280" t="s">
        <v>146</v>
      </c>
      <c r="W31" s="284">
        <v>44971</v>
      </c>
      <c r="X31" s="285"/>
    </row>
    <row r="32" spans="2:25" ht="17.399999999999999" x14ac:dyDescent="0.35">
      <c r="B32" s="223"/>
      <c r="C32" s="223"/>
      <c r="D32" s="223"/>
      <c r="E32" s="223"/>
      <c r="F32" s="223"/>
      <c r="G32" s="223"/>
      <c r="J32" s="257"/>
      <c r="K32" s="44"/>
      <c r="L32" s="44"/>
      <c r="M32" s="36">
        <f>P30</f>
        <v>3.0985800000000001</v>
      </c>
      <c r="N32" s="12">
        <v>3500</v>
      </c>
      <c r="O32" s="12">
        <f t="shared" ref="O32:O37" si="11">M32*N32</f>
        <v>10845.03</v>
      </c>
      <c r="P32" s="14" t="s">
        <v>21</v>
      </c>
      <c r="Q32" s="14"/>
      <c r="R32" s="14"/>
      <c r="S32" s="234"/>
      <c r="T32" s="14"/>
      <c r="U32" s="283" t="s">
        <v>147</v>
      </c>
      <c r="V32" s="280">
        <v>3625</v>
      </c>
      <c r="W32" s="56" t="s">
        <v>148</v>
      </c>
      <c r="X32" s="285"/>
    </row>
    <row r="33" spans="1:24" ht="17.399999999999999" x14ac:dyDescent="0.35">
      <c r="A33" s="223"/>
      <c r="B33" s="223"/>
      <c r="C33" s="223"/>
      <c r="D33" s="223"/>
      <c r="E33" s="223"/>
      <c r="F33" s="223"/>
      <c r="G33" s="223"/>
      <c r="H33" s="223"/>
      <c r="J33" s="257"/>
      <c r="K33" s="44"/>
      <c r="L33" s="44"/>
      <c r="M33" s="241">
        <v>0.84</v>
      </c>
      <c r="N33" s="12">
        <v>23500</v>
      </c>
      <c r="O33" s="12">
        <f t="shared" si="11"/>
        <v>19740</v>
      </c>
      <c r="P33" s="36" t="s">
        <v>31</v>
      </c>
      <c r="Q33" s="39"/>
      <c r="R33" s="14"/>
      <c r="S33" s="233"/>
      <c r="T33" s="14"/>
      <c r="U33" s="283"/>
      <c r="V33" s="56">
        <v>906.25</v>
      </c>
      <c r="W33" s="56" t="s">
        <v>149</v>
      </c>
      <c r="X33" s="285"/>
    </row>
    <row r="34" spans="1:24" s="223" customFormat="1" ht="17.399999999999999" x14ac:dyDescent="0.35">
      <c r="B34" s="21" t="s">
        <v>145</v>
      </c>
      <c r="J34" s="254"/>
      <c r="K34" s="225"/>
      <c r="L34" s="242"/>
      <c r="M34" s="14"/>
      <c r="N34" s="242">
        <v>54782</v>
      </c>
      <c r="O34" s="12">
        <f t="shared" si="11"/>
        <v>0</v>
      </c>
      <c r="P34" s="36" t="s">
        <v>30</v>
      </c>
      <c r="Q34" s="39"/>
      <c r="S34" s="233"/>
      <c r="T34" s="248"/>
      <c r="U34" s="56"/>
      <c r="V34" s="56">
        <f>V33*20%</f>
        <v>181.25</v>
      </c>
      <c r="W34" s="285" t="s">
        <v>150</v>
      </c>
      <c r="X34" s="56"/>
    </row>
    <row r="35" spans="1:24" s="223" customFormat="1" ht="17.399999999999999" x14ac:dyDescent="0.35">
      <c r="B35" s="21" t="s">
        <v>160</v>
      </c>
      <c r="C35"/>
      <c r="D35"/>
      <c r="E35"/>
      <c r="F35"/>
      <c r="J35" s="254"/>
      <c r="K35" s="225"/>
      <c r="L35" s="242"/>
      <c r="M35" s="14">
        <v>1</v>
      </c>
      <c r="N35" s="242">
        <v>32000</v>
      </c>
      <c r="O35" s="12">
        <f t="shared" si="11"/>
        <v>32000</v>
      </c>
      <c r="P35" s="14" t="s">
        <v>136</v>
      </c>
      <c r="Q35" s="17"/>
      <c r="S35" s="231"/>
      <c r="T35" s="248"/>
      <c r="U35" s="56"/>
      <c r="V35" s="56">
        <f>V33+V34</f>
        <v>1087.5</v>
      </c>
      <c r="W35" s="285" t="s">
        <v>151</v>
      </c>
      <c r="X35" s="56"/>
    </row>
    <row r="36" spans="1:24" s="223" customFormat="1" ht="17.399999999999999" x14ac:dyDescent="0.35">
      <c r="B36" s="26" t="s">
        <v>121</v>
      </c>
      <c r="C36"/>
      <c r="D36"/>
      <c r="E36"/>
      <c r="F36" s="222" t="s">
        <v>15</v>
      </c>
      <c r="J36" s="254"/>
      <c r="K36" s="252"/>
      <c r="L36" s="242"/>
      <c r="M36" s="241"/>
      <c r="N36" s="242">
        <v>900</v>
      </c>
      <c r="O36" s="12">
        <f t="shared" si="11"/>
        <v>0</v>
      </c>
      <c r="P36" s="14" t="s">
        <v>32</v>
      </c>
      <c r="Q36" s="14"/>
      <c r="R36" s="223">
        <v>1.52</v>
      </c>
      <c r="S36" s="231"/>
      <c r="T36" s="231"/>
    </row>
    <row r="37" spans="1:24" s="223" customFormat="1" ht="17.399999999999999" x14ac:dyDescent="0.35">
      <c r="J37" s="278"/>
      <c r="K37" s="252"/>
      <c r="L37" s="242"/>
      <c r="M37" s="258">
        <v>3</v>
      </c>
      <c r="N37" s="12">
        <v>1500</v>
      </c>
      <c r="O37" s="12">
        <f t="shared" si="11"/>
        <v>4500</v>
      </c>
      <c r="P37" s="14" t="s">
        <v>22</v>
      </c>
      <c r="Q37" s="14"/>
      <c r="R37">
        <v>2.44</v>
      </c>
      <c r="S37"/>
      <c r="T37" s="231"/>
      <c r="X37" s="224"/>
    </row>
    <row r="38" spans="1:24" s="223" customFormat="1" ht="17.399999999999999" x14ac:dyDescent="0.35">
      <c r="K38" s="252"/>
      <c r="L38" s="242"/>
      <c r="M38" s="14"/>
      <c r="N38" s="12"/>
      <c r="O38" s="12">
        <f>SUM(O32:O37)</f>
        <v>67085.03</v>
      </c>
      <c r="P38" s="36" t="s">
        <v>23</v>
      </c>
      <c r="Q38" s="14"/>
      <c r="R38">
        <f>R36*R37</f>
        <v>3.7088000000000001</v>
      </c>
      <c r="S38"/>
      <c r="T38" s="231"/>
      <c r="X38" s="224"/>
    </row>
    <row r="39" spans="1:24" s="223" customFormat="1" ht="17.399999999999999" x14ac:dyDescent="0.35">
      <c r="L39" s="242"/>
      <c r="M39" s="246" t="s">
        <v>33</v>
      </c>
      <c r="N39" s="12"/>
      <c r="O39" s="247">
        <f>O38*2.1</f>
        <v>140878.56299999999</v>
      </c>
      <c r="P39" s="14" t="s">
        <v>135</v>
      </c>
      <c r="Q39" s="14"/>
      <c r="R39" s="37">
        <f>P30/R38</f>
        <v>0.83546699741156172</v>
      </c>
      <c r="S39"/>
      <c r="T39" s="249"/>
    </row>
    <row r="40" spans="1:24" s="223" customFormat="1" ht="17.399999999999999" x14ac:dyDescent="0.35">
      <c r="G40"/>
      <c r="H40" s="252"/>
      <c r="I40" s="252"/>
      <c r="J40" s="332"/>
      <c r="L40" s="242"/>
      <c r="M40" s="14"/>
      <c r="N40" s="12"/>
      <c r="O40" s="12">
        <f>O39/P28</f>
        <v>54558.628662161376</v>
      </c>
      <c r="P40" s="42" t="s">
        <v>24</v>
      </c>
      <c r="Q40" s="14"/>
      <c r="R40" s="14"/>
      <c r="S40"/>
      <c r="T40" s="231"/>
      <c r="U40" s="56" t="s">
        <v>152</v>
      </c>
      <c r="V40" s="280">
        <v>43650</v>
      </c>
    </row>
    <row r="41" spans="1:24" s="223" customFormat="1" ht="17.399999999999999" x14ac:dyDescent="0.35">
      <c r="G41"/>
      <c r="L41" s="242"/>
      <c r="M41" s="13"/>
      <c r="N41" s="14"/>
      <c r="O41" s="17">
        <f>O39/O38</f>
        <v>2.1</v>
      </c>
      <c r="P41" s="15"/>
      <c r="Q41"/>
      <c r="R41"/>
      <c r="S41"/>
      <c r="T41" s="231"/>
      <c r="U41" s="56" t="s">
        <v>154</v>
      </c>
      <c r="V41" s="281" t="s">
        <v>153</v>
      </c>
      <c r="W41" s="56">
        <v>2.4</v>
      </c>
    </row>
    <row r="42" spans="1:24" s="223" customFormat="1" ht="17.399999999999999" x14ac:dyDescent="0.35">
      <c r="D42" s="275"/>
      <c r="E42" s="275"/>
      <c r="F42" s="274"/>
      <c r="G42" s="310"/>
      <c r="H42" s="314"/>
      <c r="J42" s="333"/>
      <c r="L42" s="12"/>
      <c r="T42" s="231"/>
      <c r="U42" s="56" t="s">
        <v>155</v>
      </c>
      <c r="V42" s="282">
        <v>395.37</v>
      </c>
    </row>
    <row r="43" spans="1:24" s="223" customFormat="1" ht="17.399999999999999" x14ac:dyDescent="0.35">
      <c r="B43"/>
      <c r="C43" s="315"/>
      <c r="D43" s="275"/>
      <c r="E43" s="275"/>
      <c r="F43" s="274"/>
      <c r="G43" s="310"/>
      <c r="H43" s="314"/>
      <c r="L43" s="12"/>
      <c r="T43" s="231"/>
      <c r="U43" s="56" t="s">
        <v>150</v>
      </c>
      <c r="V43" s="56">
        <v>474.45</v>
      </c>
    </row>
    <row r="44" spans="1:24" ht="14.4" customHeight="1" x14ac:dyDescent="0.35">
      <c r="D44" s="275"/>
      <c r="E44" s="275"/>
      <c r="F44" s="274"/>
      <c r="G44" s="310"/>
      <c r="H44" s="314"/>
      <c r="L44" s="12"/>
      <c r="U44" s="56"/>
      <c r="V44" s="56"/>
    </row>
    <row r="45" spans="1:24" ht="17.399999999999999" x14ac:dyDescent="0.35">
      <c r="D45" s="275"/>
      <c r="E45" s="275"/>
      <c r="F45" s="274"/>
      <c r="G45" s="310"/>
      <c r="H45" s="314"/>
      <c r="L45" s="242"/>
    </row>
    <row r="46" spans="1:24" ht="17.399999999999999" x14ac:dyDescent="0.35">
      <c r="D46" s="275"/>
      <c r="E46" s="275"/>
      <c r="F46" s="274"/>
      <c r="G46" s="310"/>
      <c r="H46" s="314"/>
      <c r="L46" s="242"/>
      <c r="T46" s="262"/>
    </row>
    <row r="47" spans="1:24" ht="17.399999999999999" x14ac:dyDescent="0.35">
      <c r="D47" s="275"/>
      <c r="E47" s="275"/>
      <c r="F47" s="274"/>
      <c r="G47" s="310"/>
      <c r="H47" s="314"/>
      <c r="L47" s="242"/>
    </row>
    <row r="48" spans="1:24" ht="15" customHeight="1" x14ac:dyDescent="0.35">
      <c r="D48" s="275"/>
      <c r="E48" s="275"/>
      <c r="F48" s="274"/>
      <c r="G48" s="310"/>
      <c r="H48" s="314"/>
    </row>
    <row r="49" spans="4:20" ht="17.399999999999999" x14ac:dyDescent="0.35">
      <c r="D49" s="275"/>
      <c r="E49" s="275"/>
      <c r="F49" s="274"/>
      <c r="G49" s="310"/>
      <c r="H49" s="314"/>
    </row>
    <row r="50" spans="4:20" ht="17.399999999999999" x14ac:dyDescent="0.35">
      <c r="D50" s="275"/>
      <c r="E50" s="275"/>
      <c r="F50" s="274"/>
      <c r="G50" s="310"/>
      <c r="H50" s="314"/>
      <c r="O50">
        <v>40935</v>
      </c>
      <c r="P50" t="s">
        <v>16</v>
      </c>
      <c r="Q50" t="s">
        <v>26</v>
      </c>
    </row>
    <row r="51" spans="4:20" ht="17.399999999999999" x14ac:dyDescent="0.35">
      <c r="D51" s="275"/>
      <c r="E51" s="275"/>
      <c r="F51" s="274"/>
      <c r="G51" s="310"/>
      <c r="H51" s="314"/>
    </row>
    <row r="52" spans="4:20" ht="17.399999999999999" x14ac:dyDescent="0.35">
      <c r="D52" s="275"/>
      <c r="E52" s="275"/>
      <c r="F52" s="274"/>
      <c r="G52" s="310"/>
      <c r="H52" s="314"/>
      <c r="O52" s="51"/>
      <c r="P52" s="51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ht="17.399999999999999" x14ac:dyDescent="0.35">
      <c r="D54" s="275"/>
      <c r="E54" s="275"/>
      <c r="F54" s="274"/>
      <c r="G54" s="310"/>
      <c r="H54" s="314"/>
      <c r="S54" s="18"/>
      <c r="T54" s="18"/>
    </row>
    <row r="55" spans="4:20" ht="17.399999999999999" x14ac:dyDescent="0.35">
      <c r="D55" s="275"/>
      <c r="E55" s="275"/>
      <c r="F55" s="274"/>
      <c r="G55" s="310"/>
      <c r="H55" s="314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142</v>
      </c>
    </row>
    <row r="76" spans="3:15" x14ac:dyDescent="0.3">
      <c r="C76" t="s">
        <v>141</v>
      </c>
    </row>
    <row r="79" spans="3:15" x14ac:dyDescent="0.3">
      <c r="C79" t="s">
        <v>141</v>
      </c>
    </row>
    <row r="156" spans="3:3" x14ac:dyDescent="0.3">
      <c r="C156" t="s">
        <v>141</v>
      </c>
    </row>
    <row r="157" spans="3:3" x14ac:dyDescent="0.3">
      <c r="C157" t="s">
        <v>143</v>
      </c>
    </row>
    <row r="158" spans="3:3" x14ac:dyDescent="0.3">
      <c r="C158" t="s">
        <v>144</v>
      </c>
    </row>
    <row r="583" spans="3:3" x14ac:dyDescent="0.3">
      <c r="C583" t="s">
        <v>141</v>
      </c>
    </row>
  </sheetData>
  <mergeCells count="2">
    <mergeCell ref="F17:H17"/>
    <mergeCell ref="B19:H19"/>
  </mergeCells>
  <phoneticPr fontId="31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45881</v>
      </c>
    </row>
    <row r="6" spans="1:31" ht="16.2" thickBot="1" x14ac:dyDescent="0.35">
      <c r="B6" s="134" t="s">
        <v>2</v>
      </c>
      <c r="C6" s="133" t="str">
        <f>'2229'!C10</f>
        <v>JUAN RUBIO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65" t="s">
        <v>95</v>
      </c>
      <c r="I7" s="366"/>
      <c r="J7" s="366"/>
      <c r="K7" s="367"/>
      <c r="N7" s="72"/>
      <c r="O7" s="364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11581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64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2320926.5360489134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4778091.4597638976</v>
      </c>
      <c r="C15" s="207" t="s">
        <v>118</v>
      </c>
      <c r="D15" s="208">
        <v>0.73</v>
      </c>
      <c r="E15" s="209">
        <f>(100%+D15)*D12</f>
        <v>4015202.9073646199</v>
      </c>
      <c r="F15" s="210">
        <f>E15-D12</f>
        <v>1694276.3713157065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169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166</v>
      </c>
      <c r="D18" s="116">
        <f>'2229'!O34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170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167</v>
      </c>
      <c r="D19" s="116">
        <f>'2229'!O35</f>
        <v>32000</v>
      </c>
      <c r="E19" s="117">
        <f>D19*0.19</f>
        <v>6080</v>
      </c>
      <c r="F19" s="114">
        <f>SUM(D19:E19)</f>
        <v>38080</v>
      </c>
      <c r="H19" s="324"/>
      <c r="I19" s="323"/>
      <c r="J19" s="144" t="s">
        <v>171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'2229'!O33</f>
        <v>19740</v>
      </c>
      <c r="E20" s="117">
        <f>D20*0.19</f>
        <v>3750.6</v>
      </c>
      <c r="F20" s="114">
        <f>SUM(D20:E20)</f>
        <v>23490.6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'2229'!O32</f>
        <v>10845.03</v>
      </c>
      <c r="E21" s="115">
        <f>D21*0.19</f>
        <v>2060.5557000000003</v>
      </c>
      <c r="F21" s="114">
        <f>SUM(D21:E21)</f>
        <v>12905.585700000001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62585.03</v>
      </c>
      <c r="E22" s="110">
        <f>SUM(E18:E21)</f>
        <v>11891.155700000001</v>
      </c>
      <c r="F22" s="109">
        <f>SUM(F18:F21)</f>
        <v>74476.185700000002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168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61" t="s">
        <v>60</v>
      </c>
      <c r="I43" s="362"/>
      <c r="J43" s="362"/>
      <c r="K43" s="362"/>
      <c r="L43" s="362"/>
      <c r="M43" s="363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62585.03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60"/>
      <c r="J52" s="360"/>
      <c r="K52" s="360"/>
      <c r="L52" s="360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2025-08-12T19:54:59Z</cp:lastPrinted>
  <dcterms:created xsi:type="dcterms:W3CDTF">2013-03-18T13:35:42Z</dcterms:created>
  <dcterms:modified xsi:type="dcterms:W3CDTF">2025-08-13T02:50:39Z</dcterms:modified>
</cp:coreProperties>
</file>