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E9CDED28-E8D1-4A27-B670-7356BE796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H23" i="1"/>
  <c r="L22" i="1"/>
  <c r="M22" i="1"/>
  <c r="N22" i="1"/>
  <c r="O22" i="1" l="1"/>
  <c r="P22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7" i="1" s="1"/>
  <c r="L21" i="1" l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O34" i="1"/>
  <c r="R38" i="1"/>
  <c r="M32" i="1" l="1"/>
  <c r="R39" i="1"/>
  <c r="O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Q22" i="1" s="1"/>
  <c r="R22" i="1" s="1"/>
  <c r="G22" i="1" s="1"/>
  <c r="H22" i="1" s="1"/>
  <c r="D22" i="3"/>
  <c r="M45" i="3" s="1"/>
  <c r="D12" i="3" s="1"/>
  <c r="E15" i="3" s="1"/>
  <c r="A15" i="3" s="1"/>
  <c r="F21" i="3"/>
  <c r="F22" i="3" s="1"/>
  <c r="O41" i="1" l="1"/>
  <c r="Q21" i="1" l="1"/>
  <c r="F15" i="3"/>
  <c r="R21" i="1" l="1"/>
  <c r="G21" i="1" s="1"/>
  <c r="H21" i="1" s="1"/>
  <c r="H26" i="1" l="1"/>
  <c r="H27" i="1" s="1"/>
  <c r="H28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<sst xmlns="http://schemas.openxmlformats.org/spreadsheetml/2006/main" count="237" uniqueCount="178">
  <si>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</si>
  <si>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</si>
  <si>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</si>
  <si>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</si>
  <si>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</si>
  <si>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</si>
  <si>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</si>
  <si>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</si>
  <si>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</si>
  <si>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</si>
  <si>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</si>
  <si>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</si>
  <si>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</si>
  <si>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</si>
  <si>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</si>
  <si>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</si>
  <si>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</si>
  <si>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</si>
  <si>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</si>
  <si>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</si>
  <si>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</si>
  <si>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</si>
  <si>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</si>
  <si>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</si>
  <si>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</si>
  <si>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</si>
  <si>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</si>
  <si>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</si>
  <si>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</si>
  <si>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</si>
  <si>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</si>
  <si>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</si>
  <si>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</si>
  <si>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</si>
  <si>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</si>
  <si>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</si>
  <si>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</si>
  <si>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</si>
  <si>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</si>
  <si>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</si>
  <si>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</si>
  <si>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</si>
  <si>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</si>
  <si>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</si>
  <si>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</si>
  <si>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</si>
  <si>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</si>
  <si>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</si>
  <si>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</si>
  <si>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</si>
  <si>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</si>
  <si>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</si>
  <si>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</si>
  <si>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</si>
  <si>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</si>
  <si>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</si>
  <si>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</si>
  <si>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</si>
  <si>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</si>
  <si>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</si>
  <si>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</si>
  <si>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</si>
  <si>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</si>
  <si>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</si>
  <si>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</si>
  <si>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</si>
  <si>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</si>
  <si>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</si>
  <si>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</si>
  <si>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</si>
  <si>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</si>
  <si>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</si>
  <si>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</si>
  <si>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</si>
  <si>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</si>
  <si>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</si>
  <si>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</si>
  <si>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</si>
  <si>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</si>
  <si>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</si>
  <si>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</si>
  <si>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</si>
  <si>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</si>
  <si>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</si>
  <si>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</si>
  <si>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</si>
  <si>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</si>
  <si>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</si>
  <si>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</si>
  <si>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</si>
  <si>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</si>
  <si>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</si>
  <si>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</si>
  <si>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</si>
  <si>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</si>
  <si>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</si>
  <si>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</si>
  <si>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</si>
  <si>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</si>
  <si>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</si>
  <si>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</si>
  <si>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</si>
  <si>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</si>
  <si>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</si>
  <si>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</si>
  <si>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</si>
  <si>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</si>
  <si>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</si>
  <si>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</si>
  <si>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</si>
  <si>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</si>
  <si>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</si>
  <si>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</si>
  <si>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</si>
  <si>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</si>
  <si>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</si>
  <si>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</si>
  <si>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</si>
  <si>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</si>
  <si>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</si>
  <si>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</si>
  <si>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</si>
  <si>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</si>
  <si>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</si>
  <si>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</si>
  <si>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</si>
  <si>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</si>
  <si>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</si>
  <si>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</si>
  <si>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</si>
  <si>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</si>
  <si>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</si>
  <si>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</si>
  <si>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</si>
  <si>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</si>
  <si>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</si>
  <si>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</si>
  <si>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</si>
  <si>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</si>
  <si>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</si>
  <si>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</si>
  <si>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</si>
  <si>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</si>
  <si>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</si>
  <si>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</si>
  <si>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</si>
  <si>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</si>
  <si>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</si>
  <si>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</si>
  <si>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</si>
  <si>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</si>
  <si>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</si>
  <si>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</si>
  <si>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</si>
  <si>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</si>
  <si>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</si>
  <si>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</si>
  <si>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</si>
  <si>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</si>
  <si>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</si>
  <si>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</si>
  <si>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</si>
  <si>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</si>
  <si>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</si>
  <si>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</si>
  <si>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</si>
  <si>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</si>
  <si>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</si>
  <si>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</si>
  <si>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</si>
  <si>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</si>
  <si>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</si>
  <si>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CUB SIN RESPALDO FTE 90° </t>
  </si>
  <si>
    <t>CLASSIC 3111 BR</t>
  </si>
  <si>
    <t>CECILIA VELASQUEZ</t>
  </si>
  <si>
    <t>+569 8228 4128</t>
  </si>
  <si>
    <t>N° 11580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</si>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</sst>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166" fontId="29" fillId="0" borderId="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100" b="1"/>
            <a:t> LA</a:t>
          </a:r>
          <a:r>
            <a:rPr lang="es-CL" sz="1100" b="1" baseline="0"/>
            <a:t> CUBIERTA DE 2,20 VA SOBRE MEDIDA AL LADO IZQ MIRANDOLA DESDE EL FRENTE Y CUBIERTA DE 1,33 VA CORTADA A LA MEDIDA Y ENCHAPADA AL LADO DER MIRANDOLA DESDE EL FRENTE 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174</v>
      </c>
      <c r="D10" s="236"/>
      <c r="E10" s="236"/>
      <c r="F10" s="237" t="s">
        <v>163</v>
      </c>
      <c r="G10" s="268">
        <v>45880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177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175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2:25" ht="15" thickBot="1" x14ac:dyDescent="0.35">
      <c r="B17" s="287" t="s">
        <v>13</v>
      </c>
      <c r="C17" s="288" t="s">
        <v>165</v>
      </c>
      <c r="D17" s="289"/>
      <c r="E17" s="113"/>
      <c r="F17" s="340" t="s">
        <v>159</v>
      </c>
      <c r="G17" s="340"/>
      <c r="H17" s="341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2" t="s">
        <v>92</v>
      </c>
      <c r="C19" s="343"/>
      <c r="D19" s="343"/>
      <c r="E19" s="343"/>
      <c r="F19" s="343"/>
      <c r="G19" s="343"/>
      <c r="H19" s="344"/>
      <c r="I19" s="256"/>
      <c r="J19" s="256"/>
      <c r="K19" s="5"/>
      <c r="L19" s="242"/>
      <c r="M19" s="14">
        <v>0.08</v>
      </c>
      <c r="N19" s="14">
        <v>0.08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O40</f>
        <v>44673.658536585368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58">
        <v>1</v>
      </c>
      <c r="C21" s="359" t="s">
        <v>172</v>
      </c>
      <c r="D21" s="360">
        <v>1.33</v>
      </c>
      <c r="E21" s="360">
        <v>0.17</v>
      </c>
      <c r="F21" s="359" t="s">
        <v>173</v>
      </c>
      <c r="G21" s="361">
        <f>R21</f>
        <v>17747.464634146345</v>
      </c>
      <c r="H21" s="362">
        <f>G21*B21</f>
        <v>17747.464634146345</v>
      </c>
      <c r="I21" s="292"/>
      <c r="J21" s="257"/>
      <c r="K21" s="44"/>
      <c r="L21" s="44">
        <f>B21</f>
        <v>1</v>
      </c>
      <c r="M21" s="36">
        <f>D21+M$19</f>
        <v>1.4100000000000001</v>
      </c>
      <c r="N21" s="36">
        <f>E21+$N$19</f>
        <v>0.25</v>
      </c>
      <c r="O21" s="253">
        <f t="shared" ref="O21" si="1">M21*N21</f>
        <v>0.35250000000000004</v>
      </c>
      <c r="P21" s="251">
        <f>O21*L21</f>
        <v>0.35250000000000004</v>
      </c>
      <c r="Q21" s="244">
        <f t="shared" ref="Q21" si="2">Q$20*O21</f>
        <v>15747.464634146343</v>
      </c>
      <c r="R21" s="291">
        <f t="shared" ref="R21" si="3">Q21+R$20</f>
        <v>17747.464634146345</v>
      </c>
      <c r="S21" s="279">
        <f>M21*L21</f>
        <v>1.4100000000000001</v>
      </c>
      <c r="T21" s="43">
        <f>N21*2*L21*2</f>
        <v>1</v>
      </c>
      <c r="U21" s="9"/>
      <c r="X21" s="4"/>
    </row>
    <row r="22" spans="2:25" ht="17.399999999999999" x14ac:dyDescent="0.3">
      <c r="B22" s="368">
        <v>1</v>
      </c>
      <c r="C22" s="355" t="s">
        <v>172</v>
      </c>
      <c r="D22" s="356">
        <v>2.2000000000000002</v>
      </c>
      <c r="E22" s="356">
        <v>0.17</v>
      </c>
      <c r="F22" s="355" t="s">
        <v>173</v>
      </c>
      <c r="G22" s="357">
        <f t="shared" ref="G22" si="4">R22</f>
        <v>27463.985365853663</v>
      </c>
      <c r="H22" s="369">
        <f t="shared" ref="H22" si="5">G22*B22</f>
        <v>27463.985365853663</v>
      </c>
      <c r="I22" s="292"/>
      <c r="J22" s="257"/>
      <c r="K22" s="44"/>
      <c r="L22" s="44">
        <f>B22</f>
        <v>1</v>
      </c>
      <c r="M22" s="36">
        <f>D22+M$19</f>
        <v>2.2800000000000002</v>
      </c>
      <c r="N22" s="36">
        <f>E22+$N$19</f>
        <v>0.25</v>
      </c>
      <c r="O22" s="253">
        <f t="shared" ref="O22" si="6">M22*N22</f>
        <v>0.57000000000000006</v>
      </c>
      <c r="P22" s="251">
        <f>O22*L22</f>
        <v>0.57000000000000006</v>
      </c>
      <c r="Q22" s="244">
        <f t="shared" ref="Q22" si="7">Q$20*O22</f>
        <v>25463.985365853663</v>
      </c>
      <c r="R22" s="291">
        <f t="shared" ref="R22" si="8">Q22+R$20</f>
        <v>27463.985365853663</v>
      </c>
      <c r="S22" s="279"/>
      <c r="T22" s="43"/>
      <c r="U22" s="9"/>
      <c r="X22" s="4"/>
    </row>
    <row r="23" spans="2:25" ht="18" thickBot="1" x14ac:dyDescent="0.35">
      <c r="B23" s="363">
        <v>2</v>
      </c>
      <c r="C23" s="364" t="s">
        <v>36</v>
      </c>
      <c r="D23" s="365"/>
      <c r="E23" s="365"/>
      <c r="F23" s="364"/>
      <c r="G23" s="366">
        <v>7500</v>
      </c>
      <c r="H23" s="367">
        <f>G23*B23</f>
        <v>15000</v>
      </c>
      <c r="I23" s="292"/>
      <c r="J23" s="257"/>
      <c r="K23" s="44"/>
      <c r="L23" s="44"/>
      <c r="M23" s="36"/>
      <c r="N23" s="36"/>
      <c r="O23" s="253"/>
      <c r="P23" s="251"/>
      <c r="Q23" s="244"/>
      <c r="R23" s="291"/>
      <c r="S23" s="279"/>
      <c r="T23" s="43"/>
      <c r="U23" s="9"/>
      <c r="X23" s="4"/>
    </row>
    <row r="24" spans="2:25" ht="17.399999999999999" x14ac:dyDescent="0.3">
      <c r="B24" s="353"/>
      <c r="C24" s="353"/>
      <c r="D24" s="354"/>
      <c r="E24" s="354"/>
      <c r="F24" s="353"/>
      <c r="G24" s="292"/>
      <c r="H24" s="292"/>
      <c r="I24" s="292"/>
      <c r="J24" s="257"/>
      <c r="K24" s="44"/>
      <c r="L24" s="44"/>
      <c r="M24" s="36"/>
      <c r="N24" s="36"/>
      <c r="O24" s="253"/>
      <c r="P24" s="251"/>
      <c r="Q24" s="244"/>
      <c r="R24" s="291"/>
      <c r="S24" s="279"/>
      <c r="T24" s="43"/>
      <c r="U24" s="9"/>
      <c r="X24" s="4"/>
    </row>
    <row r="25" spans="2:25" ht="18" thickBot="1" x14ac:dyDescent="0.35">
      <c r="B25" s="274"/>
      <c r="C25" s="274"/>
      <c r="D25" s="275"/>
      <c r="E25" s="275"/>
      <c r="F25" s="274"/>
      <c r="G25" s="257"/>
      <c r="H25" s="293"/>
      <c r="I25" s="295"/>
      <c r="J25" s="226"/>
      <c r="K25" s="44"/>
      <c r="L25" s="44"/>
      <c r="M25" s="36"/>
      <c r="N25" s="36"/>
      <c r="O25" s="253"/>
      <c r="P25" s="251"/>
      <c r="Q25" s="244"/>
      <c r="R25" s="250"/>
      <c r="S25" s="279"/>
      <c r="T25" s="14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4" t="s">
        <v>28</v>
      </c>
      <c r="H26" s="335">
        <f>SUM(H21:H25)</f>
        <v>60211.450000000012</v>
      </c>
      <c r="I26" s="294"/>
      <c r="J26" s="327"/>
      <c r="K26" s="309"/>
      <c r="L26" s="44"/>
      <c r="M26" s="36"/>
      <c r="N26" s="36"/>
      <c r="O26" s="253"/>
      <c r="P26" s="251"/>
      <c r="Q26" s="244"/>
      <c r="R26" s="250"/>
      <c r="S26" s="279"/>
      <c r="T26" s="43">
        <f>SUM(T21:T25)</f>
        <v>1</v>
      </c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28" t="s">
        <v>51</v>
      </c>
      <c r="H27" s="330">
        <f>H26*0.19</f>
        <v>11440.175500000003</v>
      </c>
      <c r="I27" s="294"/>
      <c r="J27" s="257"/>
      <c r="K27" s="309"/>
      <c r="L27" s="44"/>
      <c r="M27" s="36">
        <f>SUM(M21:M22)</f>
        <v>3.6900000000000004</v>
      </c>
      <c r="N27" s="12"/>
      <c r="O27" s="12"/>
      <c r="P27" s="245">
        <f>SUM(P21:P25)</f>
        <v>0.9225000000000001</v>
      </c>
      <c r="Q27" s="14"/>
      <c r="R27" s="12"/>
      <c r="S27" s="232">
        <f>SUM(S21:S26)</f>
        <v>1.4100000000000001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29" t="s">
        <v>6</v>
      </c>
      <c r="H28" s="331">
        <f>H27+H26</f>
        <v>71651.625500000009</v>
      </c>
      <c r="I28" s="294"/>
      <c r="J28" s="257"/>
      <c r="K28" s="309"/>
      <c r="L28" s="44"/>
      <c r="M28" s="36"/>
      <c r="N28" s="12"/>
      <c r="O28" s="12"/>
      <c r="P28" s="245">
        <f>P27</f>
        <v>0.9225000000000001</v>
      </c>
      <c r="Q28" s="14"/>
      <c r="R28" s="12"/>
      <c r="S28" s="232"/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9"/>
      <c r="L29" s="44"/>
      <c r="M29" s="14"/>
      <c r="N29" s="12"/>
      <c r="O29" s="12"/>
      <c r="P29" s="36">
        <f>P28*20%</f>
        <v>0.18450000000000003</v>
      </c>
      <c r="Q29" s="36" t="s">
        <v>126</v>
      </c>
      <c r="R29" s="39"/>
      <c r="S29" s="233"/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1.1070000000000002</v>
      </c>
      <c r="Q30" s="14"/>
      <c r="R30" s="14"/>
      <c r="S30" s="231"/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146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1.1070000000000002</v>
      </c>
      <c r="N32" s="12">
        <v>3500</v>
      </c>
      <c r="O32" s="12">
        <f t="shared" ref="O32:O37" si="9">M32*N32</f>
        <v>3874.5000000000009</v>
      </c>
      <c r="P32" s="14" t="s">
        <v>21</v>
      </c>
      <c r="Q32" s="14"/>
      <c r="R32" s="14"/>
      <c r="S32" s="234"/>
      <c r="T32" s="14"/>
      <c r="U32" s="283" t="s">
        <v>147</v>
      </c>
      <c r="V32" s="280">
        <v>3625</v>
      </c>
      <c r="W32" s="56" t="s">
        <v>148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0.5</v>
      </c>
      <c r="N33" s="12">
        <v>23500</v>
      </c>
      <c r="O33" s="12">
        <f t="shared" si="9"/>
        <v>11750</v>
      </c>
      <c r="P33" s="36" t="s">
        <v>31</v>
      </c>
      <c r="Q33" s="39"/>
      <c r="R33" s="14"/>
      <c r="S33" s="233"/>
      <c r="T33" s="14"/>
      <c r="U33" s="283"/>
      <c r="V33" s="56">
        <v>906.25</v>
      </c>
      <c r="W33" s="56" t="s">
        <v>149</v>
      </c>
      <c r="X33" s="285"/>
    </row>
    <row r="34" spans="1:24" s="223" customFormat="1" ht="17.399999999999999" x14ac:dyDescent="0.35">
      <c r="B34" s="21" t="s">
        <v>145</v>
      </c>
      <c r="J34" s="254"/>
      <c r="K34" s="225"/>
      <c r="L34" s="242"/>
      <c r="M34" s="14"/>
      <c r="N34" s="242">
        <v>54782</v>
      </c>
      <c r="O34" s="12">
        <f t="shared" si="9"/>
        <v>0</v>
      </c>
      <c r="P34" s="36" t="s">
        <v>30</v>
      </c>
      <c r="Q34" s="39"/>
      <c r="S34" s="233"/>
      <c r="T34" s="248"/>
      <c r="U34" s="56"/>
      <c r="V34" s="56">
        <f>V33*20%</f>
        <v>181.25</v>
      </c>
      <c r="W34" s="285" t="s">
        <v>150</v>
      </c>
      <c r="X34" s="56"/>
    </row>
    <row r="35" spans="1:24" s="223" customFormat="1" ht="17.399999999999999" x14ac:dyDescent="0.35">
      <c r="B35" s="21" t="s">
        <v>160</v>
      </c>
      <c r="C35"/>
      <c r="D35"/>
      <c r="E35"/>
      <c r="F35"/>
      <c r="J35" s="254"/>
      <c r="K35" s="225"/>
      <c r="L35" s="242"/>
      <c r="M35" s="14">
        <v>0.2</v>
      </c>
      <c r="N35" s="242">
        <v>20000</v>
      </c>
      <c r="O35" s="12">
        <f t="shared" si="9"/>
        <v>4000</v>
      </c>
      <c r="P35" s="14" t="s">
        <v>136</v>
      </c>
      <c r="Q35" s="17"/>
      <c r="S35" s="231"/>
      <c r="T35" s="248"/>
      <c r="U35" s="56"/>
      <c r="V35" s="56">
        <f>V33+V34</f>
        <v>1087.5</v>
      </c>
      <c r="W35" s="285" t="s">
        <v>151</v>
      </c>
      <c r="X35" s="56"/>
    </row>
    <row r="36" spans="1:24" s="223" customFormat="1" ht="17.399999999999999" x14ac:dyDescent="0.35">
      <c r="B36" s="26" t="s">
        <v>121</v>
      </c>
      <c r="C36"/>
      <c r="D36"/>
      <c r="E36"/>
      <c r="F36" s="222" t="s">
        <v>15</v>
      </c>
      <c r="J36" s="254"/>
      <c r="K36" s="252"/>
      <c r="L36" s="242"/>
      <c r="M36" s="241"/>
      <c r="N36" s="242">
        <v>900</v>
      </c>
      <c r="O36" s="12">
        <f t="shared" si="9"/>
        <v>0</v>
      </c>
      <c r="P36" s="14" t="s">
        <v>32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/>
      <c r="N37" s="12">
        <v>1000</v>
      </c>
      <c r="O37" s="12">
        <f t="shared" si="9"/>
        <v>0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19624.5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L39" s="242"/>
      <c r="M39" s="246" t="s">
        <v>33</v>
      </c>
      <c r="N39" s="12"/>
      <c r="O39" s="247">
        <f>O38*2.1</f>
        <v>41211.450000000004</v>
      </c>
      <c r="P39" s="14" t="s">
        <v>135</v>
      </c>
      <c r="Q39" s="14"/>
      <c r="R39" s="37">
        <f>P30/R38</f>
        <v>0.29847929249352895</v>
      </c>
      <c r="S39"/>
      <c r="T39" s="249"/>
    </row>
    <row r="40" spans="1:24" s="223" customFormat="1" ht="17.399999999999999" x14ac:dyDescent="0.35">
      <c r="G40"/>
      <c r="H40" s="252"/>
      <c r="I40" s="252"/>
      <c r="J40" s="332"/>
      <c r="L40" s="242"/>
      <c r="M40" s="14"/>
      <c r="N40" s="12"/>
      <c r="O40" s="12">
        <f>O39/P28</f>
        <v>44673.658536585368</v>
      </c>
      <c r="P40" s="42" t="s">
        <v>24</v>
      </c>
      <c r="Q40" s="14"/>
      <c r="R40" s="14"/>
      <c r="S40"/>
      <c r="T40" s="231"/>
      <c r="U40" s="56" t="s">
        <v>152</v>
      </c>
      <c r="V40" s="280">
        <v>43650</v>
      </c>
    </row>
    <row r="41" spans="1:24" s="223" customFormat="1" ht="17.399999999999999" x14ac:dyDescent="0.35">
      <c r="G41"/>
      <c r="L41" s="242"/>
      <c r="M41" s="13"/>
      <c r="N41" s="14"/>
      <c r="O41" s="17">
        <f>O39/O38</f>
        <v>2.1</v>
      </c>
      <c r="P41" s="15"/>
      <c r="Q41"/>
      <c r="R41"/>
      <c r="S41"/>
      <c r="T41" s="231"/>
      <c r="U41" s="56" t="s">
        <v>154</v>
      </c>
      <c r="V41" s="281" t="s">
        <v>153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10"/>
      <c r="H42" s="314"/>
      <c r="J42" s="333"/>
      <c r="L42" s="12"/>
      <c r="T42" s="231"/>
      <c r="U42" s="56" t="s">
        <v>155</v>
      </c>
      <c r="V42" s="282">
        <v>395.37</v>
      </c>
    </row>
    <row r="43" spans="1:24" s="223" customFormat="1" ht="17.399999999999999" x14ac:dyDescent="0.35">
      <c r="B43"/>
      <c r="C43" s="315"/>
      <c r="D43" s="275"/>
      <c r="E43" s="275"/>
      <c r="F43" s="274"/>
      <c r="G43" s="310"/>
      <c r="H43" s="314"/>
      <c r="L43" s="12"/>
      <c r="T43" s="231"/>
      <c r="U43" s="56" t="s">
        <v>150</v>
      </c>
      <c r="V43" s="56">
        <v>474.45</v>
      </c>
    </row>
    <row r="44" spans="1:24" ht="14.4" customHeight="1" x14ac:dyDescent="0.35">
      <c r="D44" s="275"/>
      <c r="E44" s="275"/>
      <c r="F44" s="274"/>
      <c r="G44" s="310"/>
      <c r="H44" s="314"/>
      <c r="L44" s="12"/>
      <c r="U44" s="56"/>
      <c r="V44" s="56"/>
    </row>
    <row r="45" spans="1:24" ht="17.399999999999999" x14ac:dyDescent="0.35">
      <c r="D45" s="275"/>
      <c r="E45" s="275"/>
      <c r="F45" s="274"/>
      <c r="G45" s="310"/>
      <c r="H45" s="314"/>
      <c r="L45" s="242"/>
    </row>
    <row r="46" spans="1:24" ht="17.399999999999999" x14ac:dyDescent="0.35">
      <c r="D46" s="275"/>
      <c r="E46" s="275"/>
      <c r="F46" s="274"/>
      <c r="G46" s="310"/>
      <c r="H46" s="314"/>
      <c r="L46" s="242"/>
      <c r="T46" s="262"/>
    </row>
    <row r="47" spans="1:24" ht="17.399999999999999" x14ac:dyDescent="0.35">
      <c r="D47" s="275"/>
      <c r="E47" s="275"/>
      <c r="F47" s="274"/>
      <c r="G47" s="310"/>
      <c r="H47" s="314"/>
      <c r="L47" s="242"/>
    </row>
    <row r="48" spans="1:24" ht="15" customHeight="1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10"/>
      <c r="H51" s="314"/>
    </row>
    <row r="52" spans="4:20" ht="17.399999999999999" x14ac:dyDescent="0.35">
      <c r="D52" s="275"/>
      <c r="E52" s="275"/>
      <c r="F52" s="274"/>
      <c r="G52" s="310"/>
      <c r="H52" s="314"/>
      <c r="O52" s="51"/>
      <c r="P52" s="51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ht="17.399999999999999" x14ac:dyDescent="0.35">
      <c r="D55" s="275"/>
      <c r="E55" s="275"/>
      <c r="F55" s="274"/>
      <c r="G55" s="310"/>
      <c r="H55" s="31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142</v>
      </c>
    </row>
    <row r="76" spans="3:15" x14ac:dyDescent="0.3">
      <c r="C76" t="s">
        <v>141</v>
      </c>
    </row>
    <row r="79" spans="3:15" x14ac:dyDescent="0.3">
      <c r="C79" t="s">
        <v>141</v>
      </c>
    </row>
    <row r="156" spans="3:3" x14ac:dyDescent="0.3">
      <c r="C156" t="s">
        <v>141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141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45880</v>
      </c>
    </row>
    <row r="6" spans="1:31" ht="16.2" thickBot="1" x14ac:dyDescent="0.35">
      <c r="B6" s="134" t="s">
        <v>2</v>
      </c>
      <c r="C6" s="133" t="str">
        <f>'2229'!C10</f>
        <v>CECILIA VELASQUEZ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0" t="s">
        <v>95</v>
      </c>
      <c r="I7" s="351"/>
      <c r="J7" s="351"/>
      <c r="K7" s="352"/>
      <c r="N7" s="72"/>
      <c r="O7" s="34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11580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4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2277966.0060489131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4689648.6166528966</v>
      </c>
      <c r="C15" s="207" t="s">
        <v>118</v>
      </c>
      <c r="D15" s="208">
        <v>0.73</v>
      </c>
      <c r="E15" s="209">
        <f>(100%+D15)*D12</f>
        <v>3940881.1904646195</v>
      </c>
      <c r="F15" s="210">
        <f>E15-D12</f>
        <v>1662915.1844157064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169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166</v>
      </c>
      <c r="D18" s="116">
        <f>'2229'!O34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170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167</v>
      </c>
      <c r="D19" s="116">
        <f>'2229'!O35</f>
        <v>4000</v>
      </c>
      <c r="E19" s="117">
        <f>D19*0.19</f>
        <v>760</v>
      </c>
      <c r="F19" s="114">
        <f>SUM(D19:E19)</f>
        <v>4760</v>
      </c>
      <c r="H19" s="324"/>
      <c r="I19" s="323"/>
      <c r="J19" s="144" t="s">
        <v>171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'2229'!O33</f>
        <v>11750</v>
      </c>
      <c r="E20" s="117">
        <f>D20*0.19</f>
        <v>2232.5</v>
      </c>
      <c r="F20" s="114">
        <f>SUM(D20:E20)</f>
        <v>13982.5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'2229'!O32</f>
        <v>3874.5000000000009</v>
      </c>
      <c r="E21" s="115">
        <f>D21*0.19</f>
        <v>736.1550000000002</v>
      </c>
      <c r="F21" s="114">
        <f>SUM(D21:E21)</f>
        <v>4610.6550000000007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19624.5</v>
      </c>
      <c r="E22" s="110">
        <f>SUM(E18:E21)</f>
        <v>3728.6550000000002</v>
      </c>
      <c r="F22" s="109">
        <f>SUM(F18:F21)</f>
        <v>23353.154999999999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168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6" t="s">
        <v>60</v>
      </c>
      <c r="I43" s="347"/>
      <c r="J43" s="347"/>
      <c r="K43" s="347"/>
      <c r="L43" s="347"/>
      <c r="M43" s="34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19624.5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5"/>
      <c r="J52" s="345"/>
      <c r="K52" s="345"/>
      <c r="L52" s="34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2025-08-11T14:37:15Z</cp:lastPrinted>
  <dcterms:created xsi:type="dcterms:W3CDTF">2013-03-18T13:35:42Z</dcterms:created>
  <dcterms:modified xsi:type="dcterms:W3CDTF">2025-08-11T14:38:43Z</dcterms:modified>
</cp:coreProperties>
</file>