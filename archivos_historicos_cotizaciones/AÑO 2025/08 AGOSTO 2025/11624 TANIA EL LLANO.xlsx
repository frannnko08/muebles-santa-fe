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02A03419-910E-40D9-B246-7DDC376EB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L22" i="1"/>
  <c r="M22" i="1"/>
  <c r="N22" i="1"/>
  <c r="O22" i="1"/>
  <c r="P22" i="1" s="1"/>
  <c r="S22" i="1"/>
  <c r="L23" i="1"/>
  <c r="M23" i="1"/>
  <c r="O23" i="1" s="1"/>
  <c r="P23" i="1" s="1"/>
  <c r="N23" i="1"/>
  <c r="L21" i="1"/>
  <c r="N21" i="1"/>
  <c r="S23" i="1" l="1"/>
  <c r="M21" i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3" i="1"/>
  <c r="R23" i="1" s="1"/>
  <c r="O40" i="1"/>
  <c r="E15" i="3"/>
  <c r="Q21" i="1" l="1"/>
  <c r="F15" i="3"/>
  <c r="R21" i="1" l="1"/>
  <c r="G21" i="1" s="1"/>
  <c r="H21" i="1" l="1"/>
  <c r="H25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<sst xmlns="http://schemas.openxmlformats.org/spreadsheetml/2006/main" count="236" uniqueCount="177">
  <si>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</si>
  <si>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</si>
  <si>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</si>
  <si>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</si>
  <si>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</si>
  <si>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</si>
  <si>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</si>
  <si>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</si>
  <si>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</si>
  <si>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</si>
  <si>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</si>
  <si>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</si>
  <si>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</si>
  <si>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</si>
  <si>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</si>
  <si>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</si>
  <si>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</si>
  <si>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</si>
  <si>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</si>
  <si>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</si>
  <si>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</si>
  <si>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</si>
  <si>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</si>
  <si>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</si>
  <si>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</si>
  <si>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</si>
  <si>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</si>
  <si>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</si>
  <si>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</si>
  <si>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</si>
  <si>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</si>
  <si>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</si>
  <si>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</si>
  <si>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</si>
  <si>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</si>
  <si>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</si>
  <si>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</si>
  <si>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</si>
  <si>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</si>
  <si>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</si>
  <si>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</si>
  <si>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</si>
  <si>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</si>
  <si>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</si>
  <si>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</si>
  <si>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</si>
  <si>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</si>
  <si>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</si>
  <si>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</si>
  <si>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</si>
  <si>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</si>
  <si>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</si>
  <si>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</si>
  <si>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</si>
  <si>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</si>
  <si>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</si>
  <si>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</si>
  <si>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</si>
  <si>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</si>
  <si>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</si>
  <si>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</si>
  <si>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</si>
  <si>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</si>
  <si>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</si>
  <si>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</si>
  <si>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</si>
  <si>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</si>
  <si>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</si>
  <si>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</si>
  <si>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</si>
  <si>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</si>
  <si>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</si>
  <si>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</si>
  <si>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</si>
  <si>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</si>
  <si>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</si>
  <si>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</si>
  <si>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</si>
  <si>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</si>
  <si>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</si>
  <si>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</si>
  <si>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</si>
  <si>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</si>
  <si>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</si>
  <si>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</si>
  <si>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</si>
  <si>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</si>
  <si>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</si>
  <si>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</si>
  <si>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</si>
  <si>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</si>
  <si>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</si>
  <si>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</si>
  <si>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</si>
  <si>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</si>
  <si>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</si>
  <si>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</si>
  <si>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</si>
  <si>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</si>
  <si>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</si>
  <si>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</si>
  <si>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</si>
  <si>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</si>
  <si>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</si>
  <si>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</si>
  <si>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</si>
  <si>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</si>
  <si>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</si>
  <si>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</si>
  <si>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</si>
  <si>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</si>
  <si>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</si>
  <si>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</si>
  <si>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</si>
  <si>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</si>
  <si>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</si>
  <si>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</si>
  <si>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</si>
  <si>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</si>
  <si>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</si>
  <si>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</si>
  <si>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</si>
  <si>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</si>
  <si>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</si>
  <si>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</si>
  <si>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</si>
  <si>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</si>
  <si>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</si>
  <si>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</si>
  <si>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</si>
  <si>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</si>
  <si>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</si>
  <si>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</si>
  <si>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</si>
  <si>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</si>
  <si>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</si>
  <si>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</si>
  <si>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</si>
  <si>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</si>
  <si>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</si>
  <si>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</si>
  <si>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</si>
  <si>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</si>
  <si>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</si>
  <si>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</si>
  <si>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</si>
  <si>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</si>
  <si>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</si>
  <si>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</si>
  <si>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</si>
  <si>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</si>
  <si>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</si>
  <si>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</si>
  <si>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</si>
  <si>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</si>
  <si>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</si>
  <si>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</si>
  <si>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</si>
  <si>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</si>
  <si>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</si>
  <si>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</si>
  <si>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</si>
  <si>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</si>
  <si>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</si>
  <si>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</si>
  <si>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</si>
  <si>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</si>
  <si>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LAM PF 0,7MM STRAIGHT WALNUT 10848 SF 3050 X 1220</t>
  </si>
  <si>
    <t>LAM PF 0,7 MM IRISH CREAM 21027 SF 3050X1220</t>
  </si>
  <si>
    <t>+56 9 8735 9354</t>
  </si>
  <si>
    <t>CLOUD TERRAZO 4001</t>
  </si>
  <si>
    <t>CUB CON RESPALDO FTE 90°</t>
  </si>
  <si>
    <t>TANIA</t>
  </si>
  <si>
    <t>N° 11624</t>
  </si>
  <si>
    <t>SI</t>
  </si>
  <si>
    <t xml:space="preserve"> 5 DIAS HABILES</t>
  </si>
  <si>
    <t>SECTOR EL LLANO, 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</si>
</sst>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5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CORTADAS A LA MEDIDA Y ENCHAPADAS EN LOS COSTADOS. INCLUYE DESPACHO A DOMICILIO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C17" sqref="C17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3.66406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172</v>
      </c>
      <c r="D10" s="243"/>
      <c r="E10" s="243"/>
      <c r="F10" s="244" t="s">
        <v>0</v>
      </c>
      <c r="G10" s="276">
        <v>45901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174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133</v>
      </c>
      <c r="G15" s="308" t="s">
        <v>174</v>
      </c>
      <c r="H15" s="289"/>
    </row>
    <row r="16" spans="2:24" ht="16.8" x14ac:dyDescent="0.4">
      <c r="B16" s="316" t="s">
        <v>3</v>
      </c>
      <c r="C16" s="306" t="s">
        <v>176</v>
      </c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0" t="s">
        <v>163</v>
      </c>
      <c r="G17" s="330"/>
      <c r="H17" s="331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2" t="s">
        <v>94</v>
      </c>
      <c r="C19" s="333"/>
      <c r="D19" s="333"/>
      <c r="E19" s="333"/>
      <c r="F19" s="333"/>
      <c r="G19" s="333"/>
      <c r="H19" s="334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106509.05273863142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42">
        <v>1</v>
      </c>
      <c r="C21" s="342" t="s">
        <v>171</v>
      </c>
      <c r="D21" s="343">
        <v>1.51</v>
      </c>
      <c r="E21" s="343">
        <v>0.6</v>
      </c>
      <c r="F21" s="342" t="s">
        <v>170</v>
      </c>
      <c r="G21" s="344">
        <f>R21</f>
        <v>104609.63631265437</v>
      </c>
      <c r="H21" s="344">
        <f>G21*B21</f>
        <v>104609.63631265437</v>
      </c>
      <c r="I21" s="320"/>
      <c r="J21" s="265"/>
      <c r="K21" s="47"/>
      <c r="L21" s="47">
        <f>B21</f>
        <v>1</v>
      </c>
      <c r="M21" s="39">
        <f>D21+M$19</f>
        <v>1.59</v>
      </c>
      <c r="N21" s="39">
        <f>E21+$N$19</f>
        <v>0.6</v>
      </c>
      <c r="O21" s="261">
        <f t="shared" ref="O21" si="1">M21*N21</f>
        <v>0.95399999999999996</v>
      </c>
      <c r="P21" s="259">
        <f t="shared" ref="P21" si="2">O21*L21</f>
        <v>0.95399999999999996</v>
      </c>
      <c r="Q21" s="252">
        <f t="shared" ref="Q21" si="3">Q$20*O21</f>
        <v>101609.63631265437</v>
      </c>
      <c r="R21" s="319">
        <f t="shared" ref="R21" si="4">Q21+R$20</f>
        <v>104609.63631265437</v>
      </c>
      <c r="S21" s="297">
        <f t="shared" ref="S21" si="5">L21*M21*2</f>
        <v>3.18</v>
      </c>
      <c r="T21" s="46">
        <f>N21*2*L21*2</f>
        <v>2.4</v>
      </c>
      <c r="U21" s="9"/>
      <c r="X21" s="4"/>
    </row>
    <row r="22" spans="1:25" ht="17.399999999999999" x14ac:dyDescent="0.3">
      <c r="B22" s="342">
        <v>1</v>
      </c>
      <c r="C22" s="342" t="s">
        <v>171</v>
      </c>
      <c r="D22" s="343">
        <v>2.5499999999999998</v>
      </c>
      <c r="E22" s="343">
        <v>0.52</v>
      </c>
      <c r="F22" s="342" t="s">
        <v>170</v>
      </c>
      <c r="G22" s="344">
        <v>148662</v>
      </c>
      <c r="H22" s="344">
        <f t="shared" ref="H22:H24" si="6">G22*B22</f>
        <v>148662</v>
      </c>
      <c r="I22" s="320"/>
      <c r="J22" s="265"/>
      <c r="K22" s="47"/>
      <c r="L22" s="47">
        <f t="shared" ref="L22:L23" si="7">B22</f>
        <v>1</v>
      </c>
      <c r="M22" s="39">
        <f t="shared" ref="M22:M23" si="8">D22+M$19</f>
        <v>2.63</v>
      </c>
      <c r="N22" s="39">
        <f t="shared" ref="N22:N23" si="9">E22+$N$19</f>
        <v>0.52</v>
      </c>
      <c r="O22" s="261">
        <f t="shared" ref="O22:O23" si="10">M22*N22</f>
        <v>1.3675999999999999</v>
      </c>
      <c r="P22" s="259">
        <f t="shared" ref="P22:P23" si="11">O22*L22</f>
        <v>1.3675999999999999</v>
      </c>
      <c r="Q22" s="252">
        <f t="shared" ref="Q22:Q23" si="12">Q$20*O22</f>
        <v>145661.78052535231</v>
      </c>
      <c r="R22" s="319">
        <f t="shared" ref="R22:R23" si="13">Q22+R$20</f>
        <v>148661.78052535231</v>
      </c>
      <c r="S22" s="297">
        <f t="shared" ref="S22:S23" si="14">L22*M22*2</f>
        <v>5.26</v>
      </c>
      <c r="T22" s="46"/>
      <c r="U22" s="9"/>
      <c r="X22" s="4"/>
    </row>
    <row r="23" spans="1:25" ht="17.399999999999999" x14ac:dyDescent="0.3">
      <c r="B23" s="342">
        <v>1</v>
      </c>
      <c r="C23" s="342" t="s">
        <v>171</v>
      </c>
      <c r="D23" s="343">
        <v>0.75</v>
      </c>
      <c r="E23" s="343">
        <v>0.52</v>
      </c>
      <c r="F23" s="342" t="s">
        <v>170</v>
      </c>
      <c r="G23" s="344">
        <v>48969</v>
      </c>
      <c r="H23" s="344">
        <f t="shared" si="6"/>
        <v>48969</v>
      </c>
      <c r="I23" s="320"/>
      <c r="J23" s="265"/>
      <c r="K23" s="47"/>
      <c r="L23" s="47">
        <f t="shared" si="7"/>
        <v>1</v>
      </c>
      <c r="M23" s="39">
        <f t="shared" si="8"/>
        <v>0.83</v>
      </c>
      <c r="N23" s="39">
        <f t="shared" si="9"/>
        <v>0.52</v>
      </c>
      <c r="O23" s="261">
        <f t="shared" si="10"/>
        <v>0.43159999999999998</v>
      </c>
      <c r="P23" s="259">
        <f t="shared" si="11"/>
        <v>0.43159999999999998</v>
      </c>
      <c r="Q23" s="252">
        <f t="shared" si="12"/>
        <v>45969.307161993318</v>
      </c>
      <c r="R23" s="319">
        <f t="shared" si="13"/>
        <v>48969.307161993318</v>
      </c>
      <c r="S23" s="297">
        <f t="shared" si="14"/>
        <v>1.66</v>
      </c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44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302240.63631265436</v>
      </c>
      <c r="I25" s="321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/>
      <c r="I26" s="321"/>
      <c r="J26" s="265"/>
      <c r="K26" s="47"/>
      <c r="L26" s="329"/>
      <c r="M26" s="39">
        <f>SUM(M21:M25)</f>
        <v>5.05</v>
      </c>
      <c r="N26" s="12"/>
      <c r="O26" s="12"/>
      <c r="P26" s="253">
        <f>SUM(P21:P24)</f>
        <v>2.7532000000000001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302240.63631265436</v>
      </c>
      <c r="I27" s="321"/>
      <c r="J27" s="265"/>
      <c r="K27" s="47"/>
      <c r="L27" s="47"/>
      <c r="M27" s="39"/>
      <c r="N27" s="12"/>
      <c r="O27" s="12"/>
      <c r="P27" s="253">
        <f>P26</f>
        <v>2.7532000000000001</v>
      </c>
      <c r="Q27" s="14"/>
      <c r="R27" s="12"/>
      <c r="S27" s="239">
        <f>SUM(S21:S26)</f>
        <v>10.1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0.55064000000000002</v>
      </c>
      <c r="Q28" s="39" t="s">
        <v>129</v>
      </c>
      <c r="R28" s="42"/>
      <c r="S28" s="240">
        <f>S27+T25</f>
        <v>12.5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3.3038400000000001</v>
      </c>
      <c r="Q29" s="14"/>
      <c r="R29" s="14"/>
      <c r="S29" s="238">
        <f>S28*20%</f>
        <v>2.5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15</v>
      </c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3.3038400000000001</v>
      </c>
      <c r="N31" s="12">
        <v>3500</v>
      </c>
      <c r="O31" s="12">
        <f t="shared" ref="O31:O33" si="15">M31*N31</f>
        <v>11563.44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23500</v>
      </c>
      <c r="O32" s="12">
        <f t="shared" si="15"/>
        <v>23500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15041</v>
      </c>
      <c r="O33" s="12">
        <f t="shared" si="15"/>
        <v>0</v>
      </c>
      <c r="P33" s="39" t="s">
        <v>165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142</v>
      </c>
      <c r="C34"/>
      <c r="D34"/>
      <c r="E34"/>
      <c r="F34"/>
      <c r="J34" s="262"/>
      <c r="K34" s="232"/>
      <c r="L34" s="250"/>
      <c r="M34" s="14">
        <v>2</v>
      </c>
      <c r="N34" s="250">
        <v>48500</v>
      </c>
      <c r="O34" s="12">
        <f>M34*N34</f>
        <v>97000</v>
      </c>
      <c r="P34" s="14" t="s">
        <v>166</v>
      </c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>M35*N35</f>
        <v>0</v>
      </c>
      <c r="P35" s="14" t="s">
        <v>31</v>
      </c>
      <c r="Q35" s="17"/>
      <c r="R35" s="230">
        <v>2.12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5.05</v>
      </c>
      <c r="N36" s="12">
        <v>1500</v>
      </c>
      <c r="O36" s="12">
        <f>M36*N36</f>
        <v>7575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139638.44</v>
      </c>
      <c r="P37" s="39" t="s">
        <v>23</v>
      </c>
      <c r="Q37" s="14"/>
      <c r="R37">
        <f>R35*R36</f>
        <v>5.1728000000000005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O37*2.1</f>
        <v>293240.72400000005</v>
      </c>
      <c r="P38" s="14" t="s">
        <v>139</v>
      </c>
      <c r="Q38" s="14"/>
      <c r="R38" s="40">
        <f>P29/R37</f>
        <v>0.63869471079492723</v>
      </c>
      <c r="S38"/>
      <c r="T38" s="257"/>
    </row>
    <row r="39" spans="2:24" s="230" customFormat="1" ht="17.399999999999999" x14ac:dyDescent="0.35">
      <c r="D39" t="s">
        <v>167</v>
      </c>
      <c r="G39"/>
      <c r="H39" s="260"/>
      <c r="I39" s="260"/>
      <c r="J39" s="260"/>
      <c r="K39" s="230">
        <v>74260</v>
      </c>
      <c r="L39" s="250"/>
      <c r="M39" s="14"/>
      <c r="N39" s="12"/>
      <c r="O39" s="12">
        <f>O38/P27</f>
        <v>106509.05273863142</v>
      </c>
      <c r="P39" s="45" t="s">
        <v>24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D40" t="s">
        <v>168</v>
      </c>
      <c r="G40"/>
      <c r="K40" s="230">
        <f>K39/1.19</f>
        <v>62403.361344537821</v>
      </c>
      <c r="L40" s="250"/>
      <c r="M40" s="13"/>
      <c r="N40" s="14"/>
      <c r="O40" s="17">
        <f>O38/O37</f>
        <v>2.1</v>
      </c>
      <c r="P40" s="15"/>
      <c r="Q40" s="14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L41" s="12"/>
      <c r="Q41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45901</v>
      </c>
    </row>
    <row r="6" spans="2:31" ht="16.2" thickBot="1" x14ac:dyDescent="0.35">
      <c r="B6" s="140" t="s">
        <v>2</v>
      </c>
      <c r="C6" s="139" t="str">
        <f>'2229'!C10</f>
        <v>TANIA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97</v>
      </c>
      <c r="I7" s="337"/>
      <c r="J7" s="337"/>
      <c r="K7" s="338"/>
      <c r="N7" s="75"/>
      <c r="O7" s="335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11624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5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-32526.618418896502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302240.63631265436</v>
      </c>
      <c r="E11" s="132">
        <f>D11*0.19</f>
        <v>57425.720899404332</v>
      </c>
      <c r="F11" s="131">
        <f>E11+D11</f>
        <v>359666.35721205868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73463.381581103502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64897.530787439617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55463.381581103502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237343.10552521475</v>
      </c>
      <c r="E13" s="221">
        <f>(D11/D12)-1</f>
        <v>3.6571977800294144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46463.381581103502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7463.3815811034983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107080.92579927536</v>
      </c>
      <c r="F15" s="216">
        <f>E15-D12</f>
        <v>42183.395011835739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7463.3815811034983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47463.381581103502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11563.44</v>
      </c>
      <c r="E20" s="121">
        <f>D20*0.19</f>
        <v>2197.0536000000002</v>
      </c>
      <c r="F20" s="120">
        <f>SUM(D20:E20)</f>
        <v>13760.493600000002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35063.440000000002</v>
      </c>
      <c r="E21" s="116">
        <f>SUM(E18:E20)</f>
        <v>6662.0536000000002</v>
      </c>
      <c r="F21" s="115">
        <f>SUM(F18:F20)</f>
        <v>41725.493600000002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50763.667299404333</v>
      </c>
    </row>
    <row r="41" spans="2:16" ht="15" thickBot="1" x14ac:dyDescent="0.35">
      <c r="H41" s="339" t="s">
        <v>59</v>
      </c>
      <c r="I41" s="340"/>
      <c r="J41" s="340"/>
      <c r="K41" s="340"/>
      <c r="L41" s="340"/>
      <c r="M41" s="341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302240.63631265436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35063.440000000002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237343.10552521475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237343.10552521475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2025-08-29T20:35:22Z</cp:lastPrinted>
  <dcterms:created xsi:type="dcterms:W3CDTF">2013-03-18T13:35:42Z</dcterms:created>
  <dcterms:modified xsi:type="dcterms:W3CDTF">2025-09-01T19:17:32Z</dcterms:modified>
</cp:coreProperties>
</file>