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8 AGOSTO 2025\"/>
    </mc:Choice>
  </mc:AlternateContent>
  <xr:revisionPtr revIDLastSave="0" documentId="13_ncr:1_{5FF7B577-2103-47E0-9AD7-271F6D9BBA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O22" i="1"/>
  <c r="P22" i="1" s="1"/>
  <c r="S22" i="1"/>
  <c r="L21" i="1" l="1"/>
  <c r="N21" i="1"/>
  <c r="M21" i="1" l="1"/>
  <c r="M25" i="1" s="1"/>
  <c r="S21" i="1" l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Q22" i="1" s="1"/>
  <c r="D21" i="3"/>
  <c r="M43" i="3" s="1"/>
  <c r="D12" i="3" s="1"/>
  <c r="F20" i="3"/>
  <c r="F21" i="3" s="1"/>
  <c r="R22" i="1" l="1"/>
  <c r="G22" i="1" s="1"/>
  <c r="H22" i="1" s="1"/>
  <c r="O39" i="1"/>
  <c r="E15" i="3"/>
  <c r="Q21" i="1" l="1"/>
  <c r="F15" i="3"/>
  <c r="R21" i="1" l="1"/>
  <c r="G21" i="1" s="1"/>
  <c r="H21" i="1" l="1"/>
  <c r="H24" i="1" s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<sst xmlns="http://schemas.openxmlformats.org/spreadsheetml/2006/main" count="233" uniqueCount="175">
  <si>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</si>
  <si>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</si>
  <si>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</si>
  <si>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</si>
  <si>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</si>
  <si>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</si>
  <si>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</si>
  <si>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</si>
  <si>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</si>
  <si>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</si>
  <si>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</si>
  <si>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</si>
  <si>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</si>
  <si>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</si>
  <si>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</si>
  <si>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</si>
  <si>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</si>
  <si>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</si>
  <si>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</si>
  <si>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</si>
  <si>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</si>
  <si>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</si>
  <si>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</si>
  <si>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</si>
  <si>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</si>
  <si>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</si>
  <si>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</si>
  <si>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</si>
  <si>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</si>
  <si>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</si>
  <si>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</si>
  <si>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</si>
  <si>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</si>
  <si>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</si>
  <si>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</si>
  <si>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</si>
  <si>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</si>
  <si>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</si>
  <si>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</si>
  <si>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</si>
  <si>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</si>
  <si>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</si>
  <si>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</si>
  <si>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</si>
  <si>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</si>
  <si>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</si>
  <si>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</si>
  <si>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</si>
  <si>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</si>
  <si>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</si>
  <si>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</si>
  <si>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</si>
  <si>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</si>
  <si>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</si>
  <si>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</si>
  <si>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</si>
  <si>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</si>
  <si>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</si>
  <si>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</si>
  <si>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</si>
  <si>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</si>
  <si>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</si>
  <si>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</si>
  <si>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</si>
  <si>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</si>
  <si>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</si>
  <si>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</si>
  <si>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</si>
  <si>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</si>
  <si>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</si>
  <si>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</si>
  <si>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</si>
  <si>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</si>
  <si>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</si>
  <si>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</si>
  <si>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</si>
  <si>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</si>
  <si>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</si>
  <si>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</si>
  <si>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</si>
  <si>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</si>
  <si>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</si>
  <si>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</si>
  <si>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</si>
  <si>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</si>
  <si>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</si>
  <si>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</si>
  <si>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</si>
  <si>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</si>
  <si>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</si>
  <si>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</si>
  <si>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</si>
  <si>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</si>
  <si>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</si>
  <si>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</si>
  <si>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</si>
  <si>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</si>
  <si>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</si>
  <si>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</si>
  <si>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</si>
  <si>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</si>
  <si>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</si>
  <si>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</si>
  <si>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</si>
  <si>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</si>
  <si>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</si>
  <si>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</si>
  <si>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</si>
  <si>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</si>
  <si>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</si>
  <si>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</si>
  <si>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</si>
  <si>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</si>
  <si>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</si>
  <si>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</si>
  <si>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</si>
  <si>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</si>
  <si>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</si>
  <si>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</si>
  <si>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</si>
  <si>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</si>
  <si>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</si>
  <si>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</si>
  <si>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</si>
  <si>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</si>
  <si>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</si>
  <si>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</si>
  <si>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</si>
  <si>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</si>
  <si>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</si>
  <si>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</si>
  <si>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</si>
  <si>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</si>
  <si>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</si>
  <si>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</si>
  <si>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</si>
  <si>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</si>
  <si>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</si>
  <si>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</si>
  <si>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</si>
  <si>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</si>
  <si>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</si>
  <si>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</si>
  <si>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</si>
  <si>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</si>
  <si>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</si>
  <si>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</si>
  <si>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</si>
  <si>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</si>
  <si>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</si>
  <si>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</si>
  <si>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</si>
  <si>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</si>
  <si>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</si>
  <si>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</si>
  <si>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</si>
  <si>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</si>
  <si>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</si>
  <si>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</si>
  <si>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</si>
  <si>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</si>
  <si>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</si>
  <si>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</si>
  <si>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</si>
  <si>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</si>
  <si>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BALANCE</t>
  </si>
  <si>
    <t>LAMINA 153X366</t>
  </si>
  <si>
    <t>LAM PF 0,7MM STRAIGHT WALNUT 10848 SF 3050 X 1220</t>
  </si>
  <si>
    <t>LAM PF 0,7 MM IRISH CREAM 21027 SF 3050X1220</t>
  </si>
  <si>
    <t>SOLANGE AVALOS</t>
  </si>
  <si>
    <t>+56 9 9015 4887</t>
  </si>
  <si>
    <t>CUB CON RESPALDO R2 FTE 90°</t>
  </si>
  <si>
    <t>3 DIAS HABILES</t>
  </si>
  <si>
    <t>BLANCO CARRARA 40477 GL</t>
  </si>
  <si>
    <t>N° 11622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</si>
</sst>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CORTADAS A LA MEDIDA Y ENCHAPADAS EN LOS COSTADOS.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2" zoomScale="93" zoomScaleNormal="93" workbookViewId="0">
      <selection activeCell="O37" sqref="O37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3.664062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162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9" t="s">
        <v>174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160</v>
      </c>
      <c r="C10" s="278" t="s">
        <v>169</v>
      </c>
      <c r="D10" s="243"/>
      <c r="E10" s="243"/>
      <c r="F10" s="244" t="s">
        <v>0</v>
      </c>
      <c r="G10" s="276">
        <v>45896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172</v>
      </c>
      <c r="H11" s="289"/>
      <c r="Q11" s="19"/>
      <c r="R11" s="25" t="s">
        <v>18</v>
      </c>
      <c r="S11" s="19"/>
    </row>
    <row r="12" spans="2:24" ht="16.8" x14ac:dyDescent="0.4">
      <c r="B12" s="246" t="s">
        <v>143</v>
      </c>
      <c r="C12" s="306"/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144</v>
      </c>
      <c r="G13" s="307"/>
      <c r="H13" s="289"/>
      <c r="Q13" s="19"/>
      <c r="R13" s="25"/>
      <c r="S13" s="19"/>
    </row>
    <row r="14" spans="2:24" x14ac:dyDescent="0.3">
      <c r="B14" s="246" t="s">
        <v>138</v>
      </c>
      <c r="C14" s="314"/>
      <c r="D14" s="247"/>
      <c r="E14" s="247"/>
      <c r="F14" s="315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170</v>
      </c>
      <c r="D15" s="310"/>
      <c r="F15" t="s">
        <v>133</v>
      </c>
      <c r="G15" s="308" t="s">
        <v>134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128</v>
      </c>
      <c r="G16" s="318" t="s">
        <v>161</v>
      </c>
      <c r="H16" s="248"/>
    </row>
    <row r="17" spans="1:25" ht="15" thickBot="1" x14ac:dyDescent="0.35">
      <c r="B17" s="311" t="s">
        <v>13</v>
      </c>
      <c r="C17" s="312" t="s">
        <v>164</v>
      </c>
      <c r="D17" s="313"/>
      <c r="E17" s="119"/>
      <c r="F17" s="330" t="s">
        <v>163</v>
      </c>
      <c r="G17" s="330"/>
      <c r="H17" s="331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2" t="s">
        <v>94</v>
      </c>
      <c r="C19" s="333"/>
      <c r="D19" s="333"/>
      <c r="E19" s="333"/>
      <c r="F19" s="333"/>
      <c r="G19" s="333"/>
      <c r="H19" s="334"/>
      <c r="I19" s="264"/>
      <c r="J19" s="264"/>
      <c r="K19" s="5"/>
      <c r="L19" s="250"/>
      <c r="M19" s="14">
        <v>0.08</v>
      </c>
      <c r="N19" s="14">
        <v>0.05</v>
      </c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1:25" ht="18" thickBot="1" x14ac:dyDescent="0.35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O38</f>
        <v>118140.2006688963</v>
      </c>
      <c r="R20" s="258">
        <v>3000</v>
      </c>
      <c r="S20" s="38"/>
      <c r="T20" s="14" t="s">
        <v>127</v>
      </c>
      <c r="U20" s="9"/>
      <c r="X20" s="4"/>
    </row>
    <row r="21" spans="1:25" ht="17.399999999999999" x14ac:dyDescent="0.3">
      <c r="B21" s="342">
        <v>1</v>
      </c>
      <c r="C21" s="343" t="s">
        <v>171</v>
      </c>
      <c r="D21" s="344">
        <v>2</v>
      </c>
      <c r="E21" s="344">
        <v>0.5</v>
      </c>
      <c r="F21" s="343" t="s">
        <v>173</v>
      </c>
      <c r="G21" s="345">
        <f>R21</f>
        <v>138152.3895652174</v>
      </c>
      <c r="H21" s="346">
        <f>G21*B21</f>
        <v>138152.3895652174</v>
      </c>
      <c r="I21" s="320"/>
      <c r="J21" s="265"/>
      <c r="K21" s="47"/>
      <c r="L21" s="47">
        <f>B21</f>
        <v>1</v>
      </c>
      <c r="M21" s="39">
        <f>D21+M$19</f>
        <v>2.08</v>
      </c>
      <c r="N21" s="39">
        <f>E21+$N$19</f>
        <v>0.55000000000000004</v>
      </c>
      <c r="O21" s="261">
        <f t="shared" ref="O21" si="1">M21*N21</f>
        <v>1.1440000000000001</v>
      </c>
      <c r="P21" s="259">
        <f t="shared" ref="P21" si="2">O21*L21</f>
        <v>1.1440000000000001</v>
      </c>
      <c r="Q21" s="252">
        <f t="shared" ref="Q21" si="3">Q$20*O21</f>
        <v>135152.3895652174</v>
      </c>
      <c r="R21" s="319">
        <f t="shared" ref="R21" si="4">Q21+R$20</f>
        <v>138152.3895652174</v>
      </c>
      <c r="S21" s="297">
        <f t="shared" ref="S21" si="5">L21*M21*2</f>
        <v>4.16</v>
      </c>
      <c r="T21" s="46">
        <f>N21*2*L21*2</f>
        <v>2.2000000000000002</v>
      </c>
      <c r="U21" s="9"/>
      <c r="X21" s="4"/>
    </row>
    <row r="22" spans="1:25" ht="18" thickBot="1" x14ac:dyDescent="0.35">
      <c r="B22" s="347">
        <v>1</v>
      </c>
      <c r="C22" s="348" t="s">
        <v>171</v>
      </c>
      <c r="D22" s="349">
        <v>2</v>
      </c>
      <c r="E22" s="349">
        <v>0.55000000000000004</v>
      </c>
      <c r="F22" s="348" t="s">
        <v>173</v>
      </c>
      <c r="G22" s="350">
        <f>R22</f>
        <v>150438.97043478262</v>
      </c>
      <c r="H22" s="351">
        <f>G22*B22</f>
        <v>150438.97043478262</v>
      </c>
      <c r="I22" s="320"/>
      <c r="J22" s="265"/>
      <c r="K22" s="47"/>
      <c r="L22" s="47">
        <f>B22</f>
        <v>1</v>
      </c>
      <c r="M22" s="39">
        <f>D22+M$19</f>
        <v>2.08</v>
      </c>
      <c r="N22" s="39">
        <f>E22+$N$19</f>
        <v>0.60000000000000009</v>
      </c>
      <c r="O22" s="261">
        <f t="shared" ref="O22" si="6">M22*N22</f>
        <v>1.2480000000000002</v>
      </c>
      <c r="P22" s="259">
        <f t="shared" ref="P22" si="7">O22*L22</f>
        <v>1.2480000000000002</v>
      </c>
      <c r="Q22" s="252">
        <f t="shared" ref="Q22" si="8">Q$20*O22</f>
        <v>147438.97043478262</v>
      </c>
      <c r="R22" s="319">
        <f t="shared" ref="R22" si="9">Q22+R$20</f>
        <v>150438.97043478262</v>
      </c>
      <c r="S22" s="297">
        <f t="shared" ref="S22" si="10">L22*M22*2</f>
        <v>4.16</v>
      </c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288591.35999999999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2.2000000000000002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50</v>
      </c>
      <c r="H25" s="294">
        <f>H24*19%</f>
        <v>54832.358399999997</v>
      </c>
      <c r="I25" s="322"/>
      <c r="J25" s="265"/>
      <c r="K25" s="47"/>
      <c r="L25" s="47"/>
      <c r="M25" s="39">
        <f>SUM(M21:M24)</f>
        <v>4.16</v>
      </c>
      <c r="N25" s="12"/>
      <c r="O25" s="12"/>
      <c r="P25" s="253">
        <f>SUM(P21:P23)</f>
        <v>2.3920000000000003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343423.71840000001</v>
      </c>
      <c r="I26" s="322"/>
      <c r="J26" s="265"/>
      <c r="K26" s="47"/>
      <c r="L26" s="47"/>
      <c r="M26" s="39"/>
      <c r="N26" s="12"/>
      <c r="O26" s="12"/>
      <c r="P26" s="253">
        <f>P25</f>
        <v>2.3920000000000003</v>
      </c>
      <c r="Q26" s="14"/>
      <c r="R26" s="12"/>
      <c r="S26" s="239">
        <f>SUM(S21:S25)</f>
        <v>8.32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0.4784000000000001</v>
      </c>
      <c r="Q27" s="39" t="s">
        <v>129</v>
      </c>
      <c r="R27" s="42"/>
      <c r="S27" s="240">
        <f>S26+T24</f>
        <v>10.52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2.8704000000000005</v>
      </c>
      <c r="Q28" s="14"/>
      <c r="R28" s="14"/>
      <c r="S28" s="238">
        <f>S27*20%</f>
        <v>2.1040000000000001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12.623999999999999</v>
      </c>
      <c r="T29" s="14"/>
      <c r="U29" s="302" t="s">
        <v>21</v>
      </c>
      <c r="V29" s="299" t="s">
        <v>150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2.8704000000000005</v>
      </c>
      <c r="N30" s="12">
        <v>3500</v>
      </c>
      <c r="O30" s="12">
        <f t="shared" ref="O30:O32" si="11">M30*N30</f>
        <v>10046.400000000001</v>
      </c>
      <c r="P30" s="14" t="s">
        <v>21</v>
      </c>
      <c r="Q30" s="14"/>
      <c r="R30" s="14"/>
      <c r="S30" s="241"/>
      <c r="T30" s="14"/>
      <c r="U30" s="302" t="s">
        <v>151</v>
      </c>
      <c r="V30" s="299">
        <v>3625</v>
      </c>
      <c r="W30" s="59" t="s">
        <v>152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0.56000000000000005</v>
      </c>
      <c r="N31" s="12">
        <v>23500</v>
      </c>
      <c r="O31" s="12">
        <f t="shared" si="11"/>
        <v>13160.000000000002</v>
      </c>
      <c r="P31" s="39" t="s">
        <v>30</v>
      </c>
      <c r="Q31" s="42"/>
      <c r="R31" s="14"/>
      <c r="S31" s="240"/>
      <c r="T31" s="14"/>
      <c r="U31" s="302"/>
      <c r="V31" s="59">
        <v>906.25</v>
      </c>
      <c r="W31" s="59" t="s">
        <v>153</v>
      </c>
      <c r="X31" s="304"/>
    </row>
    <row r="32" spans="1:25" s="230" customFormat="1" ht="17.399999999999999" x14ac:dyDescent="0.35">
      <c r="B32" s="24" t="s">
        <v>149</v>
      </c>
      <c r="J32" s="262"/>
      <c r="K32" s="232"/>
      <c r="L32" s="250"/>
      <c r="M32" s="14"/>
      <c r="N32" s="250">
        <v>15041</v>
      </c>
      <c r="O32" s="12">
        <f t="shared" si="11"/>
        <v>0</v>
      </c>
      <c r="P32" s="39" t="s">
        <v>165</v>
      </c>
      <c r="Q32" s="42"/>
      <c r="S32" s="240"/>
      <c r="T32" s="256"/>
      <c r="U32" s="59"/>
      <c r="V32" s="59">
        <f>V31*20%</f>
        <v>181.25</v>
      </c>
      <c r="W32" s="304" t="s">
        <v>154</v>
      </c>
      <c r="X32" s="59"/>
    </row>
    <row r="33" spans="2:24" s="230" customFormat="1" ht="17.399999999999999" x14ac:dyDescent="0.35">
      <c r="B33" s="24" t="s">
        <v>142</v>
      </c>
      <c r="C33"/>
      <c r="D33"/>
      <c r="E33"/>
      <c r="F33"/>
      <c r="J33" s="262"/>
      <c r="K33" s="232"/>
      <c r="L33" s="250"/>
      <c r="M33" s="14">
        <v>2</v>
      </c>
      <c r="N33" s="250">
        <v>44270</v>
      </c>
      <c r="O33" s="12">
        <f>M33*N33</f>
        <v>88540</v>
      </c>
      <c r="P33" s="14" t="s">
        <v>166</v>
      </c>
      <c r="S33" s="238"/>
      <c r="T33" s="256"/>
      <c r="U33" s="59"/>
      <c r="V33" s="59">
        <f>V31+V32</f>
        <v>1087.5</v>
      </c>
      <c r="W33" s="304" t="s">
        <v>155</v>
      </c>
      <c r="X33" s="59"/>
    </row>
    <row r="34" spans="2:24" s="230" customFormat="1" ht="17.399999999999999" x14ac:dyDescent="0.35">
      <c r="B34" s="29" t="s">
        <v>124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>M34*N34</f>
        <v>0</v>
      </c>
      <c r="P34" s="14" t="s">
        <v>31</v>
      </c>
      <c r="Q34" s="17"/>
      <c r="R34" s="230">
        <v>2.12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>
        <v>4</v>
      </c>
      <c r="N35" s="12">
        <v>1500</v>
      </c>
      <c r="O35" s="12">
        <f>M35*N35</f>
        <v>6000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117746.4</v>
      </c>
      <c r="P36" s="39" t="s">
        <v>23</v>
      </c>
      <c r="Q36" s="14"/>
      <c r="R36">
        <f>R34*R35</f>
        <v>5.1728000000000005</v>
      </c>
      <c r="S36"/>
      <c r="T36" s="238"/>
      <c r="X36" s="231"/>
    </row>
    <row r="37" spans="2:24" s="230" customFormat="1" ht="17.399999999999999" x14ac:dyDescent="0.35">
      <c r="L37" s="250"/>
      <c r="M37" s="254" t="s">
        <v>32</v>
      </c>
      <c r="N37" s="12"/>
      <c r="O37" s="255">
        <f>O36*2.4</f>
        <v>282591.35999999999</v>
      </c>
      <c r="P37" s="14" t="s">
        <v>139</v>
      </c>
      <c r="Q37" s="14"/>
      <c r="R37" s="40">
        <f>P28/R36</f>
        <v>0.55490256727497689</v>
      </c>
      <c r="S37"/>
      <c r="T37" s="257"/>
    </row>
    <row r="38" spans="2:24" s="230" customFormat="1" ht="17.399999999999999" x14ac:dyDescent="0.35">
      <c r="D38" t="s">
        <v>167</v>
      </c>
      <c r="G38"/>
      <c r="H38" s="260"/>
      <c r="I38" s="260"/>
      <c r="J38" s="260"/>
      <c r="K38" s="230">
        <v>74260</v>
      </c>
      <c r="L38" s="250"/>
      <c r="M38" s="14"/>
      <c r="N38" s="12"/>
      <c r="O38" s="12">
        <f>O37/P26</f>
        <v>118140.2006688963</v>
      </c>
      <c r="P38" s="45" t="s">
        <v>24</v>
      </c>
      <c r="Q38" s="14"/>
      <c r="R38" s="14"/>
      <c r="S38"/>
      <c r="T38" s="238"/>
      <c r="U38" s="59" t="s">
        <v>156</v>
      </c>
      <c r="V38" s="299">
        <v>43650</v>
      </c>
    </row>
    <row r="39" spans="2:24" s="230" customFormat="1" ht="17.399999999999999" x14ac:dyDescent="0.35">
      <c r="D39" t="s">
        <v>168</v>
      </c>
      <c r="G39"/>
      <c r="K39" s="230">
        <f>K38/1.19</f>
        <v>62403.361344537821</v>
      </c>
      <c r="L39" s="250"/>
      <c r="M39" s="13"/>
      <c r="N39" s="14"/>
      <c r="O39" s="17">
        <f>O37/O36</f>
        <v>2.4</v>
      </c>
      <c r="P39" s="15"/>
      <c r="Q39" s="14"/>
      <c r="R39"/>
      <c r="S39"/>
      <c r="T39" s="238"/>
      <c r="U39" s="59" t="s">
        <v>158</v>
      </c>
      <c r="V39" s="300" t="s">
        <v>157</v>
      </c>
      <c r="W39" s="59">
        <v>2.4</v>
      </c>
    </row>
    <row r="40" spans="2:24" s="230" customFormat="1" ht="17.399999999999999" x14ac:dyDescent="0.35">
      <c r="G40" s="23"/>
      <c r="L40" s="12"/>
      <c r="Q40"/>
      <c r="T40" s="238"/>
      <c r="U40" s="59" t="s">
        <v>159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154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146</v>
      </c>
    </row>
    <row r="74" spans="3:15" x14ac:dyDescent="0.3">
      <c r="C74" t="s">
        <v>145</v>
      </c>
    </row>
    <row r="77" spans="3:15" x14ac:dyDescent="0.3">
      <c r="C77" t="s">
        <v>145</v>
      </c>
    </row>
    <row r="154" spans="3:3" x14ac:dyDescent="0.3">
      <c r="C154" t="s">
        <v>145</v>
      </c>
    </row>
    <row r="155" spans="3:3" x14ac:dyDescent="0.3">
      <c r="C155" t="s">
        <v>147</v>
      </c>
    </row>
    <row r="156" spans="3:3" x14ac:dyDescent="0.3">
      <c r="C156" t="s">
        <v>148</v>
      </c>
    </row>
    <row r="581" spans="3:3" x14ac:dyDescent="0.3">
      <c r="C581" t="s">
        <v>145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45896</v>
      </c>
    </row>
    <row r="6" spans="2:31" ht="16.2" thickBot="1" x14ac:dyDescent="0.35">
      <c r="B6" s="140" t="s">
        <v>2</v>
      </c>
      <c r="C6" s="139" t="str">
        <f>'2229'!C10</f>
        <v>SOLANGE AVALOS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97</v>
      </c>
      <c r="I7" s="337"/>
      <c r="J7" s="337"/>
      <c r="K7" s="338"/>
      <c r="N7" s="75"/>
      <c r="O7" s="335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11622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35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-33512.425033454107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'2229'!H24</f>
        <v>288591.35999999999</v>
      </c>
      <c r="E11" s="132">
        <f>D11*0.19</f>
        <v>54832.358399999997</v>
      </c>
      <c r="F11" s="131">
        <f>E11+D11</f>
        <v>343423.71840000001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72477.574966545886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53040.490787439616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54477.574966545893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235550.86921256036</v>
      </c>
      <c r="E13" s="221">
        <f>(D11/D12)-1</f>
        <v>4.440963228574434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45477.574966545893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6477.5749665458934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87516.809799275361</v>
      </c>
      <c r="F15" s="216">
        <f>E15-D12</f>
        <v>34476.319011835745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6477.5749665458934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46477.574966545893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'2229'!O31</f>
        <v>13160.000000000002</v>
      </c>
      <c r="E19" s="123">
        <f>D19*0.19</f>
        <v>2500.4000000000005</v>
      </c>
      <c r="F19" s="120">
        <f>SUM(D19:E19)</f>
        <v>15660.400000000001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10046.400000000001</v>
      </c>
      <c r="E20" s="121">
        <f>D20*0.19</f>
        <v>1908.8160000000003</v>
      </c>
      <c r="F20" s="120">
        <f>SUM(D20:E20)</f>
        <v>11955.216000000002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23206.400000000001</v>
      </c>
      <c r="E21" s="116">
        <f>SUM(E18:E20)</f>
        <v>4409.2160000000003</v>
      </c>
      <c r="F21" s="115">
        <f>SUM(F18:F20)</f>
        <v>27615.616000000002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50423.142399999997</v>
      </c>
    </row>
    <row r="41" spans="2:16" ht="15" thickBot="1" x14ac:dyDescent="0.35">
      <c r="H41" s="339" t="s">
        <v>59</v>
      </c>
      <c r="I41" s="340"/>
      <c r="J41" s="340"/>
      <c r="K41" s="340"/>
      <c r="L41" s="340"/>
      <c r="M41" s="341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288591.35999999999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23206.400000000001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235550.86921256036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235550.86921256036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2025-08-27T20:22:23Z</cp:lastPrinted>
  <dcterms:created xsi:type="dcterms:W3CDTF">2013-03-18T13:35:42Z</dcterms:created>
  <dcterms:modified xsi:type="dcterms:W3CDTF">2025-08-27T20:22:31Z</dcterms:modified>
</cp:coreProperties>
</file>