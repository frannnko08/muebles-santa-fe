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D2CE34F7-11E4-4402-BCF7-BFB0CD983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2" i="1"/>
  <c r="H23" i="1"/>
  <c r="H24" i="1"/>
  <c r="H25" i="1"/>
  <c r="P29" i="1"/>
  <c r="L22" i="1"/>
  <c r="M22" i="1"/>
  <c r="N22" i="1"/>
  <c r="O22" i="1"/>
  <c r="P22" i="1" s="1"/>
  <c r="S22" i="1"/>
  <c r="L23" i="1"/>
  <c r="M23" i="1"/>
  <c r="O23" i="1" s="1"/>
  <c r="P23" i="1" s="1"/>
  <c r="N23" i="1"/>
  <c r="L24" i="1"/>
  <c r="M24" i="1"/>
  <c r="O24" i="1" s="1"/>
  <c r="P24" i="1" s="1"/>
  <c r="N24" i="1"/>
  <c r="L25" i="1"/>
  <c r="M25" i="1"/>
  <c r="O25" i="1" s="1"/>
  <c r="P25" i="1" s="1"/>
  <c r="N25" i="1"/>
  <c r="J38" i="1"/>
  <c r="L21" i="1"/>
  <c r="N21" i="1"/>
  <c r="S25" i="1" l="1"/>
  <c r="S24" i="1"/>
  <c r="S23" i="1"/>
  <c r="M21" i="1"/>
  <c r="M29" i="1" s="1"/>
  <c r="S21" i="1" l="1"/>
  <c r="S29" i="1" s="1"/>
  <c r="T21" i="1"/>
  <c r="T28" i="1" s="1"/>
  <c r="O21" i="1"/>
  <c r="P21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2" i="1"/>
  <c r="R22" i="1" s="1"/>
  <c r="Q23" i="1"/>
  <c r="R23" i="1" s="1"/>
  <c r="Q24" i="1"/>
  <c r="R24" i="1" s="1"/>
  <c r="O43" i="1"/>
  <c r="E15" i="3"/>
  <c r="Q21" i="1" l="1"/>
  <c r="F15" i="3"/>
  <c r="R21" i="1" l="1"/>
  <c r="H21" i="1" l="1"/>
  <c r="H28" i="1" s="1"/>
  <c r="D11" i="3" l="1"/>
  <c r="X9" i="3" s="1"/>
  <c r="X15" i="3" s="1"/>
  <c r="H30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<sst xmlns="http://schemas.openxmlformats.org/spreadsheetml/2006/main" count="243" uniqueCount="180">
  <si>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</si>
  <si>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</si>
  <si>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</si>
  <si>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</si>
  <si>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</si>
  <si>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</si>
  <si>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</si>
  <si>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</si>
  <si>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</si>
  <si>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</si>
  <si>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</si>
  <si>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</si>
  <si>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</si>
  <si>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</si>
  <si>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</si>
  <si>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</si>
  <si>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</si>
  <si>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</si>
  <si>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</si>
  <si>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</si>
  <si>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</si>
  <si>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</si>
  <si>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</si>
  <si>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</si>
  <si>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</si>
  <si>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</si>
  <si>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</si>
  <si>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</si>
  <si>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</si>
  <si>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</si>
  <si>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</si>
  <si>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</si>
  <si>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</si>
  <si>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</si>
  <si>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</si>
  <si>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</si>
  <si>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</si>
  <si>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</si>
  <si>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</si>
  <si>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</si>
  <si>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</si>
  <si>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</si>
  <si>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</si>
  <si>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</si>
  <si>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</si>
  <si>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</si>
  <si>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</si>
  <si>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</si>
  <si>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</si>
  <si>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</si>
  <si>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</si>
  <si>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</si>
  <si>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</si>
  <si>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</si>
  <si>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</si>
  <si>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</si>
  <si>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</si>
  <si>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</si>
  <si>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</si>
  <si>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</si>
  <si>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</si>
  <si>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</si>
  <si>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</si>
  <si>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</si>
  <si>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</si>
  <si>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</si>
  <si>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</si>
  <si>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</si>
  <si>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</si>
  <si>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</si>
  <si>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</si>
  <si>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</si>
  <si>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</si>
  <si>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</si>
  <si>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</si>
  <si>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</si>
  <si>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</si>
  <si>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</si>
  <si>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</si>
  <si>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</si>
  <si>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</si>
  <si>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</si>
  <si>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</si>
  <si>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</si>
  <si>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</si>
  <si>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</si>
  <si>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</si>
  <si>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</si>
  <si>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</si>
  <si>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</si>
  <si>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</si>
  <si>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</si>
  <si>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</si>
  <si>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</si>
  <si>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</si>
  <si>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</si>
  <si>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</si>
  <si>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</si>
  <si>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</si>
  <si>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</si>
  <si>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</si>
  <si>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</si>
  <si>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</si>
  <si>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</si>
  <si>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</si>
  <si>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</si>
  <si>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</si>
  <si>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</si>
  <si>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</si>
  <si>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</si>
  <si>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</si>
  <si>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</si>
  <si>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</si>
  <si>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</si>
  <si>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</si>
  <si>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</si>
  <si>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</si>
  <si>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</si>
  <si>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</si>
  <si>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</si>
  <si>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</si>
  <si>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</si>
  <si>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</si>
  <si>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</si>
  <si>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</si>
  <si>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</si>
  <si>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</si>
  <si>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</si>
  <si>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</si>
  <si>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</si>
  <si>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</si>
  <si>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</si>
  <si>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</si>
  <si>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</si>
  <si>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</si>
  <si>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</si>
  <si>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</si>
  <si>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</si>
  <si>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</si>
  <si>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</si>
  <si>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</si>
  <si>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</si>
  <si>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</si>
  <si>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</si>
  <si>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</si>
  <si>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</si>
  <si>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</si>
  <si>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</si>
  <si>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</si>
  <si>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</si>
  <si>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</si>
  <si>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</si>
  <si>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</si>
  <si>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</si>
  <si>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</si>
  <si>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</si>
  <si>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</si>
  <si>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</si>
  <si>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</si>
  <si>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</si>
  <si>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</si>
  <si>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</si>
  <si>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</si>
  <si>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</si>
  <si>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</si>
  <si>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</si>
  <si>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</si>
  <si>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</si>
  <si>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</si>
  <si>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SALOMON GUZMAN</t>
  </si>
  <si>
    <t>+569 8820 4356</t>
  </si>
  <si>
    <t>N° 11463</t>
  </si>
  <si>
    <t>PR19 HORIZONTAL</t>
  </si>
  <si>
    <t>BLANCO 2114 MT</t>
  </si>
  <si>
    <t>8 DIAS HABILES</t>
  </si>
  <si>
    <t>SI</t>
  </si>
  <si>
    <t>76.367.762-1</t>
  </si>
  <si>
    <t>STAFF HOME SPA</t>
  </si>
  <si>
    <t>CERRO EL PLOMO 5931 OF 1213 PS 12 LAS CONDES</t>
  </si>
  <si>
    <t>ARRIENDO DE INMUEBLES AMOBLADOS Y/O EQUIPADOS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</si>
</sst>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8" borderId="0" xfId="0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VAN CORTADAS A LA MEDIDA Y ENCHAPADAS CON TAPACANTO PVC 0,4MM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93" zoomScaleNormal="93" workbookViewId="0">
      <selection activeCell="I14" sqref="I14"/>
    </sheetView>
  </sheetViews>
  <sheetFormatPr baseColWidth="10" defaultRowHeight="14.4" x14ac:dyDescent="0.3"/>
  <cols>
    <col min="1" max="1" width="6" customWidth="1"/>
    <col min="2" max="2" width="10.5546875" customWidth="1"/>
    <col min="3" max="3" width="23.88671875" customWidth="1"/>
    <col min="4" max="4" width="11.109375" customWidth="1"/>
    <col min="5" max="5" width="14.44140625" customWidth="1"/>
    <col min="6" max="6" width="25.332031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177</v>
      </c>
      <c r="D10" s="243"/>
      <c r="E10" s="243"/>
      <c r="F10" s="244" t="s">
        <v>167</v>
      </c>
      <c r="G10" s="276">
        <v>46183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176</v>
      </c>
      <c r="F11" t="s">
        <v>166</v>
      </c>
      <c r="G11" s="288" t="s">
        <v>174</v>
      </c>
      <c r="H11" s="289"/>
      <c r="Q11" s="19"/>
      <c r="R11" s="25" t="s">
        <v>18</v>
      </c>
      <c r="S11" s="19"/>
    </row>
    <row r="12" spans="2:24" x14ac:dyDescent="0.3">
      <c r="B12" s="246" t="s">
        <v>142</v>
      </c>
      <c r="C12" s="344" t="s">
        <v>179</v>
      </c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C13" t="s">
        <v>169</v>
      </c>
      <c r="F13" t="s">
        <v>165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175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168</v>
      </c>
      <c r="G15" s="308" t="s">
        <v>133</v>
      </c>
      <c r="H15" s="289"/>
    </row>
    <row r="16" spans="2:24" ht="16.8" x14ac:dyDescent="0.4">
      <c r="B16" s="315" t="s">
        <v>3</v>
      </c>
      <c r="C16" s="306" t="s">
        <v>178</v>
      </c>
      <c r="D16" s="247"/>
      <c r="E16" s="247"/>
      <c r="F16" s="316" t="s">
        <v>128</v>
      </c>
      <c r="G16" s="317" t="s">
        <v>160</v>
      </c>
      <c r="H16" s="248"/>
    </row>
    <row r="17" spans="2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61574.762012181367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2</v>
      </c>
      <c r="C21" s="329" t="s">
        <v>172</v>
      </c>
      <c r="D21" s="330">
        <v>0.39700000000000002</v>
      </c>
      <c r="E21" s="330">
        <v>0.70499999999999996</v>
      </c>
      <c r="F21" s="329" t="s">
        <v>173</v>
      </c>
      <c r="G21" s="331">
        <v>25707</v>
      </c>
      <c r="H21" s="331">
        <f>G21*B21</f>
        <v>51414</v>
      </c>
      <c r="I21" s="319"/>
      <c r="J21" s="265"/>
      <c r="K21" s="47"/>
      <c r="L21" s="47">
        <f>B21</f>
        <v>2</v>
      </c>
      <c r="M21" s="39">
        <f>D21+M$19</f>
        <v>0.47700000000000004</v>
      </c>
      <c r="N21" s="39">
        <f>E21+$N$19</f>
        <v>0.70499999999999996</v>
      </c>
      <c r="O21" s="261">
        <f t="shared" ref="O21" si="1">M21*N21</f>
        <v>0.336285</v>
      </c>
      <c r="P21" s="259">
        <f t="shared" ref="P21" si="2">O21*L21</f>
        <v>0.67257</v>
      </c>
      <c r="Q21" s="252">
        <f t="shared" ref="Q21" si="3">Q$20*O21</f>
        <v>20706.668843266412</v>
      </c>
      <c r="R21" s="318">
        <f t="shared" ref="R21" si="4">Q21+R$20</f>
        <v>25706.668843266412</v>
      </c>
      <c r="S21" s="297">
        <f>M21*L21</f>
        <v>0.95400000000000007</v>
      </c>
      <c r="T21" s="46">
        <f>N21*2*L21*2</f>
        <v>5.64</v>
      </c>
      <c r="U21" s="9"/>
      <c r="X21" s="4"/>
    </row>
    <row r="22" spans="2:25" ht="17.399999999999999" x14ac:dyDescent="0.3">
      <c r="B22" s="329">
        <v>2</v>
      </c>
      <c r="C22" s="329" t="s">
        <v>172</v>
      </c>
      <c r="D22" s="330">
        <v>0.46500000000000002</v>
      </c>
      <c r="E22" s="330">
        <v>0.70499999999999996</v>
      </c>
      <c r="F22" s="329" t="s">
        <v>173</v>
      </c>
      <c r="G22" s="331">
        <v>28659</v>
      </c>
      <c r="H22" s="331">
        <f t="shared" ref="H22:H25" si="5">G22*B22</f>
        <v>57318</v>
      </c>
      <c r="I22" s="319"/>
      <c r="J22" s="265"/>
      <c r="K22" s="47"/>
      <c r="L22" s="47">
        <f t="shared" ref="L22:L25" si="6">B22</f>
        <v>2</v>
      </c>
      <c r="M22" s="39">
        <f t="shared" ref="M22:M25" si="7">D22+M$19</f>
        <v>0.54500000000000004</v>
      </c>
      <c r="N22" s="39">
        <f t="shared" ref="N22:N25" si="8">E22+$N$19</f>
        <v>0.70499999999999996</v>
      </c>
      <c r="O22" s="261">
        <f t="shared" ref="O22:O25" si="9">M22*N22</f>
        <v>0.38422499999999998</v>
      </c>
      <c r="P22" s="259">
        <f t="shared" ref="P22:P25" si="10">O22*L22</f>
        <v>0.76844999999999997</v>
      </c>
      <c r="Q22" s="252">
        <f t="shared" ref="Q22:Q25" si="11">Q$20*O22</f>
        <v>23658.562934130383</v>
      </c>
      <c r="R22" s="318">
        <f t="shared" ref="R22:R25" si="12">Q22+R$20</f>
        <v>28658.562934130383</v>
      </c>
      <c r="S22" s="297">
        <f t="shared" ref="S22:S25" si="13">M22*L22</f>
        <v>1.0900000000000001</v>
      </c>
      <c r="T22" s="46"/>
      <c r="U22" s="9"/>
      <c r="X22" s="4"/>
    </row>
    <row r="23" spans="2:25" ht="17.399999999999999" x14ac:dyDescent="0.3">
      <c r="B23" s="329">
        <v>4</v>
      </c>
      <c r="C23" s="329" t="s">
        <v>172</v>
      </c>
      <c r="D23" s="330">
        <v>0.51500000000000001</v>
      </c>
      <c r="E23" s="330">
        <v>0.17599999999999999</v>
      </c>
      <c r="F23" s="329" t="s">
        <v>173</v>
      </c>
      <c r="G23" s="331">
        <v>11448</v>
      </c>
      <c r="H23" s="331">
        <f t="shared" si="5"/>
        <v>45792</v>
      </c>
      <c r="I23" s="319"/>
      <c r="J23" s="265"/>
      <c r="K23" s="47"/>
      <c r="L23" s="47">
        <f t="shared" si="6"/>
        <v>4</v>
      </c>
      <c r="M23" s="39">
        <f t="shared" si="7"/>
        <v>0.59499999999999997</v>
      </c>
      <c r="N23" s="39">
        <f t="shared" si="8"/>
        <v>0.17599999999999999</v>
      </c>
      <c r="O23" s="261">
        <f t="shared" si="9"/>
        <v>0.10471999999999999</v>
      </c>
      <c r="P23" s="259">
        <f t="shared" si="10"/>
        <v>0.41887999999999997</v>
      </c>
      <c r="Q23" s="252">
        <f t="shared" si="11"/>
        <v>6448.109077915632</v>
      </c>
      <c r="R23" s="318">
        <f t="shared" si="12"/>
        <v>11448.109077915633</v>
      </c>
      <c r="S23" s="297">
        <f t="shared" si="13"/>
        <v>2.38</v>
      </c>
      <c r="T23" s="46"/>
      <c r="U23" s="9"/>
      <c r="X23" s="4"/>
    </row>
    <row r="24" spans="2:25" ht="17.399999999999999" x14ac:dyDescent="0.3">
      <c r="B24" s="329">
        <v>1</v>
      </c>
      <c r="C24" s="329" t="s">
        <v>172</v>
      </c>
      <c r="D24" s="330">
        <v>0.59499999999999997</v>
      </c>
      <c r="E24" s="330">
        <v>0.09</v>
      </c>
      <c r="F24" s="329" t="s">
        <v>173</v>
      </c>
      <c r="G24" s="331">
        <v>8741</v>
      </c>
      <c r="H24" s="331">
        <f t="shared" si="5"/>
        <v>8741</v>
      </c>
      <c r="I24" s="319"/>
      <c r="J24" s="265"/>
      <c r="K24" s="47"/>
      <c r="L24" s="47">
        <f t="shared" si="6"/>
        <v>1</v>
      </c>
      <c r="M24" s="39">
        <f t="shared" si="7"/>
        <v>0.67499999999999993</v>
      </c>
      <c r="N24" s="39">
        <f t="shared" si="8"/>
        <v>0.09</v>
      </c>
      <c r="O24" s="261">
        <f t="shared" si="9"/>
        <v>6.0749999999999992E-2</v>
      </c>
      <c r="P24" s="259">
        <f t="shared" si="10"/>
        <v>6.0749999999999992E-2</v>
      </c>
      <c r="Q24" s="252">
        <f t="shared" si="11"/>
        <v>3740.6667922400175</v>
      </c>
      <c r="R24" s="318">
        <f t="shared" si="12"/>
        <v>8740.6667922400175</v>
      </c>
      <c r="S24" s="297">
        <f t="shared" si="13"/>
        <v>0.67499999999999993</v>
      </c>
      <c r="T24" s="46"/>
      <c r="U24" s="9"/>
      <c r="X24" s="4"/>
    </row>
    <row r="25" spans="2:25" ht="17.399999999999999" x14ac:dyDescent="0.3">
      <c r="B25" s="329">
        <v>1</v>
      </c>
      <c r="C25" s="329" t="s">
        <v>172</v>
      </c>
      <c r="D25" s="330">
        <v>0.61</v>
      </c>
      <c r="E25" s="330">
        <v>0.75</v>
      </c>
      <c r="F25" s="329" t="s">
        <v>173</v>
      </c>
      <c r="G25" s="331">
        <v>36865</v>
      </c>
      <c r="H25" s="331">
        <f t="shared" si="5"/>
        <v>36865</v>
      </c>
      <c r="I25" s="319"/>
      <c r="J25" s="265"/>
      <c r="K25" s="47"/>
      <c r="L25" s="47">
        <f t="shared" si="6"/>
        <v>1</v>
      </c>
      <c r="M25" s="39">
        <f t="shared" si="7"/>
        <v>0.69</v>
      </c>
      <c r="N25" s="39">
        <f t="shared" si="8"/>
        <v>0.75</v>
      </c>
      <c r="O25" s="261">
        <f t="shared" si="9"/>
        <v>0.51749999999999996</v>
      </c>
      <c r="P25" s="259">
        <f t="shared" si="10"/>
        <v>0.51749999999999996</v>
      </c>
      <c r="Q25" s="252">
        <f t="shared" si="11"/>
        <v>31864.939341303856</v>
      </c>
      <c r="R25" s="318">
        <f t="shared" si="12"/>
        <v>36864.939341303856</v>
      </c>
      <c r="S25" s="297">
        <f t="shared" si="13"/>
        <v>0.69</v>
      </c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19"/>
      <c r="H26" s="319"/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200130</v>
      </c>
      <c r="I28" s="321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5.64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38024.699999999997</v>
      </c>
      <c r="I29" s="321"/>
      <c r="J29" s="265"/>
      <c r="K29" s="47"/>
      <c r="L29" s="47"/>
      <c r="M29" s="39">
        <f>SUM(M21:M21)</f>
        <v>0.47700000000000004</v>
      </c>
      <c r="N29" s="12"/>
      <c r="O29" s="12"/>
      <c r="P29" s="253">
        <f>SUM(P21:P27)</f>
        <v>2.4381499999999998</v>
      </c>
      <c r="Q29" s="14"/>
      <c r="R29" s="12"/>
      <c r="S29" s="239">
        <f>SUM(S21:S28)</f>
        <v>5.7889999999999997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238154.7</v>
      </c>
      <c r="I30" s="321"/>
      <c r="J30" s="265"/>
      <c r="K30" s="47"/>
      <c r="L30" s="47"/>
      <c r="M30" s="39"/>
      <c r="N30" s="12"/>
      <c r="O30" s="12"/>
      <c r="P30" s="253">
        <f>P29</f>
        <v>2.4381499999999998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0.48763000000000001</v>
      </c>
      <c r="Q31" s="39" t="s">
        <v>129</v>
      </c>
      <c r="R31" s="42"/>
      <c r="S31" s="240"/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2.9257799999999996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302" t="s">
        <v>21</v>
      </c>
      <c r="V33" s="299" t="s">
        <v>149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2.9257799999999996</v>
      </c>
      <c r="N34" s="12">
        <v>3500</v>
      </c>
      <c r="O34" s="12">
        <f t="shared" ref="O34:O39" si="14">M34*N34</f>
        <v>10240.229999999998</v>
      </c>
      <c r="P34" s="14" t="s">
        <v>21</v>
      </c>
      <c r="Q34" s="14"/>
      <c r="R34" s="14"/>
      <c r="S34" s="241"/>
      <c r="T34" s="14"/>
      <c r="U34" s="302" t="s">
        <v>150</v>
      </c>
      <c r="V34" s="299">
        <v>3625</v>
      </c>
      <c r="W34" s="59" t="s">
        <v>151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0.8</v>
      </c>
      <c r="N35" s="12">
        <v>45000</v>
      </c>
      <c r="O35" s="12">
        <f t="shared" si="14"/>
        <v>36000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152</v>
      </c>
      <c r="X35" s="304"/>
    </row>
    <row r="36" spans="1:24" s="230" customFormat="1" ht="17.399999999999999" x14ac:dyDescent="0.35">
      <c r="B36" s="24" t="s">
        <v>148</v>
      </c>
      <c r="J36" s="262"/>
      <c r="K36" s="232"/>
      <c r="L36" s="250"/>
      <c r="M36" s="14"/>
      <c r="N36" s="250">
        <v>62300</v>
      </c>
      <c r="O36" s="12">
        <f t="shared" si="14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153</v>
      </c>
      <c r="X36" s="59"/>
    </row>
    <row r="37" spans="1:24" s="230" customFormat="1" ht="17.399999999999999" x14ac:dyDescent="0.35">
      <c r="B37" s="24" t="s">
        <v>164</v>
      </c>
      <c r="C37"/>
      <c r="D37"/>
      <c r="E37"/>
      <c r="F37"/>
      <c r="J37" s="262"/>
      <c r="K37" s="232"/>
      <c r="L37" s="250"/>
      <c r="M37" s="14">
        <v>1</v>
      </c>
      <c r="N37" s="250">
        <v>22000</v>
      </c>
      <c r="O37" s="12">
        <f t="shared" si="14"/>
        <v>22000</v>
      </c>
      <c r="P37" s="14" t="s">
        <v>139</v>
      </c>
      <c r="Q37" s="17"/>
      <c r="S37" s="238"/>
      <c r="T37" s="256"/>
      <c r="U37" s="59"/>
      <c r="V37" s="59">
        <f>V35+V36</f>
        <v>1087.5</v>
      </c>
      <c r="W37" s="304" t="s">
        <v>154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>
        <f>239000/2</f>
        <v>119500</v>
      </c>
      <c r="K38" s="260"/>
      <c r="L38" s="250"/>
      <c r="M38" s="249"/>
      <c r="N38" s="250">
        <v>900</v>
      </c>
      <c r="O38" s="12">
        <f t="shared" si="14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/>
      <c r="N39" s="12">
        <v>1500</v>
      </c>
      <c r="O39" s="12">
        <f t="shared" si="14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68240.23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150128.50599999999</v>
      </c>
      <c r="P41" s="14" t="s">
        <v>138</v>
      </c>
      <c r="Q41" s="14"/>
      <c r="R41" s="40">
        <f>P32/R40</f>
        <v>0.78887510785159609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L42" s="250"/>
      <c r="M42" s="14"/>
      <c r="N42" s="12"/>
      <c r="O42" s="12">
        <f>O41/P30</f>
        <v>61574.762012181367</v>
      </c>
      <c r="P42" s="45" t="s">
        <v>24</v>
      </c>
      <c r="Q42" s="14"/>
      <c r="R42" s="14"/>
      <c r="S42"/>
      <c r="T42" s="238"/>
      <c r="U42" s="59" t="s">
        <v>155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157</v>
      </c>
      <c r="V43" s="300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46183</v>
      </c>
    </row>
    <row r="6" spans="2:31" ht="16.2" thickBot="1" x14ac:dyDescent="0.35">
      <c r="B6" s="140" t="s">
        <v>2</v>
      </c>
      <c r="C6" s="139" t="str">
        <f>'2229'!C10</f>
        <v>STAFF HOME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11463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-12434.561783454106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200130</v>
      </c>
      <c r="E11" s="132">
        <f>D11*0.19</f>
        <v>38024.699999999997</v>
      </c>
      <c r="F11" s="131">
        <f>E11+D11</f>
        <v>238154.7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93555.438216545896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76074.320787439618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75555.438216545896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124055.67921256038</v>
      </c>
      <c r="E13" s="221">
        <f>(D11/D12)-1</f>
        <v>1.6307168822339695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66555.438216545896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27555.438216545896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125522.62929927536</v>
      </c>
      <c r="F15" s="216">
        <f>E15-D12</f>
        <v>49448.308511835741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27555.438216545896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67555.438216545896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10240.229999999998</v>
      </c>
      <c r="E20" s="121">
        <f>D20*0.19</f>
        <v>1945.6436999999996</v>
      </c>
      <c r="F20" s="120">
        <f>SUM(D20:E20)</f>
        <v>12185.873699999996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46240.229999999996</v>
      </c>
      <c r="E21" s="116">
        <f>SUM(E18:E20)</f>
        <v>8785.6437000000005</v>
      </c>
      <c r="F21" s="115">
        <f>SUM(F18:F20)</f>
        <v>55025.873699999996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29239.056299999997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200130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46240.229999999996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124055.67921256038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124055.67921256038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2025-06-10T14:14:59Z</cp:lastPrinted>
  <dcterms:created xsi:type="dcterms:W3CDTF">2013-03-18T13:35:42Z</dcterms:created>
  <dcterms:modified xsi:type="dcterms:W3CDTF">2025-06-10T22:53:55Z</dcterms:modified>
</cp:coreProperties>
</file>