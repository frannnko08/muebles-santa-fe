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9C1A2BEC-F488-4763-9CE4-F4E2B3969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O27" i="1"/>
  <c r="K22" i="1"/>
  <c r="L22" i="1"/>
  <c r="M22" i="1"/>
  <c r="N22" i="1"/>
  <c r="O22" i="1" s="1"/>
  <c r="R22" i="1"/>
  <c r="K23" i="1"/>
  <c r="L23" i="1"/>
  <c r="M23" i="1"/>
  <c r="N23" i="1"/>
  <c r="O23" i="1" s="1"/>
  <c r="K21" i="1"/>
  <c r="J40" i="1"/>
  <c r="L21" i="1" l="1"/>
  <c r="L26" i="1" s="1"/>
  <c r="M21" i="1"/>
  <c r="N21" i="1" l="1"/>
  <c r="O21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2" i="1" l="1"/>
  <c r="Q22" i="1" s="1"/>
  <c r="P23" i="1"/>
  <c r="Q23" i="1" s="1"/>
  <c r="P21" i="1"/>
  <c r="F15" i="3"/>
  <c r="Q21" i="1" l="1"/>
  <c r="H21" i="1"/>
  <c r="R28" i="1"/>
  <c r="H26" i="1" l="1"/>
  <c r="H27" i="1" l="1"/>
  <c r="H28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<sst xmlns="http://schemas.openxmlformats.org/spreadsheetml/2006/main" count="223" uniqueCount="166">
  <si>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</si>
  <si>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</si>
  <si>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</si>
  <si>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</si>
  <si>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</si>
  <si>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</si>
  <si>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</si>
  <si>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</si>
  <si>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</si>
  <si>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</si>
  <si>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</si>
  <si>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</si>
  <si>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</si>
  <si>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</si>
  <si>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</si>
  <si>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</si>
  <si>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</si>
  <si>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</si>
  <si>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</si>
  <si>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</si>
  <si>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</si>
  <si>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</si>
  <si>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</si>
  <si>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</si>
  <si>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</si>
  <si>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</si>
  <si>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</si>
  <si>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</si>
  <si>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</si>
  <si>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</si>
  <si>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</si>
  <si>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</si>
  <si>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</si>
  <si>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</si>
  <si>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</si>
  <si>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</si>
  <si>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</si>
  <si>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</si>
  <si>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</si>
  <si>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</si>
  <si>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</si>
  <si>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</si>
  <si>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</si>
  <si>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</si>
  <si>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</si>
  <si>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</si>
  <si>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</si>
  <si>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</si>
  <si>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</si>
  <si>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</si>
  <si>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</si>
  <si>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</si>
  <si>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</si>
  <si>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</si>
  <si>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</si>
  <si>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</si>
  <si>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</si>
  <si>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</si>
  <si>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</si>
  <si>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</si>
  <si>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</si>
  <si>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</si>
  <si>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</si>
  <si>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</si>
  <si>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</si>
  <si>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</si>
  <si>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</si>
  <si>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</si>
  <si>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</si>
  <si>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</si>
  <si>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</si>
  <si>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</si>
  <si>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</si>
  <si>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</si>
  <si>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</si>
  <si>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</si>
  <si>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</si>
  <si>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</si>
  <si>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</si>
  <si>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</si>
  <si>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</si>
  <si>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</si>
  <si>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</si>
  <si>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</si>
  <si>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</si>
  <si>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</si>
  <si>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</si>
  <si>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</si>
  <si>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</si>
  <si>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</si>
  <si>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</si>
  <si>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</si>
  <si>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</si>
  <si>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</si>
  <si>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</si>
  <si>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</si>
  <si>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</si>
  <si>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</si>
  <si>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</si>
  <si>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</si>
  <si>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</si>
  <si>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</si>
  <si>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</si>
  <si>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</si>
  <si>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</si>
  <si>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</si>
  <si>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</si>
  <si>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</si>
  <si>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</si>
  <si>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</si>
  <si>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</si>
  <si>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</si>
  <si>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</si>
  <si>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</si>
  <si>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</si>
  <si>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</si>
  <si>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</si>
  <si>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</si>
  <si>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</si>
  <si>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</si>
  <si>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</si>
  <si>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</si>
  <si>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</si>
  <si>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</si>
  <si>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</si>
  <si>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</si>
  <si>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</si>
  <si>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</si>
  <si>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</si>
  <si>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</si>
  <si>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</si>
  <si>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</si>
  <si>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</si>
  <si>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</si>
  <si>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</si>
  <si>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</si>
  <si>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</si>
  <si>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</si>
  <si>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</si>
  <si>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</si>
  <si>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</si>
  <si>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</si>
  <si>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</si>
  <si>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</si>
  <si>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</si>
  <si>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</si>
  <si>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</si>
  <si>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</si>
  <si>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</si>
  <si>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</si>
  <si>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</si>
  <si>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</si>
  <si>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</si>
  <si>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</si>
  <si>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</si>
  <si>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</si>
  <si>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</si>
  <si>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MUEBLES</t>
  </si>
  <si>
    <t>N° 11466</t>
  </si>
  <si>
    <t>MANUEL VALENZUELA</t>
  </si>
  <si>
    <t>+56997383142</t>
  </si>
  <si>
    <t>SANTIAGO</t>
  </si>
  <si>
    <t>5 DIAS HABILES</t>
  </si>
  <si>
    <t>VAINILLA 2109 BR PF8</t>
  </si>
  <si>
    <t>CUB CON RESPALDO FRENTE 180°</t>
  </si>
  <si>
    <t>CUB MESA FRENTE 180° 4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</si>
</sst>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</a:t>
          </a:r>
          <a:r>
            <a:rPr lang="es-CL" sz="1200" b="1" baseline="0"/>
            <a:t>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 MDF18MM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5" zoomScale="98" zoomScaleNormal="98" workbookViewId="0">
      <selection activeCell="G35" sqref="G35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2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45820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162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 t="s">
        <v>157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161</v>
      </c>
      <c r="D17" s="299"/>
      <c r="E17" s="300"/>
      <c r="F17" s="323" t="s">
        <v>154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7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74944.571428571435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18">
        <v>2</v>
      </c>
      <c r="C21" s="318" t="s">
        <v>164</v>
      </c>
      <c r="D21" s="321">
        <v>2</v>
      </c>
      <c r="E21" s="321">
        <v>0.7</v>
      </c>
      <c r="F21" s="318" t="s">
        <v>163</v>
      </c>
      <c r="G21" s="322">
        <v>109119</v>
      </c>
      <c r="H21" s="322">
        <f t="shared" ref="H21:H23" si="1">G21*B21</f>
        <v>218238</v>
      </c>
      <c r="I21" s="265"/>
      <c r="J21" s="47"/>
      <c r="K21" s="47">
        <f>B21</f>
        <v>2</v>
      </c>
      <c r="L21" s="39">
        <f t="shared" ref="L21:M21" si="2">D21+L$19</f>
        <v>2.08</v>
      </c>
      <c r="M21" s="39">
        <f t="shared" si="2"/>
        <v>0.7</v>
      </c>
      <c r="N21" s="261">
        <f>L21*M21</f>
        <v>1.456</v>
      </c>
      <c r="O21" s="259">
        <f>N21*K21</f>
        <v>2.9119999999999999</v>
      </c>
      <c r="P21" s="252">
        <f>P$20*N21</f>
        <v>109119.296</v>
      </c>
      <c r="Q21" s="258">
        <f>P21+Q$20</f>
        <v>112119.296</v>
      </c>
      <c r="R21" s="308">
        <f>K21*L21</f>
        <v>4.16</v>
      </c>
      <c r="S21" s="14"/>
      <c r="T21" s="9"/>
      <c r="W21" s="4"/>
    </row>
    <row r="22" spans="2:24" ht="17.399999999999999" x14ac:dyDescent="0.3">
      <c r="B22" s="318">
        <v>1</v>
      </c>
      <c r="C22" s="318" t="s">
        <v>164</v>
      </c>
      <c r="D22" s="321">
        <v>1.8</v>
      </c>
      <c r="E22" s="321">
        <v>0.7</v>
      </c>
      <c r="F22" s="318" t="s">
        <v>163</v>
      </c>
      <c r="G22" s="322">
        <v>98627</v>
      </c>
      <c r="H22" s="322">
        <f t="shared" si="1"/>
        <v>98627</v>
      </c>
      <c r="I22" s="265"/>
      <c r="J22" s="47"/>
      <c r="K22" s="47">
        <f t="shared" ref="K22:K23" si="3">B22</f>
        <v>1</v>
      </c>
      <c r="L22" s="39">
        <f t="shared" ref="L22:L23" si="4">D22+L$19</f>
        <v>1.8800000000000001</v>
      </c>
      <c r="M22" s="39">
        <f t="shared" ref="M22:M23" si="5">E22+M$19</f>
        <v>0.7</v>
      </c>
      <c r="N22" s="261">
        <f t="shared" ref="N22:N23" si="6">L22*M22</f>
        <v>1.3160000000000001</v>
      </c>
      <c r="O22" s="259">
        <f t="shared" ref="O22:O23" si="7">N22*K22</f>
        <v>1.3160000000000001</v>
      </c>
      <c r="P22" s="252">
        <f t="shared" ref="P22:P23" si="8">P$20*N22</f>
        <v>98627.056000000011</v>
      </c>
      <c r="Q22" s="258">
        <f t="shared" ref="Q22:Q23" si="9">P22+Q$20</f>
        <v>101627.05600000001</v>
      </c>
      <c r="R22" s="308">
        <f t="shared" ref="R22:R23" si="10">K22*L22</f>
        <v>1.8800000000000001</v>
      </c>
      <c r="S22" s="14"/>
      <c r="T22" s="9"/>
      <c r="W22" s="4"/>
    </row>
    <row r="23" spans="2:24" ht="17.399999999999999" x14ac:dyDescent="0.3">
      <c r="B23" s="318">
        <v>1</v>
      </c>
      <c r="C23" s="318" t="s">
        <v>165</v>
      </c>
      <c r="D23" s="321">
        <v>3</v>
      </c>
      <c r="E23" s="321">
        <v>0.9</v>
      </c>
      <c r="F23" s="318" t="s">
        <v>163</v>
      </c>
      <c r="G23" s="322">
        <v>207746</v>
      </c>
      <c r="H23" s="322">
        <f t="shared" si="1"/>
        <v>207746</v>
      </c>
      <c r="I23" s="265"/>
      <c r="J23" s="47"/>
      <c r="K23" s="47">
        <f t="shared" si="3"/>
        <v>1</v>
      </c>
      <c r="L23" s="39">
        <f t="shared" si="4"/>
        <v>3.08</v>
      </c>
      <c r="M23" s="39">
        <f t="shared" si="5"/>
        <v>0.9</v>
      </c>
      <c r="N23" s="261">
        <f t="shared" si="6"/>
        <v>2.7720000000000002</v>
      </c>
      <c r="O23" s="259">
        <f t="shared" si="7"/>
        <v>2.7720000000000002</v>
      </c>
      <c r="P23" s="252">
        <f t="shared" si="8"/>
        <v>207746.35200000004</v>
      </c>
      <c r="Q23" s="258">
        <f t="shared" si="9"/>
        <v>210746.35200000004</v>
      </c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3"/>
      <c r="H24" s="313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10" t="s">
        <v>30</v>
      </c>
      <c r="H26" s="311">
        <f>SUM(H21:H25)</f>
        <v>524611</v>
      </c>
      <c r="I26" s="265"/>
      <c r="J26" s="47"/>
      <c r="K26" s="47"/>
      <c r="L26" s="39">
        <f>SUM(L21:L25)</f>
        <v>7.04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>
        <f>H26*19%</f>
        <v>99676.09</v>
      </c>
      <c r="I27" s="265"/>
      <c r="J27" s="47"/>
      <c r="K27" s="47"/>
      <c r="L27" s="39"/>
      <c r="M27" s="12"/>
      <c r="N27" s="12"/>
      <c r="O27" s="253">
        <f>SUM(O21:O24)</f>
        <v>7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624287.09</v>
      </c>
      <c r="I28" s="265"/>
      <c r="J28" s="47"/>
      <c r="K28" s="47"/>
      <c r="L28" s="39"/>
      <c r="M28" s="12"/>
      <c r="N28" s="12"/>
      <c r="O28" s="253">
        <f>O27</f>
        <v>7</v>
      </c>
      <c r="P28" s="14"/>
      <c r="Q28" s="12"/>
      <c r="R28" s="238">
        <f>SUM(R21:R27)</f>
        <v>6.04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1.4000000000000001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5"/>
      <c r="K30" s="47"/>
      <c r="L30" s="14"/>
      <c r="M30" s="12"/>
      <c r="N30" s="12"/>
      <c r="O30" s="46">
        <f>O28+O29</f>
        <v>8.4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5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8.4</v>
      </c>
      <c r="M32" s="12">
        <v>3500</v>
      </c>
      <c r="N32" s="12">
        <f t="shared" ref="N32:N37" si="11">L32*M32</f>
        <v>29400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3</v>
      </c>
      <c r="M33" s="12">
        <v>25000</v>
      </c>
      <c r="N33" s="12">
        <f t="shared" si="11"/>
        <v>75000</v>
      </c>
      <c r="O33" s="39" t="s">
        <v>155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>
        <v>1</v>
      </c>
      <c r="M34" s="250">
        <v>35000</v>
      </c>
      <c r="N34" s="12">
        <f t="shared" si="11"/>
        <v>35000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4"/>
      <c r="K35" s="250"/>
      <c r="L35" s="14">
        <v>3</v>
      </c>
      <c r="M35" s="250">
        <v>30000</v>
      </c>
      <c r="N35" s="12">
        <f t="shared" si="11"/>
        <v>90000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4"/>
      <c r="K36" s="250"/>
      <c r="L36" s="249"/>
      <c r="M36" s="250">
        <v>800</v>
      </c>
      <c r="N36" s="12">
        <f t="shared" si="11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>
        <v>6.04</v>
      </c>
      <c r="M37" s="12">
        <v>1500</v>
      </c>
      <c r="N37" s="12">
        <f t="shared" si="11"/>
        <v>9060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238460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31670</v>
      </c>
      <c r="K39" s="250"/>
      <c r="L39" s="254" t="s">
        <v>35</v>
      </c>
      <c r="M39" s="12"/>
      <c r="N39" s="255">
        <f>N38*2.2</f>
        <v>524612</v>
      </c>
      <c r="O39" s="14" t="s">
        <v>142</v>
      </c>
      <c r="P39" s="14"/>
      <c r="Q39" s="46">
        <f>O28/Q38</f>
        <v>1.8874029335634166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26613.44537815126</v>
      </c>
      <c r="K40" s="250"/>
      <c r="L40" s="14"/>
      <c r="M40" s="12"/>
      <c r="N40" s="12">
        <f>N39/O28</f>
        <v>74944.571428571435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1.8360655737704918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45820</v>
      </c>
    </row>
    <row r="6" spans="2:31" ht="16.2" thickBot="1" x14ac:dyDescent="0.35">
      <c r="B6" s="140" t="s">
        <v>2</v>
      </c>
      <c r="C6" s="139" t="str">
        <f>'2229'!C10</f>
        <v>MANUEL VALENZUELA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11466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-40895.791700120775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524611</v>
      </c>
      <c r="E11" s="132">
        <f>D11*0.19</f>
        <v>99676.09</v>
      </c>
      <c r="F11" s="131">
        <f>E11+D11</f>
        <v>624287.09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65094.208299879225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169234.09078743961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47094.208299879225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355376.90921256039</v>
      </c>
      <c r="E13" s="221">
        <f>(D11/D12)-1</f>
        <v>2.0999132477328035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38094.208299879225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-905.7917001207752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279236.24979927536</v>
      </c>
      <c r="F15" s="216">
        <f>E15-D12</f>
        <v>110002.15901183576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-905.7917001207752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39094.208299879225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35000</v>
      </c>
      <c r="E18" s="123">
        <f>D18*0.19</f>
        <v>6650</v>
      </c>
      <c r="F18" s="120">
        <f>SUM(D18:E18)</f>
        <v>41650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75000</v>
      </c>
      <c r="E19" s="123">
        <f>D19*0.19</f>
        <v>14250</v>
      </c>
      <c r="F19" s="120">
        <f>SUM(D19:E19)</f>
        <v>89250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29400</v>
      </c>
      <c r="E20" s="121">
        <f>D20*0.19</f>
        <v>5586</v>
      </c>
      <c r="F20" s="120">
        <f>SUM(D20:E20)</f>
        <v>34986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139400</v>
      </c>
      <c r="E21" s="116">
        <f>SUM(E18:E20)</f>
        <v>26486</v>
      </c>
      <c r="F21" s="115">
        <f>SUM(F18:F20)</f>
        <v>165886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73190.09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524611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139400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355376.90921256039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355376.90921256039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2025-06-10T22:28:31Z</cp:lastPrinted>
  <dcterms:created xsi:type="dcterms:W3CDTF">2013-03-18T13:35:42Z</dcterms:created>
  <dcterms:modified xsi:type="dcterms:W3CDTF">2025-06-12T15:27:00Z</dcterms:modified>
</cp:coreProperties>
</file>