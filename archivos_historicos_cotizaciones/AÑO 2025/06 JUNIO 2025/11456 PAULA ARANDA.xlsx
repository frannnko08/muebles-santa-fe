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DB0E1334-E502-4D2C-A44B-6E4304A9A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K25" i="1"/>
  <c r="H24" i="1"/>
  <c r="K24" i="1"/>
  <c r="K22" i="1" l="1"/>
  <c r="L22" i="1"/>
  <c r="M22" i="1"/>
  <c r="K23" i="1"/>
  <c r="L23" i="1"/>
  <c r="M23" i="1"/>
  <c r="H22" i="1"/>
  <c r="H23" i="1"/>
  <c r="K21" i="1"/>
  <c r="J42" i="1"/>
  <c r="N23" i="1" l="1"/>
  <c r="N22" i="1"/>
  <c r="O22" i="1" s="1"/>
  <c r="O23" i="1"/>
  <c r="L21" i="1"/>
  <c r="L28" i="1" s="1"/>
  <c r="M21" i="1"/>
  <c r="N21" i="1" l="1"/>
  <c r="O21" i="1" s="1"/>
  <c r="O29" i="1" s="1"/>
  <c r="R21" i="1"/>
  <c r="N35" i="1"/>
  <c r="O30" i="1" l="1"/>
  <c r="S47" i="1"/>
  <c r="O31" i="1" l="1"/>
  <c r="M20" i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O32" i="1" l="1"/>
  <c r="L34" i="1" s="1"/>
  <c r="N34" i="1" l="1"/>
  <c r="S48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3" i="1" l="1"/>
  <c r="Q23" i="1" s="1"/>
  <c r="P22" i="1"/>
  <c r="Q22" i="1" s="1"/>
  <c r="P21" i="1"/>
  <c r="F15" i="3"/>
  <c r="Q21" i="1" l="1"/>
  <c r="H21" i="1"/>
  <c r="H28" i="1" s="1"/>
  <c r="R30" i="1"/>
  <c r="H30" i="1" l="1"/>
  <c r="D11" i="3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<sst xmlns="http://schemas.openxmlformats.org/spreadsheetml/2006/main" count="224" uniqueCount="167">
  <si>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</si>
  <si>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</si>
  <si>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</si>
  <si>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</si>
  <si>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</si>
  <si>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</si>
  <si>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</si>
  <si>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</si>
  <si>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</si>
  <si>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</si>
  <si>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</si>
  <si>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</si>
  <si>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</si>
  <si>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</si>
  <si>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</si>
  <si>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</si>
  <si>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</si>
  <si>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</si>
  <si>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</si>
  <si>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</si>
  <si>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</si>
  <si>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</si>
  <si>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</si>
  <si>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</si>
  <si>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</si>
  <si>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</si>
  <si>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</si>
  <si>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</si>
  <si>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</si>
  <si>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</si>
  <si>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</si>
  <si>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</si>
  <si>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</si>
  <si>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</si>
  <si>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</si>
  <si>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</si>
  <si>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</si>
  <si>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</si>
  <si>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</si>
  <si>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</si>
  <si>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</si>
  <si>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</si>
  <si>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</si>
  <si>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</si>
  <si>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</si>
  <si>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</si>
  <si>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</si>
  <si>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</si>
  <si>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</si>
  <si>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</si>
  <si>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</si>
  <si>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</si>
  <si>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</si>
  <si>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</si>
  <si>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</si>
  <si>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</si>
  <si>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</si>
  <si>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</si>
  <si>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</si>
  <si>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</si>
  <si>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</si>
  <si>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</si>
  <si>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</si>
  <si>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</si>
  <si>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</si>
  <si>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</si>
  <si>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</si>
  <si>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</si>
  <si>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</si>
  <si>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</si>
  <si>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</si>
  <si>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</si>
  <si>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</si>
  <si>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</si>
  <si>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</si>
  <si>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</si>
  <si>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</si>
  <si>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</si>
  <si>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</si>
  <si>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</si>
  <si>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</si>
  <si>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</si>
  <si>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</si>
  <si>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</si>
  <si>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</si>
  <si>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</si>
  <si>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</si>
  <si>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</si>
  <si>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</si>
  <si>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</si>
  <si>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</si>
  <si>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</si>
  <si>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</si>
  <si>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</si>
  <si>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</si>
  <si>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</si>
  <si>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</si>
  <si>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</si>
  <si>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</si>
  <si>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</si>
  <si>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</si>
  <si>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</si>
  <si>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</si>
  <si>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</si>
  <si>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</si>
  <si>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</si>
  <si>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</si>
  <si>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</si>
  <si>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</si>
  <si>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</si>
  <si>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</si>
  <si>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</si>
  <si>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</si>
  <si>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</si>
  <si>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</si>
  <si>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</si>
  <si>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</si>
  <si>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</si>
  <si>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</si>
  <si>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</si>
  <si>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</si>
  <si>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</si>
  <si>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</si>
  <si>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</si>
  <si>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</si>
  <si>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</si>
  <si>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</si>
  <si>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</si>
  <si>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</si>
  <si>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</si>
  <si>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</si>
  <si>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</si>
  <si>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</si>
  <si>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</si>
  <si>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</si>
  <si>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</si>
  <si>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</si>
  <si>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</si>
  <si>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</si>
  <si>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</si>
  <si>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</si>
  <si>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</si>
  <si>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</si>
  <si>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</si>
  <si>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</si>
  <si>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</si>
  <si>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</si>
  <si>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</si>
  <si>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</si>
  <si>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</si>
  <si>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</si>
  <si>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</si>
  <si>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</si>
  <si>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</si>
  <si>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</si>
  <si>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</si>
  <si>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</si>
  <si>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</si>
  <si>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</si>
  <si>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N° 11456</t>
  </si>
  <si>
    <t>PAULA ARANDA</t>
  </si>
  <si>
    <t>+56956118797</t>
  </si>
  <si>
    <t>QUARZITE 3044 PT</t>
  </si>
  <si>
    <t>CUB MESA R12 2 LADOS</t>
  </si>
  <si>
    <t>CUB CON RESPALDO R12</t>
  </si>
  <si>
    <t>DESFONDADOS</t>
  </si>
  <si>
    <t>SERVICIO 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</si>
</sst>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32</xdr:row>
      <xdr:rowOff>28575</xdr:rowOff>
    </xdr:from>
    <xdr:to>
      <xdr:col>8</xdr:col>
      <xdr:colOff>100890</xdr:colOff>
      <xdr:row>35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26</xdr:row>
      <xdr:rowOff>169545</xdr:rowOff>
    </xdr:from>
    <xdr:to>
      <xdr:col>5</xdr:col>
      <xdr:colOff>1764030</xdr:colOff>
      <xdr:row>30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NO IN CLUYE SERVICIO DE GASFITERIA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topLeftCell="A6" zoomScale="98" zoomScaleNormal="98" workbookViewId="0">
      <selection activeCell="J26" sqref="J26"/>
    </sheetView>
  </sheetViews>
  <sheetFormatPr baseColWidth="10" defaultRowHeight="14.4" x14ac:dyDescent="0.3"/>
  <cols>
    <col min="1" max="1" width="6" customWidth="1"/>
    <col min="2" max="2" width="10.5546875" customWidth="1"/>
    <col min="3" max="3" width="28.6640625" customWidth="1"/>
    <col min="4" max="4" width="11.109375" customWidth="1"/>
    <col min="5" max="5" width="10.5546875" customWidth="1"/>
    <col min="6" max="6" width="27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159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45811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125</v>
      </c>
      <c r="G11" s="289" t="s">
        <v>158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2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9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2"/>
      <c r="F16" s="293" t="s">
        <v>131</v>
      </c>
      <c r="G16" s="294" t="s">
        <v>157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3" t="s">
        <v>155</v>
      </c>
      <c r="G17" s="323"/>
      <c r="H17" s="32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5" t="s">
        <v>149</v>
      </c>
      <c r="C19" s="326"/>
      <c r="D19" s="326"/>
      <c r="E19" s="326"/>
      <c r="F19" s="326"/>
      <c r="G19" s="326"/>
      <c r="H19" s="32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17" t="s">
        <v>7</v>
      </c>
      <c r="C20" s="319" t="s">
        <v>1</v>
      </c>
      <c r="D20" s="319" t="s">
        <v>10</v>
      </c>
      <c r="E20" s="319" t="s">
        <v>11</v>
      </c>
      <c r="F20" s="319" t="s">
        <v>8</v>
      </c>
      <c r="G20" s="319" t="s">
        <v>5</v>
      </c>
      <c r="H20" s="320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78507.008299798792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18">
        <v>1</v>
      </c>
      <c r="C21" s="318" t="s">
        <v>164</v>
      </c>
      <c r="D21" s="321">
        <v>1.0549999999999999</v>
      </c>
      <c r="E21" s="321">
        <v>0.52</v>
      </c>
      <c r="F21" s="318" t="s">
        <v>162</v>
      </c>
      <c r="G21" s="322">
        <v>49000</v>
      </c>
      <c r="H21" s="322">
        <f t="shared" ref="H21" si="1">G21*B21</f>
        <v>49000</v>
      </c>
      <c r="I21" s="265"/>
      <c r="J21" s="47"/>
      <c r="K21" s="47">
        <f>B21</f>
        <v>1</v>
      </c>
      <c r="L21" s="39">
        <f t="shared" ref="L21:M21" si="2">D21+L$19</f>
        <v>1.135</v>
      </c>
      <c r="M21" s="39">
        <f t="shared" si="2"/>
        <v>0.52</v>
      </c>
      <c r="N21" s="261">
        <f>L21*M21</f>
        <v>0.59020000000000006</v>
      </c>
      <c r="O21" s="259">
        <f>N21*K21</f>
        <v>0.59020000000000006</v>
      </c>
      <c r="P21" s="252">
        <f>P$20*N21</f>
        <v>46334.836298541253</v>
      </c>
      <c r="Q21" s="258">
        <f>P21+Q$20</f>
        <v>49334.836298541253</v>
      </c>
      <c r="R21" s="308">
        <f>K21*L21</f>
        <v>1.135</v>
      </c>
      <c r="S21" s="14"/>
      <c r="T21" s="9"/>
      <c r="W21" s="4"/>
    </row>
    <row r="22" spans="2:24" ht="17.399999999999999" x14ac:dyDescent="0.3">
      <c r="B22" s="318">
        <v>1</v>
      </c>
      <c r="C22" s="318" t="s">
        <v>164</v>
      </c>
      <c r="D22" s="321">
        <v>1.55</v>
      </c>
      <c r="E22" s="321">
        <v>0.62</v>
      </c>
      <c r="F22" s="318" t="s">
        <v>162</v>
      </c>
      <c r="G22" s="322">
        <v>83000</v>
      </c>
      <c r="H22" s="322">
        <f t="shared" ref="H22:H25" si="3">G22*B22</f>
        <v>83000</v>
      </c>
      <c r="I22" s="265"/>
      <c r="J22" s="47"/>
      <c r="K22" s="47">
        <f t="shared" ref="K22:K25" si="4">B22</f>
        <v>1</v>
      </c>
      <c r="L22" s="39">
        <f t="shared" ref="L22:L23" si="5">D22+L$19</f>
        <v>1.6300000000000001</v>
      </c>
      <c r="M22" s="39">
        <f t="shared" ref="M22:M23" si="6">E22+M$19</f>
        <v>0.62</v>
      </c>
      <c r="N22" s="261">
        <f t="shared" ref="N22:N23" si="7">L22*M22</f>
        <v>1.0106000000000002</v>
      </c>
      <c r="O22" s="259">
        <f t="shared" ref="O22:O23" si="8">N22*K22</f>
        <v>1.0106000000000002</v>
      </c>
      <c r="P22" s="252">
        <f t="shared" ref="P22:P23" si="9">P$20*N22</f>
        <v>79339.182587776668</v>
      </c>
      <c r="Q22" s="258">
        <f t="shared" ref="Q22:Q23" si="10">P22+Q$20</f>
        <v>82339.182587776668</v>
      </c>
      <c r="R22" s="308"/>
      <c r="S22" s="14"/>
      <c r="T22" s="9"/>
      <c r="W22" s="4"/>
    </row>
    <row r="23" spans="2:24" ht="17.399999999999999" x14ac:dyDescent="0.3">
      <c r="B23" s="318">
        <v>1</v>
      </c>
      <c r="C23" s="318" t="s">
        <v>163</v>
      </c>
      <c r="D23" s="321">
        <v>1.5</v>
      </c>
      <c r="E23" s="321">
        <v>1</v>
      </c>
      <c r="F23" s="318" t="s">
        <v>162</v>
      </c>
      <c r="G23" s="322">
        <v>128000</v>
      </c>
      <c r="H23" s="322">
        <f t="shared" si="3"/>
        <v>128000</v>
      </c>
      <c r="I23" s="265"/>
      <c r="J23" s="47"/>
      <c r="K23" s="47">
        <f t="shared" si="4"/>
        <v>1</v>
      </c>
      <c r="L23" s="39">
        <f t="shared" si="5"/>
        <v>1.58</v>
      </c>
      <c r="M23" s="39">
        <f t="shared" si="6"/>
        <v>1</v>
      </c>
      <c r="N23" s="261">
        <f t="shared" si="7"/>
        <v>1.58</v>
      </c>
      <c r="O23" s="259">
        <f t="shared" si="8"/>
        <v>1.58</v>
      </c>
      <c r="P23" s="252">
        <f t="shared" si="9"/>
        <v>124041.0731136821</v>
      </c>
      <c r="Q23" s="258">
        <f t="shared" si="10"/>
        <v>127041.0731136821</v>
      </c>
      <c r="R23" s="308"/>
      <c r="S23" s="14"/>
      <c r="T23" s="9"/>
      <c r="W23" s="4"/>
    </row>
    <row r="24" spans="2:24" ht="17.399999999999999" x14ac:dyDescent="0.3">
      <c r="B24" s="318">
        <v>2</v>
      </c>
      <c r="C24" s="318" t="s">
        <v>165</v>
      </c>
      <c r="D24" s="321"/>
      <c r="E24" s="321"/>
      <c r="F24" s="318"/>
      <c r="G24" s="322">
        <v>12500</v>
      </c>
      <c r="H24" s="322">
        <f t="shared" si="3"/>
        <v>25000</v>
      </c>
      <c r="I24" s="265"/>
      <c r="J24" s="47"/>
      <c r="K24" s="47">
        <f t="shared" si="4"/>
        <v>2</v>
      </c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318">
        <v>1</v>
      </c>
      <c r="C25" s="318" t="s">
        <v>166</v>
      </c>
      <c r="D25" s="321"/>
      <c r="E25" s="321"/>
      <c r="F25" s="318"/>
      <c r="G25" s="322">
        <v>140000</v>
      </c>
      <c r="H25" s="322">
        <f t="shared" si="3"/>
        <v>140000</v>
      </c>
      <c r="I25" s="265"/>
      <c r="J25" s="47"/>
      <c r="K25" s="47">
        <f t="shared" si="4"/>
        <v>1</v>
      </c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3"/>
      <c r="H26" s="313"/>
      <c r="I26" s="265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2"/>
      <c r="I27" s="232"/>
      <c r="J27" s="47"/>
      <c r="K27" s="47"/>
      <c r="L27" s="39"/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10" t="s">
        <v>30</v>
      </c>
      <c r="H28" s="311">
        <f>SUM(H21:H27)</f>
        <v>425000</v>
      </c>
      <c r="I28" s="265"/>
      <c r="J28" s="47"/>
      <c r="K28" s="47"/>
      <c r="L28" s="39">
        <f>SUM(L21:L22)</f>
        <v>2.7650000000000001</v>
      </c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7" t="s">
        <v>53</v>
      </c>
      <c r="H29" s="304"/>
      <c r="I29" s="265"/>
      <c r="J29" s="47"/>
      <c r="K29" s="47"/>
      <c r="L29" s="39"/>
      <c r="M29" s="12"/>
      <c r="N29" s="12"/>
      <c r="O29" s="253">
        <f>SUM(O21:O26)</f>
        <v>3.1808000000000005</v>
      </c>
      <c r="P29" s="14"/>
      <c r="Q29" s="12"/>
      <c r="R29" s="238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5">
        <f>H28+H29</f>
        <v>425000</v>
      </c>
      <c r="I30" s="265"/>
      <c r="J30" s="47"/>
      <c r="K30" s="47"/>
      <c r="L30" s="39"/>
      <c r="M30" s="12"/>
      <c r="N30" s="12"/>
      <c r="O30" s="253">
        <f>O29</f>
        <v>3.1808000000000005</v>
      </c>
      <c r="P30" s="14"/>
      <c r="Q30" s="12"/>
      <c r="R30" s="238">
        <f>SUM(R21:R29)</f>
        <v>1.135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0.63616000000000017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315"/>
      <c r="K32" s="47"/>
      <c r="L32" s="14"/>
      <c r="M32" s="12"/>
      <c r="N32" s="12"/>
      <c r="O32" s="46">
        <f>O30+O31</f>
        <v>3.8169600000000008</v>
      </c>
      <c r="P32" s="14"/>
      <c r="Q32" s="14"/>
      <c r="R32" s="237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2"/>
      <c r="F33" s="233"/>
      <c r="G33" s="230"/>
      <c r="H33" s="275"/>
      <c r="I33" s="265"/>
      <c r="J33" s="315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2:23" ht="17.399999999999999" x14ac:dyDescent="0.35">
      <c r="B34" s="234"/>
      <c r="C34" s="235"/>
      <c r="D34" s="236"/>
      <c r="E34" s="234"/>
      <c r="F34" s="230"/>
      <c r="G34" s="230"/>
      <c r="I34" s="265"/>
      <c r="J34" s="47"/>
      <c r="K34" s="47"/>
      <c r="L34" s="39">
        <f>O32</f>
        <v>3.8169600000000008</v>
      </c>
      <c r="M34" s="12">
        <v>3500</v>
      </c>
      <c r="N34" s="12">
        <f t="shared" ref="N34:N39" si="11">L34*M34</f>
        <v>13359.360000000002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1</v>
      </c>
      <c r="M35" s="12">
        <v>25000</v>
      </c>
      <c r="N35" s="12">
        <f t="shared" si="11"/>
        <v>25000</v>
      </c>
      <c r="O35" s="39" t="s">
        <v>156</v>
      </c>
      <c r="P35" s="42"/>
      <c r="Q35" s="14"/>
      <c r="R35" s="239"/>
      <c r="S35" s="14"/>
      <c r="T35" s="9"/>
      <c r="W35" s="4"/>
    </row>
    <row r="36" spans="2:23" s="230" customFormat="1" ht="17.399999999999999" x14ac:dyDescent="0.35">
      <c r="I36" s="262"/>
      <c r="J36" s="47"/>
      <c r="K36" s="250"/>
      <c r="L36" s="14">
        <v>1</v>
      </c>
      <c r="M36" s="250">
        <v>71000</v>
      </c>
      <c r="N36" s="12">
        <f t="shared" si="11"/>
        <v>71000</v>
      </c>
      <c r="O36" s="39" t="s">
        <v>32</v>
      </c>
      <c r="P36" s="42"/>
      <c r="R36" s="239"/>
      <c r="S36" s="256"/>
      <c r="V36" s="231"/>
    </row>
    <row r="37" spans="2:23" s="230" customFormat="1" ht="17.399999999999999" x14ac:dyDescent="0.35">
      <c r="B37" s="24" t="s">
        <v>153</v>
      </c>
      <c r="I37" s="262"/>
      <c r="J37" s="314"/>
      <c r="K37" s="250"/>
      <c r="L37" s="14"/>
      <c r="M37" s="250">
        <v>41200</v>
      </c>
      <c r="N37" s="12">
        <f t="shared" si="11"/>
        <v>0</v>
      </c>
      <c r="O37" s="14" t="s">
        <v>143</v>
      </c>
      <c r="P37" s="17"/>
      <c r="R37" s="237"/>
      <c r="S37" s="256"/>
      <c r="V37" s="231"/>
    </row>
    <row r="38" spans="2:23" s="230" customFormat="1" ht="17.399999999999999" x14ac:dyDescent="0.35">
      <c r="B38" s="24" t="s">
        <v>146</v>
      </c>
      <c r="C38"/>
      <c r="D38"/>
      <c r="E38"/>
      <c r="F38"/>
      <c r="I38" s="262"/>
      <c r="J38" s="314"/>
      <c r="K38" s="250"/>
      <c r="L38" s="249"/>
      <c r="M38" s="250">
        <v>800</v>
      </c>
      <c r="N38" s="12">
        <f t="shared" si="11"/>
        <v>0</v>
      </c>
      <c r="O38" s="14" t="s">
        <v>34</v>
      </c>
      <c r="P38" s="14"/>
      <c r="Q38" s="230">
        <v>1.52</v>
      </c>
      <c r="R38" s="237"/>
      <c r="S38" s="237"/>
    </row>
    <row r="39" spans="2:23" s="230" customFormat="1" ht="17.399999999999999" x14ac:dyDescent="0.35">
      <c r="B39" s="29" t="s">
        <v>127</v>
      </c>
      <c r="C39"/>
      <c r="D39"/>
      <c r="E39"/>
      <c r="F39" s="229" t="s">
        <v>16</v>
      </c>
      <c r="I39" s="303"/>
      <c r="J39" s="47"/>
      <c r="K39" s="250"/>
      <c r="L39" s="266">
        <v>2.7650000000000001</v>
      </c>
      <c r="M39" s="12">
        <v>1500</v>
      </c>
      <c r="N39" s="12">
        <f t="shared" si="11"/>
        <v>4147.5</v>
      </c>
      <c r="O39" s="14" t="s">
        <v>24</v>
      </c>
      <c r="P39" s="14"/>
      <c r="Q39">
        <v>2.44</v>
      </c>
      <c r="R39"/>
      <c r="S39" s="237">
        <v>1500</v>
      </c>
      <c r="W39" s="231"/>
    </row>
    <row r="40" spans="2:23" s="230" customFormat="1" ht="17.399999999999999" x14ac:dyDescent="0.35">
      <c r="J40" s="47"/>
      <c r="K40" s="250"/>
      <c r="L40" s="14"/>
      <c r="M40" s="12"/>
      <c r="N40" s="12">
        <f>SUM(N34:N39)</f>
        <v>113506.86</v>
      </c>
      <c r="O40" s="39" t="s">
        <v>25</v>
      </c>
      <c r="P40" s="14"/>
      <c r="Q40">
        <f>Q38*Q39</f>
        <v>3.7088000000000001</v>
      </c>
      <c r="R40"/>
      <c r="S40" s="237">
        <f>R32*S39</f>
        <v>60000</v>
      </c>
      <c r="W40" s="231"/>
    </row>
    <row r="41" spans="2:23" s="230" customFormat="1" ht="17.399999999999999" x14ac:dyDescent="0.35">
      <c r="J41" s="47">
        <v>49000</v>
      </c>
      <c r="K41" s="250"/>
      <c r="L41" s="254" t="s">
        <v>35</v>
      </c>
      <c r="M41" s="12"/>
      <c r="N41" s="255">
        <f>N40*2.2</f>
        <v>249715.09200000003</v>
      </c>
      <c r="O41" s="14" t="s">
        <v>142</v>
      </c>
      <c r="P41" s="14"/>
      <c r="Q41" s="46">
        <f>O30/Q40</f>
        <v>0.85763589301121668</v>
      </c>
      <c r="R41"/>
      <c r="S41" s="257" t="e">
        <f>S40/#REF!</f>
        <v>#REF!</v>
      </c>
    </row>
    <row r="42" spans="2:23" s="230" customFormat="1" ht="17.399999999999999" x14ac:dyDescent="0.35">
      <c r="G42"/>
      <c r="H42" s="260"/>
      <c r="I42" s="260"/>
      <c r="J42" s="47">
        <f>J41/1.19</f>
        <v>41176.470588235294</v>
      </c>
      <c r="K42" s="250"/>
      <c r="L42" s="14"/>
      <c r="M42" s="12"/>
      <c r="N42" s="12">
        <f>N41/O30</f>
        <v>78507.008299798792</v>
      </c>
      <c r="O42" s="45" t="s">
        <v>26</v>
      </c>
      <c r="P42" s="14"/>
      <c r="Q42" s="14"/>
      <c r="R42"/>
      <c r="S42" s="237"/>
    </row>
    <row r="43" spans="2:23" s="230" customFormat="1" ht="17.399999999999999" x14ac:dyDescent="0.35">
      <c r="G43"/>
      <c r="J43" s="47"/>
      <c r="K43" s="250"/>
      <c r="L43" s="13"/>
      <c r="M43" s="14"/>
      <c r="N43" s="17">
        <f>N41/N40</f>
        <v>2.2000000000000002</v>
      </c>
      <c r="O43" s="15"/>
      <c r="P43"/>
      <c r="Q43"/>
      <c r="R43"/>
      <c r="S43" s="237"/>
    </row>
    <row r="44" spans="2:23" s="230" customFormat="1" ht="17.399999999999999" x14ac:dyDescent="0.35">
      <c r="G44" s="23"/>
      <c r="J44" s="47"/>
      <c r="K44" s="12"/>
      <c r="S44" s="237"/>
    </row>
    <row r="45" spans="2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2:23" ht="14.4" customHeight="1" x14ac:dyDescent="0.3">
      <c r="J46" s="47"/>
      <c r="K46" s="12"/>
      <c r="S46">
        <v>2.5</v>
      </c>
    </row>
    <row r="47" spans="2:23" x14ac:dyDescent="0.3">
      <c r="J47" s="47"/>
      <c r="K47" s="250"/>
      <c r="S47">
        <f>S45*S46</f>
        <v>4.5750000000000002</v>
      </c>
    </row>
    <row r="48" spans="2:23" x14ac:dyDescent="0.3">
      <c r="K48" s="250"/>
      <c r="S48" s="270">
        <f>O32/S47</f>
        <v>0.83430819672131162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150</v>
      </c>
    </row>
    <row r="78" spans="3:14" x14ac:dyDescent="0.3">
      <c r="C78" t="s">
        <v>149</v>
      </c>
    </row>
    <row r="81" spans="3:3" x14ac:dyDescent="0.3">
      <c r="C81" t="s">
        <v>149</v>
      </c>
    </row>
    <row r="158" spans="3:3" x14ac:dyDescent="0.3">
      <c r="C158" t="s">
        <v>149</v>
      </c>
    </row>
    <row r="159" spans="3:3" x14ac:dyDescent="0.3">
      <c r="C159" t="s">
        <v>151</v>
      </c>
    </row>
    <row r="160" spans="3:3" x14ac:dyDescent="0.3">
      <c r="C160" t="s">
        <v>152</v>
      </c>
    </row>
    <row r="585" spans="3:3" x14ac:dyDescent="0.3">
      <c r="C585" t="s">
        <v>149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45811</v>
      </c>
    </row>
    <row r="6" spans="2:31" ht="16.2" thickBot="1" x14ac:dyDescent="0.35">
      <c r="B6" s="140" t="s">
        <v>2</v>
      </c>
      <c r="C6" s="139" t="str">
        <f>'2229'!C10</f>
        <v>PAULA ARANDA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9" t="s">
        <v>100</v>
      </c>
      <c r="I7" s="330"/>
      <c r="J7" s="330"/>
      <c r="K7" s="331"/>
      <c r="N7" s="75"/>
      <c r="O7" s="328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11456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8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-32555.134366787443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'2229'!H28</f>
        <v>425000</v>
      </c>
      <c r="E11" s="132">
        <f>D11*0.19</f>
        <v>80750</v>
      </c>
      <c r="F11" s="131">
        <f>E11+D11</f>
        <v>505750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73434.865633212554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139193.45078743962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55434.865633212554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285806.54921256041</v>
      </c>
      <c r="E13" s="221">
        <f>(D11/D12)-1</f>
        <v>2.053304574286412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46434.865633212554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7434.8656332125574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229669.19379927535</v>
      </c>
      <c r="F15" s="216">
        <f>E15-D12</f>
        <v>90475.74301183573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7434.8656332125574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47434.865633212554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71000</v>
      </c>
      <c r="E18" s="123">
        <f>D18*0.19</f>
        <v>13490</v>
      </c>
      <c r="F18" s="120">
        <f>SUM(D18:E18)</f>
        <v>84490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13359.360000000002</v>
      </c>
      <c r="E20" s="121">
        <f>D20*0.19</f>
        <v>2538.2784000000006</v>
      </c>
      <c r="F20" s="120">
        <f>SUM(D20:E20)</f>
        <v>15897.638400000003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109359.36</v>
      </c>
      <c r="E21" s="116">
        <f>SUM(E18:E20)</f>
        <v>20778.278399999999</v>
      </c>
      <c r="F21" s="115">
        <f>SUM(F18:F20)</f>
        <v>130137.6384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59971.721600000004</v>
      </c>
    </row>
    <row r="41" spans="2:16" ht="15" thickBot="1" x14ac:dyDescent="0.35">
      <c r="H41" s="332" t="s">
        <v>62</v>
      </c>
      <c r="I41" s="333"/>
      <c r="J41" s="333"/>
      <c r="K41" s="333"/>
      <c r="L41" s="333"/>
      <c r="M41" s="334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425000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109359.36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285806.54921256041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285806.54921256041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2025-06-03T23:10:27Z</dcterms:modified>
</cp:coreProperties>
</file>