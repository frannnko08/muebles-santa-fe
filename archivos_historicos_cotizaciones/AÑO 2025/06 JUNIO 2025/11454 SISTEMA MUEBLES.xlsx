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206AE9CD-5CE5-43C9-8D3D-662912B10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2" i="1" l="1"/>
  <c r="N22" i="1"/>
  <c r="L22" i="1"/>
  <c r="M22" i="1"/>
  <c r="L21" i="1"/>
  <c r="N21" i="1"/>
  <c r="S22" i="1" l="1"/>
  <c r="O22" i="1"/>
  <c r="P22" i="1"/>
  <c r="M21" i="1"/>
  <c r="M28" i="1" s="1"/>
  <c r="S21" i="1" l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2" i="1" s="1"/>
  <c r="R22" i="1" s="1"/>
  <c r="D21" i="3"/>
  <c r="M43" i="3" s="1"/>
  <c r="D12" i="3" s="1"/>
  <c r="F20" i="3"/>
  <c r="F21" i="3" s="1"/>
  <c r="O42" i="1" l="1"/>
  <c r="E15" i="3"/>
  <c r="Q21" i="1" l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<sst xmlns="http://schemas.openxmlformats.org/spreadsheetml/2006/main" count="238" uniqueCount="179">
  <si>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</si>
  <si>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</si>
  <si>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</si>
  <si>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</si>
  <si>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</si>
  <si>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</si>
  <si>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</si>
  <si>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</si>
  <si>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</si>
  <si>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</si>
  <si>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</si>
  <si>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</si>
  <si>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</si>
  <si>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</si>
  <si>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</si>
  <si>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</si>
  <si>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</si>
  <si>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</si>
  <si>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</si>
  <si>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</si>
  <si>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</si>
  <si>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</si>
  <si>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</si>
  <si>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</si>
  <si>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</si>
  <si>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</si>
  <si>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</si>
  <si>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</si>
  <si>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</si>
  <si>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</si>
  <si>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</si>
  <si>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</si>
  <si>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</si>
  <si>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</si>
  <si>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</si>
  <si>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</si>
  <si>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</si>
  <si>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</si>
  <si>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</si>
  <si>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</si>
  <si>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</si>
  <si>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</si>
  <si>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</si>
  <si>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</si>
  <si>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</si>
  <si>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</si>
  <si>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</si>
  <si>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</si>
  <si>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</si>
  <si>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</si>
  <si>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</si>
  <si>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</si>
  <si>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</si>
  <si>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</si>
  <si>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</si>
  <si>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</si>
  <si>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</si>
  <si>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</si>
  <si>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</si>
  <si>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</si>
  <si>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</si>
  <si>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</si>
  <si>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</si>
  <si>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</si>
  <si>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</si>
  <si>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</si>
  <si>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</si>
  <si>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</si>
  <si>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</si>
  <si>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</si>
  <si>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</si>
  <si>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</si>
  <si>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</si>
  <si>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</si>
  <si>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</si>
  <si>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</si>
  <si>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</si>
  <si>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</si>
  <si>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</si>
  <si>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</si>
  <si>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</si>
  <si>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</si>
  <si>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</si>
  <si>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</si>
  <si>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</si>
  <si>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</si>
  <si>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</si>
  <si>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</si>
  <si>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</si>
  <si>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</si>
  <si>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</si>
  <si>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</si>
  <si>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</si>
  <si>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</si>
  <si>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</si>
  <si>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</si>
  <si>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</si>
  <si>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</si>
  <si>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</si>
  <si>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</si>
  <si>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</si>
  <si>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</si>
  <si>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</si>
  <si>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</si>
  <si>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</si>
  <si>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</si>
  <si>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</si>
  <si>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</si>
  <si>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</si>
  <si>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</si>
  <si>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</si>
  <si>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</si>
  <si>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</si>
  <si>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</si>
  <si>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</si>
  <si>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</si>
  <si>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</si>
  <si>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</si>
  <si>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</si>
  <si>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</si>
  <si>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</si>
  <si>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</si>
  <si>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</si>
  <si>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</si>
  <si>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</si>
  <si>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</si>
  <si>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</si>
  <si>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</si>
  <si>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</si>
  <si>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</si>
  <si>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</si>
  <si>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</si>
  <si>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</si>
  <si>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</si>
  <si>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</si>
  <si>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</si>
  <si>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</si>
  <si>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</si>
  <si>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</si>
  <si>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</si>
  <si>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</si>
  <si>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</si>
  <si>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</si>
  <si>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</si>
  <si>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</si>
  <si>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</si>
  <si>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</si>
  <si>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</si>
  <si>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</si>
  <si>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</si>
  <si>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</si>
  <si>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</si>
  <si>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</si>
  <si>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</si>
  <si>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</si>
  <si>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</si>
  <si>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</si>
  <si>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</si>
  <si>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</si>
  <si>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</si>
  <si>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</si>
  <si>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</si>
  <si>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</si>
  <si>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</si>
  <si>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</si>
  <si>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</si>
  <si>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</si>
  <si>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</si>
  <si>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CORNISA 90° R19 MDF 30</t>
  </si>
  <si>
    <t>CENEFA R19 1 VUELTA MDF 30MM</t>
  </si>
  <si>
    <t>MARIOLI CONCHA</t>
  </si>
  <si>
    <t>+569 9408 2633</t>
  </si>
  <si>
    <t>2 DIAS HABILES</t>
  </si>
  <si>
    <t>N° 11454</t>
  </si>
  <si>
    <t>LAM PF 0,7MM STRAIGHT WALNUT 10848 SF 3050 X 1220</t>
  </si>
  <si>
    <t>TRAIGHT WALNUT  10848 SF</t>
  </si>
  <si>
    <t>CORNISA 90° R19 MDF 31</t>
  </si>
  <si>
    <t>LAM PF 0,7 MM IRISH CREAM 21027 SF 3050X1220</t>
  </si>
  <si>
    <t>IRISH CREAM 21027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</si>
</sst>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45810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3071711.4220393235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168</v>
      </c>
      <c r="D21" s="332">
        <v>1</v>
      </c>
      <c r="E21" s="332">
        <v>0.14000000000000001</v>
      </c>
      <c r="F21" s="330" t="s">
        <v>175</v>
      </c>
      <c r="G21" s="331">
        <v>13276</v>
      </c>
      <c r="H21" s="331">
        <f>G21*B21</f>
        <v>13276</v>
      </c>
      <c r="I21" s="320"/>
      <c r="J21" s="265"/>
      <c r="K21" s="47"/>
      <c r="L21" s="47">
        <f>B21</f>
        <v>1</v>
      </c>
      <c r="M21" s="39">
        <f>D21+M$19</f>
        <v>1.08</v>
      </c>
      <c r="N21" s="39">
        <f>E21+$N$19</f>
        <v>0.19</v>
      </c>
      <c r="O21" s="261">
        <f t="shared" ref="O21" si="1">M21*N21</f>
        <v>0.20520000000000002</v>
      </c>
      <c r="P21" s="259">
        <f t="shared" ref="P21" si="2">O21*L21</f>
        <v>0.20520000000000002</v>
      </c>
      <c r="Q21" s="252">
        <f t="shared" ref="Q21" si="3">Q$20*O21</f>
        <v>630315.18380246928</v>
      </c>
      <c r="R21" s="319">
        <f t="shared" ref="R21" si="4">Q21+R$20</f>
        <v>633315.18380246928</v>
      </c>
      <c r="S21" s="297">
        <f t="shared" ref="S21" si="5">L21*M21*2</f>
        <v>2.16</v>
      </c>
      <c r="T21" s="46">
        <f>N21*2*L21*2</f>
        <v>0.76</v>
      </c>
      <c r="U21" s="9"/>
      <c r="X21" s="4"/>
    </row>
    <row r="22" spans="2:25" ht="17.399999999999999" x14ac:dyDescent="0.3">
      <c r="B22" s="330">
        <v>1</v>
      </c>
      <c r="C22" s="330" t="s">
        <v>169</v>
      </c>
      <c r="D22" s="332">
        <v>1</v>
      </c>
      <c r="E22" s="332">
        <v>0.13400000000000001</v>
      </c>
      <c r="F22" s="330" t="s">
        <v>175</v>
      </c>
      <c r="G22" s="331">
        <v>9658</v>
      </c>
      <c r="H22" s="331">
        <f>G22*B22</f>
        <v>9658</v>
      </c>
      <c r="I22" s="320"/>
      <c r="J22" s="265"/>
      <c r="K22" s="47"/>
      <c r="L22" s="47">
        <f>B22</f>
        <v>1</v>
      </c>
      <c r="M22" s="39">
        <f>D22+M$19</f>
        <v>1.08</v>
      </c>
      <c r="N22" s="39">
        <f>E22</f>
        <v>0.13400000000000001</v>
      </c>
      <c r="O22" s="261">
        <f t="shared" ref="O22" si="6">M22*N22</f>
        <v>0.14472000000000002</v>
      </c>
      <c r="P22" s="259">
        <f t="shared" ref="P22" si="7">O22*L22</f>
        <v>0.14472000000000002</v>
      </c>
      <c r="Q22" s="252">
        <f t="shared" ref="Q22" si="8">Q$20*O22</f>
        <v>444538.07699753094</v>
      </c>
      <c r="R22" s="319">
        <f t="shared" ref="R22" si="9">Q22+R$20</f>
        <v>447538.07699753094</v>
      </c>
      <c r="S22" s="297">
        <f t="shared" ref="S22" si="10">L22*M22*2</f>
        <v>2.16</v>
      </c>
      <c r="T22" s="46"/>
      <c r="U22" s="9"/>
      <c r="X22" s="4"/>
    </row>
    <row r="23" spans="2:25" ht="17.399999999999999" x14ac:dyDescent="0.3">
      <c r="B23" s="330">
        <v>1</v>
      </c>
      <c r="C23" s="330" t="s">
        <v>176</v>
      </c>
      <c r="D23" s="332">
        <v>1</v>
      </c>
      <c r="E23" s="332">
        <v>0.128</v>
      </c>
      <c r="F23" s="330" t="s">
        <v>178</v>
      </c>
      <c r="G23" s="331">
        <v>13276</v>
      </c>
      <c r="H23" s="331">
        <f>G23*B23</f>
        <v>13276</v>
      </c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169</v>
      </c>
      <c r="D24" s="332">
        <v>1</v>
      </c>
      <c r="E24" s="332">
        <v>0.122</v>
      </c>
      <c r="F24" s="330" t="s">
        <v>178</v>
      </c>
      <c r="G24" s="331">
        <v>9658</v>
      </c>
      <c r="H24" s="331">
        <f>G24*B24</f>
        <v>9658</v>
      </c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45868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0.76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50</v>
      </c>
      <c r="H28" s="294">
        <f>H27*19%</f>
        <v>8714.92</v>
      </c>
      <c r="I28" s="322"/>
      <c r="J28" s="265"/>
      <c r="K28" s="47"/>
      <c r="L28" s="47"/>
      <c r="M28" s="39">
        <f>SUM(M21:M27)</f>
        <v>2.16</v>
      </c>
      <c r="N28" s="12"/>
      <c r="O28" s="12"/>
      <c r="P28" s="253">
        <f>SUM(P21:P26)</f>
        <v>0.34992000000000001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54582.92</v>
      </c>
      <c r="I29" s="322"/>
      <c r="J29" s="265"/>
      <c r="K29" s="47"/>
      <c r="L29" s="47"/>
      <c r="M29" s="39"/>
      <c r="N29" s="12"/>
      <c r="O29" s="12"/>
      <c r="P29" s="253">
        <f>P28</f>
        <v>0.34992000000000001</v>
      </c>
      <c r="Q29" s="14"/>
      <c r="R29" s="12"/>
      <c r="S29" s="239">
        <f>SUM(S21:S28)</f>
        <v>4.32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6.9984000000000005E-2</v>
      </c>
      <c r="Q30" s="39" t="s">
        <v>129</v>
      </c>
      <c r="R30" s="42"/>
      <c r="S30" s="240">
        <f>S29+T27</f>
        <v>5.08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0.419904</v>
      </c>
      <c r="Q31" s="14"/>
      <c r="R31" s="14"/>
      <c r="S31" s="238">
        <f>S30*20%</f>
        <v>1.016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6.0960000000000001</v>
      </c>
      <c r="T32" s="14"/>
      <c r="U32" s="302" t="s">
        <v>21</v>
      </c>
      <c r="V32" s="299" t="s">
        <v>150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0.419904</v>
      </c>
      <c r="N33" s="12">
        <v>3500</v>
      </c>
      <c r="O33" s="12">
        <f t="shared" ref="O33:O35" si="11">M33*N33</f>
        <v>1469.664</v>
      </c>
      <c r="P33" s="14" t="s">
        <v>21</v>
      </c>
      <c r="Q33" s="14"/>
      <c r="R33" s="14"/>
      <c r="S33" s="241"/>
      <c r="T33" s="14"/>
      <c r="U33" s="302" t="s">
        <v>151</v>
      </c>
      <c r="V33" s="299">
        <v>3625</v>
      </c>
      <c r="W33" s="59" t="s">
        <v>152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5</v>
      </c>
      <c r="N34" s="12">
        <v>49500</v>
      </c>
      <c r="O34" s="12">
        <f t="shared" si="11"/>
        <v>247500</v>
      </c>
      <c r="P34" s="39" t="s">
        <v>30</v>
      </c>
      <c r="Q34" s="42"/>
      <c r="R34" s="14"/>
      <c r="S34" s="240"/>
      <c r="T34" s="14"/>
      <c r="U34" s="302"/>
      <c r="V34" s="59">
        <v>906.25</v>
      </c>
      <c r="W34" s="59" t="s">
        <v>153</v>
      </c>
      <c r="X34" s="304"/>
    </row>
    <row r="35" spans="1:24" s="230" customFormat="1" ht="17.399999999999999" x14ac:dyDescent="0.35">
      <c r="B35" s="24" t="s">
        <v>149</v>
      </c>
      <c r="J35" s="262"/>
      <c r="K35" s="232"/>
      <c r="L35" s="250"/>
      <c r="M35" s="14"/>
      <c r="N35" s="250">
        <v>15041</v>
      </c>
      <c r="O35" s="12">
        <f t="shared" si="11"/>
        <v>0</v>
      </c>
      <c r="P35" s="39" t="s">
        <v>166</v>
      </c>
      <c r="Q35" s="42"/>
      <c r="S35" s="240"/>
      <c r="T35" s="256"/>
      <c r="U35" s="59"/>
      <c r="V35" s="59">
        <f>V34*20%</f>
        <v>181.25</v>
      </c>
      <c r="W35" s="304" t="s">
        <v>154</v>
      </c>
      <c r="X35" s="59"/>
    </row>
    <row r="36" spans="1:24" s="230" customFormat="1" ht="17.399999999999999" x14ac:dyDescent="0.35">
      <c r="B36" s="24" t="s">
        <v>142</v>
      </c>
      <c r="C36"/>
      <c r="D36"/>
      <c r="E36"/>
      <c r="F36"/>
      <c r="J36" s="262"/>
      <c r="K36" s="232"/>
      <c r="L36" s="250"/>
      <c r="M36" s="14">
        <v>8</v>
      </c>
      <c r="N36" s="250">
        <v>29950</v>
      </c>
      <c r="O36" s="12">
        <f>M36*N36</f>
        <v>239600</v>
      </c>
      <c r="P36" s="14" t="s">
        <v>167</v>
      </c>
      <c r="S36" s="238"/>
      <c r="T36" s="256"/>
      <c r="U36" s="59"/>
      <c r="V36" s="59">
        <f>V34+V35</f>
        <v>1087.5</v>
      </c>
      <c r="W36" s="304" t="s">
        <v>155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>M37*N37</f>
        <v>0</v>
      </c>
      <c r="P37" s="14" t="s">
        <v>31</v>
      </c>
      <c r="Q37" s="17"/>
      <c r="R37" s="230">
        <v>2.12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/>
      <c r="N38" s="12">
        <v>1500</v>
      </c>
      <c r="O38" s="12">
        <f>M38*N38</f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488569.66399999999</v>
      </c>
      <c r="P39" s="39" t="s">
        <v>23</v>
      </c>
      <c r="Q39" s="14"/>
      <c r="R39">
        <f>R37*R38</f>
        <v>5.1728000000000005</v>
      </c>
      <c r="S39"/>
      <c r="T39" s="238"/>
      <c r="X39" s="231"/>
    </row>
    <row r="40" spans="1:24" s="230" customFormat="1" ht="17.399999999999999" x14ac:dyDescent="0.35">
      <c r="L40" s="250"/>
      <c r="M40" s="254" t="s">
        <v>32</v>
      </c>
      <c r="N40" s="12"/>
      <c r="O40" s="255">
        <f>O39*2.2</f>
        <v>1074853.2608</v>
      </c>
      <c r="P40" s="14" t="s">
        <v>139</v>
      </c>
      <c r="Q40" s="14"/>
      <c r="R40" s="40">
        <f>P31/R39</f>
        <v>8.1175378905041742E-2</v>
      </c>
      <c r="S40"/>
      <c r="T40" s="257"/>
    </row>
    <row r="41" spans="1:24" s="230" customFormat="1" ht="17.399999999999999" x14ac:dyDescent="0.35">
      <c r="D41" t="s">
        <v>174</v>
      </c>
      <c r="G41"/>
      <c r="H41" s="260"/>
      <c r="I41" s="260"/>
      <c r="J41" s="260"/>
      <c r="K41" s="230">
        <v>74260</v>
      </c>
      <c r="L41" s="250"/>
      <c r="M41" s="14"/>
      <c r="N41" s="12"/>
      <c r="O41" s="12">
        <f>O40/P29</f>
        <v>3071711.4220393235</v>
      </c>
      <c r="P41" s="45" t="s">
        <v>24</v>
      </c>
      <c r="Q41" s="14"/>
      <c r="R41" s="14"/>
      <c r="S41"/>
      <c r="T41" s="238"/>
      <c r="U41" s="59" t="s">
        <v>156</v>
      </c>
      <c r="V41" s="299">
        <v>43650</v>
      </c>
    </row>
    <row r="42" spans="1:24" s="230" customFormat="1" ht="17.399999999999999" x14ac:dyDescent="0.35">
      <c r="D42" t="s">
        <v>177</v>
      </c>
      <c r="G42"/>
      <c r="K42" s="230">
        <f>K41/1.19</f>
        <v>62403.361344537821</v>
      </c>
      <c r="L42" s="250"/>
      <c r="M42" s="13"/>
      <c r="N42" s="14"/>
      <c r="O42" s="17">
        <f>O40/O39</f>
        <v>2.2000000000000002</v>
      </c>
      <c r="P42" s="15"/>
      <c r="Q42" s="14"/>
      <c r="R42"/>
      <c r="S42"/>
      <c r="T42" s="238"/>
      <c r="U42" s="59" t="s">
        <v>158</v>
      </c>
      <c r="V42" s="300" t="s">
        <v>157</v>
      </c>
      <c r="W42" s="59">
        <v>2.4</v>
      </c>
    </row>
    <row r="43" spans="1:24" s="230" customFormat="1" ht="17.399999999999999" x14ac:dyDescent="0.35">
      <c r="G43" s="23"/>
      <c r="L43" s="12"/>
      <c r="Q43"/>
      <c r="T43" s="238"/>
      <c r="U43" s="59" t="s">
        <v>159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154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146</v>
      </c>
    </row>
    <row r="77" spans="3:15" x14ac:dyDescent="0.3">
      <c r="C77" t="s">
        <v>145</v>
      </c>
    </row>
    <row r="80" spans="3:15" x14ac:dyDescent="0.3">
      <c r="C80" t="s">
        <v>145</v>
      </c>
    </row>
    <row r="157" spans="3:3" x14ac:dyDescent="0.3">
      <c r="C157" t="s">
        <v>145</v>
      </c>
    </row>
    <row r="158" spans="3:3" x14ac:dyDescent="0.3">
      <c r="C158" t="s">
        <v>147</v>
      </c>
    </row>
    <row r="159" spans="3:3" x14ac:dyDescent="0.3">
      <c r="C159" t="s">
        <v>148</v>
      </c>
    </row>
    <row r="584" spans="3:3" x14ac:dyDescent="0.3">
      <c r="C584" t="s">
        <v>145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45810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11454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69026.365899879209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'2229'!H27</f>
        <v>45868</v>
      </c>
      <c r="E11" s="132">
        <f>D11*0.19</f>
        <v>8714.92</v>
      </c>
      <c r="F11" s="131">
        <f>E11+D11</f>
        <v>54582.92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175016.36589987919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278803.7547874396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157016.36589987919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-232935.7547874396</v>
      </c>
      <c r="E13" s="221">
        <f>(D11/D12)-1</f>
        <v>-0.83548284694024355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148016.36589987919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109016.36589987921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460026.19539927528</v>
      </c>
      <c r="F15" s="216">
        <f>E15-D12</f>
        <v>181222.44061183569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109016.36589987921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149016.36589987919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'2229'!O34</f>
        <v>247500</v>
      </c>
      <c r="E19" s="123">
        <f>D19*0.19</f>
        <v>47025</v>
      </c>
      <c r="F19" s="120">
        <f>SUM(D19:E19)</f>
        <v>294525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1469.664</v>
      </c>
      <c r="E20" s="121">
        <f>D20*0.19</f>
        <v>279.23615999999998</v>
      </c>
      <c r="F20" s="120">
        <f>SUM(D20:E20)</f>
        <v>1748.9001599999999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248969.66399999999</v>
      </c>
      <c r="E21" s="116">
        <f>SUM(E18:E20)</f>
        <v>47304.23616</v>
      </c>
      <c r="F21" s="115">
        <f>SUM(F18:F20)</f>
        <v>296273.90016000002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-38589.316160000002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45868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248969.66399999999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-232935.7547874396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-232935.7547874396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2025-06-02T20:06:04Z</dcterms:modified>
</cp:coreProperties>
</file>