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0E84FCE3-35A7-4887-9022-F2C94021C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M21" i="1"/>
  <c r="H21" i="1"/>
  <c r="K21" i="1"/>
  <c r="J39" i="1" l="1"/>
  <c r="L21" i="1"/>
  <c r="R21" i="1" l="1"/>
  <c r="L24" i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<sst xmlns="http://schemas.openxmlformats.org/spreadsheetml/2006/main" count="231" uniqueCount="175">
  <si>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</si>
  <si>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</si>
  <si>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</si>
  <si>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</si>
  <si>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</si>
  <si>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</si>
  <si>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</si>
  <si>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</si>
  <si>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</si>
  <si>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</si>
  <si>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</si>
  <si>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</si>
  <si>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</si>
  <si>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</si>
  <si>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</si>
  <si>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</si>
  <si>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</si>
  <si>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</si>
  <si>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</si>
  <si>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</si>
  <si>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</si>
  <si>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</si>
  <si>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</si>
  <si>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</si>
  <si>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</si>
  <si>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</si>
  <si>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</si>
  <si>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</si>
  <si>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</si>
  <si>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</si>
  <si>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</si>
  <si>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</si>
  <si>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</si>
  <si>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</si>
  <si>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</si>
  <si>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</si>
  <si>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</si>
  <si>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</si>
  <si>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</si>
  <si>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</si>
  <si>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</si>
  <si>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</si>
  <si>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</si>
  <si>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</si>
  <si>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</si>
  <si>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</si>
  <si>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</si>
  <si>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</si>
  <si>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</si>
  <si>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</si>
  <si>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</si>
  <si>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</si>
  <si>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</si>
  <si>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</si>
  <si>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</si>
  <si>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</si>
  <si>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</si>
  <si>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</si>
  <si>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</si>
  <si>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</si>
  <si>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</si>
  <si>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</si>
  <si>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</si>
  <si>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</si>
  <si>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</si>
  <si>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</si>
  <si>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</si>
  <si>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</si>
  <si>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</si>
  <si>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</si>
  <si>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</si>
  <si>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</si>
  <si>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</si>
  <si>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</si>
  <si>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</si>
  <si>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</si>
  <si>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</si>
  <si>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</si>
  <si>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</si>
  <si>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</si>
  <si>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</si>
  <si>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</si>
  <si>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</si>
  <si>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</si>
  <si>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</si>
  <si>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</si>
  <si>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</si>
  <si>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</si>
  <si>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</si>
  <si>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</si>
  <si>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</si>
  <si>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</si>
  <si>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</si>
  <si>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</si>
  <si>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</si>
  <si>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</si>
  <si>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</si>
  <si>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</si>
  <si>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</si>
  <si>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</si>
  <si>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</si>
  <si>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</si>
  <si>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</si>
  <si>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</si>
  <si>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</si>
  <si>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</si>
  <si>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</si>
  <si>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</si>
  <si>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</si>
  <si>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</si>
  <si>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</si>
  <si>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</si>
  <si>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</si>
  <si>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</si>
  <si>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</si>
  <si>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</si>
  <si>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</si>
  <si>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</si>
  <si>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</si>
  <si>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</si>
  <si>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</si>
  <si>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</si>
  <si>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</si>
  <si>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</si>
  <si>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</si>
  <si>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</si>
  <si>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</si>
  <si>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</si>
  <si>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</si>
  <si>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</si>
  <si>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</si>
  <si>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</si>
  <si>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</si>
  <si>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</si>
  <si>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</si>
  <si>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</si>
  <si>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</si>
  <si>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</si>
  <si>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</si>
  <si>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</si>
  <si>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</si>
  <si>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</si>
  <si>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</si>
  <si>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</si>
  <si>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</si>
  <si>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</si>
  <si>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</si>
  <si>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</si>
  <si>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</si>
  <si>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</si>
  <si>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</si>
  <si>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</si>
  <si>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</si>
  <si>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</si>
  <si>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</si>
  <si>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</si>
  <si>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</si>
  <si>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</si>
  <si>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</si>
  <si>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</si>
  <si>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</si>
  <si>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</si>
  <si>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</si>
  <si>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</si>
  <si>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</si>
  <si>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</si>
  <si>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</si>
  <si>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</si>
  <si>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PUNTO Y DISEÑO</t>
  </si>
  <si>
    <t>OMAR VERGARA</t>
  </si>
  <si>
    <t>569 68412708</t>
  </si>
  <si>
    <t>CUB C/R FRENTE 90° R12</t>
  </si>
  <si>
    <t>N° 11477</t>
  </si>
  <si>
    <t>TIPO GRANITO F6</t>
  </si>
  <si>
    <t>A CONVENIR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</si>
</sst>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8193</xdr:colOff>
      <xdr:row>22</xdr:row>
      <xdr:rowOff>222558</xdr:rowOff>
    </xdr:from>
    <xdr:to>
      <xdr:col>5</xdr:col>
      <xdr:colOff>1635063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0" y="4794558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LARGO,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168</v>
      </c>
      <c r="D10" s="243"/>
      <c r="E10" s="243"/>
      <c r="F10" s="244" t="s">
        <v>0</v>
      </c>
      <c r="G10" s="277">
        <v>45828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169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0.12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51861.333333333343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100</v>
      </c>
      <c r="C21" s="329" t="s">
        <v>171</v>
      </c>
      <c r="D21" s="330">
        <v>0.7</v>
      </c>
      <c r="E21" s="330">
        <v>0.5</v>
      </c>
      <c r="F21" s="329" t="s">
        <v>173</v>
      </c>
      <c r="G21" s="331">
        <v>22448</v>
      </c>
      <c r="H21" s="331">
        <f t="shared" ref="H21" si="1">G21*B21</f>
        <v>2244800</v>
      </c>
      <c r="I21" s="265"/>
      <c r="J21" s="47"/>
      <c r="K21" s="324">
        <f t="shared" ref="K21" si="2">B21</f>
        <v>100</v>
      </c>
      <c r="L21" s="325">
        <f t="shared" ref="L21" si="3">D21+L$19</f>
        <v>0.75</v>
      </c>
      <c r="M21" s="325">
        <f>E21</f>
        <v>0.5</v>
      </c>
      <c r="N21" s="261">
        <f t="shared" ref="N21" si="4">L21*M21</f>
        <v>0.375</v>
      </c>
      <c r="O21" s="259">
        <f t="shared" ref="O21" si="5">N21*K21</f>
        <v>37.5</v>
      </c>
      <c r="P21" s="252">
        <f>P$20*N21</f>
        <v>19448.000000000004</v>
      </c>
      <c r="Q21" s="258">
        <f t="shared" ref="Q21" si="6">P21+Q$20</f>
        <v>22448.000000000004</v>
      </c>
      <c r="R21" s="308">
        <f>L21*K21</f>
        <v>75</v>
      </c>
      <c r="S21" s="46">
        <f>M21*K21*2</f>
        <v>100</v>
      </c>
      <c r="T21" s="9"/>
      <c r="W21" s="4"/>
    </row>
    <row r="22" spans="2:24" ht="17.399999999999999" x14ac:dyDescent="0.3">
      <c r="B22" s="327"/>
      <c r="C22" s="328"/>
      <c r="D22" s="327"/>
      <c r="E22" s="327"/>
      <c r="F22" s="327"/>
      <c r="G22" s="327"/>
      <c r="H22" s="327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2244800</v>
      </c>
      <c r="I24" s="265"/>
      <c r="J24" s="47"/>
      <c r="K24" s="47"/>
      <c r="L24" s="39">
        <f>SUM(L21:L23)</f>
        <v>0.75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426512</v>
      </c>
      <c r="I25" s="265"/>
      <c r="J25" s="47"/>
      <c r="K25" s="47"/>
      <c r="L25" s="39"/>
      <c r="M25" s="12"/>
      <c r="N25" s="12"/>
      <c r="O25" s="253">
        <f>SUM(O21:O21)</f>
        <v>37.5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2671312</v>
      </c>
      <c r="I26" s="265"/>
      <c r="J26" s="47"/>
      <c r="K26" s="47"/>
      <c r="L26" s="39"/>
      <c r="M26" s="12"/>
      <c r="N26" s="12"/>
      <c r="O26" s="253">
        <f>O25</f>
        <v>37.5</v>
      </c>
      <c r="P26" s="14"/>
      <c r="Q26" s="12"/>
      <c r="R26" s="239">
        <f>SUM(R21:R25)</f>
        <v>75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7.5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45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45</v>
      </c>
      <c r="M30" s="12">
        <v>3500</v>
      </c>
      <c r="N30" s="12">
        <f t="shared" ref="N30:N35" si="7">L30*M30</f>
        <v>157500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10</v>
      </c>
      <c r="M31" s="12">
        <v>25000</v>
      </c>
      <c r="N31" s="12">
        <f t="shared" si="7"/>
        <v>250000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65700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13</v>
      </c>
      <c r="M33" s="250">
        <v>28000</v>
      </c>
      <c r="N33" s="12">
        <f t="shared" si="7"/>
        <v>364000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H35" s="230">
        <v>100</v>
      </c>
      <c r="I35" s="303"/>
      <c r="K35" s="250"/>
      <c r="L35" s="266">
        <v>75</v>
      </c>
      <c r="M35" s="12">
        <v>1500</v>
      </c>
      <c r="N35" s="12">
        <f t="shared" si="7"/>
        <v>112500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H36" s="230">
        <f>H35/5</f>
        <v>20</v>
      </c>
      <c r="K36" s="250"/>
      <c r="L36" s="14"/>
      <c r="M36" s="12"/>
      <c r="N36" s="12">
        <f>SUM(N30:N35)</f>
        <v>884000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1944800.0000000002</v>
      </c>
      <c r="O37" s="14" t="s">
        <v>141</v>
      </c>
      <c r="P37" s="14"/>
      <c r="Q37" s="40">
        <f>O28/Q36</f>
        <v>12.133304572907679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42960</v>
      </c>
      <c r="K38" s="250"/>
      <c r="L38" s="14"/>
      <c r="M38" s="12"/>
      <c r="N38" s="12">
        <f>N37/O26</f>
        <v>51861.333333333343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36100.840336134454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45828</v>
      </c>
    </row>
    <row r="6" spans="2:31" ht="16.2" thickBot="1" x14ac:dyDescent="0.35">
      <c r="B6" s="140" t="s">
        <v>2</v>
      </c>
      <c r="C6" s="139" t="str">
        <f>'2229'!C10</f>
        <v>PUNTO Y DISEÑO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11477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-253866.45836678744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2244800</v>
      </c>
      <c r="E11" s="132">
        <f>D11*0.19</f>
        <v>426512</v>
      </c>
      <c r="F11" s="131">
        <f>E11+D11</f>
        <v>2671312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-147876.45836678744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437334.09078743961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-165876.45836678744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1807465.9092125604</v>
      </c>
      <c r="E13" s="221">
        <f>(D11/D12)-1</f>
        <v>4.1329179391392454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-174876.45836678744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-213876.45836678744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721601.24979927531</v>
      </c>
      <c r="F15" s="216">
        <f>E15-D12</f>
        <v>284267.1590118357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-213876.45836678744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-173876.45836678744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250000</v>
      </c>
      <c r="E19" s="123">
        <f>D19*0.19</f>
        <v>47500</v>
      </c>
      <c r="F19" s="120">
        <f>SUM(D19:E19)</f>
        <v>297500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157500</v>
      </c>
      <c r="E20" s="121">
        <f>D20*0.19</f>
        <v>29925</v>
      </c>
      <c r="F20" s="120">
        <f>SUM(D20:E20)</f>
        <v>187425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407500</v>
      </c>
      <c r="E21" s="116">
        <f>SUM(E18:E20)</f>
        <v>77425</v>
      </c>
      <c r="F21" s="115">
        <f>SUM(F18:F20)</f>
        <v>484925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349087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2244800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407500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1807465.9092125604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1807465.9092125604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2025-05-16T21:28:24Z</cp:lastPrinted>
  <dcterms:created xsi:type="dcterms:W3CDTF">2013-03-18T13:35:42Z</dcterms:created>
  <dcterms:modified xsi:type="dcterms:W3CDTF">2025-06-20T22:46:04Z</dcterms:modified>
</cp:coreProperties>
</file>