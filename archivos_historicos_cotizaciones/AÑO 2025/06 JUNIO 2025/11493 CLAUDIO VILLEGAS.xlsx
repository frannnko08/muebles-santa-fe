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4F461857-36DC-477A-A9BF-028587EC9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2" i="1"/>
  <c r="M22" i="1"/>
  <c r="N22" i="1"/>
  <c r="O22" i="1" s="1"/>
  <c r="P22" i="1" s="1"/>
  <c r="H22" i="1"/>
  <c r="J36" i="1"/>
  <c r="L21" i="1"/>
  <c r="N21" i="1"/>
  <c r="M21" i="1" l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<sst xmlns="http://schemas.openxmlformats.org/spreadsheetml/2006/main" count="233" uniqueCount="175">
  <si>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</si>
  <si>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</si>
  <si>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</si>
  <si>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</si>
  <si>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</si>
  <si>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</si>
  <si>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</si>
  <si>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</si>
  <si>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</si>
  <si>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</si>
  <si>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</si>
  <si>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</si>
  <si>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</si>
  <si>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</si>
  <si>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</si>
  <si>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</si>
  <si>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</si>
  <si>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</si>
  <si>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</si>
  <si>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</si>
  <si>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</si>
  <si>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</si>
  <si>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</si>
  <si>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</si>
  <si>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</si>
  <si>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</si>
  <si>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</si>
  <si>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</si>
  <si>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</si>
  <si>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</si>
  <si>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</si>
  <si>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</si>
  <si>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</si>
  <si>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</si>
  <si>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</si>
  <si>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</si>
  <si>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</si>
  <si>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</si>
  <si>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</si>
  <si>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</si>
  <si>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</si>
  <si>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</si>
  <si>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</si>
  <si>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</si>
  <si>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</si>
  <si>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</si>
  <si>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</si>
  <si>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</si>
  <si>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</si>
  <si>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</si>
  <si>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</si>
  <si>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</si>
  <si>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</si>
  <si>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</si>
  <si>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</si>
  <si>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</si>
  <si>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</si>
  <si>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</si>
  <si>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</si>
  <si>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</si>
  <si>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</si>
  <si>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</si>
  <si>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</si>
  <si>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</si>
  <si>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</si>
  <si>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</si>
  <si>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</si>
  <si>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</si>
  <si>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</si>
  <si>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</si>
  <si>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</si>
  <si>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</si>
  <si>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</si>
  <si>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</si>
  <si>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</si>
  <si>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</si>
  <si>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</si>
  <si>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</si>
  <si>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</si>
  <si>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</si>
  <si>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</si>
  <si>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</si>
  <si>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</si>
  <si>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</si>
  <si>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</si>
  <si>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</si>
  <si>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</si>
  <si>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</si>
  <si>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</si>
  <si>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</si>
  <si>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</si>
  <si>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</si>
  <si>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</si>
  <si>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</si>
  <si>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</si>
  <si>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</si>
  <si>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</si>
  <si>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</si>
  <si>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</si>
  <si>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</si>
  <si>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</si>
  <si>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</si>
  <si>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</si>
  <si>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</si>
  <si>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</si>
  <si>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</si>
  <si>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</si>
  <si>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</si>
  <si>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</si>
  <si>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</si>
  <si>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</si>
  <si>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</si>
  <si>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</si>
  <si>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</si>
  <si>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</si>
  <si>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</si>
  <si>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</si>
  <si>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</si>
  <si>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</si>
  <si>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</si>
  <si>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</si>
  <si>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</si>
  <si>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</si>
  <si>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</si>
  <si>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</si>
  <si>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</si>
  <si>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</si>
  <si>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</si>
  <si>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</si>
  <si>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</si>
  <si>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</si>
  <si>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</si>
  <si>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</si>
  <si>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</si>
  <si>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</si>
  <si>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</si>
  <si>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</si>
  <si>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</si>
  <si>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</si>
  <si>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</si>
  <si>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</si>
  <si>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</si>
  <si>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</si>
  <si>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</si>
  <si>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</si>
  <si>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</si>
  <si>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</si>
  <si>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</si>
  <si>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</si>
  <si>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</si>
  <si>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</si>
  <si>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</si>
  <si>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</si>
  <si>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</si>
  <si>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</si>
  <si>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</si>
  <si>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</si>
  <si>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</si>
  <si>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</si>
  <si>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</si>
  <si>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</si>
  <si>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</si>
  <si>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</si>
  <si>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</si>
  <si>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</si>
  <si>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</si>
  <si>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</si>
  <si>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</si>
  <si>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</si>
  <si>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5 DIAS HABILES</t>
  </si>
  <si>
    <t>N° 11493</t>
  </si>
  <si>
    <t>CLAUDIO VILLEGAS</t>
  </si>
  <si>
    <t xml:space="preserve">+569 </t>
  </si>
  <si>
    <t>CUBIERTA CON RESPALDO Y FRENTE 90°</t>
  </si>
  <si>
    <t>Marmol 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</si>
</sst>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1.6640625" customWidth="1"/>
    <col min="4" max="4" width="11.109375" customWidth="1"/>
    <col min="5" max="5" width="14.44140625" customWidth="1"/>
    <col min="6" max="6" width="25.332031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171</v>
      </c>
      <c r="D10" s="243"/>
      <c r="E10" s="243"/>
      <c r="F10" s="244" t="s">
        <v>167</v>
      </c>
      <c r="G10" s="275">
        <v>45838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169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172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O39</f>
        <v>87770.303030303039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173</v>
      </c>
      <c r="D21" s="316">
        <v>3</v>
      </c>
      <c r="E21" s="316">
        <v>0.6</v>
      </c>
      <c r="F21" s="315" t="s">
        <v>174</v>
      </c>
      <c r="G21" s="317">
        <v>165200</v>
      </c>
      <c r="H21" s="317">
        <f>G21*B21</f>
        <v>165200</v>
      </c>
      <c r="I21" s="305"/>
      <c r="J21" s="264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0">
        <f t="shared" ref="O21" si="1">M21*N21</f>
        <v>1.8479999999999999</v>
      </c>
      <c r="P21" s="258">
        <f t="shared" ref="P21" si="2">O21*L21</f>
        <v>1.8479999999999999</v>
      </c>
      <c r="Q21" s="251">
        <f t="shared" ref="Q21" si="3">Q$20*O21</f>
        <v>162199.52000000002</v>
      </c>
      <c r="R21" s="304">
        <f t="shared" ref="R21" si="4">Q21+R$20</f>
        <v>165199.52000000002</v>
      </c>
      <c r="S21" s="292">
        <f>M21*L21</f>
        <v>3.08</v>
      </c>
      <c r="T21" s="46">
        <f>N21*2*L21*2</f>
        <v>2.4</v>
      </c>
      <c r="U21" s="9"/>
      <c r="X21" s="4"/>
    </row>
    <row r="22" spans="1:25" ht="17.399999999999999" x14ac:dyDescent="0.3">
      <c r="B22" s="315">
        <v>1</v>
      </c>
      <c r="C22" s="315" t="s">
        <v>173</v>
      </c>
      <c r="D22" s="316">
        <v>1.68</v>
      </c>
      <c r="E22" s="316">
        <v>0.6</v>
      </c>
      <c r="F22" s="315" t="s">
        <v>174</v>
      </c>
      <c r="G22" s="317">
        <v>95685</v>
      </c>
      <c r="H22" s="317">
        <f>G22*B22</f>
        <v>95685</v>
      </c>
      <c r="I22" s="305"/>
      <c r="J22" s="264"/>
      <c r="K22" s="47"/>
      <c r="L22" s="47">
        <f>B22</f>
        <v>1</v>
      </c>
      <c r="M22" s="39">
        <f>D22+M$19</f>
        <v>1.76</v>
      </c>
      <c r="N22" s="39">
        <f>E22+$N$19</f>
        <v>0.6</v>
      </c>
      <c r="O22" s="260">
        <f t="shared" ref="O22" si="5">M22*N22</f>
        <v>1.056</v>
      </c>
      <c r="P22" s="258">
        <f t="shared" ref="P22" si="6">O22*L22</f>
        <v>1.056</v>
      </c>
      <c r="Q22" s="251">
        <f t="shared" ref="Q22" si="7">Q$20*O22</f>
        <v>92685.440000000017</v>
      </c>
      <c r="R22" s="304">
        <f t="shared" ref="R22" si="8">Q22+R$20</f>
        <v>95685.440000000017</v>
      </c>
      <c r="S22" s="292"/>
      <c r="T22" s="46"/>
      <c r="U22" s="9"/>
      <c r="X22" s="4"/>
    </row>
    <row r="23" spans="1:25" ht="17.399999999999999" x14ac:dyDescent="0.3">
      <c r="B23" s="282"/>
      <c r="C23" s="282"/>
      <c r="D23" s="283"/>
      <c r="E23" s="283"/>
      <c r="F23" s="282"/>
      <c r="G23" s="305"/>
      <c r="H23" s="305"/>
      <c r="I23" s="305"/>
      <c r="J23" s="264"/>
      <c r="K23" s="47"/>
      <c r="L23" s="47"/>
      <c r="M23" s="39"/>
      <c r="N23" s="39"/>
      <c r="O23" s="260"/>
      <c r="P23" s="258"/>
      <c r="Q23" s="251"/>
      <c r="R23" s="304"/>
      <c r="S23" s="292"/>
      <c r="T23" s="46"/>
      <c r="U23" s="9"/>
      <c r="X23" s="4"/>
    </row>
    <row r="24" spans="1:25" ht="18" thickBot="1" x14ac:dyDescent="0.35">
      <c r="B24" s="282"/>
      <c r="C24" s="282"/>
      <c r="D24" s="283"/>
      <c r="E24" s="283"/>
      <c r="F24" s="282"/>
      <c r="G24" s="264"/>
      <c r="H24" s="306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2"/>
      <c r="T24" s="14"/>
      <c r="U24" s="9"/>
      <c r="X24" s="4"/>
    </row>
    <row r="25" spans="1:25" ht="17.399999999999999" x14ac:dyDescent="0.3">
      <c r="B25" s="282"/>
      <c r="C25" s="282"/>
      <c r="D25" s="283"/>
      <c r="E25" s="283"/>
      <c r="F25" s="282"/>
      <c r="G25" s="309" t="s">
        <v>28</v>
      </c>
      <c r="H25" s="310">
        <f>SUM(H21:H24)</f>
        <v>260885</v>
      </c>
      <c r="I25" s="307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2"/>
      <c r="T25" s="46">
        <f>SUM(T21:T24)</f>
        <v>2.4</v>
      </c>
      <c r="U25" s="9"/>
      <c r="X25" s="4"/>
    </row>
    <row r="26" spans="1:25" ht="17.399999999999999" x14ac:dyDescent="0.3">
      <c r="B26" s="276"/>
      <c r="C26" s="279"/>
      <c r="D26" s="280"/>
      <c r="E26" s="280"/>
      <c r="F26" s="281"/>
      <c r="G26" s="291" t="s">
        <v>51</v>
      </c>
      <c r="H26" s="289"/>
      <c r="I26" s="307"/>
      <c r="J26" s="264"/>
      <c r="K26" s="47"/>
      <c r="L26" s="47"/>
      <c r="M26" s="39">
        <f>SUM(M21:M22)</f>
        <v>4.84</v>
      </c>
      <c r="N26" s="12"/>
      <c r="O26" s="12"/>
      <c r="P26" s="252">
        <f>SUM(P21:P24)</f>
        <v>2.9039999999999999</v>
      </c>
      <c r="Q26" s="14"/>
      <c r="R26" s="12"/>
      <c r="S26" s="239">
        <f>SUM(S21:S25)</f>
        <v>3.08</v>
      </c>
      <c r="T26" s="46"/>
      <c r="U26" s="9"/>
      <c r="X26" s="4"/>
    </row>
    <row r="27" spans="1:25" ht="18" thickBot="1" x14ac:dyDescent="0.35">
      <c r="B27" s="274"/>
      <c r="C27" s="278"/>
      <c r="D27" s="271"/>
      <c r="E27" s="271"/>
      <c r="F27" s="272"/>
      <c r="G27" s="277" t="s">
        <v>6</v>
      </c>
      <c r="H27" s="290">
        <f>H25+H26</f>
        <v>260885</v>
      </c>
      <c r="I27" s="307"/>
      <c r="J27" s="264"/>
      <c r="K27" s="47"/>
      <c r="L27" s="47"/>
      <c r="M27" s="39"/>
      <c r="N27" s="12"/>
      <c r="O27" s="12"/>
      <c r="P27" s="252">
        <f>P26</f>
        <v>2.9039999999999999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0.58079999999999998</v>
      </c>
      <c r="Q28" s="39" t="s">
        <v>129</v>
      </c>
      <c r="R28" s="42"/>
      <c r="S28" s="240"/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3.4847999999999999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296" t="s">
        <v>21</v>
      </c>
      <c r="V30" s="293" t="s">
        <v>149</v>
      </c>
      <c r="W30" s="297">
        <v>44971</v>
      </c>
      <c r="X30" s="298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3.4847999999999999</v>
      </c>
      <c r="N31" s="12">
        <v>3500</v>
      </c>
      <c r="O31" s="12">
        <f t="shared" ref="O31:O36" si="9">M31*N31</f>
        <v>12196.8</v>
      </c>
      <c r="P31" s="14" t="s">
        <v>21</v>
      </c>
      <c r="Q31" s="14"/>
      <c r="R31" s="14"/>
      <c r="S31" s="241"/>
      <c r="T31" s="14"/>
      <c r="U31" s="296" t="s">
        <v>150</v>
      </c>
      <c r="V31" s="293">
        <v>3625</v>
      </c>
      <c r="W31" s="59" t="s">
        <v>151</v>
      </c>
      <c r="X31" s="298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45000</v>
      </c>
      <c r="O32" s="12">
        <f t="shared" si="9"/>
        <v>45000</v>
      </c>
      <c r="P32" s="39" t="s">
        <v>31</v>
      </c>
      <c r="Q32" s="42"/>
      <c r="R32" s="14"/>
      <c r="S32" s="240"/>
      <c r="T32" s="14"/>
      <c r="U32" s="296"/>
      <c r="V32" s="59">
        <v>906.25</v>
      </c>
      <c r="W32" s="59" t="s">
        <v>152</v>
      </c>
      <c r="X32" s="298"/>
    </row>
    <row r="33" spans="2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62300</v>
      </c>
      <c r="O33" s="12">
        <f t="shared" si="9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8" t="s">
        <v>153</v>
      </c>
      <c r="X33" s="59"/>
    </row>
    <row r="34" spans="2:24" s="230" customFormat="1" ht="17.399999999999999" x14ac:dyDescent="0.35">
      <c r="B34" s="24" t="s">
        <v>164</v>
      </c>
      <c r="C34"/>
      <c r="D34"/>
      <c r="E34"/>
      <c r="F34"/>
      <c r="J34" s="261"/>
      <c r="K34" s="232"/>
      <c r="L34" s="249"/>
      <c r="M34" s="14">
        <v>2</v>
      </c>
      <c r="N34" s="249">
        <v>25700</v>
      </c>
      <c r="O34" s="12">
        <f t="shared" si="9"/>
        <v>51400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8" t="s">
        <v>154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1">
        <v>30570</v>
      </c>
      <c r="K35" s="259"/>
      <c r="L35" s="249"/>
      <c r="M35" s="248"/>
      <c r="N35" s="249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88">
        <f>J35/1.19</f>
        <v>25689.0756302521</v>
      </c>
      <c r="K36" s="259"/>
      <c r="L36" s="249"/>
      <c r="M36" s="265">
        <v>4.84</v>
      </c>
      <c r="N36" s="12">
        <v>1500</v>
      </c>
      <c r="O36" s="12">
        <f t="shared" si="9"/>
        <v>7260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59"/>
      <c r="L37" s="249"/>
      <c r="M37" s="14"/>
      <c r="N37" s="12"/>
      <c r="O37" s="12">
        <f>SUM(O31:O36)</f>
        <v>115856.8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49"/>
      <c r="M38" s="253" t="s">
        <v>33</v>
      </c>
      <c r="N38" s="12"/>
      <c r="O38" s="254">
        <f>O37*2.2</f>
        <v>254884.96000000002</v>
      </c>
      <c r="P38" s="14" t="s">
        <v>138</v>
      </c>
      <c r="Q38" s="14"/>
      <c r="R38" s="40">
        <f>P29/R37</f>
        <v>0.93960310612597064</v>
      </c>
      <c r="S38"/>
      <c r="T38" s="256"/>
    </row>
    <row r="39" spans="2:24" s="230" customFormat="1" ht="17.399999999999999" x14ac:dyDescent="0.35">
      <c r="G39"/>
      <c r="H39" s="259"/>
      <c r="I39" s="259"/>
      <c r="J39" s="259"/>
      <c r="L39" s="249"/>
      <c r="M39" s="14"/>
      <c r="N39" s="12"/>
      <c r="O39" s="12">
        <f>O38/P27</f>
        <v>87770.303030303039</v>
      </c>
      <c r="P39" s="45" t="s">
        <v>24</v>
      </c>
      <c r="Q39" s="14"/>
      <c r="R39" s="14"/>
      <c r="S39"/>
      <c r="T39" s="238"/>
      <c r="U39" s="59" t="s">
        <v>155</v>
      </c>
      <c r="V39" s="293">
        <v>43650</v>
      </c>
    </row>
    <row r="40" spans="2:24" s="230" customFormat="1" ht="17.399999999999999" x14ac:dyDescent="0.35">
      <c r="G40"/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4" t="s">
        <v>156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158</v>
      </c>
      <c r="V41" s="295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49"/>
    </row>
    <row r="45" spans="2:24" x14ac:dyDescent="0.3">
      <c r="L45" s="249"/>
      <c r="T45" s="269"/>
    </row>
    <row r="46" spans="2:24" x14ac:dyDescent="0.3">
      <c r="L46" s="249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45838</v>
      </c>
    </row>
    <row r="6" spans="2:31" ht="16.2" thickBot="1" x14ac:dyDescent="0.35">
      <c r="B6" s="140" t="s">
        <v>2</v>
      </c>
      <c r="C6" s="139" t="str">
        <f>'2229'!C10</f>
        <v>CLAUDIO VILLEGAS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-19547.33836678744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260885</v>
      </c>
      <c r="E11" s="132">
        <f>D11*0.19</f>
        <v>49568.15</v>
      </c>
      <c r="F11" s="131">
        <f>E11+D11</f>
        <v>310453.15000000002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86442.661633212556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87030.890787439625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68442.661633212556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173854.10921256038</v>
      </c>
      <c r="E13" s="221">
        <f>(D11/D12)-1</f>
        <v>1.9976138086093354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59442.661633212556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20442.66163321256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143600.96979927536</v>
      </c>
      <c r="F15" s="216">
        <f>E15-D12</f>
        <v>56570.07901183574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20442.66163321256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60442.661633212556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12196.8</v>
      </c>
      <c r="E20" s="121">
        <f>D20*0.19</f>
        <v>2317.3919999999998</v>
      </c>
      <c r="F20" s="120">
        <f>SUM(D20:E20)</f>
        <v>14514.191999999999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57196.800000000003</v>
      </c>
      <c r="E21" s="116">
        <f>SUM(E18:E20)</f>
        <v>10867.392</v>
      </c>
      <c r="F21" s="115">
        <f>SUM(F18:F20)</f>
        <v>68064.191999999995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38700.758000000002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260885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57196.800000000003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173854.10921256038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173854.10921256038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2025-06-10T14:14:59Z</cp:lastPrinted>
  <dcterms:created xsi:type="dcterms:W3CDTF">2013-03-18T13:35:42Z</dcterms:created>
  <dcterms:modified xsi:type="dcterms:W3CDTF">2025-06-30T11:51:41Z</dcterms:modified>
</cp:coreProperties>
</file>