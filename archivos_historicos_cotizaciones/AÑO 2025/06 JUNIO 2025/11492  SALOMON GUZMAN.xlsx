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21F47A8-E8C5-4A62-A9CF-8ED00CB49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<sst xmlns="http://schemas.openxmlformats.org/spreadsheetml/2006/main" count="232" uniqueCount="176">
  <si>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</si>
  <si>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</si>
  <si>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</si>
  <si>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</si>
  <si>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</si>
  <si>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</si>
  <si>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</si>
  <si>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</si>
  <si>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</si>
  <si>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</si>
  <si>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</si>
  <si>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</si>
  <si>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</si>
  <si>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</si>
  <si>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</si>
  <si>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</si>
  <si>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</si>
  <si>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</si>
  <si>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</si>
  <si>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</si>
  <si>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</si>
  <si>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</si>
  <si>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</si>
  <si>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</si>
  <si>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</si>
  <si>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</si>
  <si>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</si>
  <si>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</si>
  <si>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</si>
  <si>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</si>
  <si>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</si>
  <si>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</si>
  <si>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</si>
  <si>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</si>
  <si>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</si>
  <si>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</si>
  <si>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</si>
  <si>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</si>
  <si>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</si>
  <si>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</si>
  <si>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</si>
  <si>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</si>
  <si>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</si>
  <si>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</si>
  <si>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</si>
  <si>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</si>
  <si>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</si>
  <si>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</si>
  <si>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</si>
  <si>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</si>
  <si>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</si>
  <si>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</si>
  <si>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</si>
  <si>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</si>
  <si>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</si>
  <si>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</si>
  <si>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</si>
  <si>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</si>
  <si>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</si>
  <si>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</si>
  <si>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</si>
  <si>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</si>
  <si>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</si>
  <si>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</si>
  <si>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</si>
  <si>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</si>
  <si>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</si>
  <si>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</si>
  <si>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</si>
  <si>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</si>
  <si>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</si>
  <si>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</si>
  <si>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</si>
  <si>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</si>
  <si>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</si>
  <si>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</si>
  <si>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</si>
  <si>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</si>
  <si>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</si>
  <si>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</si>
  <si>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</si>
  <si>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</si>
  <si>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</si>
  <si>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</si>
  <si>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</si>
  <si>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</si>
  <si>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</si>
  <si>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</si>
  <si>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</si>
  <si>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</si>
  <si>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</si>
  <si>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</si>
  <si>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</si>
  <si>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</si>
  <si>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</si>
  <si>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</si>
  <si>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</si>
  <si>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</si>
  <si>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</si>
  <si>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</si>
  <si>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</si>
  <si>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</si>
  <si>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</si>
  <si>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</si>
  <si>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</si>
  <si>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</si>
  <si>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</si>
  <si>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</si>
  <si>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</si>
  <si>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</si>
  <si>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</si>
  <si>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</si>
  <si>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</si>
  <si>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</si>
  <si>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</si>
  <si>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</si>
  <si>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</si>
  <si>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</si>
  <si>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</si>
  <si>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</si>
  <si>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</si>
  <si>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</si>
  <si>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</si>
  <si>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</si>
  <si>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</si>
  <si>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</si>
  <si>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</si>
  <si>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</si>
  <si>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</si>
  <si>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</si>
  <si>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</si>
  <si>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</si>
  <si>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</si>
  <si>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</si>
  <si>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</si>
  <si>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</si>
  <si>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</si>
  <si>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</si>
  <si>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</si>
  <si>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</si>
  <si>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</si>
  <si>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</si>
  <si>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</si>
  <si>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</si>
  <si>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</si>
  <si>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</si>
  <si>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</si>
  <si>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</si>
  <si>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</si>
  <si>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</si>
  <si>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</si>
  <si>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</si>
  <si>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</si>
  <si>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</si>
  <si>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</si>
  <si>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</si>
  <si>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</si>
  <si>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</si>
  <si>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</si>
  <si>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</si>
  <si>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</si>
  <si>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</si>
  <si>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</si>
  <si>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</si>
  <si>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</si>
  <si>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</si>
  <si>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</si>
  <si>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</si>
  <si>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</si>
  <si>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SALOMON GUZMAN</t>
  </si>
  <si>
    <t>+569 8820 4356</t>
  </si>
  <si>
    <t>SI</t>
  </si>
  <si>
    <t>N° 11492</t>
  </si>
  <si>
    <t>5 DIAS HABILES</t>
  </si>
  <si>
    <t>CUB MESA 2L</t>
  </si>
  <si>
    <t>GRANITO KOMBI 0670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</si>
</sst>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0" borderId="46" xfId="0" applyBorder="1"/>
    <xf numFmtId="0" fontId="35" fillId="0" borderId="0" xfId="0" applyFont="1" applyBorder="1"/>
    <xf numFmtId="0" fontId="0" fillId="0" borderId="0" xfId="0" applyBorder="1"/>
    <xf numFmtId="14" fontId="29" fillId="0" borderId="0" xfId="0" applyNumberFormat="1" applyFont="1" applyBorder="1" applyAlignment="1">
      <alignment horizontal="left"/>
    </xf>
    <xf numFmtId="0" fontId="37" fillId="8" borderId="0" xfId="0" applyFont="1" applyFill="1" applyBorder="1"/>
    <xf numFmtId="0" fontId="0" fillId="8" borderId="0" xfId="0" applyFill="1" applyBorder="1"/>
    <xf numFmtId="0" fontId="29" fillId="8" borderId="0" xfId="0" applyFont="1" applyFill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9" fillId="8" borderId="0" xfId="3" applyFill="1" applyBorder="1"/>
    <xf numFmtId="0" fontId="29" fillId="8" borderId="0" xfId="0" applyFont="1" applyFill="1" applyBorder="1"/>
    <xf numFmtId="0" fontId="36" fillId="0" borderId="0" xfId="0" quotePrefix="1" applyFont="1" applyBorder="1"/>
    <xf numFmtId="0" fontId="25" fillId="0" borderId="0" xfId="0" applyFont="1" applyBorder="1"/>
    <xf numFmtId="0" fontId="29" fillId="0" borderId="0" xfId="0" applyFont="1" applyBorder="1"/>
    <xf numFmtId="0" fontId="35" fillId="8" borderId="0" xfId="0" applyFont="1" applyFill="1" applyBorder="1"/>
    <xf numFmtId="0" fontId="14" fillId="8" borderId="0" xfId="0" applyFont="1" applyFill="1" applyBorder="1"/>
    <xf numFmtId="0" fontId="30" fillId="8" borderId="0" xfId="0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 VA CORTADA A LA MEDIDA Y ENCHAPADA UN LADO CORTO CON REGRUESO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23.88671875" customWidth="1"/>
    <col min="4" max="4" width="11.109375" customWidth="1"/>
    <col min="5" max="5" width="14.44140625" customWidth="1"/>
    <col min="6" max="6" width="25.332031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30" t="s">
        <v>169</v>
      </c>
      <c r="D10" s="243"/>
      <c r="E10" s="243"/>
      <c r="F10" s="244" t="s">
        <v>167</v>
      </c>
      <c r="G10" s="275">
        <v>45835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31"/>
      <c r="D11" s="332"/>
      <c r="E11" s="332"/>
      <c r="F11" s="332" t="s">
        <v>166</v>
      </c>
      <c r="G11" s="333" t="s">
        <v>173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34"/>
      <c r="D12" s="335"/>
      <c r="E12" s="335"/>
      <c r="F12" s="335" t="s">
        <v>126</v>
      </c>
      <c r="G12" s="336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C13" s="332" t="s">
        <v>169</v>
      </c>
      <c r="D13" s="332"/>
      <c r="E13" s="332"/>
      <c r="F13" s="332" t="s">
        <v>165</v>
      </c>
      <c r="G13" s="337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38"/>
      <c r="D14" s="335"/>
      <c r="E14" s="335"/>
      <c r="F14" s="335" t="s">
        <v>134</v>
      </c>
      <c r="G14" s="339" t="s">
        <v>171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40" t="s">
        <v>170</v>
      </c>
      <c r="D15" s="341"/>
      <c r="E15" s="332"/>
      <c r="F15" s="332" t="s">
        <v>168</v>
      </c>
      <c r="G15" s="342" t="s">
        <v>133</v>
      </c>
      <c r="H15" s="285"/>
    </row>
    <row r="16" spans="2:24" ht="16.8" x14ac:dyDescent="0.4">
      <c r="B16" s="303" t="s">
        <v>3</v>
      </c>
      <c r="C16" s="343"/>
      <c r="D16" s="335"/>
      <c r="E16" s="335"/>
      <c r="F16" s="344" t="s">
        <v>128</v>
      </c>
      <c r="G16" s="345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18" t="s">
        <v>162</v>
      </c>
      <c r="G17" s="318"/>
      <c r="H17" s="319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20" t="s">
        <v>95</v>
      </c>
      <c r="C19" s="321"/>
      <c r="D19" s="321"/>
      <c r="E19" s="321"/>
      <c r="F19" s="321"/>
      <c r="G19" s="321"/>
      <c r="H19" s="32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73862.930717351337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174</v>
      </c>
      <c r="D21" s="316">
        <v>2.25</v>
      </c>
      <c r="E21" s="316">
        <v>0.77</v>
      </c>
      <c r="F21" s="315" t="s">
        <v>175</v>
      </c>
      <c r="G21" s="317">
        <v>137517</v>
      </c>
      <c r="H21" s="317">
        <f>G21*B21</f>
        <v>137517</v>
      </c>
      <c r="I21" s="305"/>
      <c r="J21" s="264"/>
      <c r="K21" s="47"/>
      <c r="L21" s="47">
        <f>B21</f>
        <v>1</v>
      </c>
      <c r="M21" s="39">
        <f>D21+M$19</f>
        <v>2.33</v>
      </c>
      <c r="N21" s="39">
        <f>E21+$N$19</f>
        <v>0.77</v>
      </c>
      <c r="O21" s="260">
        <f t="shared" ref="O21" si="1">M21*N21</f>
        <v>1.7941</v>
      </c>
      <c r="P21" s="258">
        <f t="shared" ref="P21" si="2">O21*L21</f>
        <v>1.7941</v>
      </c>
      <c r="Q21" s="251">
        <f t="shared" ref="Q21" si="3">Q$20*O21</f>
        <v>132517.48400000003</v>
      </c>
      <c r="R21" s="304">
        <f t="shared" ref="R21" si="4">Q21+R$20</f>
        <v>137517.48400000003</v>
      </c>
      <c r="S21" s="292">
        <f>M21*L21</f>
        <v>2.33</v>
      </c>
      <c r="T21" s="46">
        <f>N21*2*L21*2</f>
        <v>3.08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2"/>
      <c r="T22" s="46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2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9" t="s">
        <v>28</v>
      </c>
      <c r="H24" s="310">
        <f>SUM(H21:H23)</f>
        <v>137517</v>
      </c>
      <c r="I24" s="307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2"/>
      <c r="T24" s="46">
        <f>SUM(T21:T23)</f>
        <v>3.08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91" t="s">
        <v>51</v>
      </c>
      <c r="H25" s="289"/>
      <c r="I25" s="307"/>
      <c r="J25" s="264"/>
      <c r="K25" s="47"/>
      <c r="L25" s="47"/>
      <c r="M25" s="39">
        <f>SUM(M21:M21)</f>
        <v>2.33</v>
      </c>
      <c r="N25" s="12"/>
      <c r="O25" s="12"/>
      <c r="P25" s="252">
        <f>SUM(P21:P23)</f>
        <v>1.7941</v>
      </c>
      <c r="Q25" s="14"/>
      <c r="R25" s="12"/>
      <c r="S25" s="239">
        <f>SUM(S21:S24)</f>
        <v>2.33</v>
      </c>
      <c r="T25" s="46"/>
      <c r="U25" s="9"/>
      <c r="X25" s="4"/>
    </row>
    <row r="26" spans="1:25" ht="18" thickBot="1" x14ac:dyDescent="0.35">
      <c r="B26" s="274"/>
      <c r="C26" s="278"/>
      <c r="D26" s="271"/>
      <c r="E26" s="271"/>
      <c r="F26" s="272"/>
      <c r="G26" s="277" t="s">
        <v>6</v>
      </c>
      <c r="H26" s="290">
        <f>H24+H25</f>
        <v>137517</v>
      </c>
      <c r="I26" s="307"/>
      <c r="J26" s="264"/>
      <c r="K26" s="47"/>
      <c r="L26" s="47"/>
      <c r="M26" s="39"/>
      <c r="N26" s="12"/>
      <c r="O26" s="12"/>
      <c r="P26" s="252">
        <f>P25</f>
        <v>1.7941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0.35882000000000003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2.1529199999999999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296" t="s">
        <v>21</v>
      </c>
      <c r="V29" s="293" t="s">
        <v>149</v>
      </c>
      <c r="W29" s="297">
        <v>44971</v>
      </c>
      <c r="X29" s="298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2.1529199999999999</v>
      </c>
      <c r="N30" s="12">
        <v>3500</v>
      </c>
      <c r="O30" s="12">
        <f t="shared" ref="O30:O35" si="5">M30*N30</f>
        <v>7535.22</v>
      </c>
      <c r="P30" s="14" t="s">
        <v>21</v>
      </c>
      <c r="Q30" s="14"/>
      <c r="R30" s="14"/>
      <c r="S30" s="241"/>
      <c r="T30" s="14"/>
      <c r="U30" s="296" t="s">
        <v>150</v>
      </c>
      <c r="V30" s="293">
        <v>3625</v>
      </c>
      <c r="W30" s="59" t="s">
        <v>151</v>
      </c>
      <c r="X30" s="298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45000</v>
      </c>
      <c r="O31" s="12">
        <f t="shared" si="5"/>
        <v>27000</v>
      </c>
      <c r="P31" s="39" t="s">
        <v>31</v>
      </c>
      <c r="Q31" s="42"/>
      <c r="R31" s="14"/>
      <c r="S31" s="240"/>
      <c r="T31" s="14"/>
      <c r="U31" s="296"/>
      <c r="V31" s="59">
        <v>906.25</v>
      </c>
      <c r="W31" s="59" t="s">
        <v>152</v>
      </c>
      <c r="X31" s="298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62300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8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1"/>
      <c r="K33" s="232"/>
      <c r="L33" s="249"/>
      <c r="M33" s="14">
        <v>1</v>
      </c>
      <c r="N33" s="249">
        <v>25700</v>
      </c>
      <c r="O33" s="12">
        <f t="shared" si="5"/>
        <v>25700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8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1">
        <v>30570</v>
      </c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88">
        <f>J34/1.19</f>
        <v>25689.0756302521</v>
      </c>
      <c r="K35" s="259"/>
      <c r="L35" s="249"/>
      <c r="M35" s="265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59"/>
      <c r="L36" s="249"/>
      <c r="M36" s="14"/>
      <c r="N36" s="12"/>
      <c r="O36" s="12">
        <f>SUM(O30:O35)</f>
        <v>60235.22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49"/>
      <c r="M37" s="253" t="s">
        <v>33</v>
      </c>
      <c r="N37" s="12"/>
      <c r="O37" s="254">
        <f>O36*2.2</f>
        <v>132517.48400000003</v>
      </c>
      <c r="P37" s="14" t="s">
        <v>138</v>
      </c>
      <c r="Q37" s="14"/>
      <c r="R37" s="40">
        <f>P28/R36</f>
        <v>0.58048964624676447</v>
      </c>
      <c r="S37"/>
      <c r="T37" s="256"/>
    </row>
    <row r="38" spans="2:24" s="230" customFormat="1" ht="17.399999999999999" x14ac:dyDescent="0.35">
      <c r="G38"/>
      <c r="H38" s="259"/>
      <c r="I38" s="259"/>
      <c r="J38" s="259"/>
      <c r="L38" s="249"/>
      <c r="M38" s="14"/>
      <c r="N38" s="12"/>
      <c r="O38" s="12">
        <f>O37/P26</f>
        <v>73862.930717351337</v>
      </c>
      <c r="P38" s="45" t="s">
        <v>24</v>
      </c>
      <c r="Q38" s="14"/>
      <c r="R38" s="14"/>
      <c r="S38"/>
      <c r="T38" s="238"/>
      <c r="U38" s="59" t="s">
        <v>155</v>
      </c>
      <c r="V38" s="293">
        <v>43650</v>
      </c>
    </row>
    <row r="39" spans="2:24" s="230" customFormat="1" ht="17.399999999999999" x14ac:dyDescent="0.35">
      <c r="G39"/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4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295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49"/>
    </row>
    <row r="44" spans="2:24" x14ac:dyDescent="0.3">
      <c r="L44" s="249"/>
      <c r="T44" s="269"/>
    </row>
    <row r="45" spans="2:24" x14ac:dyDescent="0.3">
      <c r="L45" s="249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45835</v>
      </c>
    </row>
    <row r="6" spans="2:31" ht="16.2" thickBot="1" x14ac:dyDescent="0.35">
      <c r="B6" s="140" t="s">
        <v>2</v>
      </c>
      <c r="C6" s="139" t="str">
        <f>'2229'!C10</f>
        <v>SALOMON GUZMAN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4" t="s">
        <v>98</v>
      </c>
      <c r="I7" s="325"/>
      <c r="J7" s="325"/>
      <c r="K7" s="326"/>
      <c r="N7" s="75"/>
      <c r="O7" s="32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2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-5217.9395334541068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137517</v>
      </c>
      <c r="E11" s="132">
        <f>D11*0.19</f>
        <v>26128.23</v>
      </c>
      <c r="F11" s="131">
        <f>E11+D11</f>
        <v>163645.23000000001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100772.0604665459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64369.310787439616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82772.060466545896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73147.689212560392</v>
      </c>
      <c r="E13" s="221">
        <f>(D11/D12)-1</f>
        <v>1.1363752123136557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73772.060466545896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34772.060466545896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106209.36279927536</v>
      </c>
      <c r="F15" s="216">
        <f>E15-D12</f>
        <v>41840.052011835745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34772.060466545896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74772.060466545896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27000</v>
      </c>
      <c r="E19" s="123">
        <f>D19*0.19</f>
        <v>5130</v>
      </c>
      <c r="F19" s="120">
        <f>SUM(D19:E19)</f>
        <v>32130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7535.22</v>
      </c>
      <c r="E20" s="121">
        <f>D20*0.19</f>
        <v>1431.6918000000001</v>
      </c>
      <c r="F20" s="120">
        <f>SUM(D20:E20)</f>
        <v>8966.9117999999999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34535.22</v>
      </c>
      <c r="E21" s="116">
        <f>SUM(E18:E20)</f>
        <v>6561.6918000000005</v>
      </c>
      <c r="F21" s="115">
        <f>SUM(F18:F20)</f>
        <v>41096.911800000002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19566.538199999999</v>
      </c>
    </row>
    <row r="41" spans="2:16" ht="15" thickBot="1" x14ac:dyDescent="0.35">
      <c r="H41" s="327" t="s">
        <v>60</v>
      </c>
      <c r="I41" s="328"/>
      <c r="J41" s="328"/>
      <c r="K41" s="328"/>
      <c r="L41" s="328"/>
      <c r="M41" s="32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137517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34535.22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73147.689212560392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73147.689212560392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2025-06-10T14:14:59Z</cp:lastPrinted>
  <dcterms:created xsi:type="dcterms:W3CDTF">2013-03-18T13:35:42Z</dcterms:created>
  <dcterms:modified xsi:type="dcterms:W3CDTF">2025-06-27T17:18:17Z</dcterms:modified>
</cp:coreProperties>
</file>