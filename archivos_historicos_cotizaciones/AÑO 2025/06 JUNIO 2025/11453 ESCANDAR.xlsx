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C48852B3-588A-426A-B170-685B95AD7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1" i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<sst xmlns="http://schemas.openxmlformats.org/spreadsheetml/2006/main" count="219" uniqueCount="165">
  <si>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</si>
  <si>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</si>
  <si>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</si>
  <si>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</si>
  <si>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</si>
  <si>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</si>
  <si>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</si>
  <si>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</si>
  <si>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</si>
  <si>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</si>
  <si>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</si>
  <si>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</si>
  <si>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</si>
  <si>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</si>
  <si>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</si>
  <si>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</si>
  <si>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</si>
  <si>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</si>
  <si>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</si>
  <si>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</si>
  <si>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</si>
  <si>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</si>
  <si>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</si>
  <si>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</si>
  <si>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</si>
  <si>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</si>
  <si>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</si>
  <si>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</si>
  <si>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</si>
  <si>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</si>
  <si>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</si>
  <si>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</si>
  <si>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</si>
  <si>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</si>
  <si>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</si>
  <si>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</si>
  <si>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</si>
  <si>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</si>
  <si>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</si>
  <si>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</si>
  <si>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</si>
  <si>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</si>
  <si>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</si>
  <si>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</si>
  <si>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</si>
  <si>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</si>
  <si>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</si>
  <si>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</si>
  <si>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</si>
  <si>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</si>
  <si>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</si>
  <si>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</si>
  <si>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</si>
  <si>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</si>
  <si>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</si>
  <si>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</si>
  <si>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</si>
  <si>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</si>
  <si>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</si>
  <si>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</si>
  <si>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</si>
  <si>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</si>
  <si>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</si>
  <si>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</si>
  <si>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</si>
  <si>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</si>
  <si>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</si>
  <si>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</si>
  <si>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</si>
  <si>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</si>
  <si>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</si>
  <si>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</si>
  <si>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</si>
  <si>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</si>
  <si>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</si>
  <si>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</si>
  <si>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</si>
  <si>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</si>
  <si>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</si>
  <si>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</si>
  <si>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</si>
  <si>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</si>
  <si>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</si>
  <si>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</si>
  <si>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</si>
  <si>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</si>
  <si>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</si>
  <si>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</si>
  <si>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</si>
  <si>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</si>
  <si>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</si>
  <si>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</si>
  <si>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</si>
  <si>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</si>
  <si>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</si>
  <si>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</si>
  <si>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</si>
  <si>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</si>
  <si>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</si>
  <si>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</si>
  <si>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</si>
  <si>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</si>
  <si>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</si>
  <si>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</si>
  <si>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</si>
  <si>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</si>
  <si>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</si>
  <si>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</si>
  <si>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</si>
  <si>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</si>
  <si>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</si>
  <si>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</si>
  <si>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</si>
  <si>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</si>
  <si>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</si>
  <si>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</si>
  <si>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</si>
  <si>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</si>
  <si>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</si>
  <si>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</si>
  <si>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</si>
  <si>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</si>
  <si>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</si>
  <si>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</si>
  <si>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</si>
  <si>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</si>
  <si>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</si>
  <si>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</si>
  <si>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</si>
  <si>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</si>
  <si>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</si>
  <si>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</si>
  <si>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</si>
  <si>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</si>
  <si>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</si>
  <si>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</si>
  <si>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</si>
  <si>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</si>
  <si>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</si>
  <si>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</si>
  <si>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</si>
  <si>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</si>
  <si>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</si>
  <si>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</si>
  <si>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</si>
  <si>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</si>
  <si>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</si>
  <si>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</si>
  <si>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</si>
  <si>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</si>
  <si>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</si>
  <si>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</si>
  <si>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</si>
  <si>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</si>
  <si>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</si>
  <si>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</si>
  <si>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</si>
  <si>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</si>
  <si>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N° 11453</t>
  </si>
  <si>
    <t>ESCANDAR</t>
  </si>
  <si>
    <t>JOSE GONZALEZ</t>
  </si>
  <si>
    <t>+56968491403</t>
  </si>
  <si>
    <t>CUBIERTAS SIN RESPALDO  FRENTE 180°</t>
  </si>
  <si>
    <t>BLANCO BRILLO</t>
  </si>
  <si>
    <t>4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</si>
</sst>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</a:t>
          </a:r>
          <a:r>
            <a:rPr lang="es-CL" sz="1200" b="1" baseline="0"/>
            <a:t> SE ENTREGAN CON SOBRE MEDIDA EN EL LARGO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8" zoomScaleNormal="98" workbookViewId="0">
      <selection activeCell="C13" sqref="C13: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8.8867187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2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45810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64948.461538461539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4">
        <v>4</v>
      </c>
      <c r="C21" s="313" t="s">
        <v>162</v>
      </c>
      <c r="D21" s="314">
        <v>0.7</v>
      </c>
      <c r="E21" s="314">
        <v>0.5</v>
      </c>
      <c r="F21" s="313" t="s">
        <v>163</v>
      </c>
      <c r="G21" s="315">
        <v>28330</v>
      </c>
      <c r="H21" s="316">
        <f t="shared" ref="H21" si="1">G21*B21</f>
        <v>113320</v>
      </c>
      <c r="I21" s="265"/>
      <c r="J21" s="47"/>
      <c r="K21" s="47">
        <f>B21</f>
        <v>4</v>
      </c>
      <c r="L21" s="39">
        <f t="shared" ref="L21:M21" si="2">D21+L$19</f>
        <v>0.77999999999999992</v>
      </c>
      <c r="M21" s="39">
        <f t="shared" si="2"/>
        <v>0.5</v>
      </c>
      <c r="N21" s="261">
        <f>L21*M21</f>
        <v>0.38999999999999996</v>
      </c>
      <c r="O21" s="259">
        <f>N21*K21</f>
        <v>1.5599999999999998</v>
      </c>
      <c r="P21" s="252">
        <f>P$20*N21</f>
        <v>25329.899999999998</v>
      </c>
      <c r="Q21" s="258">
        <f>P21+Q$20</f>
        <v>28329.899999999998</v>
      </c>
      <c r="R21" s="308">
        <f>K21*L21</f>
        <v>3.1199999999999997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9"/>
      <c r="H22" s="319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113320</v>
      </c>
      <c r="I24" s="265"/>
      <c r="J24" s="47"/>
      <c r="K24" s="47"/>
      <c r="L24" s="39">
        <f>SUM(L21:L23)</f>
        <v>0.77999999999999992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21530.799999999999</v>
      </c>
      <c r="I25" s="265"/>
      <c r="J25" s="47"/>
      <c r="K25" s="47"/>
      <c r="L25" s="39"/>
      <c r="M25" s="12"/>
      <c r="N25" s="12"/>
      <c r="O25" s="253">
        <f>SUM(O21:O21)</f>
        <v>1.5599999999999998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134850.79999999999</v>
      </c>
      <c r="I26" s="265"/>
      <c r="J26" s="47"/>
      <c r="K26" s="47"/>
      <c r="L26" s="39"/>
      <c r="M26" s="12"/>
      <c r="N26" s="12"/>
      <c r="O26" s="253">
        <f>O25</f>
        <v>1.5599999999999998</v>
      </c>
      <c r="P26" s="14"/>
      <c r="Q26" s="12"/>
      <c r="R26" s="238">
        <f>SUM(R21:R25)</f>
        <v>3.1199999999999997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0.312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1"/>
      <c r="K28" s="47"/>
      <c r="L28" s="14"/>
      <c r="M28" s="12"/>
      <c r="N28" s="12"/>
      <c r="O28" s="46">
        <f>O26+O27</f>
        <v>1.8719999999999999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1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1.8719999999999999</v>
      </c>
      <c r="M30" s="12">
        <v>3500</v>
      </c>
      <c r="N30" s="12">
        <f t="shared" ref="N30:N35" si="3">L30*M30</f>
        <v>6552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3"/>
        <v>12500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20"/>
      <c r="K33" s="250"/>
      <c r="L33" s="14">
        <v>1</v>
      </c>
      <c r="M33" s="250">
        <v>25000</v>
      </c>
      <c r="N33" s="12">
        <f t="shared" si="3"/>
        <v>25000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20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44052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43180</v>
      </c>
      <c r="K37" s="250"/>
      <c r="L37" s="254" t="s">
        <v>35</v>
      </c>
      <c r="M37" s="12"/>
      <c r="N37" s="255">
        <f>N36*2.3</f>
        <v>101319.59999999999</v>
      </c>
      <c r="O37" s="14" t="s">
        <v>142</v>
      </c>
      <c r="P37" s="14"/>
      <c r="Q37" s="46">
        <f>O26/Q36</f>
        <v>0.42062122519413281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36285.71428571429</v>
      </c>
      <c r="K38" s="250"/>
      <c r="L38" s="14"/>
      <c r="M38" s="12"/>
      <c r="N38" s="12">
        <f>N37/O26</f>
        <v>64948.461538461539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2.2999999999999998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0.40918032786885244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45810</v>
      </c>
    </row>
    <row r="6" spans="2:31" ht="16.2" thickBot="1" x14ac:dyDescent="0.35">
      <c r="B6" s="140" t="s">
        <v>2</v>
      </c>
      <c r="C6" s="139" t="str">
        <f>'2229'!C10</f>
        <v>ESCANDAR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-5442.9917001207723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113320</v>
      </c>
      <c r="E11" s="132">
        <f>D11*0.19</f>
        <v>21530.799999999999</v>
      </c>
      <c r="F11" s="131">
        <f>E11+D11</f>
        <v>134850.79999999999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100547.00829987923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48886.090787439614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82547.008299879235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64433.909212560386</v>
      </c>
      <c r="E13" s="221">
        <f>(D11/D12)-1</f>
        <v>1.3180417614638866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73547.008299879235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34547.008299879228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80662.049799275366</v>
      </c>
      <c r="F15" s="216">
        <f>E15-D12</f>
        <v>31775.959011835752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34547.008299879228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74547.008299879235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6552</v>
      </c>
      <c r="E20" s="121">
        <f>D20*0.19</f>
        <v>1244.8800000000001</v>
      </c>
      <c r="F20" s="120">
        <f>SUM(D20:E20)</f>
        <v>7796.88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19052</v>
      </c>
      <c r="E21" s="116">
        <f>SUM(E18:E20)</f>
        <v>3619.88</v>
      </c>
      <c r="F21" s="115">
        <f>SUM(F18:F20)</f>
        <v>22671.88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17910.919999999998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113320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19052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64433.909212560386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64433.909212560386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2025-06-03T14:06:08Z</dcterms:modified>
</cp:coreProperties>
</file>