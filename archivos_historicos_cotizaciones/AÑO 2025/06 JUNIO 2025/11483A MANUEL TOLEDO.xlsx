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06 JUNIO 2025\"/>
    </mc:Choice>
  </mc:AlternateContent>
  <xr:revisionPtr revIDLastSave="0" documentId="8_{BCD41DEF-8D09-415A-B6E3-34BEFDE4D0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" l="1"/>
  <c r="H22" i="1"/>
  <c r="K22" i="1"/>
  <c r="L22" i="1"/>
  <c r="M22" i="1"/>
  <c r="K21" i="1"/>
  <c r="H21" i="1"/>
  <c r="N34" i="1"/>
  <c r="N35" i="1"/>
  <c r="N36" i="1"/>
  <c r="J40" i="1"/>
  <c r="N22" i="1" l="1"/>
  <c r="O22" i="1" s="1"/>
  <c r="R22" i="1"/>
  <c r="L21" i="1"/>
  <c r="L26" i="1" s="1"/>
  <c r="M21" i="1"/>
  <c r="N21" i="1" l="1"/>
  <c r="O21" i="1" s="1"/>
  <c r="O27" i="1" s="1"/>
  <c r="R21" i="1"/>
  <c r="N33" i="1"/>
  <c r="O28" i="1" l="1"/>
  <c r="S45" i="1"/>
  <c r="O29" i="1" l="1"/>
  <c r="M20" i="1"/>
  <c r="K20" i="1"/>
  <c r="Q38" i="1" l="1"/>
  <c r="Q39" i="1" s="1"/>
  <c r="S38" i="1" l="1"/>
  <c r="S39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7" i="1"/>
  <c r="F18" i="3" l="1"/>
  <c r="O30" i="1" l="1"/>
  <c r="L32" i="1" s="1"/>
  <c r="N32" i="1" l="1"/>
  <c r="S46" i="1"/>
  <c r="N38" i="1" l="1"/>
  <c r="N39" i="1" s="1"/>
  <c r="D20" i="3"/>
  <c r="E20" i="3" s="1"/>
  <c r="E21" i="3" s="1"/>
  <c r="N41" i="1" l="1"/>
  <c r="D21" i="3"/>
  <c r="M43" i="3" s="1"/>
  <c r="D12" i="3" s="1"/>
  <c r="F20" i="3"/>
  <c r="F21" i="3" s="1"/>
  <c r="N40" i="1" l="1"/>
  <c r="P20" i="1" s="1"/>
  <c r="P22" i="1" s="1"/>
  <c r="Q22" i="1" s="1"/>
  <c r="E15" i="3"/>
  <c r="P21" i="1" l="1"/>
  <c r="F15" i="3"/>
  <c r="Q21" i="1" l="1"/>
  <c r="R28" i="1"/>
  <c r="H26" i="1" l="1"/>
  <c r="H27" i="1" l="1"/>
  <c r="H28" i="1" s="1"/>
  <c r="D11" i="3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<sst xmlns="http://schemas.openxmlformats.org/spreadsheetml/2006/main" count="221" uniqueCount="167">
  <si>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</si>
  <si>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</si>
  <si>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</si>
  <si>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</si>
  <si>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</si>
  <si>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</si>
  <si>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</si>
  <si>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</si>
  <si>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</si>
  <si>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</si>
  <si>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</si>
  <si>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</si>
  <si>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</si>
  <si>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</si>
  <si>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</si>
  <si>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</si>
  <si>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</si>
  <si>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</si>
  <si>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</si>
  <si>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</si>
  <si>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</si>
  <si>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</si>
  <si>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</si>
  <si>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</si>
  <si>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</si>
  <si>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</si>
  <si>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</si>
  <si>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</si>
  <si>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</si>
  <si>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</si>
  <si>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</si>
  <si>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</si>
  <si>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</si>
  <si>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</si>
  <si>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</si>
  <si>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</si>
  <si>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</si>
  <si>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</si>
  <si>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</si>
  <si>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</si>
  <si>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</si>
  <si>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</si>
  <si>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</si>
  <si>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</si>
  <si>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</si>
  <si>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</si>
  <si>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</si>
  <si>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</si>
  <si>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</si>
  <si>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</si>
  <si>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</si>
  <si>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</si>
  <si>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</si>
  <si>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</si>
  <si>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</si>
  <si>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</si>
  <si>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</si>
  <si>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</si>
  <si>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</si>
  <si>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</si>
  <si>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</si>
  <si>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</si>
  <si>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</si>
  <si>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</si>
  <si>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</si>
  <si>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</si>
  <si>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</si>
  <si>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</si>
  <si>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</si>
  <si>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</si>
  <si>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</si>
  <si>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</si>
  <si>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</si>
  <si>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</si>
  <si>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</si>
  <si>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</si>
  <si>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</si>
  <si>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</si>
  <si>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</si>
  <si>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</si>
  <si>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</si>
  <si>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</si>
  <si>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</si>
  <si>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</si>
  <si>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</si>
  <si>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</si>
  <si>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</si>
  <si>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</si>
  <si>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</si>
  <si>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</si>
  <si>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</si>
  <si>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</si>
  <si>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</si>
  <si>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</si>
  <si>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</si>
  <si>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</si>
  <si>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</si>
  <si>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</si>
  <si>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</si>
  <si>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</si>
  <si>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</si>
  <si>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</si>
  <si>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</si>
  <si>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</si>
  <si>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</si>
  <si>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</si>
  <si>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</si>
  <si>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</si>
  <si>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</si>
  <si>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</si>
  <si>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</si>
  <si>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</si>
  <si>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</si>
  <si>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</si>
  <si>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</si>
  <si>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</si>
  <si>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</si>
  <si>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</si>
  <si>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</si>
  <si>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</si>
  <si>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</si>
  <si>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</si>
  <si>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</si>
  <si>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</si>
  <si>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</si>
  <si>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</si>
  <si>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</si>
  <si>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</si>
  <si>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</si>
  <si>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</si>
  <si>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</si>
  <si>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</si>
  <si>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</si>
  <si>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</si>
  <si>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</si>
  <si>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</si>
  <si>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</si>
  <si>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</si>
  <si>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</si>
  <si>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</si>
  <si>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</si>
  <si>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</si>
  <si>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</si>
  <si>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</si>
  <si>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</si>
  <si>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</si>
  <si>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</si>
  <si>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</si>
  <si>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</si>
  <si>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</si>
  <si>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</si>
  <si>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</si>
  <si>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</si>
  <si>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</si>
  <si>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</si>
  <si>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</si>
  <si>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</si>
  <si>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ABONO 50%, SALDO C/E</t>
  </si>
  <si>
    <t>5 DIAS HABILES</t>
  </si>
  <si>
    <t>N° 11483</t>
  </si>
  <si>
    <t>MANUEL TOLEDO</t>
  </si>
  <si>
    <t>+56994303310</t>
  </si>
  <si>
    <t xml:space="preserve">SERVICIO DE DESFONDADO </t>
  </si>
  <si>
    <t>SI</t>
  </si>
  <si>
    <t>CUB CON RESPALDO Y FRENTE 90° R6</t>
  </si>
  <si>
    <t>CUB SIN RESPALDO Y FRENTE 90° R6</t>
  </si>
  <si>
    <t>ROBLE LINEAL 1467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</si>
</sst>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3" quotePrefix="1" applyFont="1" applyFill="1" applyBorder="1"/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7" borderId="0" xfId="0" applyNumberFormat="1" applyFill="1"/>
    <xf numFmtId="167" fontId="11" fillId="0" borderId="0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9526</xdr:colOff>
      <xdr:row>30</xdr:row>
      <xdr:rowOff>28575</xdr:rowOff>
    </xdr:from>
    <xdr:to>
      <xdr:col>8</xdr:col>
      <xdr:colOff>7776</xdr:colOff>
      <xdr:row>33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463199" y="5743575"/>
          <a:ext cx="2012108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1714500</xdr:colOff>
      <xdr:row>33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15552</xdr:colOff>
      <xdr:row>24</xdr:row>
      <xdr:rowOff>217716</xdr:rowOff>
    </xdr:from>
    <xdr:to>
      <xdr:col>5</xdr:col>
      <xdr:colOff>1764031</xdr:colOff>
      <xdr:row>28</xdr:row>
      <xdr:rowOff>15552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27654" y="4610879"/>
          <a:ext cx="5923928" cy="684244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100" b="1"/>
            <a:t>OBSERVACIONES: </a:t>
          </a:r>
          <a:r>
            <a:rPr lang="es-CL" sz="1050" b="1"/>
            <a:t>CUBIERTA</a:t>
          </a:r>
          <a:r>
            <a:rPr lang="es-CL" sz="1050" b="1" baseline="0"/>
            <a:t> DE 1600X300 LLEVA CORTE EN LA ESQUINA IZQUIERDA MIRANDOLA DESDE EL FRENTE Y ENCHAPADA POR ESE COSTADO. CUBIERTA DE 1600X600 VA CORTADA A LA MEDIDA Y ENCHAPADA POR EL LADO IZQUIERDO MIRANDOLA DESDE EL FRENTE Y SOBREMEDIDA EN EL OTRO COSTADO.</a:t>
          </a:r>
          <a:endParaRPr lang="es-CL" sz="1050" b="1"/>
        </a:p>
        <a:p>
          <a:pPr algn="l"/>
          <a:r>
            <a:rPr lang="es-CL" sz="1100" b="1" u="sng" baseline="0">
              <a:solidFill>
                <a:sysClr val="windowText" lastClr="000000"/>
              </a:solidFill>
            </a:rPr>
            <a:t>SUSTRATO: MDF18MM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3"/>
  <sheetViews>
    <sheetView tabSelected="1" topLeftCell="A12" zoomScale="98" zoomScaleNormal="98" workbookViewId="0">
      <selection activeCell="G23" sqref="G23"/>
    </sheetView>
  </sheetViews>
  <sheetFormatPr baseColWidth="10" defaultRowHeight="14.4" x14ac:dyDescent="0.3"/>
  <cols>
    <col min="1" max="1" width="6" customWidth="1"/>
    <col min="2" max="2" width="10.5546875" customWidth="1"/>
    <col min="3" max="3" width="37.33203125" customWidth="1"/>
    <col min="4" max="4" width="11.109375" customWidth="1"/>
    <col min="5" max="5" width="10.5546875" customWidth="1"/>
    <col min="6" max="6" width="33.332031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15" t="s">
        <v>159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160</v>
      </c>
      <c r="D10" s="243"/>
      <c r="E10" s="243"/>
      <c r="F10" s="244" t="s">
        <v>0</v>
      </c>
      <c r="G10" s="277">
        <v>45827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2"/>
      <c r="F11" t="s">
        <v>125</v>
      </c>
      <c r="G11" s="289" t="s">
        <v>158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2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163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09" t="s">
        <v>161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2"/>
      <c r="F16" s="293" t="s">
        <v>131</v>
      </c>
      <c r="G16" s="294" t="s">
        <v>157</v>
      </c>
      <c r="H16" s="290"/>
    </row>
    <row r="17" spans="2:24" ht="15" thickBot="1" x14ac:dyDescent="0.35">
      <c r="B17" s="297" t="s">
        <v>13</v>
      </c>
      <c r="C17" s="298" t="s">
        <v>154</v>
      </c>
      <c r="D17" s="299"/>
      <c r="E17" s="300"/>
      <c r="F17" s="324" t="s">
        <v>155</v>
      </c>
      <c r="G17" s="324"/>
      <c r="H17" s="325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26" t="s">
        <v>149</v>
      </c>
      <c r="C19" s="327"/>
      <c r="D19" s="327"/>
      <c r="E19" s="327"/>
      <c r="F19" s="327"/>
      <c r="G19" s="327"/>
      <c r="H19" s="328"/>
      <c r="I19" s="264"/>
      <c r="J19" s="5"/>
      <c r="K19" s="250"/>
      <c r="L19" s="14">
        <v>0.08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7.399999999999999" x14ac:dyDescent="0.3">
      <c r="B20" s="316" t="s">
        <v>7</v>
      </c>
      <c r="C20" s="318" t="s">
        <v>1</v>
      </c>
      <c r="D20" s="318" t="s">
        <v>10</v>
      </c>
      <c r="E20" s="318" t="s">
        <v>11</v>
      </c>
      <c r="F20" s="318" t="s">
        <v>8</v>
      </c>
      <c r="G20" s="318" t="s">
        <v>5</v>
      </c>
      <c r="H20" s="319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N40</f>
        <v>80594.497354497362</v>
      </c>
      <c r="Q20" s="258">
        <v>5000</v>
      </c>
      <c r="R20" s="38"/>
      <c r="S20" s="14" t="s">
        <v>130</v>
      </c>
      <c r="T20" s="9"/>
      <c r="W20" s="4"/>
    </row>
    <row r="21" spans="2:24" ht="17.399999999999999" x14ac:dyDescent="0.3">
      <c r="B21" s="317">
        <v>1</v>
      </c>
      <c r="C21" s="317" t="s">
        <v>164</v>
      </c>
      <c r="D21" s="320">
        <v>1.6</v>
      </c>
      <c r="E21" s="320">
        <v>0.6</v>
      </c>
      <c r="F21" s="317" t="s">
        <v>166</v>
      </c>
      <c r="G21" s="321">
        <v>91239</v>
      </c>
      <c r="H21" s="321">
        <f t="shared" ref="H21:H23" si="1">G21*B21</f>
        <v>91239</v>
      </c>
      <c r="I21" s="265"/>
      <c r="J21" s="47"/>
      <c r="K21" s="322">
        <f>B21</f>
        <v>1</v>
      </c>
      <c r="L21" s="39">
        <f t="shared" ref="L21:M21" si="2">D21+L$19</f>
        <v>1.6800000000000002</v>
      </c>
      <c r="M21" s="39">
        <f t="shared" si="2"/>
        <v>0.6</v>
      </c>
      <c r="N21" s="261">
        <f>L21*M21</f>
        <v>1.008</v>
      </c>
      <c r="O21" s="259">
        <f>N21*K21</f>
        <v>1.008</v>
      </c>
      <c r="P21" s="252">
        <f>P$20*N21</f>
        <v>81239.253333333341</v>
      </c>
      <c r="Q21" s="258">
        <f>P21+Q$20</f>
        <v>86239.253333333341</v>
      </c>
      <c r="R21" s="308">
        <f>K21*L21</f>
        <v>1.6800000000000002</v>
      </c>
      <c r="S21" s="14"/>
      <c r="T21" s="9"/>
      <c r="W21" s="4"/>
    </row>
    <row r="22" spans="2:24" ht="17.399999999999999" x14ac:dyDescent="0.3">
      <c r="B22" s="317">
        <v>1</v>
      </c>
      <c r="C22" s="317" t="s">
        <v>165</v>
      </c>
      <c r="D22" s="320">
        <v>1.6</v>
      </c>
      <c r="E22" s="320">
        <v>0.3</v>
      </c>
      <c r="F22" s="317" t="s">
        <v>166</v>
      </c>
      <c r="G22" s="321">
        <v>50620</v>
      </c>
      <c r="H22" s="321">
        <f t="shared" si="1"/>
        <v>50620</v>
      </c>
      <c r="I22" s="265"/>
      <c r="J22" s="47"/>
      <c r="K22" s="322">
        <f>B22</f>
        <v>1</v>
      </c>
      <c r="L22" s="39">
        <f t="shared" ref="L22" si="3">D22+L$19</f>
        <v>1.6800000000000002</v>
      </c>
      <c r="M22" s="39">
        <f t="shared" ref="M22" si="4">E22+M$19</f>
        <v>0.3</v>
      </c>
      <c r="N22" s="261">
        <f>L22*M22</f>
        <v>0.504</v>
      </c>
      <c r="O22" s="259">
        <f>N22*K22</f>
        <v>0.504</v>
      </c>
      <c r="P22" s="252">
        <f>P$20*N22</f>
        <v>40619.626666666671</v>
      </c>
      <c r="Q22" s="258">
        <f>P22+Q$20</f>
        <v>45619.626666666671</v>
      </c>
      <c r="R22" s="308">
        <f>K22*L22</f>
        <v>1.6800000000000002</v>
      </c>
      <c r="S22" s="14"/>
      <c r="T22" s="9"/>
      <c r="W22" s="4"/>
    </row>
    <row r="23" spans="2:24" ht="17.399999999999999" x14ac:dyDescent="0.3">
      <c r="B23" s="317">
        <v>2</v>
      </c>
      <c r="C23" s="317" t="s">
        <v>162</v>
      </c>
      <c r="D23" s="320"/>
      <c r="E23" s="320"/>
      <c r="F23" s="317"/>
      <c r="G23" s="321">
        <v>20000</v>
      </c>
      <c r="H23" s="321">
        <f t="shared" si="1"/>
        <v>40000</v>
      </c>
      <c r="I23" s="265"/>
      <c r="J23" s="47"/>
      <c r="K23" s="322"/>
      <c r="L23" s="39"/>
      <c r="M23" s="39"/>
      <c r="N23" s="261"/>
      <c r="O23" s="259"/>
      <c r="P23" s="252"/>
      <c r="Q23" s="258"/>
      <c r="R23" s="308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23"/>
      <c r="H24" s="323"/>
      <c r="I24" s="265"/>
      <c r="J24" s="47"/>
      <c r="K24" s="322"/>
      <c r="L24" s="39"/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8" thickBot="1" x14ac:dyDescent="0.35">
      <c r="B25" s="286"/>
      <c r="C25" s="286"/>
      <c r="D25" s="287"/>
      <c r="E25" s="287"/>
      <c r="F25" s="286"/>
      <c r="G25" s="265"/>
      <c r="H25" s="232"/>
      <c r="I25" s="232"/>
      <c r="J25" s="47"/>
      <c r="K25" s="47"/>
      <c r="L25" s="39"/>
      <c r="M25" s="39"/>
      <c r="N25" s="261"/>
      <c r="O25" s="259"/>
      <c r="P25" s="252"/>
      <c r="Q25" s="258"/>
      <c r="R25" s="308"/>
      <c r="S25" s="14"/>
      <c r="T25" s="9"/>
      <c r="W25" s="4"/>
    </row>
    <row r="26" spans="2:24" ht="17.399999999999999" x14ac:dyDescent="0.3">
      <c r="B26" s="286"/>
      <c r="C26" s="286"/>
      <c r="D26" s="287"/>
      <c r="E26" s="287"/>
      <c r="F26" s="286"/>
      <c r="G26" s="310" t="s">
        <v>30</v>
      </c>
      <c r="H26" s="311">
        <f>SUM(H21:H25)</f>
        <v>181859</v>
      </c>
      <c r="I26" s="265"/>
      <c r="J26" s="47"/>
      <c r="K26" s="47"/>
      <c r="L26" s="39">
        <f>SUM(L21:L22)</f>
        <v>3.3600000000000003</v>
      </c>
      <c r="M26" s="39"/>
      <c r="N26" s="261"/>
      <c r="O26" s="259"/>
      <c r="P26" s="252"/>
      <c r="Q26" s="258"/>
      <c r="R26" s="308"/>
      <c r="S26" s="14"/>
      <c r="T26" s="9"/>
      <c r="W26" s="4"/>
    </row>
    <row r="27" spans="2:24" ht="17.399999999999999" x14ac:dyDescent="0.3">
      <c r="B27" s="280"/>
      <c r="C27" s="283"/>
      <c r="D27" s="284"/>
      <c r="E27" s="284"/>
      <c r="F27" s="285"/>
      <c r="G27" s="307" t="s">
        <v>53</v>
      </c>
      <c r="H27" s="304">
        <f>H26*0.19</f>
        <v>34553.21</v>
      </c>
      <c r="I27" s="265"/>
      <c r="J27" s="47"/>
      <c r="K27" s="47"/>
      <c r="L27" s="39"/>
      <c r="M27" s="12"/>
      <c r="N27" s="12"/>
      <c r="O27" s="253">
        <f>SUM(O21:O22)</f>
        <v>1.512</v>
      </c>
      <c r="P27" s="14"/>
      <c r="Q27" s="12"/>
      <c r="R27" s="238"/>
      <c r="S27" s="14"/>
      <c r="T27" s="9"/>
      <c r="W27" s="4"/>
    </row>
    <row r="28" spans="2:24" ht="18" thickBot="1" x14ac:dyDescent="0.35">
      <c r="B28" s="276"/>
      <c r="C28" s="282"/>
      <c r="D28" s="272"/>
      <c r="E28" s="272"/>
      <c r="F28" s="273"/>
      <c r="G28" s="281" t="s">
        <v>6</v>
      </c>
      <c r="H28" s="305">
        <f>H26+H27</f>
        <v>216412.21</v>
      </c>
      <c r="I28" s="265"/>
      <c r="J28" s="47"/>
      <c r="K28" s="47"/>
      <c r="L28" s="39"/>
      <c r="M28" s="12"/>
      <c r="N28" s="12"/>
      <c r="O28" s="253">
        <f>O27</f>
        <v>1.512</v>
      </c>
      <c r="P28" s="14"/>
      <c r="Q28" s="12"/>
      <c r="R28" s="238">
        <f>SUM(R21:R27)</f>
        <v>3.3600000000000003</v>
      </c>
      <c r="S28" s="14"/>
      <c r="T28" s="9"/>
      <c r="W28" s="4"/>
    </row>
    <row r="29" spans="2:24" ht="17.399999999999999" x14ac:dyDescent="0.3">
      <c r="B29" s="276"/>
      <c r="C29" s="271"/>
      <c r="D29" s="272"/>
      <c r="E29" s="272"/>
      <c r="F29" s="273"/>
      <c r="I29" s="265"/>
      <c r="J29" s="47"/>
      <c r="K29" s="47"/>
      <c r="L29" s="14"/>
      <c r="M29" s="12"/>
      <c r="N29" s="12"/>
      <c r="O29" s="39">
        <f>O28*20%</f>
        <v>0.3024</v>
      </c>
      <c r="P29" s="39" t="s">
        <v>132</v>
      </c>
      <c r="Q29" s="42"/>
      <c r="R29" s="239"/>
      <c r="S29" s="14"/>
      <c r="T29" s="9"/>
      <c r="W29" s="4"/>
    </row>
    <row r="30" spans="2:24" ht="17.399999999999999" x14ac:dyDescent="0.3">
      <c r="B30" s="271"/>
      <c r="C30" s="271"/>
      <c r="D30" s="272"/>
      <c r="E30" s="272"/>
      <c r="F30" s="273"/>
      <c r="G30" s="274"/>
      <c r="H30" s="275"/>
      <c r="I30" s="265"/>
      <c r="J30" s="314"/>
      <c r="K30" s="47"/>
      <c r="L30" s="14"/>
      <c r="M30" s="12"/>
      <c r="N30" s="12"/>
      <c r="O30" s="46">
        <f>O28+O29</f>
        <v>1.8144</v>
      </c>
      <c r="P30" s="14"/>
      <c r="Q30" s="14"/>
      <c r="R30" s="237">
        <v>40</v>
      </c>
      <c r="S30" s="14"/>
      <c r="T30" s="9"/>
      <c r="W30" s="4"/>
    </row>
    <row r="31" spans="2:24" ht="17.399999999999999" x14ac:dyDescent="0.35">
      <c r="B31" s="269"/>
      <c r="C31" s="230"/>
      <c r="D31" s="230"/>
      <c r="E31" s="232"/>
      <c r="F31" s="233"/>
      <c r="G31" s="230"/>
      <c r="H31" s="275"/>
      <c r="I31" s="265"/>
      <c r="J31" s="314"/>
      <c r="K31" s="47"/>
      <c r="L31" s="14"/>
      <c r="M31" s="14"/>
      <c r="N31" s="14"/>
      <c r="O31" s="14"/>
      <c r="P31" s="14"/>
      <c r="Q31" s="14"/>
      <c r="R31" s="237"/>
      <c r="S31" s="14"/>
      <c r="T31" s="9"/>
      <c r="W31" s="4"/>
    </row>
    <row r="32" spans="2:24" ht="17.399999999999999" x14ac:dyDescent="0.35">
      <c r="B32" s="234"/>
      <c r="C32" s="235"/>
      <c r="D32" s="236"/>
      <c r="E32" s="234"/>
      <c r="F32" s="230"/>
      <c r="G32" s="230"/>
      <c r="I32" s="265"/>
      <c r="J32" s="47"/>
      <c r="K32" s="47"/>
      <c r="L32" s="39">
        <f>O30</f>
        <v>1.8144</v>
      </c>
      <c r="M32" s="12">
        <v>3500</v>
      </c>
      <c r="N32" s="12">
        <f t="shared" ref="N32:N37" si="5">L32*M32</f>
        <v>6350.4</v>
      </c>
      <c r="O32" s="14" t="s">
        <v>22</v>
      </c>
      <c r="P32" s="14" t="s">
        <v>23</v>
      </c>
      <c r="Q32" s="14"/>
      <c r="R32" s="240"/>
      <c r="S32" s="14"/>
      <c r="T32" s="9"/>
      <c r="W32" s="4"/>
    </row>
    <row r="33" spans="2:23" ht="17.399999999999999" x14ac:dyDescent="0.35">
      <c r="B33" s="230"/>
      <c r="C33" s="230"/>
      <c r="D33" s="230"/>
      <c r="E33" s="230"/>
      <c r="F33" s="230"/>
      <c r="G33" s="230"/>
      <c r="I33" s="265"/>
      <c r="J33" s="47"/>
      <c r="K33" s="47"/>
      <c r="L33" s="249">
        <v>0.5</v>
      </c>
      <c r="M33" s="12">
        <v>25000</v>
      </c>
      <c r="N33" s="12">
        <f t="shared" si="5"/>
        <v>12500</v>
      </c>
      <c r="O33" s="39" t="s">
        <v>156</v>
      </c>
      <c r="P33" s="42"/>
      <c r="Q33" s="14"/>
      <c r="R33" s="239"/>
      <c r="S33" s="14"/>
      <c r="T33" s="9"/>
      <c r="W33" s="4"/>
    </row>
    <row r="34" spans="2:23" s="230" customFormat="1" ht="17.399999999999999" x14ac:dyDescent="0.35">
      <c r="I34" s="262"/>
      <c r="J34" s="47"/>
      <c r="K34" s="250"/>
      <c r="L34" s="14"/>
      <c r="M34" s="250">
        <v>40754</v>
      </c>
      <c r="N34" s="12">
        <f t="shared" si="5"/>
        <v>0</v>
      </c>
      <c r="O34" s="39" t="s">
        <v>32</v>
      </c>
      <c r="P34" s="42"/>
      <c r="R34" s="239"/>
      <c r="S34" s="256"/>
      <c r="V34" s="231"/>
    </row>
    <row r="35" spans="2:23" s="230" customFormat="1" ht="17.399999999999999" x14ac:dyDescent="0.35">
      <c r="B35" s="24" t="s">
        <v>153</v>
      </c>
      <c r="I35" s="262"/>
      <c r="J35" s="313"/>
      <c r="K35" s="250"/>
      <c r="L35" s="14">
        <v>1</v>
      </c>
      <c r="M35" s="250">
        <v>31500</v>
      </c>
      <c r="N35" s="12">
        <f t="shared" si="5"/>
        <v>31500</v>
      </c>
      <c r="O35" s="14" t="s">
        <v>143</v>
      </c>
      <c r="P35" s="17"/>
      <c r="R35" s="237"/>
      <c r="S35" s="256"/>
      <c r="V35" s="231"/>
    </row>
    <row r="36" spans="2:23" s="230" customFormat="1" ht="17.399999999999999" x14ac:dyDescent="0.35">
      <c r="B36" s="24" t="s">
        <v>146</v>
      </c>
      <c r="C36"/>
      <c r="D36"/>
      <c r="E36"/>
      <c r="F36"/>
      <c r="I36" s="262"/>
      <c r="J36" s="313"/>
      <c r="K36" s="250"/>
      <c r="L36" s="249"/>
      <c r="M36" s="250">
        <v>900</v>
      </c>
      <c r="N36" s="12">
        <f t="shared" si="5"/>
        <v>0</v>
      </c>
      <c r="O36" s="14" t="s">
        <v>34</v>
      </c>
      <c r="P36" s="14"/>
      <c r="Q36" s="230">
        <v>1.52</v>
      </c>
      <c r="R36" s="237"/>
      <c r="S36" s="237"/>
    </row>
    <row r="37" spans="2:23" s="230" customFormat="1" ht="17.399999999999999" x14ac:dyDescent="0.35">
      <c r="B37" s="29" t="s">
        <v>127</v>
      </c>
      <c r="C37"/>
      <c r="D37"/>
      <c r="E37"/>
      <c r="F37" s="229" t="s">
        <v>16</v>
      </c>
      <c r="I37" s="303"/>
      <c r="J37" s="47"/>
      <c r="K37" s="250"/>
      <c r="L37" s="266">
        <v>3.36</v>
      </c>
      <c r="M37" s="12">
        <v>1500</v>
      </c>
      <c r="N37" s="12">
        <f t="shared" si="5"/>
        <v>5040</v>
      </c>
      <c r="O37" s="14" t="s">
        <v>24</v>
      </c>
      <c r="P37" s="14"/>
      <c r="Q37">
        <v>2.44</v>
      </c>
      <c r="R37"/>
      <c r="S37" s="237">
        <v>1500</v>
      </c>
      <c r="W37" s="231"/>
    </row>
    <row r="38" spans="2:23" s="230" customFormat="1" ht="17.399999999999999" x14ac:dyDescent="0.35">
      <c r="J38" s="47"/>
      <c r="K38" s="250"/>
      <c r="L38" s="14"/>
      <c r="M38" s="12"/>
      <c r="N38" s="12">
        <f>SUM(N32:N37)</f>
        <v>55390.400000000001</v>
      </c>
      <c r="O38" s="39" t="s">
        <v>25</v>
      </c>
      <c r="P38" s="14"/>
      <c r="Q38">
        <f>Q36*Q37</f>
        <v>3.7088000000000001</v>
      </c>
      <c r="R38"/>
      <c r="S38" s="237">
        <f>R30*S37</f>
        <v>60000</v>
      </c>
      <c r="W38" s="231"/>
    </row>
    <row r="39" spans="2:23" s="230" customFormat="1" ht="17.399999999999999" x14ac:dyDescent="0.35">
      <c r="J39" s="47">
        <v>55110</v>
      </c>
      <c r="K39" s="250"/>
      <c r="L39" s="254" t="s">
        <v>35</v>
      </c>
      <c r="M39" s="12"/>
      <c r="N39" s="255">
        <f>N38*2.2</f>
        <v>121858.88000000002</v>
      </c>
      <c r="O39" s="14" t="s">
        <v>142</v>
      </c>
      <c r="P39" s="14"/>
      <c r="Q39" s="46">
        <f>O28/Q38</f>
        <v>0.40767903364969799</v>
      </c>
      <c r="R39"/>
      <c r="S39" s="257" t="e">
        <f>S38/#REF!</f>
        <v>#REF!</v>
      </c>
    </row>
    <row r="40" spans="2:23" s="230" customFormat="1" ht="17.399999999999999" x14ac:dyDescent="0.35">
      <c r="G40"/>
      <c r="H40" s="260"/>
      <c r="I40" s="260"/>
      <c r="J40" s="47">
        <f>J39/1.19</f>
        <v>46310.924369747903</v>
      </c>
      <c r="K40" s="250"/>
      <c r="L40" s="14"/>
      <c r="M40" s="12"/>
      <c r="N40" s="12">
        <f>N39/O28</f>
        <v>80594.497354497362</v>
      </c>
      <c r="O40" s="45" t="s">
        <v>26</v>
      </c>
      <c r="P40" s="14"/>
      <c r="Q40" s="14"/>
      <c r="R40"/>
      <c r="S40" s="237"/>
    </row>
    <row r="41" spans="2:23" s="230" customFormat="1" ht="17.399999999999999" x14ac:dyDescent="0.35">
      <c r="G41"/>
      <c r="J41" s="47"/>
      <c r="K41" s="250"/>
      <c r="L41" s="13"/>
      <c r="M41" s="14"/>
      <c r="N41" s="17">
        <f>N39/N38</f>
        <v>2.2000000000000002</v>
      </c>
      <c r="O41" s="15"/>
      <c r="P41"/>
      <c r="Q41"/>
      <c r="R41"/>
      <c r="S41" s="237"/>
    </row>
    <row r="42" spans="2:23" s="230" customFormat="1" ht="17.399999999999999" x14ac:dyDescent="0.35">
      <c r="G42" s="23"/>
      <c r="J42" s="47"/>
      <c r="K42" s="12"/>
      <c r="S42" s="237"/>
    </row>
    <row r="43" spans="2:23" s="230" customFormat="1" ht="17.399999999999999" x14ac:dyDescent="0.35">
      <c r="B43"/>
      <c r="C43" s="228"/>
      <c r="D43" s="22"/>
      <c r="E43" s="22"/>
      <c r="F43" s="21"/>
      <c r="G43" s="23"/>
      <c r="J43" s="47"/>
      <c r="K43" s="12"/>
      <c r="S43" s="237">
        <v>1.83</v>
      </c>
    </row>
    <row r="44" spans="2:23" ht="14.4" customHeight="1" x14ac:dyDescent="0.3">
      <c r="J44" s="47"/>
      <c r="K44" s="12"/>
      <c r="S44">
        <v>2.5</v>
      </c>
    </row>
    <row r="45" spans="2:23" x14ac:dyDescent="0.3">
      <c r="J45" s="47"/>
      <c r="K45" s="250"/>
      <c r="S45">
        <f>S43*S44</f>
        <v>4.5750000000000002</v>
      </c>
    </row>
    <row r="46" spans="2:23" x14ac:dyDescent="0.3">
      <c r="K46" s="250"/>
      <c r="S46" s="270">
        <f>O30/S45</f>
        <v>0.3965901639344262</v>
      </c>
    </row>
    <row r="47" spans="2:23" x14ac:dyDescent="0.3">
      <c r="K47" s="250"/>
    </row>
    <row r="48" spans="2:23" ht="15" customHeight="1" x14ac:dyDescent="0.3"/>
    <row r="50" spans="14:19" x14ac:dyDescent="0.3">
      <c r="N50">
        <v>40935</v>
      </c>
      <c r="O50" t="s">
        <v>17</v>
      </c>
      <c r="P50" t="s">
        <v>28</v>
      </c>
    </row>
    <row r="52" spans="14:19" x14ac:dyDescent="0.3">
      <c r="N52" s="54"/>
      <c r="O52" s="54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4" spans="14:19" x14ac:dyDescent="0.3">
      <c r="N64" s="43"/>
    </row>
    <row r="65" spans="3:14" x14ac:dyDescent="0.3">
      <c r="N65" s="43"/>
    </row>
    <row r="66" spans="3:14" x14ac:dyDescent="0.3">
      <c r="N66" s="6"/>
    </row>
    <row r="67" spans="3:14" x14ac:dyDescent="0.3">
      <c r="N67" s="6"/>
    </row>
    <row r="75" spans="3:14" x14ac:dyDescent="0.3">
      <c r="C75" t="s">
        <v>150</v>
      </c>
    </row>
    <row r="76" spans="3:14" x14ac:dyDescent="0.3">
      <c r="C76" t="s">
        <v>149</v>
      </c>
    </row>
    <row r="79" spans="3:14" x14ac:dyDescent="0.3">
      <c r="C79" t="s">
        <v>149</v>
      </c>
    </row>
    <row r="156" spans="3:3" x14ac:dyDescent="0.3">
      <c r="C156" t="s">
        <v>149</v>
      </c>
    </row>
    <row r="157" spans="3:3" x14ac:dyDescent="0.3">
      <c r="C157" t="s">
        <v>151</v>
      </c>
    </row>
    <row r="158" spans="3:3" x14ac:dyDescent="0.3">
      <c r="C158" t="s">
        <v>152</v>
      </c>
    </row>
    <row r="583" spans="3:3" x14ac:dyDescent="0.3">
      <c r="C583" t="s">
        <v>149</v>
      </c>
    </row>
  </sheetData>
  <mergeCells count="2">
    <mergeCell ref="F17:H17"/>
    <mergeCell ref="B19:H19"/>
  </mergeCells>
  <phoneticPr fontId="34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7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45827</v>
      </c>
    </row>
    <row r="6" spans="2:31" ht="16.2" thickBot="1" x14ac:dyDescent="0.35">
      <c r="B6" s="140" t="s">
        <v>2</v>
      </c>
      <c r="C6" s="139" t="str">
        <f>'2229'!C10</f>
        <v>MANUEL TOLEDO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0" t="s">
        <v>100</v>
      </c>
      <c r="I7" s="331"/>
      <c r="J7" s="331"/>
      <c r="K7" s="332"/>
      <c r="N7" s="75"/>
      <c r="O7" s="329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11483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29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-16921.598366787439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'2229'!H26</f>
        <v>181859</v>
      </c>
      <c r="E11" s="132">
        <f>D11*0.19</f>
        <v>34553.21</v>
      </c>
      <c r="F11" s="131">
        <f>E11+D11</f>
        <v>216412.21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89068.401633212561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48684.490787439616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71068.401633212561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133174.50921256037</v>
      </c>
      <c r="E13" s="221">
        <f>(D11/D12)-1</f>
        <v>2.7354606581798495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62068.401633212561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23068.401633212561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80329.409799275367</v>
      </c>
      <c r="F15" s="216">
        <f>E15-D12</f>
        <v>31644.919011835751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23068.401633212561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63068.401633212561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'2229'!N33</f>
        <v>12500</v>
      </c>
      <c r="E19" s="123">
        <f>D19*0.19</f>
        <v>2375</v>
      </c>
      <c r="F19" s="120">
        <f>SUM(D19:E19)</f>
        <v>14875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'2229'!N32</f>
        <v>6350.4</v>
      </c>
      <c r="E20" s="121">
        <f>D20*0.19</f>
        <v>1206.576</v>
      </c>
      <c r="F20" s="120">
        <f>SUM(D20:E20)</f>
        <v>7556.9759999999997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18850.400000000001</v>
      </c>
      <c r="E21" s="116">
        <f>SUM(E18:E20)</f>
        <v>3581.576</v>
      </c>
      <c r="F21" s="115">
        <f>SUM(F18:F20)</f>
        <v>22431.975999999999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30971.633999999998</v>
      </c>
    </row>
    <row r="41" spans="2:16" ht="15" thickBot="1" x14ac:dyDescent="0.35">
      <c r="H41" s="333" t="s">
        <v>62</v>
      </c>
      <c r="I41" s="334"/>
      <c r="J41" s="334"/>
      <c r="K41" s="334"/>
      <c r="L41" s="334"/>
      <c r="M41" s="335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181859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18850.400000000001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133174.50921256037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133174.50921256037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2025-06-24T17:12:22Z</cp:lastPrinted>
  <dcterms:created xsi:type="dcterms:W3CDTF">2013-03-18T13:35:42Z</dcterms:created>
  <dcterms:modified xsi:type="dcterms:W3CDTF">2025-06-24T17:15:39Z</dcterms:modified>
</cp:coreProperties>
</file>