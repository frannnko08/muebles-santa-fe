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F9FBDDF1-D243-499F-93D0-7A0655FC8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R22" i="1" s="1"/>
  <c r="M22" i="1"/>
  <c r="K21" i="1"/>
  <c r="H21" i="1"/>
  <c r="N33" i="1"/>
  <c r="N34" i="1"/>
  <c r="N35" i="1"/>
  <c r="J39" i="1"/>
  <c r="H25" i="1" l="1"/>
  <c r="N22" i="1"/>
  <c r="O22" i="1"/>
  <c r="L21" i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Q37" i="1" l="1"/>
  <c r="Q38" i="1" s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F15" i="3"/>
  <c r="Q21" i="1" l="1"/>
  <c r="R27" i="1"/>
  <c r="H27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<sst xmlns="http://schemas.openxmlformats.org/spreadsheetml/2006/main" count="220" uniqueCount="165">
  <si>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</si>
  <si>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</si>
  <si>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</si>
  <si>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</si>
  <si>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</si>
  <si>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</si>
  <si>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</si>
  <si>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</si>
  <si>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</si>
  <si>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</si>
  <si>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</si>
  <si>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</si>
  <si>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</si>
  <si>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</si>
  <si>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</si>
  <si>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</si>
  <si>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</si>
  <si>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</si>
  <si>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</si>
  <si>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</si>
  <si>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</si>
  <si>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</si>
  <si>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</si>
  <si>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</si>
  <si>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</si>
  <si>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</si>
  <si>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</si>
  <si>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</si>
  <si>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</si>
  <si>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</si>
  <si>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</si>
  <si>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</si>
  <si>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</si>
  <si>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</si>
  <si>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</si>
  <si>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</si>
  <si>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</si>
  <si>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</si>
  <si>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</si>
  <si>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</si>
  <si>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</si>
  <si>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</si>
  <si>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</si>
  <si>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</si>
  <si>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</si>
  <si>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</si>
  <si>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</si>
  <si>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</si>
  <si>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</si>
  <si>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</si>
  <si>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</si>
  <si>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</si>
  <si>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</si>
  <si>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</si>
  <si>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</si>
  <si>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</si>
  <si>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</si>
  <si>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</si>
  <si>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</si>
  <si>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</si>
  <si>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</si>
  <si>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</si>
  <si>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</si>
  <si>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</si>
  <si>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</si>
  <si>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</si>
  <si>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</si>
  <si>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</si>
  <si>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</si>
  <si>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</si>
  <si>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</si>
  <si>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</si>
  <si>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</si>
  <si>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</si>
  <si>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</si>
  <si>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</si>
  <si>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</si>
  <si>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</si>
  <si>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</si>
  <si>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</si>
  <si>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</si>
  <si>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</si>
  <si>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</si>
  <si>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</si>
  <si>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</si>
  <si>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</si>
  <si>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</si>
  <si>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</si>
  <si>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</si>
  <si>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</si>
  <si>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</si>
  <si>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</si>
  <si>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</si>
  <si>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</si>
  <si>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</si>
  <si>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</si>
  <si>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</si>
  <si>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</si>
  <si>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</si>
  <si>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</si>
  <si>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</si>
  <si>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</si>
  <si>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</si>
  <si>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</si>
  <si>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</si>
  <si>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</si>
  <si>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</si>
  <si>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</si>
  <si>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</si>
  <si>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</si>
  <si>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</si>
  <si>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</si>
  <si>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</si>
  <si>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</si>
  <si>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</si>
  <si>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</si>
  <si>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</si>
  <si>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</si>
  <si>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</si>
  <si>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</si>
  <si>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</si>
  <si>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</si>
  <si>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</si>
  <si>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</si>
  <si>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</si>
  <si>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</si>
  <si>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</si>
  <si>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</si>
  <si>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</si>
  <si>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</si>
  <si>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</si>
  <si>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</si>
  <si>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</si>
  <si>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</si>
  <si>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</si>
  <si>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</si>
  <si>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</si>
  <si>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</si>
  <si>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</si>
  <si>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</si>
  <si>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</si>
  <si>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</si>
  <si>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</si>
  <si>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</si>
  <si>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</si>
  <si>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</si>
  <si>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</si>
  <si>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</si>
  <si>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</si>
  <si>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</si>
  <si>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</si>
  <si>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</si>
  <si>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</si>
  <si>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</si>
  <si>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</si>
  <si>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</si>
  <si>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</si>
  <si>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</si>
  <si>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OSCAR ALMARZA</t>
  </si>
  <si>
    <t>+56945779682</t>
  </si>
  <si>
    <t>8 DIAS HABILES</t>
  </si>
  <si>
    <t>N° 11487</t>
  </si>
  <si>
    <t>CUB S/R R6</t>
  </si>
  <si>
    <t>ZOCALO</t>
  </si>
  <si>
    <t>GOLDEN BEECH 10042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</si>
</sst>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29</xdr:row>
      <xdr:rowOff>28575</xdr:rowOff>
    </xdr:from>
    <xdr:to>
      <xdr:col>8</xdr:col>
      <xdr:colOff>7776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23</xdr:row>
      <xdr:rowOff>217716</xdr:rowOff>
    </xdr:from>
    <xdr:to>
      <xdr:col>5</xdr:col>
      <xdr:colOff>1764031</xdr:colOff>
      <xdr:row>27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2" zoomScale="98" zoomScaleNormal="98" workbookViewId="0">
      <selection activeCell="A26" sqref="A26"/>
    </sheetView>
  </sheetViews>
  <sheetFormatPr baseColWidth="10" defaultRowHeight="14.4" x14ac:dyDescent="0.3"/>
  <cols>
    <col min="1" max="1" width="6" customWidth="1"/>
    <col min="2" max="2" width="10.5546875" customWidth="1"/>
    <col min="3" max="3" width="26.218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45832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/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6" t="s">
        <v>7</v>
      </c>
      <c r="C20" s="318" t="s">
        <v>1</v>
      </c>
      <c r="D20" s="318" t="s">
        <v>10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92326.70072766683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7">
        <v>1</v>
      </c>
      <c r="C21" s="317" t="s">
        <v>162</v>
      </c>
      <c r="D21" s="320">
        <v>1.74</v>
      </c>
      <c r="E21" s="320">
        <v>0.56999999999999995</v>
      </c>
      <c r="F21" s="317" t="s">
        <v>164</v>
      </c>
      <c r="G21" s="321">
        <v>94570</v>
      </c>
      <c r="H21" s="321">
        <f t="shared" ref="H21:H22" si="1">G21*B21</f>
        <v>94570</v>
      </c>
      <c r="I21" s="265"/>
      <c r="J21" s="47"/>
      <c r="K21" s="322">
        <f>B21</f>
        <v>1</v>
      </c>
      <c r="L21" s="39">
        <f t="shared" ref="L21:M21" si="2">D21+L$19</f>
        <v>1.74</v>
      </c>
      <c r="M21" s="39">
        <f t="shared" si="2"/>
        <v>0.56999999999999995</v>
      </c>
      <c r="N21" s="261">
        <f>L21*M21</f>
        <v>0.9917999999999999</v>
      </c>
      <c r="O21" s="259">
        <f>N21*K21</f>
        <v>0.9917999999999999</v>
      </c>
      <c r="P21" s="252">
        <f>P$20*N21</f>
        <v>91569.621781699956</v>
      </c>
      <c r="Q21" s="258">
        <f>P21+Q$20</f>
        <v>94569.621781699956</v>
      </c>
      <c r="R21" s="308">
        <f>K21*L21</f>
        <v>1.74</v>
      </c>
      <c r="S21" s="14"/>
      <c r="T21" s="9"/>
      <c r="W21" s="4"/>
    </row>
    <row r="22" spans="2:24" ht="17.399999999999999" x14ac:dyDescent="0.3">
      <c r="B22" s="317">
        <v>1</v>
      </c>
      <c r="C22" s="317" t="s">
        <v>163</v>
      </c>
      <c r="D22" s="320">
        <v>3</v>
      </c>
      <c r="E22" s="320">
        <v>0.1</v>
      </c>
      <c r="F22" s="317" t="s">
        <v>164</v>
      </c>
      <c r="G22" s="321">
        <v>4500</v>
      </c>
      <c r="H22" s="321">
        <f t="shared" si="1"/>
        <v>4500</v>
      </c>
      <c r="I22" s="265"/>
      <c r="J22" s="47"/>
      <c r="K22" s="322">
        <f t="shared" ref="K22" si="3">B22</f>
        <v>1</v>
      </c>
      <c r="L22" s="39">
        <f t="shared" ref="L22" si="4">D22+L$19</f>
        <v>3</v>
      </c>
      <c r="M22" s="39">
        <f t="shared" ref="M22" si="5">E22+M$19</f>
        <v>0.1</v>
      </c>
      <c r="N22" s="261">
        <f t="shared" ref="N22" si="6">L22*M22</f>
        <v>0.30000000000000004</v>
      </c>
      <c r="O22" s="259">
        <f t="shared" ref="O22" si="7">N22*K22</f>
        <v>0.30000000000000004</v>
      </c>
      <c r="P22" s="252">
        <f t="shared" ref="P22" si="8">P$20*N22</f>
        <v>27698.010218300053</v>
      </c>
      <c r="Q22" s="258">
        <f t="shared" ref="Q22" si="9">P22+Q$20</f>
        <v>30698.010218300053</v>
      </c>
      <c r="R22" s="308">
        <f t="shared" ref="R22" si="10">K22*L22</f>
        <v>3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3"/>
      <c r="H23" s="323"/>
      <c r="I23" s="265"/>
      <c r="J23" s="47"/>
      <c r="K23" s="322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30</v>
      </c>
      <c r="H25" s="311">
        <f>SUM(H21:H24)</f>
        <v>99070</v>
      </c>
      <c r="I25" s="265"/>
      <c r="J25" s="47"/>
      <c r="K25" s="47"/>
      <c r="L25" s="39">
        <f>SUM(L21:L21)</f>
        <v>1.74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SUM(O21:O22)</f>
        <v>1.2917999999999998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99070</v>
      </c>
      <c r="I27" s="265"/>
      <c r="J27" s="47"/>
      <c r="K27" s="47"/>
      <c r="L27" s="39"/>
      <c r="M27" s="12"/>
      <c r="N27" s="12"/>
      <c r="O27" s="253">
        <f>O26</f>
        <v>1.2917999999999998</v>
      </c>
      <c r="P27" s="14"/>
      <c r="Q27" s="12"/>
      <c r="R27" s="238">
        <f>SUM(R21:R26)</f>
        <v>4.74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0.25835999999999998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1.5501599999999998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1.5501599999999998</v>
      </c>
      <c r="M31" s="12">
        <v>3500</v>
      </c>
      <c r="N31" s="12">
        <f t="shared" ref="N31:N36" si="11">L31*M31</f>
        <v>5425.5599999999995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0.4</v>
      </c>
      <c r="M32" s="12">
        <v>45000</v>
      </c>
      <c r="N32" s="12">
        <f t="shared" si="11"/>
        <v>18000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40754</v>
      </c>
      <c r="N33" s="12">
        <f t="shared" si="11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1</v>
      </c>
      <c r="M34" s="250">
        <v>30787</v>
      </c>
      <c r="N34" s="12">
        <f t="shared" si="11"/>
        <v>30787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900</v>
      </c>
      <c r="N35" s="12">
        <f t="shared" si="11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11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54212.56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55110</v>
      </c>
      <c r="K38" s="250"/>
      <c r="L38" s="254" t="s">
        <v>35</v>
      </c>
      <c r="M38" s="12"/>
      <c r="N38" s="255">
        <f>N37*2.2</f>
        <v>119267.632</v>
      </c>
      <c r="O38" s="14" t="s">
        <v>142</v>
      </c>
      <c r="P38" s="14"/>
      <c r="Q38" s="46">
        <f>O27/Q37</f>
        <v>0.34830672993960304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46310.924369747903</v>
      </c>
      <c r="K39" s="250"/>
      <c r="L39" s="14"/>
      <c r="M39" s="12"/>
      <c r="N39" s="12">
        <f>N38/O27</f>
        <v>92326.70072766683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0.33883278688524582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45832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11487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-1865.2627001207729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99070</v>
      </c>
      <c r="E11" s="132">
        <f>D11*0.19</f>
        <v>18823.3</v>
      </c>
      <c r="F11" s="131">
        <f>E11+D11</f>
        <v>117893.3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104124.73729987923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53259.650787439612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86124.737299879227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45810.349212560388</v>
      </c>
      <c r="E13" s="221">
        <f>(D11/D12)-1</f>
        <v>0.86013236165198403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77124.737299879227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38124.737299879227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87878.423799275362</v>
      </c>
      <c r="F15" s="216">
        <f>E15-D12</f>
        <v>34618.77301183575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38124.737299879227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78124.737299879227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18000</v>
      </c>
      <c r="E19" s="123">
        <f>D19*0.19</f>
        <v>3420</v>
      </c>
      <c r="F19" s="120">
        <f>SUM(D19:E19)</f>
        <v>21420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5425.5599999999995</v>
      </c>
      <c r="E20" s="121">
        <f>D20*0.19</f>
        <v>1030.8563999999999</v>
      </c>
      <c r="F20" s="120">
        <f>SUM(D20:E20)</f>
        <v>6456.4163999999992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23425.559999999998</v>
      </c>
      <c r="E21" s="116">
        <f>SUM(E18:E20)</f>
        <v>4450.8563999999997</v>
      </c>
      <c r="F21" s="115">
        <f>SUM(F18:F20)</f>
        <v>27876.416399999998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14372.443599999999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99070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23425.559999999998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45810.349212560388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45810.349212560388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2025-06-19T00:32:02Z</cp:lastPrinted>
  <dcterms:created xsi:type="dcterms:W3CDTF">2013-03-18T13:35:42Z</dcterms:created>
  <dcterms:modified xsi:type="dcterms:W3CDTF">2025-06-24T17:26:43Z</dcterms:modified>
</cp:coreProperties>
</file>