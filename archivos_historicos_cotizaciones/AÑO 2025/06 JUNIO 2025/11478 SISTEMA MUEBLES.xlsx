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6 JUNIO 2025\"/>
    </mc:Choice>
  </mc:AlternateContent>
  <xr:revisionPtr revIDLastSave="0" documentId="13_ncr:1_{89DE829E-0D0B-4CC5-AB80-3BECEA6628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  <c r="J31" i="1"/>
  <c r="N32" i="1"/>
  <c r="O32" i="1" s="1"/>
  <c r="Q32" i="1" s="1"/>
  <c r="R32" i="1" s="1"/>
  <c r="M32" i="1"/>
  <c r="I34" i="1"/>
  <c r="H31" i="1"/>
  <c r="H30" i="1"/>
  <c r="H29" i="1"/>
  <c r="H28" i="1"/>
  <c r="H27" i="1"/>
  <c r="H26" i="1"/>
  <c r="S37" i="1"/>
  <c r="P36" i="1"/>
  <c r="N31" i="1"/>
  <c r="O31" i="1"/>
  <c r="P31" i="1" s="1"/>
  <c r="N30" i="1"/>
  <c r="O30" i="1" s="1"/>
  <c r="P30" i="1" s="1"/>
  <c r="N29" i="1"/>
  <c r="O29" i="1" s="1"/>
  <c r="P29" i="1" s="1"/>
  <c r="N28" i="1"/>
  <c r="O28" i="1" s="1"/>
  <c r="P28" i="1" s="1"/>
  <c r="N27" i="1"/>
  <c r="O27" i="1" s="1"/>
  <c r="P27" i="1" s="1"/>
  <c r="N26" i="1"/>
  <c r="O26" i="1" s="1"/>
  <c r="P26" i="1" s="1"/>
  <c r="M31" i="1"/>
  <c r="S31" i="1" s="1"/>
  <c r="M30" i="1"/>
  <c r="S30" i="1" s="1"/>
  <c r="M29" i="1"/>
  <c r="S29" i="1"/>
  <c r="M28" i="1"/>
  <c r="S28" i="1" s="1"/>
  <c r="M27" i="1"/>
  <c r="S27" i="1" s="1"/>
  <c r="M26" i="1"/>
  <c r="S26" i="1" s="1"/>
  <c r="L31" i="1"/>
  <c r="L30" i="1"/>
  <c r="L29" i="1"/>
  <c r="L28" i="1"/>
  <c r="L27" i="1"/>
  <c r="L26" i="1"/>
  <c r="H24" i="1" l="1"/>
  <c r="H25" i="1"/>
  <c r="L24" i="1"/>
  <c r="M24" i="1"/>
  <c r="N24" i="1"/>
  <c r="L25" i="1"/>
  <c r="M25" i="1"/>
  <c r="N25" i="1"/>
  <c r="S24" i="1" l="1"/>
  <c r="S25" i="1"/>
  <c r="O25" i="1"/>
  <c r="P25" i="1" s="1"/>
  <c r="O24" i="1"/>
  <c r="P24" i="1" s="1"/>
  <c r="L22" i="1"/>
  <c r="M22" i="1"/>
  <c r="N22" i="1"/>
  <c r="L23" i="1"/>
  <c r="M23" i="1"/>
  <c r="N23" i="1"/>
  <c r="H22" i="1"/>
  <c r="H23" i="1"/>
  <c r="L21" i="1"/>
  <c r="N21" i="1"/>
  <c r="S23" i="1" l="1"/>
  <c r="S22" i="1"/>
  <c r="O23" i="1"/>
  <c r="P23" i="1" s="1"/>
  <c r="O22" i="1"/>
  <c r="P22" i="1" s="1"/>
  <c r="M21" i="1"/>
  <c r="M36" i="1" s="1"/>
  <c r="S21" i="1" l="1"/>
  <c r="T21" i="1"/>
  <c r="T35" i="1" s="1"/>
  <c r="O21" i="1"/>
  <c r="P21" i="1" s="1"/>
  <c r="K50" i="1"/>
  <c r="S38" i="1" l="1"/>
  <c r="S39" i="1" s="1"/>
  <c r="S40" i="1" s="1"/>
  <c r="V43" i="1"/>
  <c r="V44" i="1" s="1"/>
  <c r="O42" i="1" l="1"/>
  <c r="P37" i="1" l="1"/>
  <c r="N20" i="1"/>
  <c r="L20" i="1"/>
  <c r="P38" i="1" l="1"/>
  <c r="P39" i="1" s="1"/>
  <c r="M41" i="1" s="1"/>
  <c r="O43" i="1"/>
  <c r="R47" i="1"/>
  <c r="R48" i="1" l="1"/>
  <c r="O4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6" i="1"/>
  <c r="O45" i="1"/>
  <c r="F18" i="3" l="1"/>
  <c r="O41" i="1" l="1"/>
  <c r="O47" i="1" s="1"/>
  <c r="O48" i="1" l="1"/>
  <c r="O49" i="1" s="1"/>
  <c r="D20" i="3"/>
  <c r="E20" i="3" s="1"/>
  <c r="E21" i="3" s="1"/>
  <c r="Q20" i="1" l="1"/>
  <c r="D21" i="3"/>
  <c r="M43" i="3" s="1"/>
  <c r="D12" i="3" s="1"/>
  <c r="F20" i="3"/>
  <c r="F21" i="3" s="1"/>
  <c r="Q30" i="1" l="1"/>
  <c r="R30" i="1" s="1"/>
  <c r="V30" i="1" s="1"/>
  <c r="Q31" i="1"/>
  <c r="R31" i="1" s="1"/>
  <c r="V31" i="1" s="1"/>
  <c r="Q28" i="1"/>
  <c r="R28" i="1" s="1"/>
  <c r="V28" i="1" s="1"/>
  <c r="Q29" i="1"/>
  <c r="R29" i="1" s="1"/>
  <c r="V29" i="1" s="1"/>
  <c r="Q26" i="1"/>
  <c r="R26" i="1" s="1"/>
  <c r="V26" i="1" s="1"/>
  <c r="Q27" i="1"/>
  <c r="R27" i="1" s="1"/>
  <c r="V27" i="1" s="1"/>
  <c r="Q25" i="1"/>
  <c r="R25" i="1" s="1"/>
  <c r="V25" i="1" s="1"/>
  <c r="Q24" i="1"/>
  <c r="R24" i="1" s="1"/>
  <c r="V24" i="1" s="1"/>
  <c r="Q23" i="1"/>
  <c r="R23" i="1" s="1"/>
  <c r="V23" i="1" s="1"/>
  <c r="Q22" i="1"/>
  <c r="R22" i="1" s="1"/>
  <c r="V22" i="1" s="1"/>
  <c r="O50" i="1"/>
  <c r="E15" i="3"/>
  <c r="Q21" i="1" l="1"/>
  <c r="F15" i="3"/>
  <c r="R21" i="1" l="1"/>
  <c r="V21" i="1" s="1"/>
  <c r="V33" i="1" s="1"/>
  <c r="H21" i="1" l="1"/>
  <c r="H35" i="1" l="1"/>
  <c r="H36" i="1" s="1"/>
  <c r="H37" i="1" s="1"/>
  <c r="D11" i="3" l="1"/>
  <c r="X9" i="3" s="1"/>
  <c r="X15" i="3" s="1"/>
  <c r="M42" i="3" l="1"/>
  <c r="M46" i="3" s="1"/>
  <c r="M49" i="3" s="1"/>
  <c r="X14" i="3"/>
  <c r="X12" i="3"/>
  <c r="X11" i="3"/>
  <c r="X13" i="3"/>
  <c r="X16" i="3"/>
  <c r="E11" i="3"/>
  <c r="D40" i="3" s="1"/>
  <c r="E13" i="3"/>
  <c r="D13" i="3"/>
  <c r="F11" i="3" l="1"/>
</calcChain>
</file>

<file path=xl/sharedStrings.xml><?xml version="1.0" encoding="utf-8"?>
<sst xmlns="http://schemas.openxmlformats.org/spreadsheetml/2006/main" count="254" uniqueCount="178">
  <si>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</si>
  <si>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</si>
  <si>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</si>
  <si>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</si>
  <si>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</si>
  <si>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</si>
  <si>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</si>
  <si>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</si>
  <si>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</si>
  <si>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</si>
  <si>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</si>
  <si>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</si>
  <si>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</si>
  <si>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</si>
  <si>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</si>
  <si>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</si>
  <si>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</si>
  <si>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</si>
  <si>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</si>
  <si>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</si>
  <si>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</si>
  <si>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</si>
  <si>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</si>
  <si>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</si>
  <si>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</si>
  <si>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</si>
  <si>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</si>
  <si>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</si>
  <si>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</si>
  <si>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</si>
  <si>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</si>
  <si>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</si>
  <si>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</si>
  <si>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</si>
  <si>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</si>
  <si>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</si>
  <si>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</si>
  <si>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</si>
  <si>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</si>
  <si>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</si>
  <si>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</si>
  <si>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</si>
  <si>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</si>
  <si>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</si>
  <si>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</si>
  <si>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</si>
  <si>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</si>
  <si>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</si>
  <si>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</si>
  <si>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</si>
  <si>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</si>
  <si>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</si>
  <si>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</si>
  <si>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</si>
  <si>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</si>
  <si>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</si>
  <si>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</si>
  <si>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</si>
  <si>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</si>
  <si>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</si>
  <si>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</si>
  <si>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</si>
  <si>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</si>
  <si>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</si>
  <si>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</si>
  <si>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</si>
  <si>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</si>
  <si>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</si>
  <si>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</si>
  <si>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</si>
  <si>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</si>
  <si>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</si>
  <si>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</si>
  <si>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</si>
  <si>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</si>
  <si>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</si>
  <si>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</si>
  <si>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</si>
  <si>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</si>
  <si>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</si>
  <si>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</si>
  <si>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</si>
  <si>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</si>
  <si>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</si>
  <si>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</si>
  <si>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</si>
  <si>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</si>
  <si>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</si>
  <si>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</si>
  <si>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</si>
  <si>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</si>
  <si>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</si>
  <si>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</si>
  <si>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</si>
  <si>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</si>
  <si>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</si>
  <si>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</si>
  <si>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</si>
  <si>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</si>
  <si>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</si>
  <si>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</si>
  <si>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</si>
  <si>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</si>
  <si>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</si>
  <si>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</si>
  <si>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</si>
  <si>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</si>
  <si>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</si>
  <si>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</si>
  <si>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</si>
  <si>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</si>
  <si>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</si>
  <si>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</si>
  <si>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</si>
  <si>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</si>
  <si>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</si>
  <si>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</si>
  <si>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</si>
  <si>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</si>
  <si>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</si>
  <si>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</si>
  <si>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</si>
  <si>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</si>
  <si>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</si>
  <si>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</si>
  <si>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</si>
  <si>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</si>
  <si>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</si>
  <si>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</si>
  <si>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</si>
  <si>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</si>
  <si>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</si>
  <si>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</si>
  <si>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</si>
  <si>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</si>
  <si>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</si>
  <si>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</si>
  <si>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</si>
  <si>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</si>
  <si>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</si>
  <si>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</si>
  <si>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</si>
  <si>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</si>
  <si>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</si>
  <si>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</si>
  <si>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</si>
  <si>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</si>
  <si>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</si>
  <si>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</si>
  <si>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</si>
  <si>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</si>
  <si>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</si>
  <si>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</si>
  <si>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</si>
  <si>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</si>
  <si>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</si>
  <si>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</si>
  <si>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</si>
  <si>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</si>
  <si>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</si>
  <si>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</si>
  <si>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</si>
  <si>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</si>
  <si>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</si>
  <si>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</si>
  <si>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SISTEMA MUEBLES</t>
  </si>
  <si>
    <t>LAMINA 153X366</t>
  </si>
  <si>
    <t>alternativa 2</t>
  </si>
  <si>
    <t>19 de 153x366</t>
  </si>
  <si>
    <t>A CONVENIR</t>
  </si>
  <si>
    <t>CUB C/R 90° R8 MDF 25MM</t>
  </si>
  <si>
    <t>BLANCO</t>
  </si>
  <si>
    <t>EDUARDO GONZALEZ</t>
  </si>
  <si>
    <t>N° 11478</t>
  </si>
  <si>
    <t>+569 5394 6597</t>
  </si>
  <si>
    <t>SHEL WHITE 22011 SF TRASCARA BLANCO</t>
  </si>
  <si>
    <t>LAMINAS</t>
  </si>
  <si>
    <t xml:space="preserve">SHEL WHITE 22011 SF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</si>
</sst>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  <numFmt numFmtId="176" formatCode="_-* #,##0.0_-;\-* #,##0.0_-;_-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67" fontId="0" fillId="21" borderId="0" xfId="0" applyNumberFormat="1" applyFill="1"/>
    <xf numFmtId="166" fontId="3" fillId="21" borderId="0" xfId="0" applyNumberFormat="1" applyFont="1" applyFill="1"/>
    <xf numFmtId="167" fontId="0" fillId="13" borderId="0" xfId="0" applyNumberFormat="1" applyFill="1"/>
    <xf numFmtId="166" fontId="3" fillId="13" borderId="0" xfId="0" applyNumberFormat="1" applyFont="1" applyFill="1"/>
    <xf numFmtId="166" fontId="3" fillId="6" borderId="0" xfId="0" applyNumberFormat="1" applyFont="1" applyFill="1"/>
    <xf numFmtId="166" fontId="3" fillId="16" borderId="0" xfId="0" applyNumberFormat="1" applyFont="1" applyFill="1"/>
    <xf numFmtId="41" fontId="0" fillId="0" borderId="0" xfId="4" applyFont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176" fontId="11" fillId="0" borderId="0" xfId="2" applyNumberFormat="1" applyFont="1" applyFill="1" applyBorder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166" fontId="32" fillId="0" borderId="1" xfId="0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B36D98"/>
      <color rgb="FF8BCD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38</xdr:row>
      <xdr:rowOff>8194</xdr:rowOff>
    </xdr:from>
    <xdr:to>
      <xdr:col>8</xdr:col>
      <xdr:colOff>8193</xdr:colOff>
      <xdr:row>41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40</xdr:row>
      <xdr:rowOff>154305</xdr:rowOff>
    </xdr:from>
    <xdr:to>
      <xdr:col>7</xdr:col>
      <xdr:colOff>853440</xdr:colOff>
      <xdr:row>40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38</xdr:row>
      <xdr:rowOff>9525</xdr:rowOff>
    </xdr:from>
    <xdr:to>
      <xdr:col>5</xdr:col>
      <xdr:colOff>1745226</xdr:colOff>
      <xdr:row>41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34</xdr:row>
      <xdr:rowOff>9525</xdr:rowOff>
    </xdr:from>
    <xdr:to>
      <xdr:col>5</xdr:col>
      <xdr:colOff>1728839</xdr:colOff>
      <xdr:row>37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MDF 25MM TRASCARA BLANCO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2"/>
  <sheetViews>
    <sheetView tabSelected="1" topLeftCell="A5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0.88671875" customWidth="1"/>
    <col min="4" max="4" width="11.109375" customWidth="1"/>
    <col min="5" max="5" width="10.5546875" customWidth="1"/>
    <col min="6" max="6" width="40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12.441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162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125</v>
      </c>
      <c r="C8" s="292"/>
      <c r="D8" s="329" t="s">
        <v>173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160</v>
      </c>
      <c r="C10" s="278" t="s">
        <v>165</v>
      </c>
      <c r="D10" s="243"/>
      <c r="E10" s="243"/>
      <c r="F10" s="244" t="s">
        <v>0</v>
      </c>
      <c r="G10" s="276">
        <v>45966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122</v>
      </c>
      <c r="G11" s="288" t="s">
        <v>169</v>
      </c>
      <c r="H11" s="289"/>
      <c r="Q11" s="19"/>
      <c r="R11" s="25" t="s">
        <v>18</v>
      </c>
      <c r="S11" s="19"/>
    </row>
    <row r="12" spans="2:24" ht="16.8" x14ac:dyDescent="0.4">
      <c r="B12" s="246" t="s">
        <v>143</v>
      </c>
      <c r="C12" s="306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144</v>
      </c>
      <c r="C13" t="s">
        <v>172</v>
      </c>
      <c r="G13" s="307"/>
      <c r="H13" s="289"/>
      <c r="Q13" s="19"/>
      <c r="R13" s="25"/>
      <c r="S13" s="19"/>
    </row>
    <row r="14" spans="2:24" x14ac:dyDescent="0.3">
      <c r="B14" s="246" t="s">
        <v>138</v>
      </c>
      <c r="C14" s="314"/>
      <c r="D14" s="247"/>
      <c r="E14" s="247"/>
      <c r="F14" s="315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174</v>
      </c>
      <c r="D15" s="310"/>
      <c r="F15" t="s">
        <v>133</v>
      </c>
      <c r="G15" s="308" t="s">
        <v>134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128</v>
      </c>
      <c r="G16" s="318" t="s">
        <v>161</v>
      </c>
      <c r="H16" s="248"/>
    </row>
    <row r="17" spans="2:25" ht="15" thickBot="1" x14ac:dyDescent="0.35">
      <c r="B17" s="311" t="s">
        <v>13</v>
      </c>
      <c r="C17" s="312" t="s">
        <v>164</v>
      </c>
      <c r="D17" s="313"/>
      <c r="E17" s="119"/>
      <c r="F17" s="341" t="s">
        <v>163</v>
      </c>
      <c r="G17" s="341"/>
      <c r="H17" s="342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43" t="s">
        <v>94</v>
      </c>
      <c r="C19" s="344"/>
      <c r="D19" s="344"/>
      <c r="E19" s="344"/>
      <c r="F19" s="344"/>
      <c r="G19" s="344"/>
      <c r="H19" s="345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 t="shared" ref="L20:L31" si="0">B20</f>
        <v>UNIDAD</v>
      </c>
      <c r="M20" s="267" t="s">
        <v>130</v>
      </c>
      <c r="N20" s="39" t="str">
        <f>E20</f>
        <v>ANCHO</v>
      </c>
      <c r="O20" s="261" t="s">
        <v>131</v>
      </c>
      <c r="P20" s="259" t="s">
        <v>16</v>
      </c>
      <c r="Q20" s="252">
        <f>O49</f>
        <v>103781.55641631874</v>
      </c>
      <c r="R20" s="258">
        <v>3000</v>
      </c>
      <c r="S20" s="38"/>
      <c r="T20" s="14" t="s">
        <v>127</v>
      </c>
      <c r="U20" s="9"/>
      <c r="X20" s="4"/>
    </row>
    <row r="21" spans="2:25" ht="17.399999999999999" x14ac:dyDescent="0.3">
      <c r="B21" s="355">
        <v>1</v>
      </c>
      <c r="C21" s="330" t="s">
        <v>170</v>
      </c>
      <c r="D21" s="332">
        <v>0.5</v>
      </c>
      <c r="E21" s="332">
        <v>0.6</v>
      </c>
      <c r="F21" s="333" t="s">
        <v>175</v>
      </c>
      <c r="G21" s="331">
        <v>39116</v>
      </c>
      <c r="H21" s="331">
        <f t="shared" ref="H21:H32" si="1">G21*B21</f>
        <v>39116</v>
      </c>
      <c r="I21" s="320"/>
      <c r="J21" s="265"/>
      <c r="K21" s="47"/>
      <c r="L21" s="334">
        <f t="shared" si="0"/>
        <v>1</v>
      </c>
      <c r="M21" s="338">
        <f t="shared" ref="M21:M32" si="2">D21+M$19</f>
        <v>0.57999999999999996</v>
      </c>
      <c r="N21" s="335">
        <f t="shared" ref="N21:N32" si="3">E21+$N$19</f>
        <v>0.6</v>
      </c>
      <c r="O21" s="261">
        <f t="shared" ref="O21" si="4">M21*N21</f>
        <v>0.34799999999999998</v>
      </c>
      <c r="P21" s="259">
        <f t="shared" ref="P21" si="5">O21*L21</f>
        <v>0.34799999999999998</v>
      </c>
      <c r="Q21" s="252">
        <f t="shared" ref="Q21" si="6">Q$20*O21</f>
        <v>36115.981632878917</v>
      </c>
      <c r="R21" s="319">
        <f t="shared" ref="R21" si="7">Q21+R$20</f>
        <v>39115.981632878917</v>
      </c>
      <c r="S21" s="297">
        <f>L21*M21</f>
        <v>0.57999999999999996</v>
      </c>
      <c r="T21" s="46">
        <f>N21*2*L21*2</f>
        <v>2.4</v>
      </c>
      <c r="U21" s="9"/>
      <c r="V21" s="340">
        <f>L21*R21</f>
        <v>39115.981632878917</v>
      </c>
      <c r="X21" s="4"/>
    </row>
    <row r="22" spans="2:25" ht="17.399999999999999" x14ac:dyDescent="0.3">
      <c r="B22" s="355">
        <v>2</v>
      </c>
      <c r="C22" s="330" t="s">
        <v>170</v>
      </c>
      <c r="D22" s="332">
        <v>1</v>
      </c>
      <c r="E22" s="332">
        <v>0.6</v>
      </c>
      <c r="F22" s="333" t="s">
        <v>175</v>
      </c>
      <c r="G22" s="331">
        <v>70250</v>
      </c>
      <c r="H22" s="331">
        <f t="shared" si="1"/>
        <v>140500</v>
      </c>
      <c r="I22" s="320"/>
      <c r="J22" s="265"/>
      <c r="K22" s="47"/>
      <c r="L22" s="334">
        <f t="shared" si="0"/>
        <v>2</v>
      </c>
      <c r="M22" s="338">
        <f t="shared" si="2"/>
        <v>1.08</v>
      </c>
      <c r="N22" s="335">
        <f t="shared" si="3"/>
        <v>0.6</v>
      </c>
      <c r="O22" s="261">
        <f t="shared" ref="O22:O23" si="8">M22*N22</f>
        <v>0.64800000000000002</v>
      </c>
      <c r="P22" s="259">
        <f t="shared" ref="P22:P23" si="9">O22*L22</f>
        <v>1.296</v>
      </c>
      <c r="Q22" s="252">
        <f t="shared" ref="Q22:Q23" si="10">Q$20*O22</f>
        <v>67250.448557774551</v>
      </c>
      <c r="R22" s="319">
        <f t="shared" ref="R22:R23" si="11">Q22+R$20</f>
        <v>70250.448557774551</v>
      </c>
      <c r="S22" s="297">
        <f t="shared" ref="S22:S31" si="12">L22*M22</f>
        <v>2.16</v>
      </c>
      <c r="T22" s="46"/>
      <c r="U22" s="9"/>
      <c r="V22" s="340">
        <f t="shared" ref="V22:V31" si="13">L22*R22</f>
        <v>140500.8971155491</v>
      </c>
      <c r="X22" s="4"/>
    </row>
    <row r="23" spans="2:25" ht="17.399999999999999" x14ac:dyDescent="0.3">
      <c r="B23" s="355">
        <v>18</v>
      </c>
      <c r="C23" s="330" t="s">
        <v>170</v>
      </c>
      <c r="D23" s="356">
        <v>1.5</v>
      </c>
      <c r="E23" s="356">
        <v>0.6</v>
      </c>
      <c r="F23" s="333" t="s">
        <v>175</v>
      </c>
      <c r="G23" s="331">
        <v>101385</v>
      </c>
      <c r="H23" s="331">
        <f t="shared" si="1"/>
        <v>1824930</v>
      </c>
      <c r="I23" s="320"/>
      <c r="J23" s="354">
        <v>5.5</v>
      </c>
      <c r="K23" s="47"/>
      <c r="L23" s="334">
        <f t="shared" si="0"/>
        <v>18</v>
      </c>
      <c r="M23" s="338">
        <f t="shared" si="2"/>
        <v>1.58</v>
      </c>
      <c r="N23" s="335">
        <f t="shared" si="3"/>
        <v>0.6</v>
      </c>
      <c r="O23" s="261">
        <f t="shared" si="8"/>
        <v>0.94799999999999995</v>
      </c>
      <c r="P23" s="259">
        <f t="shared" si="9"/>
        <v>17.064</v>
      </c>
      <c r="Q23" s="252">
        <f t="shared" si="10"/>
        <v>98384.915482670156</v>
      </c>
      <c r="R23" s="319">
        <f t="shared" si="11"/>
        <v>101384.91548267016</v>
      </c>
      <c r="S23" s="297">
        <f t="shared" si="12"/>
        <v>28.44</v>
      </c>
      <c r="T23" s="46"/>
      <c r="U23" s="9"/>
      <c r="V23" s="340">
        <f t="shared" si="13"/>
        <v>1824928.4786880629</v>
      </c>
      <c r="X23" s="4"/>
    </row>
    <row r="24" spans="2:25" ht="17.399999999999999" x14ac:dyDescent="0.3">
      <c r="B24" s="355">
        <v>1</v>
      </c>
      <c r="C24" s="330" t="s">
        <v>170</v>
      </c>
      <c r="D24" s="356">
        <v>1.5</v>
      </c>
      <c r="E24" s="356">
        <v>0.65</v>
      </c>
      <c r="F24" s="333" t="s">
        <v>175</v>
      </c>
      <c r="G24" s="331">
        <v>109584</v>
      </c>
      <c r="H24" s="331">
        <f t="shared" si="1"/>
        <v>109584</v>
      </c>
      <c r="I24" s="320"/>
      <c r="J24" s="265"/>
      <c r="K24" s="47"/>
      <c r="L24" s="334">
        <f t="shared" si="0"/>
        <v>1</v>
      </c>
      <c r="M24" s="338">
        <f t="shared" si="2"/>
        <v>1.58</v>
      </c>
      <c r="N24" s="335">
        <f t="shared" si="3"/>
        <v>0.65</v>
      </c>
      <c r="O24" s="261">
        <f t="shared" ref="O24:O32" si="14">M24*N24</f>
        <v>1.0270000000000001</v>
      </c>
      <c r="P24" s="259">
        <f t="shared" ref="P24:P31" si="15">O24*L24</f>
        <v>1.0270000000000001</v>
      </c>
      <c r="Q24" s="252">
        <f t="shared" ref="Q24:Q32" si="16">Q$20*O24</f>
        <v>106583.65843955935</v>
      </c>
      <c r="R24" s="319">
        <f t="shared" ref="R24:R32" si="17">Q24+R$20</f>
        <v>109583.65843955935</v>
      </c>
      <c r="S24" s="297">
        <f t="shared" si="12"/>
        <v>1.58</v>
      </c>
      <c r="T24" s="46"/>
      <c r="U24" s="9"/>
      <c r="V24" s="340">
        <f t="shared" si="13"/>
        <v>109583.65843955935</v>
      </c>
      <c r="X24" s="4"/>
    </row>
    <row r="25" spans="2:25" ht="17.399999999999999" x14ac:dyDescent="0.3">
      <c r="B25" s="355">
        <v>4</v>
      </c>
      <c r="C25" s="330" t="s">
        <v>170</v>
      </c>
      <c r="D25" s="356">
        <v>1.8</v>
      </c>
      <c r="E25" s="356">
        <v>0.65</v>
      </c>
      <c r="F25" s="333" t="s">
        <v>175</v>
      </c>
      <c r="G25" s="331">
        <v>129821</v>
      </c>
      <c r="H25" s="331">
        <f t="shared" si="1"/>
        <v>519284</v>
      </c>
      <c r="I25" s="320"/>
      <c r="J25" s="354">
        <v>2</v>
      </c>
      <c r="K25" s="47"/>
      <c r="L25" s="336">
        <f t="shared" si="0"/>
        <v>4</v>
      </c>
      <c r="M25" s="339">
        <f t="shared" si="2"/>
        <v>1.8800000000000001</v>
      </c>
      <c r="N25" s="337">
        <f t="shared" si="3"/>
        <v>0.65</v>
      </c>
      <c r="O25" s="261">
        <f t="shared" si="14"/>
        <v>1.2220000000000002</v>
      </c>
      <c r="P25" s="259">
        <f t="shared" si="15"/>
        <v>4.8880000000000008</v>
      </c>
      <c r="Q25" s="252">
        <f t="shared" si="16"/>
        <v>126821.06194074152</v>
      </c>
      <c r="R25" s="319">
        <f t="shared" si="17"/>
        <v>129821.06194074152</v>
      </c>
      <c r="S25" s="297">
        <f t="shared" si="12"/>
        <v>7.5200000000000005</v>
      </c>
      <c r="T25" s="46"/>
      <c r="U25" s="9"/>
      <c r="V25" s="340">
        <f t="shared" si="13"/>
        <v>519284.24776296609</v>
      </c>
      <c r="X25" s="4"/>
    </row>
    <row r="26" spans="2:25" ht="17.399999999999999" x14ac:dyDescent="0.3">
      <c r="B26" s="355">
        <v>21</v>
      </c>
      <c r="C26" s="330" t="s">
        <v>170</v>
      </c>
      <c r="D26" s="356">
        <v>2</v>
      </c>
      <c r="E26" s="356">
        <v>0.6</v>
      </c>
      <c r="F26" s="333" t="s">
        <v>175</v>
      </c>
      <c r="G26" s="331">
        <v>132519</v>
      </c>
      <c r="H26" s="331">
        <f t="shared" si="1"/>
        <v>2782899</v>
      </c>
      <c r="I26" s="320"/>
      <c r="J26" s="354">
        <v>11.5</v>
      </c>
      <c r="K26" s="47"/>
      <c r="L26" s="336">
        <f t="shared" si="0"/>
        <v>21</v>
      </c>
      <c r="M26" s="339">
        <f t="shared" si="2"/>
        <v>2.08</v>
      </c>
      <c r="N26" s="337">
        <f t="shared" si="3"/>
        <v>0.6</v>
      </c>
      <c r="O26" s="261">
        <f t="shared" si="14"/>
        <v>1.248</v>
      </c>
      <c r="P26" s="259">
        <f t="shared" si="15"/>
        <v>26.207999999999998</v>
      </c>
      <c r="Q26" s="252">
        <f t="shared" si="16"/>
        <v>129519.38240756579</v>
      </c>
      <c r="R26" s="319">
        <f t="shared" si="17"/>
        <v>132519.38240756578</v>
      </c>
      <c r="S26" s="297">
        <f t="shared" si="12"/>
        <v>43.68</v>
      </c>
      <c r="T26" s="46"/>
      <c r="U26" s="9"/>
      <c r="V26" s="340">
        <f t="shared" si="13"/>
        <v>2782907.0305588813</v>
      </c>
      <c r="X26" s="4"/>
    </row>
    <row r="27" spans="2:25" ht="17.399999999999999" x14ac:dyDescent="0.3">
      <c r="B27" s="355">
        <v>2</v>
      </c>
      <c r="C27" s="330" t="s">
        <v>170</v>
      </c>
      <c r="D27" s="356">
        <v>2</v>
      </c>
      <c r="E27" s="356">
        <v>0.65</v>
      </c>
      <c r="F27" s="333" t="s">
        <v>175</v>
      </c>
      <c r="G27" s="331">
        <v>143313</v>
      </c>
      <c r="H27" s="331">
        <f t="shared" si="1"/>
        <v>286626</v>
      </c>
      <c r="I27" s="320"/>
      <c r="J27" s="354">
        <v>1</v>
      </c>
      <c r="K27" s="47"/>
      <c r="L27" s="336">
        <f t="shared" si="0"/>
        <v>2</v>
      </c>
      <c r="M27" s="339">
        <f t="shared" si="2"/>
        <v>2.08</v>
      </c>
      <c r="N27" s="337">
        <f t="shared" si="3"/>
        <v>0.65</v>
      </c>
      <c r="O27" s="261">
        <f t="shared" si="14"/>
        <v>1.3520000000000001</v>
      </c>
      <c r="P27" s="259">
        <f t="shared" si="15"/>
        <v>2.7040000000000002</v>
      </c>
      <c r="Q27" s="252">
        <f t="shared" si="16"/>
        <v>140312.66427486294</v>
      </c>
      <c r="R27" s="319">
        <f t="shared" si="17"/>
        <v>143312.66427486294</v>
      </c>
      <c r="S27" s="297">
        <f t="shared" si="12"/>
        <v>4.16</v>
      </c>
      <c r="T27" s="46"/>
      <c r="U27" s="9"/>
      <c r="V27" s="340">
        <f t="shared" si="13"/>
        <v>286625.32854972588</v>
      </c>
      <c r="X27" s="4"/>
    </row>
    <row r="28" spans="2:25" ht="17.399999999999999" x14ac:dyDescent="0.3">
      <c r="B28" s="355">
        <v>14</v>
      </c>
      <c r="C28" s="330" t="s">
        <v>170</v>
      </c>
      <c r="D28" s="356">
        <v>2.4</v>
      </c>
      <c r="E28" s="356">
        <v>0.6</v>
      </c>
      <c r="F28" s="333" t="s">
        <v>175</v>
      </c>
      <c r="G28" s="331">
        <v>157427</v>
      </c>
      <c r="H28" s="331">
        <f t="shared" si="1"/>
        <v>2203978</v>
      </c>
      <c r="I28" s="320"/>
      <c r="J28" s="354">
        <v>7</v>
      </c>
      <c r="K28" s="47"/>
      <c r="L28" s="336">
        <f t="shared" si="0"/>
        <v>14</v>
      </c>
      <c r="M28" s="339">
        <f t="shared" si="2"/>
        <v>2.48</v>
      </c>
      <c r="N28" s="337">
        <f t="shared" si="3"/>
        <v>0.6</v>
      </c>
      <c r="O28" s="261">
        <f t="shared" si="14"/>
        <v>1.488</v>
      </c>
      <c r="P28" s="259">
        <f t="shared" si="15"/>
        <v>20.832000000000001</v>
      </c>
      <c r="Q28" s="252">
        <f t="shared" si="16"/>
        <v>154426.95594748229</v>
      </c>
      <c r="R28" s="319">
        <f t="shared" si="17"/>
        <v>157426.95594748229</v>
      </c>
      <c r="S28" s="297">
        <f t="shared" si="12"/>
        <v>34.72</v>
      </c>
      <c r="T28" s="46"/>
      <c r="U28" s="9"/>
      <c r="V28" s="340">
        <f t="shared" si="13"/>
        <v>2203977.3832647521</v>
      </c>
      <c r="X28" s="4"/>
    </row>
    <row r="29" spans="2:25" ht="17.399999999999999" x14ac:dyDescent="0.3">
      <c r="B29" s="330">
        <v>1</v>
      </c>
      <c r="C29" s="330" t="s">
        <v>170</v>
      </c>
      <c r="D29" s="356">
        <v>2.5</v>
      </c>
      <c r="E29" s="356">
        <v>0.6</v>
      </c>
      <c r="F29" s="333" t="s">
        <v>175</v>
      </c>
      <c r="G29" s="331">
        <v>163654</v>
      </c>
      <c r="H29" s="331">
        <f t="shared" si="1"/>
        <v>163654</v>
      </c>
      <c r="I29" s="320"/>
      <c r="J29" s="265">
        <v>0.5</v>
      </c>
      <c r="K29" s="47"/>
      <c r="L29" s="336">
        <f t="shared" si="0"/>
        <v>1</v>
      </c>
      <c r="M29" s="339">
        <f t="shared" si="2"/>
        <v>2.58</v>
      </c>
      <c r="N29" s="337">
        <f t="shared" si="3"/>
        <v>0.6</v>
      </c>
      <c r="O29" s="261">
        <f t="shared" si="14"/>
        <v>1.548</v>
      </c>
      <c r="P29" s="259">
        <f t="shared" si="15"/>
        <v>1.548</v>
      </c>
      <c r="Q29" s="252">
        <f t="shared" si="16"/>
        <v>160653.8493324614</v>
      </c>
      <c r="R29" s="319">
        <f t="shared" si="17"/>
        <v>163653.8493324614</v>
      </c>
      <c r="S29" s="297">
        <f t="shared" si="12"/>
        <v>2.58</v>
      </c>
      <c r="T29" s="46"/>
      <c r="U29" s="9"/>
      <c r="V29" s="340">
        <f t="shared" si="13"/>
        <v>163653.8493324614</v>
      </c>
      <c r="X29" s="4"/>
    </row>
    <row r="30" spans="2:25" ht="17.399999999999999" x14ac:dyDescent="0.3">
      <c r="B30" s="330">
        <v>1</v>
      </c>
      <c r="C30" s="330" t="s">
        <v>170</v>
      </c>
      <c r="D30" s="356">
        <v>3</v>
      </c>
      <c r="E30" s="356">
        <v>0.6</v>
      </c>
      <c r="F30" s="333" t="s">
        <v>175</v>
      </c>
      <c r="G30" s="331">
        <v>194788</v>
      </c>
      <c r="H30" s="331">
        <f t="shared" si="1"/>
        <v>194788</v>
      </c>
      <c r="I30" s="320"/>
      <c r="J30" s="354">
        <v>2</v>
      </c>
      <c r="K30" s="47"/>
      <c r="L30" s="336">
        <f t="shared" si="0"/>
        <v>1</v>
      </c>
      <c r="M30" s="339">
        <f t="shared" si="2"/>
        <v>3.08</v>
      </c>
      <c r="N30" s="337">
        <f t="shared" si="3"/>
        <v>0.6</v>
      </c>
      <c r="O30" s="261">
        <f t="shared" si="14"/>
        <v>1.8479999999999999</v>
      </c>
      <c r="P30" s="259">
        <f t="shared" si="15"/>
        <v>1.8479999999999999</v>
      </c>
      <c r="Q30" s="252">
        <f t="shared" si="16"/>
        <v>191788.31625735702</v>
      </c>
      <c r="R30" s="319">
        <f t="shared" si="17"/>
        <v>194788.31625735702</v>
      </c>
      <c r="S30" s="297">
        <f t="shared" si="12"/>
        <v>3.08</v>
      </c>
      <c r="T30" s="46"/>
      <c r="U30" s="9"/>
      <c r="V30" s="340">
        <f t="shared" si="13"/>
        <v>194788.31625735702</v>
      </c>
      <c r="X30" s="4"/>
    </row>
    <row r="31" spans="2:25" ht="17.399999999999999" x14ac:dyDescent="0.3">
      <c r="B31" s="330">
        <v>3</v>
      </c>
      <c r="C31" s="330" t="s">
        <v>170</v>
      </c>
      <c r="D31" s="356">
        <v>3</v>
      </c>
      <c r="E31" s="356">
        <v>0.62</v>
      </c>
      <c r="F31" s="333" t="s">
        <v>175</v>
      </c>
      <c r="G31" s="331">
        <v>201181</v>
      </c>
      <c r="H31" s="331">
        <f t="shared" si="1"/>
        <v>603543</v>
      </c>
      <c r="I31" s="320"/>
      <c r="J31" s="265">
        <f>SUM(J23:J30)</f>
        <v>29.5</v>
      </c>
      <c r="K31" s="47"/>
      <c r="L31" s="336">
        <f t="shared" si="0"/>
        <v>3</v>
      </c>
      <c r="M31" s="339">
        <f t="shared" si="2"/>
        <v>3.08</v>
      </c>
      <c r="N31" s="337">
        <f t="shared" si="3"/>
        <v>0.62</v>
      </c>
      <c r="O31" s="261">
        <f t="shared" si="14"/>
        <v>1.9096</v>
      </c>
      <c r="P31" s="259">
        <f t="shared" si="15"/>
        <v>5.7287999999999997</v>
      </c>
      <c r="Q31" s="252">
        <f t="shared" si="16"/>
        <v>198181.26013260227</v>
      </c>
      <c r="R31" s="319">
        <f t="shared" si="17"/>
        <v>201181.26013260227</v>
      </c>
      <c r="S31" s="297">
        <f t="shared" si="12"/>
        <v>9.24</v>
      </c>
      <c r="T31" s="46"/>
      <c r="U31" s="9"/>
      <c r="V31" s="340">
        <f t="shared" si="13"/>
        <v>603543.78039780678</v>
      </c>
      <c r="X31" s="4"/>
    </row>
    <row r="32" spans="2:25" ht="17.399999999999999" x14ac:dyDescent="0.3">
      <c r="B32" s="330">
        <v>85</v>
      </c>
      <c r="C32" s="330" t="s">
        <v>176</v>
      </c>
      <c r="D32" s="356">
        <v>3</v>
      </c>
      <c r="E32" s="356">
        <v>1.22</v>
      </c>
      <c r="F32" s="333" t="s">
        <v>177</v>
      </c>
      <c r="G32" s="331">
        <v>15700</v>
      </c>
      <c r="H32" s="331">
        <f>-G32*B32</f>
        <v>-1334500</v>
      </c>
      <c r="I32" s="353">
        <v>53.5</v>
      </c>
      <c r="J32" s="265"/>
      <c r="K32" s="47"/>
      <c r="L32" s="336"/>
      <c r="M32" s="339">
        <f t="shared" si="2"/>
        <v>3.08</v>
      </c>
      <c r="N32" s="337">
        <f t="shared" si="3"/>
        <v>1.22</v>
      </c>
      <c r="O32" s="261">
        <f t="shared" si="14"/>
        <v>3.7576000000000001</v>
      </c>
      <c r="P32" s="259"/>
      <c r="Q32" s="252">
        <f t="shared" si="16"/>
        <v>389969.57638995931</v>
      </c>
      <c r="R32" s="319">
        <f t="shared" si="17"/>
        <v>392969.57638995931</v>
      </c>
      <c r="S32" s="297"/>
      <c r="T32" s="46"/>
      <c r="U32" s="9"/>
      <c r="V32" s="340"/>
      <c r="X32" s="4"/>
    </row>
    <row r="33" spans="1:24" ht="17.399999999999999" x14ac:dyDescent="0.3">
      <c r="B33" s="285"/>
      <c r="C33" s="285"/>
      <c r="D33" s="286"/>
      <c r="E33" s="286"/>
      <c r="F33" s="285"/>
      <c r="G33" s="320"/>
      <c r="H33" s="320"/>
      <c r="I33" s="320">
        <v>29.5</v>
      </c>
      <c r="J33" s="265"/>
      <c r="K33" s="47"/>
      <c r="L33" s="47"/>
      <c r="M33" s="39"/>
      <c r="N33" s="39"/>
      <c r="O33" s="261"/>
      <c r="P33" s="259"/>
      <c r="Q33" s="252"/>
      <c r="R33" s="319"/>
      <c r="S33" s="297"/>
      <c r="T33" s="46"/>
      <c r="U33" s="9"/>
      <c r="V33" s="58">
        <f>SUM(V21:V31)</f>
        <v>8868908.9519999996</v>
      </c>
      <c r="X33" s="4"/>
    </row>
    <row r="34" spans="1:24" ht="18" thickBot="1" x14ac:dyDescent="0.35">
      <c r="B34" s="285"/>
      <c r="C34" s="285"/>
      <c r="D34" s="286"/>
      <c r="E34" s="286"/>
      <c r="F34" s="285"/>
      <c r="G34" s="265"/>
      <c r="H34" s="321"/>
      <c r="I34" s="323">
        <f>SUM(I32:I33)</f>
        <v>83</v>
      </c>
      <c r="J34" s="233"/>
      <c r="K34" s="47"/>
      <c r="L34" s="47"/>
      <c r="M34" s="39"/>
      <c r="N34" s="39"/>
      <c r="O34" s="261"/>
      <c r="P34" s="259"/>
      <c r="Q34" s="252"/>
      <c r="R34" s="258"/>
      <c r="S34" s="297"/>
      <c r="T34" s="14"/>
      <c r="U34" s="9"/>
      <c r="X34" s="4"/>
    </row>
    <row r="35" spans="1:24" ht="17.399999999999999" x14ac:dyDescent="0.3">
      <c r="B35" s="285"/>
      <c r="C35" s="285"/>
      <c r="D35" s="286"/>
      <c r="E35" s="286"/>
      <c r="F35" s="285"/>
      <c r="G35" s="324" t="s">
        <v>28</v>
      </c>
      <c r="H35" s="325">
        <f>SUM(H21:H34)</f>
        <v>7534402</v>
      </c>
      <c r="I35" s="322"/>
      <c r="J35" s="265"/>
      <c r="K35" s="47">
        <v>2600000</v>
      </c>
      <c r="L35" s="47"/>
      <c r="M35" s="39"/>
      <c r="N35" s="39"/>
      <c r="O35" s="261"/>
      <c r="P35" s="259"/>
      <c r="Q35" s="252"/>
      <c r="R35" s="258"/>
      <c r="S35" s="297"/>
      <c r="T35" s="46">
        <f>SUM(T21:T34)</f>
        <v>2.4</v>
      </c>
      <c r="U35" s="9"/>
      <c r="X35" s="4"/>
    </row>
    <row r="36" spans="1:24" ht="17.399999999999999" x14ac:dyDescent="0.3">
      <c r="B36" s="279"/>
      <c r="C36" s="282"/>
      <c r="D36" s="283"/>
      <c r="E36" s="283"/>
      <c r="F36" s="284"/>
      <c r="G36" s="296" t="s">
        <v>50</v>
      </c>
      <c r="H36" s="294">
        <f>H35*19%</f>
        <v>1431536.3800000001</v>
      </c>
      <c r="I36" s="322"/>
      <c r="J36" s="265"/>
      <c r="K36" s="47"/>
      <c r="L36" s="47"/>
      <c r="M36" s="39">
        <f>SUM(M21:M35)</f>
        <v>25.159999999999997</v>
      </c>
      <c r="N36" s="12"/>
      <c r="O36" s="12"/>
      <c r="P36" s="253">
        <f>SUM(P21:P34)</f>
        <v>83.491800000000012</v>
      </c>
      <c r="Q36" s="14"/>
      <c r="R36" s="12"/>
      <c r="S36" s="239"/>
      <c r="T36" s="46"/>
      <c r="U36" s="9"/>
      <c r="X36" s="4"/>
    </row>
    <row r="37" spans="1:24" ht="18" thickBot="1" x14ac:dyDescent="0.35">
      <c r="B37" s="275"/>
      <c r="C37" s="281"/>
      <c r="D37" s="272"/>
      <c r="E37" s="272"/>
      <c r="F37" s="273"/>
      <c r="G37" s="280" t="s">
        <v>6</v>
      </c>
      <c r="H37" s="295">
        <f>H35+H36</f>
        <v>8965938.3800000008</v>
      </c>
      <c r="I37" s="322"/>
      <c r="J37" s="265"/>
      <c r="K37" s="47"/>
      <c r="L37" s="47"/>
      <c r="M37" s="39"/>
      <c r="N37" s="12"/>
      <c r="O37" s="12"/>
      <c r="P37" s="253">
        <f>P36</f>
        <v>83.491800000000012</v>
      </c>
      <c r="Q37" s="14"/>
      <c r="R37" s="12"/>
      <c r="S37" s="239">
        <f>SUM(S21:S36)</f>
        <v>137.74</v>
      </c>
      <c r="T37" s="46"/>
      <c r="U37" s="9"/>
      <c r="X37" s="4"/>
    </row>
    <row r="38" spans="1:24" ht="17.399999999999999" x14ac:dyDescent="0.3">
      <c r="B38" s="275"/>
      <c r="C38" s="271"/>
      <c r="D38" s="272"/>
      <c r="E38" s="272"/>
      <c r="F38" s="273"/>
      <c r="J38" s="265"/>
      <c r="K38" s="47"/>
      <c r="L38" s="47"/>
      <c r="M38" s="14"/>
      <c r="N38" s="12"/>
      <c r="O38" s="12"/>
      <c r="P38" s="39">
        <f>P37*20%</f>
        <v>16.698360000000005</v>
      </c>
      <c r="Q38" s="39" t="s">
        <v>129</v>
      </c>
      <c r="R38" s="42"/>
      <c r="S38" s="240">
        <f>S37+T35</f>
        <v>140.14000000000001</v>
      </c>
      <c r="T38" s="14"/>
      <c r="U38" s="9"/>
      <c r="X38" s="4"/>
    </row>
    <row r="39" spans="1:24" ht="17.399999999999999" x14ac:dyDescent="0.35">
      <c r="B39" s="269"/>
      <c r="C39" s="230"/>
      <c r="D39" s="230"/>
      <c r="E39" s="233"/>
      <c r="F39" s="234"/>
      <c r="G39" s="230"/>
      <c r="H39" s="274"/>
      <c r="I39" s="274"/>
      <c r="J39" s="265"/>
      <c r="K39" s="47"/>
      <c r="L39" s="47"/>
      <c r="M39" s="14"/>
      <c r="N39" s="12"/>
      <c r="O39" s="12"/>
      <c r="P39" s="46">
        <f>P37+P38</f>
        <v>100.19016000000002</v>
      </c>
      <c r="Q39" s="14"/>
      <c r="R39" s="14"/>
      <c r="S39" s="238">
        <f>S38*20%</f>
        <v>28.028000000000006</v>
      </c>
      <c r="T39" s="14"/>
      <c r="U39" s="9"/>
      <c r="X39" s="4"/>
    </row>
    <row r="40" spans="1:24" ht="17.399999999999999" x14ac:dyDescent="0.35">
      <c r="B40" s="235"/>
      <c r="C40" s="236"/>
      <c r="D40" s="237"/>
      <c r="E40" s="235"/>
      <c r="F40" s="230"/>
      <c r="G40" s="230"/>
      <c r="I40" s="274"/>
      <c r="J40" s="265"/>
      <c r="K40" s="47"/>
      <c r="L40" s="47"/>
      <c r="M40" s="14"/>
      <c r="N40" s="14"/>
      <c r="O40" s="14"/>
      <c r="P40" s="14"/>
      <c r="Q40" s="14"/>
      <c r="R40" s="14"/>
      <c r="S40" s="240">
        <f>S38+S39</f>
        <v>168.16800000000001</v>
      </c>
      <c r="T40" s="14"/>
      <c r="U40" s="302" t="s">
        <v>21</v>
      </c>
      <c r="V40" s="299" t="s">
        <v>150</v>
      </c>
      <c r="W40" s="303">
        <v>44971</v>
      </c>
      <c r="X40" s="304"/>
    </row>
    <row r="41" spans="1:24" ht="17.399999999999999" x14ac:dyDescent="0.35">
      <c r="B41" s="230"/>
      <c r="C41" s="230"/>
      <c r="D41" s="230"/>
      <c r="E41" s="230"/>
      <c r="F41" s="230"/>
      <c r="G41" s="230"/>
      <c r="J41" s="265"/>
      <c r="K41" s="47"/>
      <c r="L41" s="47"/>
      <c r="M41" s="39">
        <f>P39*2</f>
        <v>200.38032000000004</v>
      </c>
      <c r="N41" s="12">
        <v>3500</v>
      </c>
      <c r="O41" s="12">
        <f t="shared" ref="O41:O43" si="18">M41*N41</f>
        <v>701331.12000000011</v>
      </c>
      <c r="P41" s="14" t="s">
        <v>21</v>
      </c>
      <c r="Q41" s="14"/>
      <c r="R41" s="14"/>
      <c r="S41" s="241"/>
      <c r="T41" s="14"/>
      <c r="U41" s="302" t="s">
        <v>151</v>
      </c>
      <c r="V41" s="299">
        <v>3625</v>
      </c>
      <c r="W41" s="59" t="s">
        <v>152</v>
      </c>
      <c r="X41" s="304"/>
    </row>
    <row r="42" spans="1:24" ht="17.399999999999999" x14ac:dyDescent="0.35">
      <c r="A42" s="230"/>
      <c r="B42" s="230"/>
      <c r="C42" s="230"/>
      <c r="D42" s="230"/>
      <c r="E42" s="230"/>
      <c r="F42" s="230"/>
      <c r="G42" s="230"/>
      <c r="H42" s="230"/>
      <c r="J42" s="265"/>
      <c r="K42" s="47"/>
      <c r="L42" s="47"/>
      <c r="M42" s="249">
        <v>30</v>
      </c>
      <c r="N42" s="12">
        <v>35108</v>
      </c>
      <c r="O42" s="12">
        <f t="shared" si="18"/>
        <v>1053240</v>
      </c>
      <c r="P42" s="39" t="s">
        <v>30</v>
      </c>
      <c r="Q42" s="42"/>
      <c r="R42" s="14"/>
      <c r="S42" s="240"/>
      <c r="T42" s="14"/>
      <c r="U42" s="302"/>
      <c r="V42" s="59">
        <v>906.25</v>
      </c>
      <c r="W42" s="59" t="s">
        <v>153</v>
      </c>
      <c r="X42" s="304"/>
    </row>
    <row r="43" spans="1:24" s="230" customFormat="1" ht="17.399999999999999" x14ac:dyDescent="0.35">
      <c r="B43" s="24" t="s">
        <v>149</v>
      </c>
      <c r="J43" s="262"/>
      <c r="K43" s="232"/>
      <c r="L43" s="250"/>
      <c r="M43" s="14">
        <v>65</v>
      </c>
      <c r="N43" s="250">
        <v>15700</v>
      </c>
      <c r="O43" s="12">
        <f t="shared" si="18"/>
        <v>1020500</v>
      </c>
      <c r="P43" s="39" t="s">
        <v>171</v>
      </c>
      <c r="Q43" s="42"/>
      <c r="S43" s="240"/>
      <c r="T43" s="256"/>
      <c r="U43" s="59"/>
      <c r="V43" s="59">
        <f>V42*20%</f>
        <v>181.25</v>
      </c>
      <c r="W43" s="304" t="s">
        <v>154</v>
      </c>
      <c r="X43" s="59"/>
    </row>
    <row r="44" spans="1:24" s="230" customFormat="1" ht="17.399999999999999" x14ac:dyDescent="0.35">
      <c r="B44" s="24" t="s">
        <v>142</v>
      </c>
      <c r="C44"/>
      <c r="D44"/>
      <c r="E44"/>
      <c r="F44"/>
      <c r="J44" s="262"/>
      <c r="K44" s="232"/>
      <c r="L44" s="250"/>
      <c r="M44" s="14">
        <v>65</v>
      </c>
      <c r="N44" s="250">
        <v>15700</v>
      </c>
      <c r="O44" s="12">
        <f>M44*N44</f>
        <v>1020500</v>
      </c>
      <c r="P44" s="14" t="s">
        <v>166</v>
      </c>
      <c r="S44" s="238"/>
      <c r="T44" s="256"/>
      <c r="U44" s="59"/>
      <c r="V44" s="59">
        <f>V42+V43</f>
        <v>1087.5</v>
      </c>
      <c r="W44" s="304" t="s">
        <v>155</v>
      </c>
      <c r="X44" s="59"/>
    </row>
    <row r="45" spans="1:24" s="230" customFormat="1" ht="17.399999999999999" x14ac:dyDescent="0.35">
      <c r="B45" s="29" t="s">
        <v>124</v>
      </c>
      <c r="C45"/>
      <c r="D45"/>
      <c r="E45"/>
      <c r="F45" s="229" t="s">
        <v>15</v>
      </c>
      <c r="I45" s="230" t="s">
        <v>167</v>
      </c>
      <c r="J45" s="262"/>
      <c r="K45" s="260"/>
      <c r="L45" s="250"/>
      <c r="M45" s="249">
        <v>137.74</v>
      </c>
      <c r="N45" s="250">
        <v>900</v>
      </c>
      <c r="O45" s="12">
        <f>M45*N45</f>
        <v>123966.00000000001</v>
      </c>
      <c r="P45" s="14" t="s">
        <v>31</v>
      </c>
      <c r="Q45" s="17"/>
      <c r="R45" s="230">
        <v>2.12</v>
      </c>
      <c r="S45" s="238"/>
      <c r="T45" s="238"/>
    </row>
    <row r="46" spans="1:24" s="230" customFormat="1" ht="17.399999999999999" x14ac:dyDescent="0.35">
      <c r="I46" s="230" t="s">
        <v>168</v>
      </c>
      <c r="J46" s="293"/>
      <c r="K46" s="260"/>
      <c r="L46" s="250"/>
      <c r="M46" s="266">
        <v>137.74</v>
      </c>
      <c r="N46" s="12">
        <v>1500</v>
      </c>
      <c r="O46" s="12">
        <f>M46*N46</f>
        <v>206610</v>
      </c>
      <c r="P46" s="14" t="s">
        <v>22</v>
      </c>
      <c r="Q46" s="14"/>
      <c r="R46">
        <v>2.44</v>
      </c>
      <c r="S46"/>
      <c r="T46" s="238"/>
      <c r="X46" s="231"/>
    </row>
    <row r="47" spans="1:24" s="230" customFormat="1" ht="17.399999999999999" x14ac:dyDescent="0.35">
      <c r="K47" s="260"/>
      <c r="L47" s="250"/>
      <c r="M47" s="14"/>
      <c r="N47" s="12"/>
      <c r="O47" s="12">
        <f>SUM(O41:O46)</f>
        <v>4126147.12</v>
      </c>
      <c r="P47" s="39" t="s">
        <v>23</v>
      </c>
      <c r="Q47" s="14"/>
      <c r="R47">
        <f>R45*R46</f>
        <v>5.1728000000000005</v>
      </c>
      <c r="S47"/>
      <c r="T47" s="238"/>
      <c r="X47" s="231"/>
    </row>
    <row r="48" spans="1:24" s="230" customFormat="1" ht="17.399999999999999" x14ac:dyDescent="0.35">
      <c r="L48" s="250"/>
      <c r="M48" s="254" t="s">
        <v>32</v>
      </c>
      <c r="N48" s="12"/>
      <c r="O48" s="255">
        <f>O47*2.1</f>
        <v>8664908.9520000014</v>
      </c>
      <c r="P48" s="14" t="s">
        <v>139</v>
      </c>
      <c r="Q48" s="14"/>
      <c r="R48" s="40">
        <f>P39/R47</f>
        <v>19.368651407361586</v>
      </c>
      <c r="S48"/>
      <c r="T48" s="257"/>
    </row>
    <row r="49" spans="2:23" s="230" customFormat="1" ht="17.399999999999999" x14ac:dyDescent="0.35">
      <c r="G49"/>
      <c r="H49" s="260"/>
      <c r="I49" s="260"/>
      <c r="J49" s="260"/>
      <c r="K49" s="230">
        <v>40000</v>
      </c>
      <c r="L49" s="250"/>
      <c r="M49" s="14"/>
      <c r="N49" s="12"/>
      <c r="O49" s="12">
        <f>O48/P37</f>
        <v>103781.55641631874</v>
      </c>
      <c r="P49" s="45" t="s">
        <v>24</v>
      </c>
      <c r="Q49" s="14"/>
      <c r="R49" s="14"/>
      <c r="S49"/>
      <c r="T49" s="238"/>
      <c r="U49" s="59" t="s">
        <v>156</v>
      </c>
      <c r="V49" s="299">
        <v>43650</v>
      </c>
    </row>
    <row r="50" spans="2:23" s="230" customFormat="1" ht="17.399999999999999" x14ac:dyDescent="0.35">
      <c r="G50"/>
      <c r="K50" s="230">
        <f>K49/1.19</f>
        <v>33613.445378151264</v>
      </c>
      <c r="L50" s="250"/>
      <c r="M50" s="13"/>
      <c r="N50" s="14"/>
      <c r="O50" s="17">
        <f>O48/O47</f>
        <v>2.1</v>
      </c>
      <c r="P50" s="15"/>
      <c r="Q50" s="14"/>
      <c r="R50"/>
      <c r="S50"/>
      <c r="T50" s="238"/>
      <c r="U50" s="59" t="s">
        <v>158</v>
      </c>
      <c r="V50" s="300" t="s">
        <v>157</v>
      </c>
      <c r="W50" s="59">
        <v>2.4</v>
      </c>
    </row>
    <row r="51" spans="2:23" s="230" customFormat="1" ht="17.399999999999999" x14ac:dyDescent="0.35">
      <c r="G51" s="23"/>
      <c r="L51" s="12"/>
      <c r="Q51"/>
      <c r="T51" s="238"/>
      <c r="U51" s="59" t="s">
        <v>159</v>
      </c>
      <c r="V51" s="301">
        <v>395.37</v>
      </c>
    </row>
    <row r="52" spans="2:23" s="230" customFormat="1" ht="17.399999999999999" x14ac:dyDescent="0.35">
      <c r="B52"/>
      <c r="C52" s="228"/>
      <c r="D52" s="22"/>
      <c r="E52" s="22"/>
      <c r="F52" s="21"/>
      <c r="G52" s="23"/>
      <c r="L52" s="12"/>
      <c r="T52" s="238"/>
      <c r="U52" s="59" t="s">
        <v>154</v>
      </c>
      <c r="V52" s="59">
        <v>474.45</v>
      </c>
    </row>
    <row r="53" spans="2:23" ht="14.4" customHeight="1" x14ac:dyDescent="0.3">
      <c r="L53" s="12"/>
      <c r="U53" s="59"/>
      <c r="V53" s="59"/>
    </row>
    <row r="54" spans="2:23" x14ac:dyDescent="0.3">
      <c r="L54" s="250"/>
    </row>
    <row r="55" spans="2:23" x14ac:dyDescent="0.3">
      <c r="L55" s="250"/>
      <c r="T55" s="270"/>
    </row>
    <row r="56" spans="2:23" x14ac:dyDescent="0.3">
      <c r="L56" s="250"/>
    </row>
    <row r="57" spans="2:23" ht="15" customHeight="1" x14ac:dyDescent="0.3"/>
    <row r="59" spans="2:23" x14ac:dyDescent="0.3">
      <c r="O59">
        <v>40935</v>
      </c>
      <c r="P59" t="s">
        <v>16</v>
      </c>
      <c r="Q59" t="s">
        <v>26</v>
      </c>
    </row>
    <row r="61" spans="2:23" x14ac:dyDescent="0.3">
      <c r="O61" s="54"/>
      <c r="P61" s="54"/>
    </row>
    <row r="62" spans="2:23" x14ac:dyDescent="0.3">
      <c r="S62" s="18"/>
      <c r="T62" s="18"/>
    </row>
    <row r="63" spans="2:23" x14ac:dyDescent="0.3">
      <c r="S63" s="18"/>
      <c r="T63" s="18"/>
    </row>
    <row r="64" spans="2:23" x14ac:dyDescent="0.3">
      <c r="S64" s="18"/>
      <c r="T64" s="18"/>
    </row>
    <row r="65" spans="15:20" x14ac:dyDescent="0.3">
      <c r="S65" s="18"/>
      <c r="T65" s="18"/>
    </row>
    <row r="66" spans="15:20" x14ac:dyDescent="0.3">
      <c r="S66" s="18"/>
      <c r="T66" s="18"/>
    </row>
    <row r="67" spans="15:20" x14ac:dyDescent="0.3">
      <c r="S67" s="18"/>
      <c r="T67" s="18"/>
    </row>
    <row r="68" spans="15:20" x14ac:dyDescent="0.3">
      <c r="S68" s="18"/>
      <c r="T68" s="18"/>
    </row>
    <row r="69" spans="15:20" x14ac:dyDescent="0.3">
      <c r="S69" s="18"/>
      <c r="T69" s="18"/>
    </row>
    <row r="70" spans="15:20" x14ac:dyDescent="0.3">
      <c r="S70" s="18"/>
      <c r="T70" s="18"/>
    </row>
    <row r="73" spans="15:20" x14ac:dyDescent="0.3">
      <c r="O73" s="43"/>
    </row>
    <row r="74" spans="15:20" x14ac:dyDescent="0.3">
      <c r="O74" s="43"/>
    </row>
    <row r="75" spans="15:20" x14ac:dyDescent="0.3">
      <c r="O75" s="6"/>
    </row>
    <row r="76" spans="15:20" x14ac:dyDescent="0.3">
      <c r="O76" s="6"/>
    </row>
    <row r="84" spans="3:3" x14ac:dyDescent="0.3">
      <c r="C84" t="s">
        <v>146</v>
      </c>
    </row>
    <row r="85" spans="3:3" x14ac:dyDescent="0.3">
      <c r="C85" t="s">
        <v>145</v>
      </c>
    </row>
    <row r="88" spans="3:3" x14ac:dyDescent="0.3">
      <c r="C88" t="s">
        <v>145</v>
      </c>
    </row>
    <row r="165" spans="3:3" x14ac:dyDescent="0.3">
      <c r="C165" t="s">
        <v>145</v>
      </c>
    </row>
    <row r="166" spans="3:3" x14ac:dyDescent="0.3">
      <c r="C166" t="s">
        <v>147</v>
      </c>
    </row>
    <row r="167" spans="3:3" x14ac:dyDescent="0.3">
      <c r="C167" t="s">
        <v>148</v>
      </c>
    </row>
    <row r="592" spans="3:3" x14ac:dyDescent="0.3">
      <c r="C592" t="s">
        <v>145</v>
      </c>
    </row>
  </sheetData>
  <mergeCells count="2">
    <mergeCell ref="F17:H17"/>
    <mergeCell ref="B19:H19"/>
  </mergeCells>
  <phoneticPr fontId="34" type="noConversion"/>
  <hyperlinks>
    <hyperlink ref="F4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5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45966</v>
      </c>
    </row>
    <row r="6" spans="2:31" ht="16.2" thickBot="1" x14ac:dyDescent="0.35">
      <c r="B6" s="140" t="s">
        <v>2</v>
      </c>
      <c r="C6" s="139" t="str">
        <f>'2229'!C10</f>
        <v>SISTEMA MUEBLES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7" t="s">
        <v>97</v>
      </c>
      <c r="I7" s="348"/>
      <c r="J7" s="348"/>
      <c r="K7" s="349"/>
      <c r="N7" s="75"/>
      <c r="O7" s="346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11478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46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-484384.73370012082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'2229'!H35</f>
        <v>7534402</v>
      </c>
      <c r="E11" s="132">
        <f>D11*0.19</f>
        <v>1431536.3800000001</v>
      </c>
      <c r="F11" s="131">
        <f>E11+D11</f>
        <v>8965938.3800000008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-378394.73370012082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2804905.2107874397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-396394.73370012082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4729496.7892125603</v>
      </c>
      <c r="E13" s="221">
        <f>(D11/D12)-1</f>
        <v>1.6861520920647499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-405394.73370012082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-444394.73370012082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4628093.5977992751</v>
      </c>
      <c r="F15" s="216">
        <f>E15-D12</f>
        <v>1823188.3870118354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-444394.73370012082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-404394.73370012082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'2229'!O43</f>
        <v>1020500</v>
      </c>
      <c r="E18" s="123">
        <f>D18*0.19</f>
        <v>193895</v>
      </c>
      <c r="F18" s="120">
        <f>SUM(D18:E18)</f>
        <v>1214395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'2229'!O42</f>
        <v>1053240</v>
      </c>
      <c r="E19" s="123">
        <f>D19*0.19</f>
        <v>200115.6</v>
      </c>
      <c r="F19" s="120">
        <f>SUM(D19:E19)</f>
        <v>1253355.6000000001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'2229'!O41</f>
        <v>701331.12000000011</v>
      </c>
      <c r="E20" s="121">
        <f>D20*0.19</f>
        <v>133252.91280000002</v>
      </c>
      <c r="F20" s="120">
        <f>SUM(D20:E20)</f>
        <v>834584.03280000016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2775071.12</v>
      </c>
      <c r="E21" s="116">
        <f>SUM(E18:E20)</f>
        <v>527263.51280000003</v>
      </c>
      <c r="F21" s="115">
        <f>SUM(F18:F20)</f>
        <v>3302334.6328000003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904272.8672000001</v>
      </c>
    </row>
    <row r="41" spans="2:16" ht="15" thickBot="1" x14ac:dyDescent="0.35">
      <c r="H41" s="350" t="s">
        <v>59</v>
      </c>
      <c r="I41" s="351"/>
      <c r="J41" s="351"/>
      <c r="K41" s="351"/>
      <c r="L41" s="351"/>
      <c r="M41" s="352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7534402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2775071.12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4729496.7892125603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4729496.7892125603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2025-04-10T23:23:01Z</cp:lastPrinted>
  <dcterms:created xsi:type="dcterms:W3CDTF">2013-03-18T13:35:42Z</dcterms:created>
  <dcterms:modified xsi:type="dcterms:W3CDTF">2025-11-05T22:02:34Z</dcterms:modified>
</cp:coreProperties>
</file>