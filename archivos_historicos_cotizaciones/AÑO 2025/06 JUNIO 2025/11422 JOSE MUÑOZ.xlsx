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ED9BD6D1-3681-420E-B6AB-83EFA6872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2" i="1"/>
  <c r="K21" i="1"/>
  <c r="I49" i="1"/>
  <c r="J33" i="1"/>
  <c r="J38" i="1"/>
  <c r="J39" i="1" s="1"/>
  <c r="N36" i="1"/>
  <c r="R22" i="1" l="1"/>
  <c r="N35" i="1"/>
  <c r="N37" i="1"/>
  <c r="N38" i="1"/>
  <c r="J42" i="1" l="1"/>
  <c r="L21" i="1"/>
  <c r="L27" i="1" s="1"/>
  <c r="M21" i="1"/>
  <c r="S21" i="1" l="1"/>
  <c r="S27" i="1" s="1"/>
  <c r="S28" i="1" s="1"/>
  <c r="S29" i="1" s="1"/>
  <c r="R21" i="1"/>
  <c r="R29" i="1" s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Q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E15" i="3"/>
  <c r="P21" i="1" l="1"/>
  <c r="G21" i="1" s="1"/>
  <c r="F15" i="3"/>
  <c r="Q21" i="1" l="1"/>
  <c r="H21" i="1" l="1"/>
  <c r="H27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<sst xmlns="http://schemas.openxmlformats.org/spreadsheetml/2006/main" count="238" uniqueCount="182">
  <si>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</si>
  <si>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</si>
  <si>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</si>
  <si>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</si>
  <si>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</si>
  <si>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</si>
  <si>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</si>
  <si>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</si>
  <si>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</si>
  <si>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</si>
  <si>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</si>
  <si>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</si>
  <si>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</si>
  <si>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</si>
  <si>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</si>
  <si>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</si>
  <si>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</si>
  <si>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</si>
  <si>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</si>
  <si>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</si>
  <si>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</si>
  <si>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</si>
  <si>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</si>
  <si>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</si>
  <si>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</si>
  <si>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</si>
  <si>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</si>
  <si>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</si>
  <si>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</si>
  <si>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</si>
  <si>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</si>
  <si>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</si>
  <si>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</si>
  <si>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</si>
  <si>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</si>
  <si>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</si>
  <si>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</si>
  <si>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</si>
  <si>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</si>
  <si>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</si>
  <si>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</si>
  <si>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</si>
  <si>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</si>
  <si>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</si>
  <si>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</si>
  <si>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</si>
  <si>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</si>
  <si>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</si>
  <si>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</si>
  <si>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</si>
  <si>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</si>
  <si>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</si>
  <si>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</si>
  <si>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</si>
  <si>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</si>
  <si>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</si>
  <si>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</si>
  <si>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</si>
  <si>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</si>
  <si>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</si>
  <si>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</si>
  <si>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</si>
  <si>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</si>
  <si>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</si>
  <si>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</si>
  <si>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</si>
  <si>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</si>
  <si>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</si>
  <si>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</si>
  <si>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</si>
  <si>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</si>
  <si>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</si>
  <si>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</si>
  <si>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</si>
  <si>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</si>
  <si>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</si>
  <si>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</si>
  <si>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</si>
  <si>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</si>
  <si>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</si>
  <si>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</si>
  <si>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</si>
  <si>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</si>
  <si>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</si>
  <si>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</si>
  <si>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</si>
  <si>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</si>
  <si>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</si>
  <si>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</si>
  <si>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</si>
  <si>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</si>
  <si>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</si>
  <si>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</si>
  <si>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</si>
  <si>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</si>
  <si>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</si>
  <si>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</si>
  <si>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</si>
  <si>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</si>
  <si>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</si>
  <si>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</si>
  <si>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</si>
  <si>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</si>
  <si>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</si>
  <si>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</si>
  <si>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</si>
  <si>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</si>
  <si>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</si>
  <si>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</si>
  <si>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</si>
  <si>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</si>
  <si>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</si>
  <si>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</si>
  <si>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</si>
  <si>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</si>
  <si>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</si>
  <si>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</si>
  <si>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</si>
  <si>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</si>
  <si>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</si>
  <si>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</si>
  <si>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</si>
  <si>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</si>
  <si>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</si>
  <si>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</si>
  <si>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</si>
  <si>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</si>
  <si>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</si>
  <si>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</si>
  <si>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</si>
  <si>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</si>
  <si>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</si>
  <si>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</si>
  <si>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</si>
  <si>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</si>
  <si>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</si>
  <si>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</si>
  <si>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</si>
  <si>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</si>
  <si>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</si>
  <si>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</si>
  <si>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</si>
  <si>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</si>
  <si>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</si>
  <si>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</si>
  <si>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</si>
  <si>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</si>
  <si>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</si>
  <si>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</si>
  <si>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</si>
  <si>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</si>
  <si>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</si>
  <si>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</si>
  <si>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</si>
  <si>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</si>
  <si>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</si>
  <si>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</si>
  <si>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</si>
  <si>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</si>
  <si>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</si>
  <si>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</si>
  <si>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</si>
  <si>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</si>
  <si>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</si>
  <si>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</si>
  <si>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GRIS NUBE</t>
  </si>
  <si>
    <t>KING</t>
  </si>
  <si>
    <t>MDF 3MM</t>
  </si>
  <si>
    <t>152X244</t>
  </si>
  <si>
    <t>LAMINA 122 X 306</t>
  </si>
  <si>
    <t>5 DIAS HABILES</t>
  </si>
  <si>
    <t>DURACION COTIZACION: 5 DIAS                            FRANCO DONOSO</t>
  </si>
  <si>
    <t>JOSE MUÑOZ</t>
  </si>
  <si>
    <t>+569 9843 3740</t>
  </si>
  <si>
    <t>CUBIERTA ENCHAPADA FRENTE RECTO</t>
  </si>
  <si>
    <t>VARAS MENA 1080, SAN MIGUEL</t>
  </si>
  <si>
    <t>N° 11422</t>
  </si>
  <si>
    <t>CUBIERTA CON RESPALDO FRENTE 180°</t>
  </si>
  <si>
    <t>DESPACHO MAS INSTALACION</t>
  </si>
  <si>
    <t xml:space="preserve">DESFONDADOS </t>
  </si>
  <si>
    <t>WHITE MARBLE BRILLO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</si>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</sst>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5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25</xdr:row>
      <xdr:rowOff>206170</xdr:rowOff>
    </xdr:from>
    <xdr:to>
      <xdr:col>5</xdr:col>
      <xdr:colOff>1643259</xdr:colOff>
      <xdr:row>29</xdr:row>
      <xdr:rowOff>24581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794557"/>
          <a:ext cx="7370548" cy="71970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3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51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172</v>
      </c>
      <c r="D10" s="243"/>
      <c r="E10" s="243"/>
      <c r="F10" s="244" t="s">
        <v>0</v>
      </c>
      <c r="G10" s="277">
        <v>45784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181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173</v>
      </c>
      <c r="D15" s="316"/>
      <c r="F15" t="s">
        <v>135</v>
      </c>
      <c r="G15" s="314" t="s">
        <v>181</v>
      </c>
      <c r="H15" s="290"/>
    </row>
    <row r="16" spans="2:23" ht="16.8" x14ac:dyDescent="0.4">
      <c r="B16" s="322" t="s">
        <v>3</v>
      </c>
      <c r="C16" s="312" t="s">
        <v>175</v>
      </c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164</v>
      </c>
      <c r="D17" s="319"/>
      <c r="E17" s="119"/>
      <c r="F17" s="334" t="s">
        <v>171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147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>
        <v>0.08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61847.801595214376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29">
        <v>1</v>
      </c>
      <c r="C21" s="330" t="s">
        <v>177</v>
      </c>
      <c r="D21" s="331">
        <v>2.31</v>
      </c>
      <c r="E21" s="331">
        <v>0.6</v>
      </c>
      <c r="F21" s="330" t="s">
        <v>180</v>
      </c>
      <c r="G21" s="332">
        <f>P21</f>
        <v>99253.352000000014</v>
      </c>
      <c r="H21" s="333">
        <f>G21*B21</f>
        <v>99253.352000000014</v>
      </c>
      <c r="I21" s="265"/>
      <c r="J21" s="47"/>
      <c r="K21" s="327">
        <f>B21</f>
        <v>1</v>
      </c>
      <c r="L21" s="39">
        <f t="shared" ref="L21" si="1">D21+L$19</f>
        <v>2.36</v>
      </c>
      <c r="M21" s="39">
        <f t="shared" ref="M21" si="2">E21+M$19</f>
        <v>0.67999999999999994</v>
      </c>
      <c r="N21" s="261">
        <f t="shared" ref="N21" si="3">L21*M21</f>
        <v>1.6047999999999998</v>
      </c>
      <c r="O21" s="259">
        <f t="shared" ref="O21" si="4">N21*K21</f>
        <v>1.6047999999999998</v>
      </c>
      <c r="P21" s="252">
        <f t="shared" ref="P21" si="5">P$20*N21</f>
        <v>99253.352000000014</v>
      </c>
      <c r="Q21" s="326">
        <f t="shared" ref="Q21" si="6">P21+Q$20</f>
        <v>109253.35200000001</v>
      </c>
      <c r="R21" s="298">
        <f>L21*K21*2</f>
        <v>4.72</v>
      </c>
      <c r="S21" s="46">
        <f>M21*2*K21</f>
        <v>1.3599999999999999</v>
      </c>
      <c r="T21" s="9"/>
      <c r="W21" s="4"/>
    </row>
    <row r="22" spans="2:24" ht="17.399999999999999" x14ac:dyDescent="0.3">
      <c r="B22" s="346">
        <v>1</v>
      </c>
      <c r="C22" s="347" t="s">
        <v>174</v>
      </c>
      <c r="D22" s="348">
        <v>1.55</v>
      </c>
      <c r="E22" s="348">
        <v>0.8</v>
      </c>
      <c r="F22" s="330" t="s">
        <v>180</v>
      </c>
      <c r="G22" s="349">
        <v>35000</v>
      </c>
      <c r="H22" s="350">
        <f>G22*B22</f>
        <v>35000</v>
      </c>
      <c r="I22" s="265"/>
      <c r="J22" s="47"/>
      <c r="K22" s="327"/>
      <c r="L22" s="39"/>
      <c r="M22" s="39"/>
      <c r="N22" s="261"/>
      <c r="O22" s="259"/>
      <c r="P22" s="252"/>
      <c r="Q22" s="326"/>
      <c r="R22" s="298">
        <f t="shared" ref="R22" si="7">L22*K22*2</f>
        <v>0</v>
      </c>
      <c r="S22" s="46"/>
      <c r="T22" s="9"/>
      <c r="W22" s="4"/>
    </row>
    <row r="23" spans="2:24" ht="17.399999999999999" x14ac:dyDescent="0.3">
      <c r="B23" s="351">
        <v>2</v>
      </c>
      <c r="C23" s="351" t="s">
        <v>179</v>
      </c>
      <c r="D23" s="352"/>
      <c r="E23" s="352"/>
      <c r="F23" s="351"/>
      <c r="G23" s="349">
        <v>10000</v>
      </c>
      <c r="H23" s="350">
        <f>G23*B23</f>
        <v>20000</v>
      </c>
      <c r="I23" s="265"/>
      <c r="J23" s="47"/>
      <c r="K23" s="327"/>
      <c r="L23" s="39"/>
      <c r="M23" s="39"/>
      <c r="N23" s="261"/>
      <c r="O23" s="259"/>
      <c r="P23" s="252"/>
      <c r="Q23" s="326"/>
      <c r="R23" s="298"/>
      <c r="S23" s="46"/>
      <c r="T23" s="9"/>
      <c r="W23" s="4"/>
    </row>
    <row r="24" spans="2:24" ht="17.399999999999999" x14ac:dyDescent="0.3">
      <c r="B24" s="351">
        <v>1</v>
      </c>
      <c r="C24" s="351" t="s">
        <v>178</v>
      </c>
      <c r="D24" s="352"/>
      <c r="E24" s="352"/>
      <c r="F24" s="351"/>
      <c r="G24" s="353">
        <v>80000</v>
      </c>
      <c r="H24" s="353">
        <f>G24*B24</f>
        <v>80000</v>
      </c>
      <c r="I24" s="265"/>
      <c r="J24" s="47"/>
      <c r="K24" s="327"/>
      <c r="L24" s="39"/>
      <c r="M24" s="39"/>
      <c r="N24" s="261"/>
      <c r="O24" s="259"/>
      <c r="P24" s="252"/>
      <c r="Q24" s="326"/>
      <c r="R24" s="298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28"/>
      <c r="H25" s="328"/>
      <c r="I25" s="265"/>
      <c r="J25" s="47"/>
      <c r="K25" s="327"/>
      <c r="L25" s="39"/>
      <c r="M25" s="39"/>
      <c r="N25" s="261"/>
      <c r="O25" s="259"/>
      <c r="P25" s="252"/>
      <c r="Q25" s="326"/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>
        <v>0</v>
      </c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234253.35200000001</v>
      </c>
      <c r="I27" s="265"/>
      <c r="J27" s="47"/>
      <c r="K27" s="47"/>
      <c r="L27" s="39">
        <f>SUM(L21:L26)</f>
        <v>2.36</v>
      </c>
      <c r="M27" s="39"/>
      <c r="N27" s="261"/>
      <c r="O27" s="259"/>
      <c r="P27" s="252"/>
      <c r="Q27" s="258"/>
      <c r="R27" s="298"/>
      <c r="S27" s="46">
        <f>SUM(S21:S26)</f>
        <v>1.3599999999999999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/>
      <c r="I28" s="265"/>
      <c r="J28" s="47"/>
      <c r="K28" s="47"/>
      <c r="L28" s="39"/>
      <c r="M28" s="12"/>
      <c r="N28" s="12"/>
      <c r="O28" s="253">
        <f>SUM(O21:O22)</f>
        <v>1.6047999999999998</v>
      </c>
      <c r="P28" s="14"/>
      <c r="Q28" s="12"/>
      <c r="R28" s="239"/>
      <c r="S28" s="46">
        <f>S27*20%</f>
        <v>0.27199999999999996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234253.35200000001</v>
      </c>
      <c r="I29" s="265"/>
      <c r="J29" s="47"/>
      <c r="K29" s="47"/>
      <c r="L29" s="39"/>
      <c r="M29" s="12"/>
      <c r="N29" s="12"/>
      <c r="O29" s="253">
        <f>O28</f>
        <v>1.6047999999999998</v>
      </c>
      <c r="P29" s="14"/>
      <c r="Q29" s="12"/>
      <c r="R29" s="239">
        <f>SUM(R21:R28)</f>
        <v>4.72</v>
      </c>
      <c r="S29" s="46">
        <f>S27+S28</f>
        <v>1.6319999999999999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>
        <v>147074</v>
      </c>
      <c r="K30" s="47"/>
      <c r="L30" s="14"/>
      <c r="M30" s="12"/>
      <c r="N30" s="12"/>
      <c r="O30" s="39">
        <f>O29*20%</f>
        <v>0.32095999999999997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>
        <v>33749</v>
      </c>
      <c r="K31" s="47"/>
      <c r="L31" s="14"/>
      <c r="M31" s="12"/>
      <c r="N31" s="12"/>
      <c r="O31" s="46">
        <f>O29+O30</f>
        <v>1.9257599999999997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>
        <v>94650</v>
      </c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152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>
        <f>SUM(J30:J32)</f>
        <v>275473</v>
      </c>
      <c r="K33" s="47"/>
      <c r="L33" s="39">
        <f>O31</f>
        <v>1.9257599999999997</v>
      </c>
      <c r="M33" s="12">
        <v>3500</v>
      </c>
      <c r="N33" s="12">
        <f t="shared" ref="N33:N38" si="8">L33*M33</f>
        <v>6740.1599999999989</v>
      </c>
      <c r="O33" s="14" t="s">
        <v>22</v>
      </c>
      <c r="P33" s="14"/>
      <c r="Q33" s="14"/>
      <c r="R33" s="241"/>
      <c r="S33" s="14"/>
      <c r="T33" s="305" t="s">
        <v>153</v>
      </c>
      <c r="U33" s="302">
        <v>3625</v>
      </c>
      <c r="V33" s="59" t="s">
        <v>154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0.53500000000000003</v>
      </c>
      <c r="M34" s="12">
        <v>25000</v>
      </c>
      <c r="N34" s="12">
        <f t="shared" si="8"/>
        <v>13375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155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61860</v>
      </c>
      <c r="N35" s="12">
        <f t="shared" si="8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156</v>
      </c>
      <c r="W35" s="59"/>
    </row>
    <row r="36" spans="2:23" s="230" customFormat="1" ht="17.399999999999999" x14ac:dyDescent="0.35">
      <c r="B36" s="24" t="s">
        <v>151</v>
      </c>
      <c r="I36" s="262"/>
      <c r="J36" s="232"/>
      <c r="K36" s="250"/>
      <c r="L36" s="14">
        <v>1</v>
      </c>
      <c r="M36" s="250">
        <v>25000</v>
      </c>
      <c r="N36" s="12">
        <f t="shared" si="8"/>
        <v>25000</v>
      </c>
      <c r="O36" s="14" t="s">
        <v>169</v>
      </c>
      <c r="P36" s="17"/>
      <c r="R36" s="238"/>
      <c r="S36" s="256"/>
      <c r="T36" s="59"/>
      <c r="U36" s="59">
        <f>U34+U35</f>
        <v>1087.5</v>
      </c>
      <c r="V36" s="307" t="s">
        <v>157</v>
      </c>
      <c r="W36" s="59"/>
    </row>
    <row r="37" spans="2:23" s="230" customFormat="1" ht="17.399999999999999" x14ac:dyDescent="0.35">
      <c r="B37" s="24" t="s">
        <v>144</v>
      </c>
      <c r="C37"/>
      <c r="D37"/>
      <c r="E37"/>
      <c r="F37"/>
      <c r="I37" s="262"/>
      <c r="J37" s="230">
        <v>27000</v>
      </c>
      <c r="K37" s="250"/>
      <c r="L37" s="249"/>
      <c r="M37" s="250">
        <v>300</v>
      </c>
      <c r="N37" s="12">
        <f t="shared" si="8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J38" s="230">
        <f>J37*19%</f>
        <v>5130</v>
      </c>
      <c r="K38" s="250"/>
      <c r="L38" s="266"/>
      <c r="M38" s="12">
        <v>1500</v>
      </c>
      <c r="N38" s="12">
        <f t="shared" si="8"/>
        <v>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I39" s="230" t="s">
        <v>166</v>
      </c>
      <c r="J39" s="230">
        <f>J37+J38</f>
        <v>32130</v>
      </c>
      <c r="K39" s="250"/>
      <c r="L39" s="14"/>
      <c r="M39" s="12"/>
      <c r="N39" s="12">
        <f>SUM(N33:N38)</f>
        <v>45115.16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99253.352000000014</v>
      </c>
      <c r="O40" s="14" t="s">
        <v>141</v>
      </c>
      <c r="P40" s="14"/>
      <c r="Q40" s="40">
        <f>O31/Q39</f>
        <v>0.51924072476272642</v>
      </c>
      <c r="R40"/>
      <c r="S40" s="257"/>
    </row>
    <row r="41" spans="2:23" s="230" customFormat="1" ht="17.399999999999999" x14ac:dyDescent="0.35">
      <c r="G41"/>
      <c r="H41" s="260"/>
      <c r="I41" s="230" t="s">
        <v>165</v>
      </c>
      <c r="J41" s="230">
        <v>23560</v>
      </c>
      <c r="K41" s="250">
        <v>0</v>
      </c>
      <c r="L41" s="14"/>
      <c r="M41" s="12"/>
      <c r="N41" s="12">
        <f>N40/O29</f>
        <v>61847.801595214376</v>
      </c>
      <c r="O41" s="45" t="s">
        <v>25</v>
      </c>
      <c r="P41" s="14"/>
      <c r="Q41" s="14"/>
      <c r="R41"/>
      <c r="S41" s="238"/>
      <c r="T41" s="59" t="s">
        <v>158</v>
      </c>
      <c r="U41" s="302">
        <v>43650</v>
      </c>
    </row>
    <row r="42" spans="2:23" s="230" customFormat="1" ht="17.399999999999999" x14ac:dyDescent="0.35">
      <c r="G42"/>
      <c r="J42" s="230">
        <f>J41/1.19</f>
        <v>19798.319327731093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160</v>
      </c>
      <c r="U42" s="303" t="s">
        <v>159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161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I44" s="230" t="s">
        <v>167</v>
      </c>
      <c r="K44" s="12"/>
      <c r="S44" s="238"/>
      <c r="T44" s="59" t="s">
        <v>156</v>
      </c>
      <c r="U44" s="59">
        <v>474.45</v>
      </c>
    </row>
    <row r="45" spans="2:23" ht="14.4" customHeight="1" x14ac:dyDescent="0.3">
      <c r="I45" t="s">
        <v>168</v>
      </c>
      <c r="J45">
        <v>8990</v>
      </c>
      <c r="K45" s="12"/>
      <c r="T45" s="59"/>
      <c r="U45" s="59"/>
    </row>
    <row r="46" spans="2:23" x14ac:dyDescent="0.3">
      <c r="K46" s="250"/>
    </row>
    <row r="47" spans="2:23" x14ac:dyDescent="0.3">
      <c r="I47">
        <v>46850</v>
      </c>
      <c r="K47" s="250"/>
      <c r="S47" s="270"/>
    </row>
    <row r="48" spans="2:23" x14ac:dyDescent="0.3">
      <c r="K48" s="250"/>
    </row>
    <row r="49" spans="9:19" ht="15" customHeight="1" x14ac:dyDescent="0.3">
      <c r="I49">
        <f>I47/1.19</f>
        <v>39369.747899159665</v>
      </c>
    </row>
    <row r="51" spans="9:19" x14ac:dyDescent="0.3">
      <c r="N51">
        <v>40935</v>
      </c>
      <c r="O51" t="s">
        <v>17</v>
      </c>
      <c r="P51" t="s">
        <v>27</v>
      </c>
    </row>
    <row r="53" spans="9:19" x14ac:dyDescent="0.3">
      <c r="N53" s="54"/>
      <c r="O53" s="54"/>
    </row>
    <row r="54" spans="9:19" x14ac:dyDescent="0.3">
      <c r="R54" s="18"/>
      <c r="S54" s="18"/>
    </row>
    <row r="55" spans="9:19" x14ac:dyDescent="0.3">
      <c r="R55" s="18"/>
      <c r="S55" s="18"/>
    </row>
    <row r="56" spans="9:19" x14ac:dyDescent="0.3">
      <c r="R56" s="18"/>
      <c r="S56" s="18"/>
    </row>
    <row r="57" spans="9:19" x14ac:dyDescent="0.3">
      <c r="R57" s="18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148</v>
      </c>
    </row>
    <row r="77" spans="3:14" x14ac:dyDescent="0.3">
      <c r="C77" t="s">
        <v>147</v>
      </c>
    </row>
    <row r="80" spans="3:14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45784</v>
      </c>
    </row>
    <row r="6" spans="2:31" ht="16.2" thickBot="1" x14ac:dyDescent="0.35">
      <c r="B6" s="140" t="s">
        <v>2</v>
      </c>
      <c r="C6" s="139" t="str">
        <f>'2229'!C10</f>
        <v>JOSE MUÑOZ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11422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-25306.181366787441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234253.35200000001</v>
      </c>
      <c r="E11" s="132">
        <f>D11*0.19</f>
        <v>44508.136880000005</v>
      </c>
      <c r="F11" s="131">
        <f>E11+D11</f>
        <v>278761.48888000002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80683.818633212562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49949.250787439611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62683.818633212562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184304.1012125604</v>
      </c>
      <c r="E13" s="221">
        <f>(D11/D12)-1</f>
        <v>3.6898271406886858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53683.818633212562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14683.818633212559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82416.263799275359</v>
      </c>
      <c r="F15" s="216">
        <f>E15-D12</f>
        <v>32467.013011835748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14683.818633212559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54683.818633212562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13375</v>
      </c>
      <c r="E19" s="123">
        <f>D19*0.19</f>
        <v>2541.25</v>
      </c>
      <c r="F19" s="120">
        <f>SUM(D19:E19)</f>
        <v>15916.25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6740.1599999999989</v>
      </c>
      <c r="E20" s="121">
        <f>D20*0.19</f>
        <v>1280.6303999999998</v>
      </c>
      <c r="F20" s="120">
        <f>SUM(D20:E20)</f>
        <v>8020.790399999999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20115.16</v>
      </c>
      <c r="E21" s="116">
        <f>SUM(E18:E20)</f>
        <v>3821.8804</v>
      </c>
      <c r="F21" s="115">
        <f>SUM(F18:F20)</f>
        <v>23937.040399999998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40686.256480000004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234253.35200000001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20115.16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184304.1012125604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184304.1012125604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2025-05-06T21:07:06Z</cp:lastPrinted>
  <dcterms:created xsi:type="dcterms:W3CDTF">2013-03-18T13:35:42Z</dcterms:created>
  <dcterms:modified xsi:type="dcterms:W3CDTF">2025-05-07T21:50:57Z</dcterms:modified>
</cp:coreProperties>
</file>