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7506FFA9-E70D-475B-8AC7-A5F15616A6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" l="1"/>
  <c r="K22" i="1"/>
  <c r="L22" i="1"/>
  <c r="M22" i="1"/>
  <c r="K23" i="1"/>
  <c r="L23" i="1"/>
  <c r="M23" i="1"/>
  <c r="H22" i="1"/>
  <c r="H23" i="1"/>
  <c r="K21" i="1"/>
  <c r="J40" i="1"/>
  <c r="N22" i="1" l="1"/>
  <c r="O22" i="1" s="1"/>
  <c r="N23" i="1"/>
  <c r="O23" i="1" s="1"/>
  <c r="L21" i="1"/>
  <c r="M21" i="1"/>
  <c r="N21" i="1" l="1"/>
  <c r="O21" i="1" s="1"/>
  <c r="O27" i="1" s="1"/>
  <c r="R21" i="1"/>
  <c r="N33" i="1"/>
  <c r="O28" i="1" l="1"/>
  <c r="S45" i="1"/>
  <c r="O29" i="1" l="1"/>
  <c r="M20" i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O30" i="1" l="1"/>
  <c r="L32" i="1" s="1"/>
  <c r="N32" i="1" l="1"/>
  <c r="S46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3" i="1" l="1"/>
  <c r="Q23" i="1" s="1"/>
  <c r="P22" i="1"/>
  <c r="Q22" i="1" s="1"/>
  <c r="P21" i="1"/>
  <c r="F15" i="3"/>
  <c r="Q21" i="1" l="1"/>
  <c r="H21" i="1"/>
  <c r="R28" i="1"/>
  <c r="H26" i="1" l="1"/>
  <c r="H28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<sst xmlns="http://schemas.openxmlformats.org/spreadsheetml/2006/main" count="222" uniqueCount="164">
  <si>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</si>
  <si>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</si>
  <si>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</si>
  <si>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</si>
  <si>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</si>
  <si>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</si>
  <si>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</si>
  <si>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</si>
  <si>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</si>
  <si>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</si>
  <si>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</si>
  <si>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</si>
  <si>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</si>
  <si>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</si>
  <si>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</si>
  <si>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</si>
  <si>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</si>
  <si>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</si>
  <si>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</si>
  <si>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</si>
  <si>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</si>
  <si>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</si>
  <si>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</si>
  <si>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</si>
  <si>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</si>
  <si>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</si>
  <si>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</si>
  <si>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</si>
  <si>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</si>
  <si>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</si>
  <si>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</si>
  <si>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</si>
  <si>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</si>
  <si>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</si>
  <si>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</si>
  <si>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</si>
  <si>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</si>
  <si>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</si>
  <si>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</si>
  <si>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</si>
  <si>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</si>
  <si>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</si>
  <si>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</si>
  <si>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</si>
  <si>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</si>
  <si>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</si>
  <si>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</si>
  <si>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</si>
  <si>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</si>
  <si>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</si>
  <si>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</si>
  <si>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</si>
  <si>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</si>
  <si>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</si>
  <si>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</si>
  <si>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</si>
  <si>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</si>
  <si>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</si>
  <si>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</si>
  <si>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</si>
  <si>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</si>
  <si>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</si>
  <si>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</si>
  <si>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</si>
  <si>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</si>
  <si>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</si>
  <si>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</si>
  <si>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</si>
  <si>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</si>
  <si>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</si>
  <si>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</si>
  <si>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</si>
  <si>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</si>
  <si>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</si>
  <si>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</si>
  <si>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</si>
  <si>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</si>
  <si>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</si>
  <si>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</si>
  <si>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</si>
  <si>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</si>
  <si>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</si>
  <si>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</si>
  <si>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</si>
  <si>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</si>
  <si>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</si>
  <si>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</si>
  <si>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</si>
  <si>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</si>
  <si>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</si>
  <si>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</si>
  <si>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</si>
  <si>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</si>
  <si>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</si>
  <si>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</si>
  <si>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</si>
  <si>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</si>
  <si>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</si>
  <si>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</si>
  <si>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</si>
  <si>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</si>
  <si>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</si>
  <si>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</si>
  <si>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</si>
  <si>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</si>
  <si>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</si>
  <si>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</si>
  <si>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</si>
  <si>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</si>
  <si>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</si>
  <si>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</si>
  <si>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</si>
  <si>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</si>
  <si>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</si>
  <si>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</si>
  <si>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</si>
  <si>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</si>
  <si>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</si>
  <si>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</si>
  <si>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</si>
  <si>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</si>
  <si>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</si>
  <si>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</si>
  <si>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</si>
  <si>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</si>
  <si>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</si>
  <si>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</si>
  <si>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</si>
  <si>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</si>
  <si>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</si>
  <si>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</si>
  <si>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</si>
  <si>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</si>
  <si>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</si>
  <si>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</si>
  <si>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</si>
  <si>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</si>
  <si>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</si>
  <si>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</si>
  <si>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</si>
  <si>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</si>
  <si>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</si>
  <si>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</si>
  <si>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</si>
  <si>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</si>
  <si>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</si>
  <si>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</si>
  <si>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</si>
  <si>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</si>
  <si>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</si>
  <si>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</si>
  <si>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</si>
  <si>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</si>
  <si>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</si>
  <si>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</si>
  <si>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</si>
  <si>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</si>
  <si>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</si>
  <si>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</si>
  <si>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N° 11457</t>
  </si>
  <si>
    <t>DAVID DURAN</t>
  </si>
  <si>
    <t>+56978611428</t>
  </si>
  <si>
    <t>HAYA NATURAL 1803 MT</t>
  </si>
  <si>
    <t>PR8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</si>
</sst>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28575</xdr:rowOff>
    </xdr:from>
    <xdr:to>
      <xdr:col>8</xdr:col>
      <xdr:colOff>100890</xdr:colOff>
      <xdr:row>33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24</xdr:row>
      <xdr:rowOff>169545</xdr:rowOff>
    </xdr:from>
    <xdr:to>
      <xdr:col>5</xdr:col>
      <xdr:colOff>1764030</xdr:colOff>
      <xdr:row>28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CORTADA</a:t>
          </a:r>
          <a:r>
            <a:rPr lang="es-CL" sz="1200" b="1" baseline="0"/>
            <a:t> A LA MEDIDA Y ENCHAPADA LADO IZQUIERDO (2200X600)</a:t>
          </a:r>
        </a:p>
        <a:p>
          <a:pPr algn="l"/>
          <a:r>
            <a:rPr lang="es-CL" sz="1200" b="1" u="sng" baseline="0">
              <a:solidFill>
                <a:sysClr val="windowText" lastClr="000000"/>
              </a:solidFill>
            </a:rPr>
            <a:t>LAS OTRAS SOLO DESPUNTADAS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6" zoomScale="98" zoomScaleNormal="98" workbookViewId="0">
      <selection activeCell="G21" sqref="G21:H23"/>
    </sheetView>
  </sheetViews>
  <sheetFormatPr baseColWidth="10" defaultRowHeight="14.4" x14ac:dyDescent="0.3"/>
  <cols>
    <col min="1" max="1" width="6" customWidth="1"/>
    <col min="2" max="2" width="10.5546875" customWidth="1"/>
    <col min="3" max="3" width="28.6640625" customWidth="1"/>
    <col min="4" max="4" width="11.109375" customWidth="1"/>
    <col min="5" max="5" width="10.5546875" customWidth="1"/>
    <col min="6" max="6" width="27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45812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3" t="s">
        <v>155</v>
      </c>
      <c r="G17" s="323"/>
      <c r="H17" s="32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5" t="s">
        <v>149</v>
      </c>
      <c r="C19" s="326"/>
      <c r="D19" s="326"/>
      <c r="E19" s="326"/>
      <c r="F19" s="326"/>
      <c r="G19" s="326"/>
      <c r="H19" s="327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7" t="s">
        <v>7</v>
      </c>
      <c r="C20" s="319" t="s">
        <v>1</v>
      </c>
      <c r="D20" s="319" t="s">
        <v>10</v>
      </c>
      <c r="E20" s="319" t="s">
        <v>11</v>
      </c>
      <c r="F20" s="319" t="s">
        <v>8</v>
      </c>
      <c r="G20" s="319" t="s">
        <v>5</v>
      </c>
      <c r="H20" s="320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99557.822651448645</v>
      </c>
      <c r="Q20" s="258">
        <v>5000</v>
      </c>
      <c r="R20" s="38"/>
      <c r="S20" s="14" t="s">
        <v>130</v>
      </c>
      <c r="T20" s="9"/>
      <c r="W20" s="4"/>
    </row>
    <row r="21" spans="2:24" ht="17.399999999999999" x14ac:dyDescent="0.3">
      <c r="B21" s="318">
        <v>1</v>
      </c>
      <c r="C21" s="318" t="s">
        <v>37</v>
      </c>
      <c r="D21" s="321">
        <v>2.2000000000000002</v>
      </c>
      <c r="E21" s="321">
        <v>0.6</v>
      </c>
      <c r="F21" s="318" t="s">
        <v>162</v>
      </c>
      <c r="G21" s="322">
        <v>141195</v>
      </c>
      <c r="H21" s="322">
        <f t="shared" ref="H21" si="1">G21*B21</f>
        <v>141195</v>
      </c>
      <c r="I21" s="265"/>
      <c r="J21" s="47"/>
      <c r="K21" s="47">
        <f>B21</f>
        <v>1</v>
      </c>
      <c r="L21" s="39">
        <f t="shared" ref="L21:M21" si="2">D21+L$19</f>
        <v>2.2800000000000002</v>
      </c>
      <c r="M21" s="39">
        <f t="shared" si="2"/>
        <v>0.6</v>
      </c>
      <c r="N21" s="261">
        <f>L21*M21</f>
        <v>1.3680000000000001</v>
      </c>
      <c r="O21" s="259">
        <f>N21*K21</f>
        <v>1.3680000000000001</v>
      </c>
      <c r="P21" s="252">
        <f>P$20*N21</f>
        <v>136195.10138718176</v>
      </c>
      <c r="Q21" s="258">
        <f>P21+Q$20</f>
        <v>141195.10138718176</v>
      </c>
      <c r="R21" s="308">
        <f>K21*L21</f>
        <v>2.2800000000000002</v>
      </c>
      <c r="S21" s="14"/>
      <c r="T21" s="9"/>
      <c r="W21" s="4"/>
    </row>
    <row r="22" spans="2:24" ht="17.399999999999999" x14ac:dyDescent="0.3">
      <c r="B22" s="318">
        <v>1</v>
      </c>
      <c r="C22" s="318" t="s">
        <v>37</v>
      </c>
      <c r="D22" s="321">
        <v>1.74</v>
      </c>
      <c r="E22" s="321">
        <v>0.3</v>
      </c>
      <c r="F22" s="318" t="s">
        <v>162</v>
      </c>
      <c r="G22" s="322">
        <v>59359</v>
      </c>
      <c r="H22" s="322">
        <f t="shared" ref="H22:H23" si="3">G22*B22</f>
        <v>59359</v>
      </c>
      <c r="I22" s="265"/>
      <c r="J22" s="47"/>
      <c r="K22" s="47">
        <f t="shared" ref="K22:K23" si="4">B22</f>
        <v>1</v>
      </c>
      <c r="L22" s="39">
        <f t="shared" ref="L22:L23" si="5">D22+L$19</f>
        <v>1.82</v>
      </c>
      <c r="M22" s="39">
        <f t="shared" ref="M22:M23" si="6">E22+M$19</f>
        <v>0.3</v>
      </c>
      <c r="N22" s="261">
        <f t="shared" ref="N22:N23" si="7">L22*M22</f>
        <v>0.54600000000000004</v>
      </c>
      <c r="O22" s="259">
        <f t="shared" ref="O22:O23" si="8">N22*K22</f>
        <v>0.54600000000000004</v>
      </c>
      <c r="P22" s="252">
        <f t="shared" ref="P22:P23" si="9">P$20*N22</f>
        <v>54358.571167690963</v>
      </c>
      <c r="Q22" s="258">
        <f t="shared" ref="Q22:Q23" si="10">P22+Q$20</f>
        <v>59358.571167690963</v>
      </c>
      <c r="R22" s="308"/>
      <c r="S22" s="14"/>
      <c r="T22" s="9"/>
      <c r="W22" s="4"/>
    </row>
    <row r="23" spans="2:24" ht="17.399999999999999" x14ac:dyDescent="0.3">
      <c r="B23" s="318">
        <v>1</v>
      </c>
      <c r="C23" s="318" t="s">
        <v>163</v>
      </c>
      <c r="D23" s="321">
        <v>1.74</v>
      </c>
      <c r="E23" s="321">
        <v>0.2</v>
      </c>
      <c r="F23" s="318" t="s">
        <v>162</v>
      </c>
      <c r="G23" s="322">
        <v>41239</v>
      </c>
      <c r="H23" s="322">
        <f t="shared" si="3"/>
        <v>41239</v>
      </c>
      <c r="I23" s="265"/>
      <c r="J23" s="47"/>
      <c r="K23" s="47">
        <f t="shared" si="4"/>
        <v>1</v>
      </c>
      <c r="L23" s="39">
        <f t="shared" si="5"/>
        <v>1.82</v>
      </c>
      <c r="M23" s="39">
        <f t="shared" si="6"/>
        <v>0.2</v>
      </c>
      <c r="N23" s="261">
        <f t="shared" si="7"/>
        <v>0.36400000000000005</v>
      </c>
      <c r="O23" s="259">
        <f t="shared" si="8"/>
        <v>0.36400000000000005</v>
      </c>
      <c r="P23" s="252">
        <f t="shared" si="9"/>
        <v>36239.047445127311</v>
      </c>
      <c r="Q23" s="258">
        <f t="shared" si="10"/>
        <v>41239.047445127311</v>
      </c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3"/>
      <c r="H24" s="313"/>
      <c r="I24" s="265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10" t="s">
        <v>30</v>
      </c>
      <c r="H26" s="311">
        <f>SUM(H21:H25)</f>
        <v>241793</v>
      </c>
      <c r="I26" s="265"/>
      <c r="J26" s="47"/>
      <c r="K26" s="47"/>
      <c r="L26" s="39">
        <f>SUM(L21:L22)</f>
        <v>4.1000000000000005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53</v>
      </c>
      <c r="H27" s="304"/>
      <c r="I27" s="265"/>
      <c r="J27" s="47"/>
      <c r="K27" s="47"/>
      <c r="L27" s="39"/>
      <c r="M27" s="12"/>
      <c r="N27" s="12"/>
      <c r="O27" s="253">
        <f>SUM(O21:O24)</f>
        <v>2.278</v>
      </c>
      <c r="P27" s="14"/>
      <c r="Q27" s="12"/>
      <c r="R27" s="238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241793</v>
      </c>
      <c r="I28" s="265"/>
      <c r="J28" s="47"/>
      <c r="K28" s="47"/>
      <c r="L28" s="39"/>
      <c r="M28" s="12"/>
      <c r="N28" s="12"/>
      <c r="O28" s="253">
        <f>O27</f>
        <v>2.278</v>
      </c>
      <c r="P28" s="14"/>
      <c r="Q28" s="12"/>
      <c r="R28" s="238">
        <f>SUM(R21:R27)</f>
        <v>2.2800000000000002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0.4556</v>
      </c>
      <c r="P29" s="39" t="s">
        <v>132</v>
      </c>
      <c r="Q29" s="42"/>
      <c r="R29" s="239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315"/>
      <c r="K30" s="47"/>
      <c r="L30" s="14"/>
      <c r="M30" s="12"/>
      <c r="N30" s="12"/>
      <c r="O30" s="46">
        <f>O28+O29</f>
        <v>2.7336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5"/>
      <c r="I31" s="265"/>
      <c r="J31" s="315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/>
      <c r="K32" s="47"/>
      <c r="L32" s="39">
        <f>O30</f>
        <v>2.7336</v>
      </c>
      <c r="M32" s="12">
        <v>3500</v>
      </c>
      <c r="N32" s="12">
        <f t="shared" ref="N32:N37" si="11">L32*M32</f>
        <v>9567.6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1</v>
      </c>
      <c r="M33" s="12">
        <v>25000</v>
      </c>
      <c r="N33" s="12">
        <f t="shared" si="11"/>
        <v>25000</v>
      </c>
      <c r="O33" s="39" t="s">
        <v>156</v>
      </c>
      <c r="P33" s="42"/>
      <c r="Q33" s="14"/>
      <c r="R33" s="239"/>
      <c r="S33" s="14"/>
      <c r="T33" s="9"/>
      <c r="W33" s="4"/>
    </row>
    <row r="34" spans="2:23" s="230" customFormat="1" ht="17.399999999999999" x14ac:dyDescent="0.35">
      <c r="I34" s="262"/>
      <c r="J34" s="47"/>
      <c r="K34" s="250"/>
      <c r="L34" s="14"/>
      <c r="M34" s="250">
        <v>40754</v>
      </c>
      <c r="N34" s="12">
        <f t="shared" si="11"/>
        <v>0</v>
      </c>
      <c r="O34" s="39" t="s">
        <v>32</v>
      </c>
      <c r="P34" s="42"/>
      <c r="R34" s="239"/>
      <c r="S34" s="256"/>
      <c r="V34" s="231"/>
    </row>
    <row r="35" spans="2:23" s="230" customFormat="1" ht="17.399999999999999" x14ac:dyDescent="0.35">
      <c r="B35" s="24" t="s">
        <v>153</v>
      </c>
      <c r="I35" s="262"/>
      <c r="J35" s="314"/>
      <c r="K35" s="250"/>
      <c r="L35" s="14">
        <v>1.5</v>
      </c>
      <c r="M35" s="250">
        <v>41580</v>
      </c>
      <c r="N35" s="12">
        <f t="shared" si="11"/>
        <v>62370</v>
      </c>
      <c r="O35" s="14" t="s">
        <v>143</v>
      </c>
      <c r="P35" s="17"/>
      <c r="R35" s="237"/>
      <c r="S35" s="256"/>
      <c r="V35" s="231"/>
    </row>
    <row r="36" spans="2:23" s="230" customFormat="1" ht="17.399999999999999" x14ac:dyDescent="0.35">
      <c r="B36" s="24" t="s">
        <v>146</v>
      </c>
      <c r="C36"/>
      <c r="D36"/>
      <c r="E36"/>
      <c r="F36"/>
      <c r="I36" s="262"/>
      <c r="J36" s="314"/>
      <c r="K36" s="250"/>
      <c r="L36" s="249"/>
      <c r="M36" s="250">
        <v>800</v>
      </c>
      <c r="N36" s="12">
        <f t="shared" si="11"/>
        <v>0</v>
      </c>
      <c r="O36" s="14" t="s">
        <v>34</v>
      </c>
      <c r="P36" s="14"/>
      <c r="Q36" s="230">
        <v>1.52</v>
      </c>
      <c r="R36" s="237"/>
      <c r="S36" s="237"/>
    </row>
    <row r="37" spans="2:23" s="230" customFormat="1" ht="17.399999999999999" x14ac:dyDescent="0.35">
      <c r="B37" s="29" t="s">
        <v>127</v>
      </c>
      <c r="C37"/>
      <c r="D37"/>
      <c r="E37"/>
      <c r="F37" s="229" t="s">
        <v>16</v>
      </c>
      <c r="I37" s="303"/>
      <c r="J37" s="47"/>
      <c r="K37" s="250"/>
      <c r="L37" s="266">
        <v>4.0999999999999996</v>
      </c>
      <c r="M37" s="12">
        <v>1500</v>
      </c>
      <c r="N37" s="12">
        <f t="shared" si="11"/>
        <v>6149.9999999999991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2:23" s="230" customFormat="1" ht="17.399999999999999" x14ac:dyDescent="0.35">
      <c r="J38" s="47"/>
      <c r="K38" s="250"/>
      <c r="L38" s="14"/>
      <c r="M38" s="12"/>
      <c r="N38" s="12">
        <f>SUM(N32:N37)</f>
        <v>103087.6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2:23" s="230" customFormat="1" ht="17.399999999999999" x14ac:dyDescent="0.35">
      <c r="J39" s="47">
        <v>49480</v>
      </c>
      <c r="K39" s="250"/>
      <c r="L39" s="254" t="s">
        <v>35</v>
      </c>
      <c r="M39" s="12"/>
      <c r="N39" s="255">
        <f>N38*2.2</f>
        <v>226792.72000000003</v>
      </c>
      <c r="O39" s="14" t="s">
        <v>142</v>
      </c>
      <c r="P39" s="14"/>
      <c r="Q39" s="46">
        <f>O28/Q38</f>
        <v>0.61421484037963758</v>
      </c>
      <c r="R39"/>
      <c r="S39" s="257" t="e">
        <f>S38/#REF!</f>
        <v>#REF!</v>
      </c>
    </row>
    <row r="40" spans="2:23" s="230" customFormat="1" ht="17.399999999999999" x14ac:dyDescent="0.35">
      <c r="G40"/>
      <c r="H40" s="260"/>
      <c r="I40" s="260"/>
      <c r="J40" s="47">
        <f>J39/1.19</f>
        <v>41579.831932773108</v>
      </c>
      <c r="K40" s="250"/>
      <c r="L40" s="14"/>
      <c r="M40" s="12"/>
      <c r="N40" s="12">
        <f>N39/O28</f>
        <v>99557.822651448645</v>
      </c>
      <c r="O40" s="45" t="s">
        <v>26</v>
      </c>
      <c r="P40" s="14"/>
      <c r="Q40" s="14"/>
      <c r="R40"/>
      <c r="S40" s="237"/>
    </row>
    <row r="41" spans="2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</row>
    <row r="42" spans="2:23" s="230" customFormat="1" ht="17.399999999999999" x14ac:dyDescent="0.35">
      <c r="G42" s="23"/>
      <c r="J42" s="47"/>
      <c r="K42" s="12"/>
      <c r="S42" s="237"/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2:23" ht="14.4" customHeight="1" x14ac:dyDescent="0.3">
      <c r="J44" s="47"/>
      <c r="K44" s="12"/>
      <c r="S44">
        <v>2.5</v>
      </c>
    </row>
    <row r="45" spans="2:23" x14ac:dyDescent="0.3">
      <c r="J45" s="47"/>
      <c r="K45" s="250"/>
      <c r="S45">
        <f>S43*S44</f>
        <v>4.5750000000000002</v>
      </c>
    </row>
    <row r="46" spans="2:23" x14ac:dyDescent="0.3">
      <c r="K46" s="250"/>
      <c r="S46" s="270">
        <f>O30/S45</f>
        <v>0.5975081967213115</v>
      </c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150</v>
      </c>
    </row>
    <row r="76" spans="3:14" x14ac:dyDescent="0.3">
      <c r="C76" t="s">
        <v>149</v>
      </c>
    </row>
    <row r="79" spans="3:14" x14ac:dyDescent="0.3">
      <c r="C79" t="s">
        <v>149</v>
      </c>
    </row>
    <row r="156" spans="3:3" x14ac:dyDescent="0.3">
      <c r="C156" t="s">
        <v>149</v>
      </c>
    </row>
    <row r="157" spans="3:3" x14ac:dyDescent="0.3">
      <c r="C157" t="s">
        <v>151</v>
      </c>
    </row>
    <row r="158" spans="3:3" x14ac:dyDescent="0.3">
      <c r="C158" t="s">
        <v>152</v>
      </c>
    </row>
    <row r="583" spans="3:3" x14ac:dyDescent="0.3">
      <c r="C583" t="s">
        <v>149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45812</v>
      </c>
    </row>
    <row r="6" spans="2:31" ht="16.2" thickBot="1" x14ac:dyDescent="0.35">
      <c r="B6" s="140" t="s">
        <v>2</v>
      </c>
      <c r="C6" s="139" t="str">
        <f>'2229'!C10</f>
        <v>DAVID DURAN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9" t="s">
        <v>100</v>
      </c>
      <c r="I7" s="330"/>
      <c r="J7" s="330"/>
      <c r="K7" s="331"/>
      <c r="N7" s="75"/>
      <c r="O7" s="328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11457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8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-22588.368366787443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241793</v>
      </c>
      <c r="E11" s="132">
        <f>D11*0.19</f>
        <v>45940.67</v>
      </c>
      <c r="F11" s="131">
        <f>E11+D11</f>
        <v>287733.67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83401.631633212557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64401.690787439613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65401.631633212557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177391.30921256039</v>
      </c>
      <c r="E13" s="221">
        <f>(D11/D12)-1</f>
        <v>2.7544511183417155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56401.631633212557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17401.631633212557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106262.78979927536</v>
      </c>
      <c r="F15" s="216">
        <f>E15-D12</f>
        <v>41861.099011835744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17401.631633212557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57401.631633212557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9567.6</v>
      </c>
      <c r="E20" s="121">
        <f>D20*0.19</f>
        <v>1817.8440000000001</v>
      </c>
      <c r="F20" s="120">
        <f>SUM(D20:E20)</f>
        <v>11385.444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34567.599999999999</v>
      </c>
      <c r="E21" s="116">
        <f>SUM(E18:E20)</f>
        <v>6567.8440000000001</v>
      </c>
      <c r="F21" s="115">
        <f>SUM(F18:F20)</f>
        <v>41135.444000000003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39372.826000000001</v>
      </c>
    </row>
    <row r="41" spans="2:16" ht="15" thickBot="1" x14ac:dyDescent="0.35">
      <c r="H41" s="332" t="s">
        <v>62</v>
      </c>
      <c r="I41" s="333"/>
      <c r="J41" s="333"/>
      <c r="K41" s="333"/>
      <c r="L41" s="333"/>
      <c r="M41" s="334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241793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34567.599999999999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177391.30921256039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177391.30921256039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2023-02-20T18:03:25Z</cp:lastPrinted>
  <dcterms:created xsi:type="dcterms:W3CDTF">2013-03-18T13:35:42Z</dcterms:created>
  <dcterms:modified xsi:type="dcterms:W3CDTF">2025-06-05T21:49:22Z</dcterms:modified>
</cp:coreProperties>
</file>