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DEA739BB-445A-4292-840C-FE82EBACDB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N32" i="1"/>
  <c r="N33" i="1"/>
  <c r="N34" i="1"/>
  <c r="K21" i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Q36" i="1" l="1"/>
  <c r="Q37" i="1" s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F18" i="3" l="1"/>
  <c r="O28" i="1" l="1"/>
  <c r="L30" i="1" s="1"/>
  <c r="N30" i="1" l="1"/>
  <c r="S44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/>
  <c r="R26" i="1"/>
  <c r="H24" i="1" l="1"/>
  <c r="H25" i="1" l="1"/>
  <c r="H26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<sst xmlns="http://schemas.openxmlformats.org/spreadsheetml/2006/main" count="221" uniqueCount="167">
  <si>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</si>
  <si>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</si>
  <si>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</si>
  <si>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</si>
  <si>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</si>
  <si>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</si>
  <si>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</si>
  <si>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</si>
  <si>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</si>
  <si>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</si>
  <si>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</si>
  <si>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</si>
  <si>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</si>
  <si>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</si>
  <si>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</si>
  <si>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</si>
  <si>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</si>
  <si>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</si>
  <si>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</si>
  <si>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</si>
  <si>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</si>
  <si>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</si>
  <si>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</si>
  <si>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</si>
  <si>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</si>
  <si>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</si>
  <si>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</si>
  <si>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</si>
  <si>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</si>
  <si>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</si>
  <si>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</si>
  <si>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</si>
  <si>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</si>
  <si>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</si>
  <si>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</si>
  <si>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</si>
  <si>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</si>
  <si>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</si>
  <si>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</si>
  <si>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</si>
  <si>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</si>
  <si>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</si>
  <si>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</si>
  <si>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</si>
  <si>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</si>
  <si>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</si>
  <si>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</si>
  <si>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</si>
  <si>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</si>
  <si>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</si>
  <si>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</si>
  <si>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</si>
  <si>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</si>
  <si>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</si>
  <si>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</si>
  <si>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</si>
  <si>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</si>
  <si>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</si>
  <si>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</si>
  <si>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</si>
  <si>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</si>
  <si>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</si>
  <si>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</si>
  <si>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</si>
  <si>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</si>
  <si>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</si>
  <si>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</si>
  <si>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</si>
  <si>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</si>
  <si>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</si>
  <si>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</si>
  <si>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</si>
  <si>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</si>
  <si>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</si>
  <si>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</si>
  <si>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</si>
  <si>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</si>
  <si>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</si>
  <si>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</si>
  <si>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</si>
  <si>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</si>
  <si>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</si>
  <si>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</si>
  <si>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</si>
  <si>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</si>
  <si>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</si>
  <si>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</si>
  <si>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</si>
  <si>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</si>
  <si>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</si>
  <si>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</si>
  <si>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</si>
  <si>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</si>
  <si>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</si>
  <si>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</si>
  <si>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</si>
  <si>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</si>
  <si>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</si>
  <si>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</si>
  <si>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</si>
  <si>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</si>
  <si>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</si>
  <si>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</si>
  <si>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</si>
  <si>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</si>
  <si>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</si>
  <si>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</si>
  <si>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</si>
  <si>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</si>
  <si>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</si>
  <si>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</si>
  <si>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</si>
  <si>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</si>
  <si>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</si>
  <si>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</si>
  <si>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</si>
  <si>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</si>
  <si>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</si>
  <si>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</si>
  <si>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</si>
  <si>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</si>
  <si>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</si>
  <si>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</si>
  <si>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</si>
  <si>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</si>
  <si>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</si>
  <si>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</si>
  <si>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</si>
  <si>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</si>
  <si>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</si>
  <si>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</si>
  <si>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</si>
  <si>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</si>
  <si>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</si>
  <si>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</si>
  <si>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</si>
  <si>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</si>
  <si>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</si>
  <si>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</si>
  <si>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</si>
  <si>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</si>
  <si>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</si>
  <si>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</si>
  <si>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</si>
  <si>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</si>
  <si>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</si>
  <si>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</si>
  <si>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</si>
  <si>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</si>
  <si>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</si>
  <si>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</si>
  <si>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</si>
  <si>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</si>
  <si>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</si>
  <si>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</si>
  <si>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</si>
  <si>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</si>
  <si>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</si>
  <si>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N° 11474</t>
  </si>
  <si>
    <t>EDGARDO LILLO</t>
  </si>
  <si>
    <t>+56971387383</t>
  </si>
  <si>
    <t>7 DIAS HABILES</t>
  </si>
  <si>
    <t>LATERAL 180° 1 LADO MDF 30MM</t>
  </si>
  <si>
    <t>BLANCO BRILLO</t>
  </si>
  <si>
    <t>CONSTRUCTORA FALIS SPA</t>
  </si>
  <si>
    <t>77.268.001-5</t>
  </si>
  <si>
    <t>TERMINACION Y ACABADOS DE EDIFICIOS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</si>
</sst>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28</xdr:row>
      <xdr:rowOff>28575</xdr:rowOff>
    </xdr:from>
    <xdr:to>
      <xdr:col>8</xdr:col>
      <xdr:colOff>7776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22</xdr:row>
      <xdr:rowOff>217716</xdr:rowOff>
    </xdr:from>
    <xdr:to>
      <xdr:col>5</xdr:col>
      <xdr:colOff>1764031</xdr:colOff>
      <xdr:row>26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TERMINADAS</a:t>
          </a:r>
          <a:r>
            <a:rPr lang="es-CL" sz="1200" b="1" baseline="0"/>
            <a:t> CON ENCHAPE TAPACANTO PVC 0,45MM</a:t>
          </a:r>
        </a:p>
        <a:p>
          <a:pPr algn="l"/>
          <a:r>
            <a:rPr lang="es-CL" sz="1200" b="1" baseline="0"/>
            <a:t>SUSTRATO: MDF 30MM</a:t>
          </a:r>
          <a:endParaRPr lang="es-CL" sz="1200" b="1"/>
        </a:p>
        <a:p>
          <a:pPr algn="l"/>
          <a:endParaRPr lang="es-CL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8" zoomScaleNormal="98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32.7773437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164</v>
      </c>
      <c r="D10" s="243"/>
      <c r="E10" s="243"/>
      <c r="F10" s="244" t="s">
        <v>0</v>
      </c>
      <c r="G10" s="277">
        <v>45824</v>
      </c>
      <c r="H10" s="245"/>
      <c r="J10" s="1"/>
      <c r="Q10" s="2"/>
      <c r="R10" s="3"/>
      <c r="S10" s="3"/>
      <c r="T10" s="4"/>
      <c r="U10" s="2"/>
      <c r="V10" s="3"/>
    </row>
    <row r="11" spans="2:23" x14ac:dyDescent="0.3">
      <c r="B11" s="288" t="s">
        <v>12</v>
      </c>
      <c r="C11" s="105" t="s">
        <v>165</v>
      </c>
      <c r="F11" t="s">
        <v>125</v>
      </c>
      <c r="G11" s="289" t="s">
        <v>161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 t="s">
        <v>166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159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132727.82258064515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4</v>
      </c>
      <c r="C21" s="318" t="s">
        <v>162</v>
      </c>
      <c r="D21" s="321">
        <v>1.1599999999999999</v>
      </c>
      <c r="E21" s="321">
        <v>0.4</v>
      </c>
      <c r="F21" s="318" t="s">
        <v>163</v>
      </c>
      <c r="G21" s="322">
        <v>115835</v>
      </c>
      <c r="H21" s="322">
        <f t="shared" ref="H21" si="1">G21*B21</f>
        <v>463340</v>
      </c>
      <c r="I21" s="265"/>
      <c r="J21" s="47"/>
      <c r="K21" s="47">
        <f>B21</f>
        <v>4</v>
      </c>
      <c r="L21" s="39">
        <f t="shared" ref="L21:M21" si="2">D21+L$19</f>
        <v>1.24</v>
      </c>
      <c r="M21" s="39">
        <f t="shared" si="2"/>
        <v>0.4</v>
      </c>
      <c r="N21" s="261">
        <f>L21*M21</f>
        <v>0.496</v>
      </c>
      <c r="O21" s="259">
        <f>N21*K21</f>
        <v>1.984</v>
      </c>
      <c r="P21" s="252">
        <f>P$20*N21</f>
        <v>65833</v>
      </c>
      <c r="Q21" s="258">
        <f>P21+Q$20</f>
        <v>70833</v>
      </c>
      <c r="R21" s="308">
        <f>K21*L21</f>
        <v>4.96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3"/>
      <c r="H22" s="313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30</v>
      </c>
      <c r="H24" s="311">
        <f>SUM(H21:H23)</f>
        <v>463340</v>
      </c>
      <c r="I24" s="265"/>
      <c r="J24" s="47"/>
      <c r="K24" s="47"/>
      <c r="L24" s="39">
        <f>SUM(L21:L21)</f>
        <v>1.24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88034.6</v>
      </c>
      <c r="I25" s="265"/>
      <c r="J25" s="47"/>
      <c r="K25" s="47"/>
      <c r="L25" s="39"/>
      <c r="M25" s="12"/>
      <c r="N25" s="12"/>
      <c r="O25" s="253">
        <f>SUM(O21:O22)</f>
        <v>1.984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551374.6</v>
      </c>
      <c r="I26" s="265"/>
      <c r="J26" s="47"/>
      <c r="K26" s="47"/>
      <c r="L26" s="39"/>
      <c r="M26" s="12"/>
      <c r="N26" s="12"/>
      <c r="O26" s="253">
        <f>O25</f>
        <v>1.984</v>
      </c>
      <c r="P26" s="14"/>
      <c r="Q26" s="12"/>
      <c r="R26" s="238">
        <f>SUM(R21:R25)</f>
        <v>4.96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0.39680000000000004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5"/>
      <c r="K28" s="47"/>
      <c r="L28" s="14"/>
      <c r="M28" s="12"/>
      <c r="N28" s="12"/>
      <c r="O28" s="46">
        <f>O26+O27</f>
        <v>2.3807999999999998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5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2.3807999999999998</v>
      </c>
      <c r="M30" s="12">
        <v>3500</v>
      </c>
      <c r="N30" s="12">
        <f t="shared" ref="N30:N35" si="3">L30*M30</f>
        <v>8332.7999999999993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45000</v>
      </c>
      <c r="N31" s="12">
        <f t="shared" si="3"/>
        <v>45000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4"/>
      <c r="K33" s="250"/>
      <c r="L33" s="14">
        <v>2</v>
      </c>
      <c r="M33" s="250">
        <v>26000</v>
      </c>
      <c r="N33" s="12">
        <f t="shared" si="3"/>
        <v>52000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4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105332.8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49480</v>
      </c>
      <c r="K37" s="250"/>
      <c r="L37" s="254" t="s">
        <v>35</v>
      </c>
      <c r="M37" s="12"/>
      <c r="N37" s="255">
        <f>N36*2.5</f>
        <v>263332</v>
      </c>
      <c r="O37" s="14" t="s">
        <v>142</v>
      </c>
      <c r="P37" s="14"/>
      <c r="Q37" s="46">
        <f>O26/Q36</f>
        <v>0.53494391716997414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41579.831932773108</v>
      </c>
      <c r="K38" s="250"/>
      <c r="L38" s="14"/>
      <c r="M38" s="12"/>
      <c r="N38" s="12">
        <f>N37/O26</f>
        <v>132727.82258064515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2.5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0.52039344262295073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45824</v>
      </c>
    </row>
    <row r="6" spans="2:31" ht="16.2" thickBot="1" x14ac:dyDescent="0.35">
      <c r="B6" s="140" t="s">
        <v>2</v>
      </c>
      <c r="C6" s="139" t="str">
        <f>'2229'!C10</f>
        <v>CONSTRUCTORA FALIS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11474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-54352.438366787443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463340</v>
      </c>
      <c r="E11" s="132">
        <f>D11*0.19</f>
        <v>88034.6</v>
      </c>
      <c r="F11" s="131">
        <f>E11+D11</f>
        <v>551374.6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51637.561633212557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83166.890787439625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33637.561633212557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380173.10921256035</v>
      </c>
      <c r="E13" s="221">
        <f>(D11/D12)-1</f>
        <v>4.5712074313829758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24637.561633212557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-14362.438366787443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137225.36979927536</v>
      </c>
      <c r="F15" s="216">
        <f>E15-D12</f>
        <v>54058.479011835734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-14362.438366787443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25637.561633212557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8332.7999999999993</v>
      </c>
      <c r="E20" s="121">
        <f>D20*0.19</f>
        <v>1583.232</v>
      </c>
      <c r="F20" s="120">
        <f>SUM(D20:E20)</f>
        <v>9916.0319999999992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53332.800000000003</v>
      </c>
      <c r="E21" s="116">
        <f>SUM(E18:E20)</f>
        <v>10133.232</v>
      </c>
      <c r="F21" s="115">
        <f>SUM(F18:F20)</f>
        <v>63466.031999999999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77901.368000000002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463340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53332.800000000003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380173.10921256035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380173.10921256035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2025-06-13T20:01:40Z</cp:lastPrinted>
  <dcterms:created xsi:type="dcterms:W3CDTF">2013-03-18T13:35:42Z</dcterms:created>
  <dcterms:modified xsi:type="dcterms:W3CDTF">2025-06-19T20:48:38Z</dcterms:modified>
</cp:coreProperties>
</file>