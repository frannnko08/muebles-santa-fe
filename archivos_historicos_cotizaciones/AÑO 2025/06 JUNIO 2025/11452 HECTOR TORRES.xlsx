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2F3238F9-A9FE-4FA0-B346-24A529FBC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K21" i="1"/>
  <c r="J40" i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F15" i="3"/>
  <c r="Q21" i="1" l="1"/>
  <c r="H21" i="1"/>
  <c r="R28" i="1"/>
  <c r="H26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<sst xmlns="http://schemas.openxmlformats.org/spreadsheetml/2006/main" count="222" uniqueCount="167">
  <si>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</si>
  <si>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</si>
  <si>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</si>
  <si>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</si>
  <si>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</si>
  <si>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</si>
  <si>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</si>
  <si>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</si>
  <si>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</si>
  <si>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</si>
  <si>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</si>
  <si>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</si>
  <si>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</si>
  <si>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</si>
  <si>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</si>
  <si>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</si>
  <si>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</si>
  <si>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</si>
  <si>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</si>
  <si>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</si>
  <si>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</si>
  <si>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</si>
  <si>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</si>
  <si>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</si>
  <si>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</si>
  <si>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</si>
  <si>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</si>
  <si>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</si>
  <si>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</si>
  <si>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</si>
  <si>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</si>
  <si>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</si>
  <si>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</si>
  <si>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</si>
  <si>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</si>
  <si>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</si>
  <si>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</si>
  <si>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</si>
  <si>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</si>
  <si>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</si>
  <si>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</si>
  <si>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</si>
  <si>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</si>
  <si>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</si>
  <si>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</si>
  <si>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</si>
  <si>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</si>
  <si>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</si>
  <si>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</si>
  <si>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</si>
  <si>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</si>
  <si>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</si>
  <si>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</si>
  <si>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</si>
  <si>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</si>
  <si>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</si>
  <si>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</si>
  <si>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</si>
  <si>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</si>
  <si>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</si>
  <si>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</si>
  <si>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</si>
  <si>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</si>
  <si>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</si>
  <si>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</si>
  <si>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</si>
  <si>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</si>
  <si>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</si>
  <si>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</si>
  <si>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</si>
  <si>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</si>
  <si>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</si>
  <si>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</si>
  <si>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</si>
  <si>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</si>
  <si>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</si>
  <si>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</si>
  <si>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</si>
  <si>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</si>
  <si>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</si>
  <si>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</si>
  <si>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</si>
  <si>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</si>
  <si>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</si>
  <si>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</si>
  <si>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</si>
  <si>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</si>
  <si>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</si>
  <si>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</si>
  <si>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</si>
  <si>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</si>
  <si>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</si>
  <si>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</si>
  <si>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</si>
  <si>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</si>
  <si>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</si>
  <si>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</si>
  <si>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</si>
  <si>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</si>
  <si>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</si>
  <si>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</si>
  <si>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</si>
  <si>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</si>
  <si>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</si>
  <si>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</si>
  <si>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</si>
  <si>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</si>
  <si>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</si>
  <si>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</si>
  <si>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</si>
  <si>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</si>
  <si>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</si>
  <si>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</si>
  <si>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</si>
  <si>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</si>
  <si>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</si>
  <si>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</si>
  <si>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</si>
  <si>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</si>
  <si>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</si>
  <si>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</si>
  <si>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</si>
  <si>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</si>
  <si>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</si>
  <si>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</si>
  <si>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</si>
  <si>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</si>
  <si>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</si>
  <si>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</si>
  <si>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</si>
  <si>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</si>
  <si>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</si>
  <si>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</si>
  <si>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</si>
  <si>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</si>
  <si>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</si>
  <si>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</si>
  <si>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</si>
  <si>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</si>
  <si>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</si>
  <si>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</si>
  <si>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</si>
  <si>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</si>
  <si>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</si>
  <si>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</si>
  <si>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</si>
  <si>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</si>
  <si>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</si>
  <si>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</si>
  <si>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</si>
  <si>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</si>
  <si>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</si>
  <si>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</si>
  <si>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</si>
  <si>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</si>
  <si>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</si>
  <si>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</si>
  <si>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</si>
  <si>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</si>
  <si>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N° 11452</t>
  </si>
  <si>
    <t>HECTOR TORRES</t>
  </si>
  <si>
    <t>+56986411139</t>
  </si>
  <si>
    <t>5 DIAS HABILES</t>
  </si>
  <si>
    <t>CUB C/R R6</t>
  </si>
  <si>
    <t>WHITE MARBLE BR</t>
  </si>
  <si>
    <t>SALT PEPPER BR</t>
  </si>
  <si>
    <t>WHITE KASMHIR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</si>
</sst>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CORTADA</a:t>
          </a:r>
          <a:r>
            <a:rPr lang="es-CL" sz="1200" b="1" baseline="0"/>
            <a:t> A LA MEDIDA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45810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78729.247311827974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1</v>
      </c>
      <c r="C21" s="313" t="s">
        <v>163</v>
      </c>
      <c r="D21" s="314">
        <v>3.02</v>
      </c>
      <c r="E21" s="314">
        <v>0.6</v>
      </c>
      <c r="F21" s="313" t="s">
        <v>164</v>
      </c>
      <c r="G21" s="315">
        <v>108816</v>
      </c>
      <c r="H21" s="316">
        <f t="shared" ref="H21" si="1">G21*B21</f>
        <v>108816</v>
      </c>
      <c r="I21" s="265"/>
      <c r="J21" s="47"/>
      <c r="K21" s="47">
        <f>B21</f>
        <v>1</v>
      </c>
      <c r="L21" s="39">
        <f t="shared" ref="L21:M21" si="2">D21+L$19</f>
        <v>3.1</v>
      </c>
      <c r="M21" s="39">
        <f t="shared" si="2"/>
        <v>0.6</v>
      </c>
      <c r="N21" s="261">
        <f>L21*M21</f>
        <v>1.8599999999999999</v>
      </c>
      <c r="O21" s="259">
        <f>N21*K21</f>
        <v>1.8599999999999999</v>
      </c>
      <c r="P21" s="252">
        <f>P$20*N21</f>
        <v>146436.40000000002</v>
      </c>
      <c r="Q21" s="258">
        <f>P21+Q$20</f>
        <v>153936.40000000002</v>
      </c>
      <c r="R21" s="308">
        <f>K21*L21</f>
        <v>3.1</v>
      </c>
      <c r="S21" s="14"/>
      <c r="T21" s="9"/>
      <c r="W21" s="4"/>
    </row>
    <row r="22" spans="2:24" ht="17.399999999999999" x14ac:dyDescent="0.3">
      <c r="B22" s="324">
        <v>1</v>
      </c>
      <c r="C22" s="313" t="s">
        <v>163</v>
      </c>
      <c r="D22" s="314">
        <v>3.02</v>
      </c>
      <c r="E22" s="314">
        <v>0.6</v>
      </c>
      <c r="F22" s="313" t="s">
        <v>165</v>
      </c>
      <c r="G22" s="315">
        <v>146436</v>
      </c>
      <c r="H22" s="316">
        <f t="shared" ref="H22:H23" si="3">G22*B22</f>
        <v>146436</v>
      </c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324">
        <v>1</v>
      </c>
      <c r="C23" s="313" t="s">
        <v>163</v>
      </c>
      <c r="D23" s="314">
        <v>3.02</v>
      </c>
      <c r="E23" s="314">
        <v>0.6</v>
      </c>
      <c r="F23" s="313" t="s">
        <v>166</v>
      </c>
      <c r="G23" s="315">
        <v>146436</v>
      </c>
      <c r="H23" s="316">
        <f t="shared" si="3"/>
        <v>146436</v>
      </c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9"/>
      <c r="H24" s="319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30</v>
      </c>
      <c r="H26" s="311">
        <f>SUM(H21:H25)</f>
        <v>401688</v>
      </c>
      <c r="I26" s="265"/>
      <c r="J26" s="47"/>
      <c r="K26" s="47"/>
      <c r="L26" s="39">
        <f>SUM(L21:L25)</f>
        <v>3.1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SUM(O21:O21)</f>
        <v>1.8599999999999999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401688</v>
      </c>
      <c r="I28" s="265"/>
      <c r="J28" s="47"/>
      <c r="K28" s="47"/>
      <c r="L28" s="39"/>
      <c r="M28" s="12"/>
      <c r="N28" s="12"/>
      <c r="O28" s="253">
        <f>O27</f>
        <v>1.8599999999999999</v>
      </c>
      <c r="P28" s="14"/>
      <c r="Q28" s="12"/>
      <c r="R28" s="238">
        <f>SUM(R21:R27)</f>
        <v>3.1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0.372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21"/>
      <c r="K30" s="47"/>
      <c r="L30" s="14"/>
      <c r="M30" s="12"/>
      <c r="N30" s="12"/>
      <c r="O30" s="46">
        <f>O28+O29</f>
        <v>2.2319999999999998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21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2.2319999999999998</v>
      </c>
      <c r="M32" s="12">
        <v>3500</v>
      </c>
      <c r="N32" s="12">
        <f t="shared" ref="N32:N37" si="4">L32*M32</f>
        <v>7811.9999999999991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0.6</v>
      </c>
      <c r="M33" s="12">
        <v>25000</v>
      </c>
      <c r="N33" s="12">
        <f t="shared" si="4"/>
        <v>15000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40754</v>
      </c>
      <c r="N34" s="12">
        <f t="shared" si="4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20"/>
      <c r="K35" s="250"/>
      <c r="L35" s="14">
        <v>1</v>
      </c>
      <c r="M35" s="250">
        <v>39100</v>
      </c>
      <c r="N35" s="12">
        <f t="shared" si="4"/>
        <v>39100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20"/>
      <c r="K36" s="250"/>
      <c r="L36" s="249"/>
      <c r="M36" s="250">
        <v>800</v>
      </c>
      <c r="N36" s="12">
        <f t="shared" si="4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3.1</v>
      </c>
      <c r="M37" s="12">
        <v>1500</v>
      </c>
      <c r="N37" s="12">
        <f t="shared" si="4"/>
        <v>4650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66562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43180</v>
      </c>
      <c r="K39" s="250"/>
      <c r="L39" s="254" t="s">
        <v>35</v>
      </c>
      <c r="M39" s="12"/>
      <c r="N39" s="255">
        <f>N38*2.2</f>
        <v>146436.40000000002</v>
      </c>
      <c r="O39" s="14" t="s">
        <v>142</v>
      </c>
      <c r="P39" s="14"/>
      <c r="Q39" s="46">
        <f>O28/Q38</f>
        <v>0.50150992234685066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36285.71428571429</v>
      </c>
      <c r="K40" s="250"/>
      <c r="L40" s="14"/>
      <c r="M40" s="12"/>
      <c r="N40" s="12">
        <f>N39/O28</f>
        <v>78729.247311827974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0.48786885245901634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45810</v>
      </c>
    </row>
    <row r="6" spans="2:31" ht="16.2" thickBot="1" x14ac:dyDescent="0.35">
      <c r="B6" s="140" t="s">
        <v>2</v>
      </c>
      <c r="C6" s="139" t="str">
        <f>'2229'!C10</f>
        <v>HECTOR TORRES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-52470.325033454108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401688</v>
      </c>
      <c r="E11" s="132">
        <f>D11*0.19</f>
        <v>76320.72</v>
      </c>
      <c r="F11" s="131">
        <f>E11+D11</f>
        <v>478008.72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53519.674966545892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52646.090787439614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35519.674966545892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349041.90921256039</v>
      </c>
      <c r="E13" s="221">
        <f>(D11/D12)-1</f>
        <v>6.6299682273054037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26519.674966545892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-12480.325033454108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86866.049799275366</v>
      </c>
      <c r="F15" s="216">
        <f>E15-D12</f>
        <v>34219.959011835752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-12480.325033454108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27519.674966545892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7811.9999999999991</v>
      </c>
      <c r="E20" s="121">
        <f>D20*0.19</f>
        <v>1484.2799999999997</v>
      </c>
      <c r="F20" s="120">
        <f>SUM(D20:E20)</f>
        <v>9296.2799999999988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22812</v>
      </c>
      <c r="E21" s="116">
        <f>SUM(E18:E20)</f>
        <v>4334.28</v>
      </c>
      <c r="F21" s="115">
        <f>SUM(F18:F20)</f>
        <v>27146.28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71986.44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401688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22812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349041.90921256039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349041.90921256039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2025-06-02T19:13:07Z</dcterms:modified>
</cp:coreProperties>
</file>