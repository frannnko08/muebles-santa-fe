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F1F4491E-4473-4996-A310-70ED4E158C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N22" i="1"/>
  <c r="O22" i="1" s="1"/>
  <c r="P22" i="1" s="1"/>
  <c r="L22" i="1"/>
  <c r="M22" i="1"/>
  <c r="S22" i="1"/>
  <c r="L21" i="1"/>
  <c r="N21" i="1"/>
  <c r="M21" i="1" l="1"/>
  <c r="M26" i="1" s="1"/>
  <c r="S21" i="1" l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<sst xmlns="http://schemas.openxmlformats.org/spreadsheetml/2006/main" count="234" uniqueCount="177">
  <si>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</si>
  <si>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</si>
  <si>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</si>
  <si>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</si>
  <si>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</si>
  <si>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</si>
  <si>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</si>
  <si>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</si>
  <si>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</si>
  <si>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</si>
  <si>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</si>
  <si>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</si>
  <si>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</si>
  <si>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</si>
  <si>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</si>
  <si>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</si>
  <si>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</si>
  <si>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</si>
  <si>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</si>
  <si>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</si>
  <si>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</si>
  <si>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</si>
  <si>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</si>
  <si>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</si>
  <si>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</si>
  <si>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</si>
  <si>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</si>
  <si>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</si>
  <si>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</si>
  <si>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</si>
  <si>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</si>
  <si>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</si>
  <si>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</si>
  <si>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</si>
  <si>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</si>
  <si>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</si>
  <si>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</si>
  <si>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</si>
  <si>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</si>
  <si>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</si>
  <si>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</si>
  <si>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</si>
  <si>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</si>
  <si>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</si>
  <si>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</si>
  <si>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</si>
  <si>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</si>
  <si>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</si>
  <si>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</si>
  <si>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</si>
  <si>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</si>
  <si>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</si>
  <si>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</si>
  <si>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</si>
  <si>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</si>
  <si>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</si>
  <si>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</si>
  <si>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</si>
  <si>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</si>
  <si>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</si>
  <si>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</si>
  <si>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</si>
  <si>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</si>
  <si>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</si>
  <si>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</si>
  <si>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</si>
  <si>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</si>
  <si>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</si>
  <si>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</si>
  <si>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</si>
  <si>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</si>
  <si>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</si>
  <si>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</si>
  <si>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</si>
  <si>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</si>
  <si>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</si>
  <si>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</si>
  <si>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</si>
  <si>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</si>
  <si>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</si>
  <si>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</si>
  <si>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</si>
  <si>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</si>
  <si>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</si>
  <si>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</si>
  <si>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</si>
  <si>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</si>
  <si>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</si>
  <si>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</si>
  <si>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</si>
  <si>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</si>
  <si>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</si>
  <si>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</si>
  <si>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</si>
  <si>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</si>
  <si>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</si>
  <si>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</si>
  <si>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</si>
  <si>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</si>
  <si>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</si>
  <si>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</si>
  <si>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</si>
  <si>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</si>
  <si>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</si>
  <si>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</si>
  <si>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</si>
  <si>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</si>
  <si>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</si>
  <si>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</si>
  <si>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</si>
  <si>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</si>
  <si>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</si>
  <si>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</si>
  <si>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</si>
  <si>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</si>
  <si>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</si>
  <si>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</si>
  <si>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</si>
  <si>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</si>
  <si>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</si>
  <si>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</si>
  <si>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</si>
  <si>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</si>
  <si>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</si>
  <si>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</si>
  <si>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</si>
  <si>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</si>
  <si>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</si>
  <si>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</si>
  <si>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</si>
  <si>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</si>
  <si>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</si>
  <si>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</si>
  <si>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</si>
  <si>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</si>
  <si>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</si>
  <si>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</si>
  <si>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</si>
  <si>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</si>
  <si>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</si>
  <si>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</si>
  <si>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</si>
  <si>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</si>
  <si>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</si>
  <si>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</si>
  <si>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</si>
  <si>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</si>
  <si>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</si>
  <si>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</si>
  <si>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</si>
  <si>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</si>
  <si>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</si>
  <si>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</si>
  <si>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</si>
  <si>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</si>
  <si>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</si>
  <si>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</si>
  <si>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</si>
  <si>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</si>
  <si>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</si>
  <si>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</si>
  <si>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</si>
  <si>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</si>
  <si>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</si>
  <si>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</si>
  <si>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</si>
  <si>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BALANCE</t>
  </si>
  <si>
    <t>LAMINA 153X366</t>
  </si>
  <si>
    <t>alternativa 2</t>
  </si>
  <si>
    <t>19 de 153x366</t>
  </si>
  <si>
    <t>10 DIAS HABILES</t>
  </si>
  <si>
    <t>N° 11433</t>
  </si>
  <si>
    <t>TAUPE TROPICAL 14811 SF</t>
  </si>
  <si>
    <t>CORNISA 90° R19 MDF 30</t>
  </si>
  <si>
    <t>CENEFA R19 1 VUELTA MDF 30MM</t>
  </si>
  <si>
    <t>MARIOLI CONCHA</t>
  </si>
  <si>
    <t>+569 9408 2633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</si>
</sst>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30MM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D12" zoomScale="93" zoomScaleNormal="93" workbookViewId="0">
      <selection activeCell="N35" sqref="N35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D9">
        <v>0</v>
      </c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165</v>
      </c>
      <c r="D10" s="243"/>
      <c r="E10" s="243"/>
      <c r="F10" s="244" t="s">
        <v>0</v>
      </c>
      <c r="G10" s="276">
        <v>45791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175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176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0.05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O39</f>
        <v>62932.680776014116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20</v>
      </c>
      <c r="C21" s="330" t="s">
        <v>173</v>
      </c>
      <c r="D21" s="332">
        <v>3</v>
      </c>
      <c r="E21" s="332">
        <v>0.14000000000000001</v>
      </c>
      <c r="F21" s="330" t="s">
        <v>172</v>
      </c>
      <c r="G21" s="331">
        <v>43642</v>
      </c>
      <c r="H21" s="331">
        <f>G21*B21</f>
        <v>872840</v>
      </c>
      <c r="I21" s="320"/>
      <c r="J21" s="265"/>
      <c r="K21" s="47"/>
      <c r="L21" s="47">
        <f>B21</f>
        <v>20</v>
      </c>
      <c r="M21" s="39">
        <f>D21+M$19</f>
        <v>3.08</v>
      </c>
      <c r="N21" s="39">
        <f>E21+$N$19</f>
        <v>0.19</v>
      </c>
      <c r="O21" s="261">
        <f t="shared" ref="O21" si="1">M21*N21</f>
        <v>0.58520000000000005</v>
      </c>
      <c r="P21" s="259">
        <f t="shared" ref="P21" si="2">O21*L21</f>
        <v>11.704000000000001</v>
      </c>
      <c r="Q21" s="252">
        <f t="shared" ref="Q21" si="3">Q$20*O21</f>
        <v>36828.204790123462</v>
      </c>
      <c r="R21" s="319">
        <f t="shared" ref="R21" si="4">Q21+R$20</f>
        <v>39828.204790123462</v>
      </c>
      <c r="S21" s="297">
        <f t="shared" ref="S21" si="5">L21*M21*2</f>
        <v>123.2</v>
      </c>
      <c r="T21" s="46">
        <f>N21*2*L21*2</f>
        <v>15.2</v>
      </c>
      <c r="U21" s="9"/>
      <c r="X21" s="4"/>
    </row>
    <row r="22" spans="1:25" ht="17.399999999999999" x14ac:dyDescent="0.3">
      <c r="B22" s="330">
        <v>20</v>
      </c>
      <c r="C22" s="330" t="s">
        <v>174</v>
      </c>
      <c r="D22" s="332">
        <v>3</v>
      </c>
      <c r="E22" s="332">
        <v>0.13400000000000001</v>
      </c>
      <c r="F22" s="330" t="s">
        <v>172</v>
      </c>
      <c r="G22" s="331">
        <v>31663</v>
      </c>
      <c r="H22" s="331">
        <f>G22*B22</f>
        <v>633260</v>
      </c>
      <c r="I22" s="320"/>
      <c r="J22" s="265"/>
      <c r="K22" s="47"/>
      <c r="L22" s="47">
        <f>B22</f>
        <v>20</v>
      </c>
      <c r="M22" s="39">
        <f>D22+M$19</f>
        <v>3.08</v>
      </c>
      <c r="N22" s="39">
        <f>E22</f>
        <v>0.13400000000000001</v>
      </c>
      <c r="O22" s="261">
        <f t="shared" ref="O22" si="6">M22*N22</f>
        <v>0.41272000000000003</v>
      </c>
      <c r="P22" s="259">
        <f t="shared" ref="P22" si="7">O22*L22</f>
        <v>8.2544000000000004</v>
      </c>
      <c r="Q22" s="252">
        <f t="shared" ref="Q22" si="8">Q$20*O22</f>
        <v>25973.57600987655</v>
      </c>
      <c r="R22" s="319">
        <f t="shared" ref="R22" si="9">Q22+R$20</f>
        <v>28973.57600987655</v>
      </c>
      <c r="S22" s="297">
        <f t="shared" ref="S22" si="10">L22*M22*2</f>
        <v>123.2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1506100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15.2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50</v>
      </c>
      <c r="H26" s="294">
        <f>H25*19%</f>
        <v>286159</v>
      </c>
      <c r="I26" s="322"/>
      <c r="J26" s="265"/>
      <c r="K26" s="47"/>
      <c r="L26" s="47"/>
      <c r="M26" s="39">
        <f>SUM(M21:M25)</f>
        <v>6.16</v>
      </c>
      <c r="N26" s="12"/>
      <c r="O26" s="12"/>
      <c r="P26" s="253">
        <f>SUM(P21:P24)</f>
        <v>19.958400000000001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1792259</v>
      </c>
      <c r="I27" s="322"/>
      <c r="J27" s="265"/>
      <c r="K27" s="47"/>
      <c r="L27" s="47"/>
      <c r="M27" s="39"/>
      <c r="N27" s="12"/>
      <c r="O27" s="12"/>
      <c r="P27" s="253">
        <f>P26</f>
        <v>19.958400000000001</v>
      </c>
      <c r="Q27" s="14"/>
      <c r="R27" s="12"/>
      <c r="S27" s="239">
        <f>SUM(S21:S26)</f>
        <v>246.4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3.9916800000000006</v>
      </c>
      <c r="Q28" s="39" t="s">
        <v>129</v>
      </c>
      <c r="R28" s="42"/>
      <c r="S28" s="240">
        <f>S27+T25</f>
        <v>261.60000000000002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23.95008</v>
      </c>
      <c r="Q29" s="14"/>
      <c r="R29" s="14"/>
      <c r="S29" s="238">
        <f>S28*20%</f>
        <v>52.320000000000007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313.92</v>
      </c>
      <c r="T30" s="14"/>
      <c r="U30" s="302" t="s">
        <v>21</v>
      </c>
      <c r="V30" s="299" t="s">
        <v>150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23.95008</v>
      </c>
      <c r="N31" s="12">
        <v>3500</v>
      </c>
      <c r="O31" s="12">
        <f t="shared" ref="O31:O33" si="11">M31*N31</f>
        <v>83825.279999999999</v>
      </c>
      <c r="P31" s="14" t="s">
        <v>21</v>
      </c>
      <c r="Q31" s="14"/>
      <c r="R31" s="14"/>
      <c r="S31" s="241"/>
      <c r="T31" s="14"/>
      <c r="U31" s="302" t="s">
        <v>151</v>
      </c>
      <c r="V31" s="299">
        <v>3625</v>
      </c>
      <c r="W31" s="59" t="s">
        <v>152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5</v>
      </c>
      <c r="N32" s="12">
        <v>49500</v>
      </c>
      <c r="O32" s="12">
        <f t="shared" si="11"/>
        <v>247500</v>
      </c>
      <c r="P32" s="39" t="s">
        <v>30</v>
      </c>
      <c r="Q32" s="42"/>
      <c r="R32" s="14"/>
      <c r="S32" s="240"/>
      <c r="T32" s="14"/>
      <c r="U32" s="302"/>
      <c r="V32" s="59">
        <v>906.25</v>
      </c>
      <c r="W32" s="59" t="s">
        <v>153</v>
      </c>
      <c r="X32" s="304"/>
    </row>
    <row r="33" spans="2:24" s="230" customFormat="1" ht="17.399999999999999" x14ac:dyDescent="0.35">
      <c r="B33" s="24" t="s">
        <v>149</v>
      </c>
      <c r="J33" s="262"/>
      <c r="K33" s="232"/>
      <c r="L33" s="250"/>
      <c r="M33" s="14"/>
      <c r="N33" s="250">
        <v>15041</v>
      </c>
      <c r="O33" s="12">
        <f t="shared" si="11"/>
        <v>0</v>
      </c>
      <c r="P33" s="39" t="s">
        <v>166</v>
      </c>
      <c r="Q33" s="42"/>
      <c r="S33" s="240"/>
      <c r="T33" s="256"/>
      <c r="U33" s="59"/>
      <c r="V33" s="59">
        <f>V32*20%</f>
        <v>181.25</v>
      </c>
      <c r="W33" s="304" t="s">
        <v>154</v>
      </c>
      <c r="X33" s="59"/>
    </row>
    <row r="34" spans="2:24" s="230" customFormat="1" ht="17.399999999999999" x14ac:dyDescent="0.35">
      <c r="B34" s="24" t="s">
        <v>142</v>
      </c>
      <c r="C34"/>
      <c r="D34"/>
      <c r="E34"/>
      <c r="F34"/>
      <c r="J34" s="262"/>
      <c r="K34" s="232"/>
      <c r="L34" s="250"/>
      <c r="M34" s="14">
        <v>8</v>
      </c>
      <c r="N34" s="250">
        <v>29950</v>
      </c>
      <c r="O34" s="12">
        <f>M34*N34</f>
        <v>239600</v>
      </c>
      <c r="P34" s="14" t="s">
        <v>167</v>
      </c>
      <c r="S34" s="238"/>
      <c r="T34" s="256"/>
      <c r="U34" s="59"/>
      <c r="V34" s="59">
        <f>V32+V33</f>
        <v>1087.5</v>
      </c>
      <c r="W34" s="304" t="s">
        <v>155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I35" s="230" t="s">
        <v>168</v>
      </c>
      <c r="J35" s="262"/>
      <c r="K35" s="260"/>
      <c r="L35" s="250"/>
      <c r="M35" s="249"/>
      <c r="N35" s="250">
        <v>900</v>
      </c>
      <c r="O35" s="12">
        <f>M35*N35</f>
        <v>0</v>
      </c>
      <c r="P35" s="14" t="s">
        <v>31</v>
      </c>
      <c r="Q35" s="17"/>
      <c r="R35" s="230">
        <v>2.12</v>
      </c>
      <c r="S35" s="238"/>
      <c r="T35" s="238"/>
    </row>
    <row r="36" spans="2:24" s="230" customFormat="1" ht="17.399999999999999" x14ac:dyDescent="0.35">
      <c r="I36" s="230" t="s">
        <v>169</v>
      </c>
      <c r="J36" s="293"/>
      <c r="K36" s="260"/>
      <c r="L36" s="250"/>
      <c r="M36" s="266"/>
      <c r="N36" s="12">
        <v>1500</v>
      </c>
      <c r="O36" s="12">
        <f>M36*N36</f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570925.28</v>
      </c>
      <c r="P37" s="39" t="s">
        <v>23</v>
      </c>
      <c r="Q37" s="14"/>
      <c r="R37">
        <f>R35*R36</f>
        <v>5.1728000000000005</v>
      </c>
      <c r="S37"/>
      <c r="T37" s="238"/>
      <c r="X37" s="231"/>
    </row>
    <row r="38" spans="2:24" s="230" customFormat="1" ht="17.399999999999999" x14ac:dyDescent="0.35">
      <c r="L38" s="250"/>
      <c r="M38" s="254" t="s">
        <v>32</v>
      </c>
      <c r="N38" s="12"/>
      <c r="O38" s="255">
        <f>O37*2.2</f>
        <v>1256035.6160000002</v>
      </c>
      <c r="P38" s="14" t="s">
        <v>139</v>
      </c>
      <c r="Q38" s="14"/>
      <c r="R38" s="40">
        <f>P29/R37</f>
        <v>4.6300030931023812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74260</v>
      </c>
      <c r="L39" s="250"/>
      <c r="M39" s="14"/>
      <c r="N39" s="12"/>
      <c r="O39" s="12">
        <f>O38/P27</f>
        <v>62932.680776014116</v>
      </c>
      <c r="P39" s="45" t="s">
        <v>24</v>
      </c>
      <c r="Q39" s="14"/>
      <c r="R39" s="14"/>
      <c r="S39"/>
      <c r="T39" s="238"/>
      <c r="U39" s="59" t="s">
        <v>156</v>
      </c>
      <c r="V39" s="299">
        <v>43650</v>
      </c>
    </row>
    <row r="40" spans="2:24" s="230" customFormat="1" ht="17.399999999999999" x14ac:dyDescent="0.35">
      <c r="G40"/>
      <c r="K40" s="230">
        <f>K39/1.19</f>
        <v>62403.361344537821</v>
      </c>
      <c r="L40" s="250"/>
      <c r="M40" s="13"/>
      <c r="N40" s="14"/>
      <c r="O40" s="17">
        <f>O38/O37</f>
        <v>2.2000000000000002</v>
      </c>
      <c r="P40" s="15"/>
      <c r="Q40" s="14"/>
      <c r="R40"/>
      <c r="S40"/>
      <c r="T40" s="238"/>
      <c r="U40" s="59" t="s">
        <v>158</v>
      </c>
      <c r="V40" s="300" t="s">
        <v>157</v>
      </c>
      <c r="W40" s="59">
        <v>2.4</v>
      </c>
    </row>
    <row r="41" spans="2:24" s="230" customFormat="1" ht="17.399999999999999" x14ac:dyDescent="0.35">
      <c r="G41" s="23"/>
      <c r="L41" s="12"/>
      <c r="Q41"/>
      <c r="T41" s="238"/>
      <c r="U41" s="59" t="s">
        <v>159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154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146</v>
      </c>
    </row>
    <row r="75" spans="3:15" x14ac:dyDescent="0.3">
      <c r="C75" t="s">
        <v>145</v>
      </c>
    </row>
    <row r="78" spans="3:15" x14ac:dyDescent="0.3">
      <c r="C78" t="s">
        <v>145</v>
      </c>
    </row>
    <row r="155" spans="3:3" x14ac:dyDescent="0.3">
      <c r="C155" t="s">
        <v>145</v>
      </c>
    </row>
    <row r="156" spans="3:3" x14ac:dyDescent="0.3">
      <c r="C156" t="s">
        <v>147</v>
      </c>
    </row>
    <row r="157" spans="3:3" x14ac:dyDescent="0.3">
      <c r="C157" t="s">
        <v>148</v>
      </c>
    </row>
    <row r="582" spans="3:3" x14ac:dyDescent="0.3">
      <c r="C582" t="s">
        <v>145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45791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11433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-151697.83970012076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1506100</v>
      </c>
      <c r="E11" s="132">
        <f>D11*0.19</f>
        <v>286159</v>
      </c>
      <c r="F11" s="131">
        <f>E11+D11</f>
        <v>1792259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-45707.839700120763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361159.37078743964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-63707.839700120763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1144940.6292125604</v>
      </c>
      <c r="E13" s="221">
        <f>(D11/D12)-1</f>
        <v>3.1701811494361456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-72707.839700120763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-111707.83970012076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595912.96179927536</v>
      </c>
      <c r="F15" s="216">
        <f>E15-D12</f>
        <v>234753.59101183573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-111707.83970012076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-71707.839700120763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247500</v>
      </c>
      <c r="E19" s="123">
        <f>D19*0.19</f>
        <v>47025</v>
      </c>
      <c r="F19" s="120">
        <f>SUM(D19:E19)</f>
        <v>294525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83825.279999999999</v>
      </c>
      <c r="E20" s="121">
        <f>D20*0.19</f>
        <v>15926.8032</v>
      </c>
      <c r="F20" s="120">
        <f>SUM(D20:E20)</f>
        <v>99752.083199999994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331325.28000000003</v>
      </c>
      <c r="E21" s="116">
        <f>SUM(E18:E20)</f>
        <v>62951.803200000002</v>
      </c>
      <c r="F21" s="115">
        <f>SUM(F18:F20)</f>
        <v>394277.08319999999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223207.19680000001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1506100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331325.28000000003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1144940.6292125604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1144940.6292125604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2025-06-02T20:27:31Z</dcterms:modified>
</cp:coreProperties>
</file>