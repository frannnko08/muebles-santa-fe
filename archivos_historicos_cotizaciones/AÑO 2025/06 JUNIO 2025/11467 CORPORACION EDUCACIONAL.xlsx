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CB003BED-8BC0-439F-92A9-BA5199F57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 l="1"/>
  <c r="J39" i="1"/>
  <c r="L21" i="1" l="1"/>
  <c r="M21" i="1"/>
  <c r="S21" i="1" s="1"/>
  <c r="L25" i="1" l="1"/>
  <c r="R21" i="1"/>
  <c r="N21" i="1"/>
  <c r="O21" i="1" s="1"/>
  <c r="O26" i="1" s="1"/>
  <c r="N32" i="1"/>
  <c r="O27" i="1" l="1"/>
  <c r="S44" i="1"/>
  <c r="O28" i="1" l="1"/>
  <c r="M20" i="1"/>
  <c r="K20" i="1"/>
  <c r="N33" i="1" l="1"/>
  <c r="Q37" i="1"/>
  <c r="Q38" i="1" s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/>
  <c r="R27" i="1"/>
  <c r="S27" i="1" s="1"/>
  <c r="R28" i="1" l="1"/>
  <c r="R29" i="1" s="1"/>
  <c r="S37" i="1" s="1"/>
  <c r="S38" i="1" s="1"/>
  <c r="H25" i="1"/>
  <c r="H26" i="1" l="1"/>
  <c r="H27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<sst xmlns="http://schemas.openxmlformats.org/spreadsheetml/2006/main" count="223" uniqueCount="170">
  <si>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</si>
  <si>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</si>
  <si>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</si>
  <si>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</si>
  <si>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</si>
  <si>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</si>
  <si>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</si>
  <si>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</si>
  <si>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</si>
  <si>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</si>
  <si>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</si>
  <si>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</si>
  <si>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</si>
  <si>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</si>
  <si>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</si>
  <si>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</si>
  <si>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</si>
  <si>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</si>
  <si>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</si>
  <si>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</si>
  <si>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</si>
  <si>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</si>
  <si>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</si>
  <si>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</si>
  <si>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</si>
  <si>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</si>
  <si>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</si>
  <si>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</si>
  <si>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</si>
  <si>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</si>
  <si>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</si>
  <si>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</si>
  <si>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</si>
  <si>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</si>
  <si>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</si>
  <si>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</si>
  <si>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</si>
  <si>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</si>
  <si>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</si>
  <si>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</si>
  <si>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</si>
  <si>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</si>
  <si>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</si>
  <si>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</si>
  <si>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</si>
  <si>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</si>
  <si>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</si>
  <si>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</si>
  <si>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</si>
  <si>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</si>
  <si>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</si>
  <si>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</si>
  <si>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</si>
  <si>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</si>
  <si>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</si>
  <si>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</si>
  <si>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</si>
  <si>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</si>
  <si>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</si>
  <si>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</si>
  <si>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</si>
  <si>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</si>
  <si>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</si>
  <si>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</si>
  <si>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</si>
  <si>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</si>
  <si>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</si>
  <si>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</si>
  <si>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</si>
  <si>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</si>
  <si>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</si>
  <si>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</si>
  <si>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</si>
  <si>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</si>
  <si>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</si>
  <si>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</si>
  <si>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</si>
  <si>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</si>
  <si>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</si>
  <si>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</si>
  <si>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</si>
  <si>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</si>
  <si>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</si>
  <si>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</si>
  <si>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</si>
  <si>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</si>
  <si>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</si>
  <si>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</si>
  <si>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</si>
  <si>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</si>
  <si>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</si>
  <si>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</si>
  <si>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</si>
  <si>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</si>
  <si>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</si>
  <si>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</si>
  <si>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</si>
  <si>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</si>
  <si>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</si>
  <si>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</si>
  <si>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</si>
  <si>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</si>
  <si>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</si>
  <si>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</si>
  <si>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</si>
  <si>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</si>
  <si>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</si>
  <si>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</si>
  <si>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</si>
  <si>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</si>
  <si>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</si>
  <si>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</si>
  <si>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</si>
  <si>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</si>
  <si>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</si>
  <si>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</si>
  <si>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</si>
  <si>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</si>
  <si>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</si>
  <si>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</si>
  <si>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</si>
  <si>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</si>
  <si>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</si>
  <si>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</si>
  <si>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</si>
  <si>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</si>
  <si>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</si>
  <si>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</si>
  <si>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</si>
  <si>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</si>
  <si>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</si>
  <si>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</si>
  <si>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</si>
  <si>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</si>
  <si>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</si>
  <si>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</si>
  <si>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</si>
  <si>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</si>
  <si>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</si>
  <si>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</si>
  <si>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</si>
  <si>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</si>
  <si>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</si>
  <si>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</si>
  <si>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</si>
  <si>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</si>
  <si>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</si>
  <si>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</si>
  <si>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</si>
  <si>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</si>
  <si>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</si>
  <si>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</si>
  <si>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</si>
  <si>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</si>
  <si>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</si>
  <si>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</si>
  <si>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</si>
  <si>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SANTIAGO</t>
  </si>
  <si>
    <t>N° 11467</t>
  </si>
  <si>
    <t>CORPORACION EDUCACIONAL TECNOLOGICA DE CHILE</t>
  </si>
  <si>
    <t>71.60.900-5</t>
  </si>
  <si>
    <t>HECTOR MORENO</t>
  </si>
  <si>
    <t>+56965193346</t>
  </si>
  <si>
    <t>AV. PEDRO DE VALDIVIA 4650 ÑUÑOA</t>
  </si>
  <si>
    <t>10 DIAS HABILES</t>
  </si>
  <si>
    <t>SI</t>
  </si>
  <si>
    <t>CUB MESA RECTA CANTOS REDONDEADOS</t>
  </si>
  <si>
    <t>GALAXIA GRAFITO</t>
  </si>
  <si>
    <t>PVC 1,5MM 100 MTS</t>
  </si>
  <si>
    <t>SERVICIO DESPACHO 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</si>
</sst>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71" fontId="2" fillId="0" borderId="0" xfId="0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SUS CANTOS ENCHAPADOS CON TAPACANTO</a:t>
          </a:r>
          <a:r>
            <a:rPr lang="es-CL" sz="1200" b="1" baseline="0"/>
            <a:t> PVC DE 1,5MM COLOR NEGRO MATE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 MDF25MM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I26" sqref="I26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32.21875" customWidth="1"/>
    <col min="7" max="7" width="14" customWidth="1"/>
    <col min="8" max="8" width="15.44140625" customWidth="1"/>
    <col min="9" max="9" width="13.44140625" customWidth="1"/>
    <col min="10" max="10" width="13.66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160</v>
      </c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162</v>
      </c>
      <c r="D15" s="295"/>
      <c r="E15" s="247"/>
      <c r="F15" s="247" t="s">
        <v>136</v>
      </c>
      <c r="G15" s="296" t="s">
        <v>165</v>
      </c>
      <c r="H15" s="248"/>
    </row>
    <row r="16" spans="2:23" ht="16.8" x14ac:dyDescent="0.4">
      <c r="B16" s="292" t="s">
        <v>3</v>
      </c>
      <c r="C16" s="312" t="s">
        <v>163</v>
      </c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157</v>
      </c>
      <c r="D17" s="299"/>
      <c r="E17" s="300"/>
      <c r="F17" s="323" t="s">
        <v>154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69287.462919594065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35</v>
      </c>
      <c r="C21" s="318" t="s">
        <v>166</v>
      </c>
      <c r="D21" s="321">
        <v>1.2</v>
      </c>
      <c r="E21" s="321">
        <v>0.6</v>
      </c>
      <c r="F21" s="318" t="s">
        <v>167</v>
      </c>
      <c r="G21" s="322">
        <v>50718</v>
      </c>
      <c r="H21" s="322">
        <f t="shared" ref="H21:H22" si="1">G21*B21</f>
        <v>1775130</v>
      </c>
      <c r="I21" s="265"/>
      <c r="J21" s="47"/>
      <c r="K21" s="47">
        <f>B21</f>
        <v>35</v>
      </c>
      <c r="L21" s="39">
        <f t="shared" ref="L21:M21" si="2">D21+L$19</f>
        <v>1.22</v>
      </c>
      <c r="M21" s="39">
        <f t="shared" si="2"/>
        <v>0.6</v>
      </c>
      <c r="N21" s="261">
        <f>L21*M21</f>
        <v>0.73199999999999998</v>
      </c>
      <c r="O21" s="259">
        <f>N21*K21</f>
        <v>25.62</v>
      </c>
      <c r="P21" s="252">
        <f>P$20*N21</f>
        <v>50718.422857142854</v>
      </c>
      <c r="Q21" s="258">
        <f>P21+Q$20</f>
        <v>53718.422857142854</v>
      </c>
      <c r="R21" s="308">
        <f>L21*2*K21</f>
        <v>85.399999999999991</v>
      </c>
      <c r="S21" s="46">
        <f>M21*2*K21</f>
        <v>42</v>
      </c>
      <c r="T21" s="9"/>
      <c r="W21" s="4"/>
    </row>
    <row r="22" spans="2:24" ht="17.399999999999999" x14ac:dyDescent="0.3">
      <c r="B22" s="318">
        <v>1</v>
      </c>
      <c r="C22" s="318" t="s">
        <v>169</v>
      </c>
      <c r="D22" s="321"/>
      <c r="E22" s="321"/>
      <c r="F22" s="318"/>
      <c r="G22" s="322">
        <v>300000</v>
      </c>
      <c r="H22" s="322">
        <f t="shared" si="1"/>
        <v>300000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3"/>
      <c r="H23" s="313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2075130</v>
      </c>
      <c r="I25" s="265"/>
      <c r="J25" s="47"/>
      <c r="K25" s="47"/>
      <c r="L25" s="39">
        <f>SUM(L21:L24)</f>
        <v>1.22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394274.7</v>
      </c>
      <c r="I26" s="265"/>
      <c r="J26" s="47"/>
      <c r="K26" s="47"/>
      <c r="L26" s="39"/>
      <c r="M26" s="12"/>
      <c r="N26" s="12"/>
      <c r="O26" s="253">
        <f>SUM(O21:O23)</f>
        <v>25.62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2469404.7000000002</v>
      </c>
      <c r="I27" s="265"/>
      <c r="J27" s="47"/>
      <c r="K27" s="47"/>
      <c r="L27" s="39"/>
      <c r="M27" s="12"/>
      <c r="N27" s="12"/>
      <c r="O27" s="253">
        <f>O26</f>
        <v>25.62</v>
      </c>
      <c r="P27" s="14"/>
      <c r="Q27" s="12"/>
      <c r="R27" s="238">
        <f>SUM(R21:R26)</f>
        <v>85.399999999999991</v>
      </c>
      <c r="S27" s="46">
        <f>R27+S21</f>
        <v>127.39999999999999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5.1240000000000006</v>
      </c>
      <c r="P28" s="39" t="s">
        <v>132</v>
      </c>
      <c r="Q28" s="42"/>
      <c r="R28" s="239">
        <f>S27*20%</f>
        <v>25.48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O29" s="46">
        <f>O27+O28</f>
        <v>30.744</v>
      </c>
      <c r="P29" s="14"/>
      <c r="Q29" s="14"/>
      <c r="R29" s="335">
        <f>S27+R28</f>
        <v>152.88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30.744</v>
      </c>
      <c r="M31" s="12">
        <v>3500</v>
      </c>
      <c r="N31" s="12">
        <f t="shared" ref="N31:N36" si="3">L31*M31</f>
        <v>107604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7</v>
      </c>
      <c r="M32" s="12">
        <v>39500</v>
      </c>
      <c r="N32" s="12">
        <f t="shared" si="3"/>
        <v>276500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>
        <v>2</v>
      </c>
      <c r="M33" s="250">
        <v>71390</v>
      </c>
      <c r="N33" s="12">
        <f t="shared" si="3"/>
        <v>142780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7</v>
      </c>
      <c r="M34" s="250">
        <v>40000</v>
      </c>
      <c r="N34" s="12">
        <f t="shared" si="3"/>
        <v>280000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3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3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806884</v>
      </c>
      <c r="O37" s="39" t="s">
        <v>25</v>
      </c>
      <c r="P37" s="14"/>
      <c r="Q37">
        <f>Q35*Q36</f>
        <v>3.7088000000000001</v>
      </c>
      <c r="R37"/>
      <c r="S37" s="237">
        <f>R29*S36</f>
        <v>229320</v>
      </c>
      <c r="W37" s="231"/>
    </row>
    <row r="38" spans="2:23" s="230" customFormat="1" ht="17.399999999999999" x14ac:dyDescent="0.35">
      <c r="J38" s="47">
        <v>46970</v>
      </c>
      <c r="K38" s="250"/>
      <c r="L38" s="254" t="s">
        <v>35</v>
      </c>
      <c r="M38" s="12"/>
      <c r="N38" s="255">
        <f>N37*2.2</f>
        <v>1775144.8</v>
      </c>
      <c r="O38" s="14" t="s">
        <v>142</v>
      </c>
      <c r="P38" s="14"/>
      <c r="Q38" s="46">
        <f>O27/Q37</f>
        <v>6.9078947368421053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39470.588235294119</v>
      </c>
      <c r="K39" s="250"/>
      <c r="L39" s="14"/>
      <c r="M39" s="12"/>
      <c r="N39" s="12">
        <f>N38/O27</f>
        <v>69287.462919594065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27" t="s">
        <v>168</v>
      </c>
      <c r="K42" s="12">
        <v>71390</v>
      </c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6.72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45820</v>
      </c>
    </row>
    <row r="6" spans="2:31" ht="16.2" thickBot="1" x14ac:dyDescent="0.35">
      <c r="B6" s="140" t="s">
        <v>2</v>
      </c>
      <c r="C6" s="139" t="str">
        <f>'2229'!C10</f>
        <v>CORPORACION EDUCACIONAL TECNOLOGICA DE CHILE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11467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-192757.52503345409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2075130</v>
      </c>
      <c r="E11" s="132">
        <f>D11*0.19</f>
        <v>394274.7</v>
      </c>
      <c r="F11" s="131">
        <f>E11+D11</f>
        <v>2469404.7000000002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-86767.525033454091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556718.09078743961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-104767.52503345409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1518411.9092125604</v>
      </c>
      <c r="E13" s="221">
        <f>(D11/D12)-1</f>
        <v>2.7274341077453954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-113767.52503345409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-152767.52503345409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918584.84979927528</v>
      </c>
      <c r="F15" s="216">
        <f>E15-D12</f>
        <v>361866.75901183567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-152767.52503345409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-112767.52503345409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142780</v>
      </c>
      <c r="E18" s="123">
        <f>D18*0.19</f>
        <v>27128.2</v>
      </c>
      <c r="F18" s="120">
        <f>SUM(D18:E18)</f>
        <v>169908.2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276500</v>
      </c>
      <c r="E19" s="123">
        <f>D19*0.19</f>
        <v>52535</v>
      </c>
      <c r="F19" s="120">
        <f>SUM(D19:E19)</f>
        <v>329035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107604</v>
      </c>
      <c r="E20" s="121">
        <f>D20*0.19</f>
        <v>20444.760000000002</v>
      </c>
      <c r="F20" s="120">
        <f>SUM(D20:E20)</f>
        <v>128048.76000000001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526884</v>
      </c>
      <c r="E21" s="116">
        <f>SUM(E18:E20)</f>
        <v>100107.95999999999</v>
      </c>
      <c r="F21" s="115">
        <f>SUM(F18:F20)</f>
        <v>626991.96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294166.74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2075130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526884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1518411.9092125604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1518411.9092125604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2025-06-10T22:28:31Z</cp:lastPrinted>
  <dcterms:created xsi:type="dcterms:W3CDTF">2013-03-18T13:35:42Z</dcterms:created>
  <dcterms:modified xsi:type="dcterms:W3CDTF">2025-06-12T16:27:17Z</dcterms:modified>
</cp:coreProperties>
</file>