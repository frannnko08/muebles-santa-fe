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A910F588-980B-40FE-8746-BE6280676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2" i="1"/>
  <c r="L22" i="1"/>
  <c r="M22" i="1"/>
  <c r="H22" i="1"/>
  <c r="K21" i="1"/>
  <c r="J39" i="1"/>
  <c r="N22" i="1" l="1"/>
  <c r="O22" i="1" s="1"/>
  <c r="L21" i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H21" i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<sst xmlns="http://schemas.openxmlformats.org/spreadsheetml/2006/main" count="220" uniqueCount="164">
  <si>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</si>
  <si>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</si>
  <si>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</si>
  <si>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</si>
  <si>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</si>
  <si>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</si>
  <si>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</si>
  <si>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</si>
  <si>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</si>
  <si>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</si>
  <si>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</si>
  <si>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</si>
  <si>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</si>
  <si>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</si>
  <si>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</si>
  <si>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</si>
  <si>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</si>
  <si>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</si>
  <si>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</si>
  <si>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</si>
  <si>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</si>
  <si>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</si>
  <si>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</si>
  <si>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</si>
  <si>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</si>
  <si>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</si>
  <si>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</si>
  <si>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</si>
  <si>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</si>
  <si>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</si>
  <si>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</si>
  <si>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</si>
  <si>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</si>
  <si>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</si>
  <si>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</si>
  <si>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</si>
  <si>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</si>
  <si>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</si>
  <si>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</si>
  <si>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</si>
  <si>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</si>
  <si>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</si>
  <si>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</si>
  <si>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</si>
  <si>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</si>
  <si>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</si>
  <si>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</si>
  <si>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</si>
  <si>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</si>
  <si>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</si>
  <si>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</si>
  <si>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</si>
  <si>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</si>
  <si>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</si>
  <si>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</si>
  <si>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</si>
  <si>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</si>
  <si>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</si>
  <si>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</si>
  <si>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</si>
  <si>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</si>
  <si>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</si>
  <si>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</si>
  <si>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</si>
  <si>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</si>
  <si>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</si>
  <si>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</si>
  <si>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</si>
  <si>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</si>
  <si>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</si>
  <si>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</si>
  <si>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</si>
  <si>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</si>
  <si>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</si>
  <si>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</si>
  <si>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</si>
  <si>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</si>
  <si>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</si>
  <si>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</si>
  <si>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</si>
  <si>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</si>
  <si>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</si>
  <si>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</si>
  <si>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</si>
  <si>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</si>
  <si>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</si>
  <si>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</si>
  <si>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</si>
  <si>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</si>
  <si>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</si>
  <si>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</si>
  <si>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</si>
  <si>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</si>
  <si>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</si>
  <si>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</si>
  <si>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</si>
  <si>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</si>
  <si>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</si>
  <si>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</si>
  <si>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</si>
  <si>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</si>
  <si>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</si>
  <si>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</si>
  <si>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</si>
  <si>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</si>
  <si>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</si>
  <si>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</si>
  <si>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</si>
  <si>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</si>
  <si>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</si>
  <si>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</si>
  <si>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</si>
  <si>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</si>
  <si>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</si>
  <si>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</si>
  <si>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</si>
  <si>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</si>
  <si>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</si>
  <si>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</si>
  <si>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</si>
  <si>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</si>
  <si>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</si>
  <si>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</si>
  <si>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</si>
  <si>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</si>
  <si>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</si>
  <si>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</si>
  <si>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</si>
  <si>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</si>
  <si>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</si>
  <si>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</si>
  <si>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</si>
  <si>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</si>
  <si>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</si>
  <si>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</si>
  <si>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</si>
  <si>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</si>
  <si>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</si>
  <si>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</si>
  <si>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</si>
  <si>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</si>
  <si>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</si>
  <si>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</si>
  <si>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</si>
  <si>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</si>
  <si>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</si>
  <si>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</si>
  <si>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</si>
  <si>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</si>
  <si>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</si>
  <si>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</si>
  <si>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</si>
  <si>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</si>
  <si>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</si>
  <si>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</si>
  <si>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</si>
  <si>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</si>
  <si>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</si>
  <si>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</si>
  <si>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 R12</t>
  </si>
  <si>
    <t>GRANITINO NEGRO 3014 BRILLO F6</t>
  </si>
  <si>
    <t>ANDREA NUÑEZ</t>
  </si>
  <si>
    <t>+56961914275</t>
  </si>
  <si>
    <t>N° 11464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</si>
</sst>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CON SOBRE MEDIDA EN EL</a:t>
          </a:r>
          <a:r>
            <a:rPr lang="es-CL" sz="1200" b="1" baseline="0"/>
            <a:t>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41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45811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87922.824025289767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18">
        <v>1</v>
      </c>
      <c r="C21" s="318" t="s">
        <v>159</v>
      </c>
      <c r="D21" s="321">
        <v>2.2200000000000002</v>
      </c>
      <c r="E21" s="321">
        <v>0.45</v>
      </c>
      <c r="F21" s="318" t="s">
        <v>160</v>
      </c>
      <c r="G21" s="322">
        <v>91000</v>
      </c>
      <c r="H21" s="322">
        <f t="shared" ref="H21" si="1">G21*B21</f>
        <v>91000</v>
      </c>
      <c r="I21" s="265"/>
      <c r="J21" s="47"/>
      <c r="K21" s="47">
        <f>B21</f>
        <v>1</v>
      </c>
      <c r="L21" s="39">
        <f t="shared" ref="L21:M21" si="2">D21+L$19</f>
        <v>2.3000000000000003</v>
      </c>
      <c r="M21" s="39">
        <f t="shared" si="2"/>
        <v>0.45</v>
      </c>
      <c r="N21" s="261">
        <f>L21*M21</f>
        <v>1.0350000000000001</v>
      </c>
      <c r="O21" s="259">
        <f>N21*K21</f>
        <v>1.0350000000000001</v>
      </c>
      <c r="P21" s="252">
        <f>P$20*N21</f>
        <v>91000.122866174919</v>
      </c>
      <c r="Q21" s="258">
        <f>P21+Q$20</f>
        <v>98500.122866174919</v>
      </c>
      <c r="R21" s="308">
        <f>K21*L21</f>
        <v>2.3000000000000003</v>
      </c>
      <c r="S21" s="14"/>
      <c r="T21" s="9"/>
      <c r="W21" s="4"/>
    </row>
    <row r="22" spans="2:24" ht="17.399999999999999" x14ac:dyDescent="0.3">
      <c r="B22" s="318">
        <v>1</v>
      </c>
      <c r="C22" s="318" t="s">
        <v>159</v>
      </c>
      <c r="D22" s="321">
        <v>1.8</v>
      </c>
      <c r="E22" s="321">
        <v>0.56000000000000005</v>
      </c>
      <c r="F22" s="318" t="s">
        <v>160</v>
      </c>
      <c r="G22" s="322">
        <v>92565</v>
      </c>
      <c r="H22" s="322">
        <f t="shared" ref="H22" si="3">G22*B22</f>
        <v>92565</v>
      </c>
      <c r="I22" s="265"/>
      <c r="J22" s="47"/>
      <c r="K22" s="47">
        <f t="shared" ref="K22" si="4">B22</f>
        <v>1</v>
      </c>
      <c r="L22" s="39">
        <f t="shared" ref="L22" si="5">D22+L$19</f>
        <v>1.8800000000000001</v>
      </c>
      <c r="M22" s="39">
        <f t="shared" ref="M22" si="6">E22+M$19</f>
        <v>0.56000000000000005</v>
      </c>
      <c r="N22" s="261">
        <f t="shared" ref="N22" si="7">L22*M22</f>
        <v>1.0528000000000002</v>
      </c>
      <c r="O22" s="259">
        <f t="shared" ref="O22" si="8">N22*K22</f>
        <v>1.0528000000000002</v>
      </c>
      <c r="P22" s="252">
        <f t="shared" ref="P22" si="9">P$20*N22</f>
        <v>92565.149133825078</v>
      </c>
      <c r="Q22" s="258">
        <f t="shared" ref="Q22" si="10">P22+Q$20</f>
        <v>100065.14913382508</v>
      </c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3"/>
      <c r="H23" s="313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183565</v>
      </c>
      <c r="I25" s="265"/>
      <c r="J25" s="47"/>
      <c r="K25" s="47"/>
      <c r="L25" s="39">
        <f>SUM(L21:L24)</f>
        <v>4.1800000000000006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34877.35</v>
      </c>
      <c r="I26" s="265"/>
      <c r="J26" s="47"/>
      <c r="K26" s="47"/>
      <c r="L26" s="39"/>
      <c r="M26" s="12"/>
      <c r="N26" s="12"/>
      <c r="O26" s="253">
        <f>SUM(O21:O23)</f>
        <v>2.0878000000000005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218442.35</v>
      </c>
      <c r="I27" s="265"/>
      <c r="J27" s="47"/>
      <c r="K27" s="47"/>
      <c r="L27" s="39"/>
      <c r="M27" s="12"/>
      <c r="N27" s="12"/>
      <c r="O27" s="253">
        <f>O26</f>
        <v>2.0878000000000005</v>
      </c>
      <c r="P27" s="14"/>
      <c r="Q27" s="12"/>
      <c r="R27" s="238">
        <f>SUM(R21:R26)</f>
        <v>2.3000000000000003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0.41756000000000015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O29" s="46">
        <f>O27+O28</f>
        <v>2.5053600000000005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2.5053600000000005</v>
      </c>
      <c r="M31" s="12">
        <v>3500</v>
      </c>
      <c r="N31" s="12">
        <f t="shared" ref="N31:N36" si="11">L31*M31</f>
        <v>8768.760000000002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</v>
      </c>
      <c r="M32" s="12">
        <v>25000</v>
      </c>
      <c r="N32" s="12">
        <f t="shared" si="11"/>
        <v>15000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11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2</v>
      </c>
      <c r="M34" s="250">
        <v>26700</v>
      </c>
      <c r="N34" s="12">
        <f t="shared" si="11"/>
        <v>53400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11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4.18</v>
      </c>
      <c r="M36" s="12">
        <v>1500</v>
      </c>
      <c r="N36" s="12">
        <f t="shared" si="11"/>
        <v>6270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83438.760000000009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31670</v>
      </c>
      <c r="K38" s="250"/>
      <c r="L38" s="254" t="s">
        <v>35</v>
      </c>
      <c r="M38" s="12"/>
      <c r="N38" s="255">
        <f>N37*2.2</f>
        <v>183565.27200000003</v>
      </c>
      <c r="O38" s="14" t="s">
        <v>142</v>
      </c>
      <c r="P38" s="14"/>
      <c r="Q38" s="46">
        <f>O27/Q37</f>
        <v>0.56293140638481465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26613.44537815126</v>
      </c>
      <c r="K39" s="250"/>
      <c r="L39" s="14"/>
      <c r="M39" s="12"/>
      <c r="N39" s="12">
        <f>N38/O27</f>
        <v>87922.824025289767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0.54761967213114759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45811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11464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-15853.382700120774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183565</v>
      </c>
      <c r="E11" s="132">
        <f>D11*0.19</f>
        <v>34877.35</v>
      </c>
      <c r="F11" s="131">
        <f>E11+D11</f>
        <v>218442.35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90136.617299879232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53602.850787439616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72136.617299879232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129962.14921256038</v>
      </c>
      <c r="E13" s="221">
        <f>(D11/D12)-1</f>
        <v>2.4245380106353132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63136.617299879224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24136.617299879224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88444.703799275361</v>
      </c>
      <c r="F15" s="216">
        <f>E15-D12</f>
        <v>34841.853011835745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24136.617299879224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64136.617299879224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8768.760000000002</v>
      </c>
      <c r="E20" s="121">
        <f>D20*0.19</f>
        <v>1666.0644000000004</v>
      </c>
      <c r="F20" s="120">
        <f>SUM(D20:E20)</f>
        <v>10434.824400000003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23768.760000000002</v>
      </c>
      <c r="E21" s="116">
        <f>SUM(E18:E20)</f>
        <v>4516.0644000000002</v>
      </c>
      <c r="F21" s="115">
        <f>SUM(F18:F20)</f>
        <v>28284.824400000005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30361.285599999999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183565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23768.760000000002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129962.14921256038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129962.14921256038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2025-06-10T22:28:31Z</cp:lastPrinted>
  <dcterms:created xsi:type="dcterms:W3CDTF">2013-03-18T13:35:42Z</dcterms:created>
  <dcterms:modified xsi:type="dcterms:W3CDTF">2025-06-10T22:28:50Z</dcterms:modified>
</cp:coreProperties>
</file>