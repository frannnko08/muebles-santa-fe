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91CAF244-4EAC-4C6A-9AE7-753F1F68A0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K22" i="1"/>
  <c r="L22" i="1"/>
  <c r="M22" i="1"/>
  <c r="N22" i="1"/>
  <c r="O22" i="1" s="1"/>
  <c r="K21" i="1"/>
  <c r="J39" i="1"/>
  <c r="L21" i="1" l="1"/>
  <c r="L25" i="1" s="1"/>
  <c r="M21" i="1"/>
  <c r="N21" i="1" l="1"/>
  <c r="O21" i="1" s="1"/>
  <c r="O26" i="1" s="1"/>
  <c r="R21" i="1"/>
  <c r="N32" i="1"/>
  <c r="O27" i="1" l="1"/>
  <c r="S44" i="1"/>
  <c r="O28" i="1" l="1"/>
  <c r="M20" i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O29" i="1" l="1"/>
  <c r="L31" i="1" s="1"/>
  <c r="N31" i="1" l="1"/>
  <c r="S45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P22" i="1" s="1"/>
  <c r="Q22" i="1" s="1"/>
  <c r="E15" i="3"/>
  <c r="P21" i="1" l="1"/>
  <c r="F15" i="3"/>
  <c r="Q21" i="1" l="1"/>
  <c r="H21" i="1"/>
  <c r="R27" i="1"/>
  <c r="H25" i="1" l="1"/>
  <c r="H26" i="1" l="1"/>
  <c r="H27" i="1" s="1"/>
  <c r="D11" i="3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<sst xmlns="http://schemas.openxmlformats.org/spreadsheetml/2006/main" count="220" uniqueCount="165">
  <si>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</si>
  <si>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</si>
  <si>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</si>
  <si>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</si>
  <si>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</si>
  <si>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</si>
  <si>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</si>
  <si>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</si>
  <si>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</si>
  <si>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</si>
  <si>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</si>
  <si>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</si>
  <si>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</si>
  <si>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</si>
  <si>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</si>
  <si>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</si>
  <si>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</si>
  <si>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</si>
  <si>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</si>
  <si>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</si>
  <si>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</si>
  <si>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</si>
  <si>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</si>
  <si>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</si>
  <si>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</si>
  <si>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</si>
  <si>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</si>
  <si>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</si>
  <si>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</si>
  <si>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</si>
  <si>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</si>
  <si>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</si>
  <si>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</si>
  <si>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</si>
  <si>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</si>
  <si>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</si>
  <si>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</si>
  <si>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</si>
  <si>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</si>
  <si>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</si>
  <si>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</si>
  <si>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</si>
  <si>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</si>
  <si>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</si>
  <si>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</si>
  <si>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</si>
  <si>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</si>
  <si>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</si>
  <si>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</si>
  <si>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</si>
  <si>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</si>
  <si>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</si>
  <si>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</si>
  <si>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</si>
  <si>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</si>
  <si>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</si>
  <si>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</si>
  <si>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</si>
  <si>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</si>
  <si>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</si>
  <si>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</si>
  <si>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</si>
  <si>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</si>
  <si>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</si>
  <si>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</si>
  <si>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</si>
  <si>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</si>
  <si>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</si>
  <si>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</si>
  <si>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</si>
  <si>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</si>
  <si>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</si>
  <si>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</si>
  <si>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</si>
  <si>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</si>
  <si>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</si>
  <si>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</si>
  <si>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</si>
  <si>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</si>
  <si>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</si>
  <si>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</si>
  <si>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</si>
  <si>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</si>
  <si>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</si>
  <si>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</si>
  <si>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</si>
  <si>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</si>
  <si>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</si>
  <si>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</si>
  <si>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</si>
  <si>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</si>
  <si>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</si>
  <si>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</si>
  <si>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</si>
  <si>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</si>
  <si>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</si>
  <si>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</si>
  <si>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</si>
  <si>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</si>
  <si>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</si>
  <si>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</si>
  <si>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</si>
  <si>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</si>
  <si>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</si>
  <si>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</si>
  <si>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</si>
  <si>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</si>
  <si>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</si>
  <si>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</si>
  <si>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</si>
  <si>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</si>
  <si>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</si>
  <si>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</si>
  <si>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</si>
  <si>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</si>
  <si>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</si>
  <si>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</si>
  <si>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</si>
  <si>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</si>
  <si>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</si>
  <si>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</si>
  <si>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</si>
  <si>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</si>
  <si>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</si>
  <si>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</si>
  <si>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</si>
  <si>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</si>
  <si>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</si>
  <si>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</si>
  <si>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</si>
  <si>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</si>
  <si>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</si>
  <si>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</si>
  <si>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</si>
  <si>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</si>
  <si>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</si>
  <si>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</si>
  <si>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</si>
  <si>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</si>
  <si>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</si>
  <si>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</si>
  <si>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</si>
  <si>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</si>
  <si>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</si>
  <si>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</si>
  <si>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</si>
  <si>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</si>
  <si>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</si>
  <si>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</si>
  <si>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</si>
  <si>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</si>
  <si>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</si>
  <si>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</si>
  <si>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</si>
  <si>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</si>
  <si>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</si>
  <si>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</si>
  <si>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</si>
  <si>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+56950054962</t>
  </si>
  <si>
    <t>BRYAN RUIZ</t>
  </si>
  <si>
    <t>5 DIAS HABILES</t>
  </si>
  <si>
    <t>CUB MESA 90° 3 LADOS</t>
  </si>
  <si>
    <t>NEGRO MATE</t>
  </si>
  <si>
    <t>CUB C/R 90°</t>
  </si>
  <si>
    <t>N° 11473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</si>
</sst>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9526</xdr:colOff>
      <xdr:row>29</xdr:row>
      <xdr:rowOff>28575</xdr:rowOff>
    </xdr:from>
    <xdr:to>
      <xdr:col>8</xdr:col>
      <xdr:colOff>7776</xdr:colOff>
      <xdr:row>32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463199" y="5743575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15552</xdr:colOff>
      <xdr:row>23</xdr:row>
      <xdr:rowOff>217716</xdr:rowOff>
    </xdr:from>
    <xdr:to>
      <xdr:col>5</xdr:col>
      <xdr:colOff>1764031</xdr:colOff>
      <xdr:row>27</xdr:row>
      <xdr:rowOff>15552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7654" y="4610879"/>
          <a:ext cx="5923928" cy="68424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</a:t>
          </a:r>
          <a:r>
            <a:rPr lang="es-CL" sz="1200" b="1" baseline="0"/>
            <a:t> EN EL LARGO</a:t>
          </a:r>
        </a:p>
        <a:p>
          <a:pPr algn="l"/>
          <a:r>
            <a:rPr lang="es-CL" sz="1200" b="1" baseline="0"/>
            <a:t>SUSTRATO: MDF 18MM</a:t>
          </a:r>
          <a:endParaRPr lang="es-CL" sz="1200" b="1"/>
        </a:p>
        <a:p>
          <a:pPr algn="l"/>
          <a:endParaRPr lang="es-CL" sz="1200" b="1" u="sng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6" zoomScale="98" zoomScaleNormal="98" workbookViewId="0">
      <selection activeCell="D11" sqref="D11"/>
    </sheetView>
  </sheetViews>
  <sheetFormatPr baseColWidth="10" defaultRowHeight="14.4" x14ac:dyDescent="0.3"/>
  <cols>
    <col min="1" max="1" width="6" customWidth="1"/>
    <col min="2" max="2" width="10.5546875" customWidth="1"/>
    <col min="3" max="3" width="28.6640625" customWidth="1"/>
    <col min="4" max="4" width="11.109375" customWidth="1"/>
    <col min="5" max="5" width="10.5546875" customWidth="1"/>
    <col min="6" max="6" width="27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6" t="s">
        <v>164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45821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125</v>
      </c>
      <c r="G11" s="289" t="s">
        <v>160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2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09" t="s">
        <v>158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2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3" t="s">
        <v>155</v>
      </c>
      <c r="G17" s="323"/>
      <c r="H17" s="32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5" t="s">
        <v>149</v>
      </c>
      <c r="C19" s="326"/>
      <c r="D19" s="326"/>
      <c r="E19" s="326"/>
      <c r="F19" s="326"/>
      <c r="G19" s="326"/>
      <c r="H19" s="327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7.399999999999999" x14ac:dyDescent="0.3">
      <c r="B20" s="317" t="s">
        <v>7</v>
      </c>
      <c r="C20" s="319" t="s">
        <v>1</v>
      </c>
      <c r="D20" s="319" t="s">
        <v>10</v>
      </c>
      <c r="E20" s="319" t="s">
        <v>11</v>
      </c>
      <c r="F20" s="319" t="s">
        <v>8</v>
      </c>
      <c r="G20" s="319" t="s">
        <v>5</v>
      </c>
      <c r="H20" s="320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77250.471204188492</v>
      </c>
      <c r="Q20" s="258">
        <v>5000</v>
      </c>
      <c r="R20" s="38"/>
      <c r="S20" s="14" t="s">
        <v>130</v>
      </c>
      <c r="T20" s="9"/>
      <c r="W20" s="4"/>
    </row>
    <row r="21" spans="2:24" ht="17.399999999999999" x14ac:dyDescent="0.3">
      <c r="B21" s="318">
        <v>1</v>
      </c>
      <c r="C21" s="318" t="s">
        <v>161</v>
      </c>
      <c r="D21" s="321">
        <v>1.1000000000000001</v>
      </c>
      <c r="E21" s="321">
        <v>0.56999999999999995</v>
      </c>
      <c r="F21" s="318" t="s">
        <v>162</v>
      </c>
      <c r="G21" s="322">
        <v>56959</v>
      </c>
      <c r="H21" s="322">
        <f t="shared" ref="H21:H22" si="1">G21*B21</f>
        <v>56959</v>
      </c>
      <c r="I21" s="265"/>
      <c r="J21" s="47"/>
      <c r="K21" s="47">
        <f>B21</f>
        <v>1</v>
      </c>
      <c r="L21" s="39">
        <f t="shared" ref="L21:M21" si="2">D21+L$19</f>
        <v>1.1800000000000002</v>
      </c>
      <c r="M21" s="39">
        <f t="shared" si="2"/>
        <v>0.56999999999999995</v>
      </c>
      <c r="N21" s="261">
        <f>L21*M21</f>
        <v>0.67260000000000009</v>
      </c>
      <c r="O21" s="259">
        <f>N21*K21</f>
        <v>0.67260000000000009</v>
      </c>
      <c r="P21" s="252">
        <f>P$20*N21</f>
        <v>51958.666931937187</v>
      </c>
      <c r="Q21" s="258">
        <f>P21+Q$20</f>
        <v>56958.666931937187</v>
      </c>
      <c r="R21" s="308">
        <f>K21*L21</f>
        <v>1.1800000000000002</v>
      </c>
      <c r="S21" s="14"/>
      <c r="T21" s="9"/>
      <c r="W21" s="4"/>
    </row>
    <row r="22" spans="2:24" ht="17.399999999999999" x14ac:dyDescent="0.3">
      <c r="B22" s="318">
        <v>1</v>
      </c>
      <c r="C22" s="318" t="s">
        <v>163</v>
      </c>
      <c r="D22" s="321">
        <v>0.9</v>
      </c>
      <c r="E22" s="321">
        <v>0.6</v>
      </c>
      <c r="F22" s="318" t="s">
        <v>162</v>
      </c>
      <c r="G22" s="322">
        <v>45423</v>
      </c>
      <c r="H22" s="322">
        <f t="shared" si="1"/>
        <v>45423</v>
      </c>
      <c r="I22" s="265"/>
      <c r="J22" s="47"/>
      <c r="K22" s="47">
        <f>B22</f>
        <v>1</v>
      </c>
      <c r="L22" s="39">
        <f t="shared" ref="L22" si="3">D22+L$19</f>
        <v>0.98</v>
      </c>
      <c r="M22" s="39">
        <f t="shared" ref="M22" si="4">E22+M$19</f>
        <v>0.6</v>
      </c>
      <c r="N22" s="261">
        <f>L22*M22</f>
        <v>0.58799999999999997</v>
      </c>
      <c r="O22" s="259">
        <f>N22*K22</f>
        <v>0.58799999999999997</v>
      </c>
      <c r="P22" s="252">
        <f>P$20*N22</f>
        <v>45423.277068062831</v>
      </c>
      <c r="Q22" s="258">
        <f>P22+Q$20</f>
        <v>50423.277068062831</v>
      </c>
      <c r="R22" s="308"/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3"/>
      <c r="H23" s="313"/>
      <c r="I23" s="265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2"/>
      <c r="I24" s="232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10" t="s">
        <v>30</v>
      </c>
      <c r="H25" s="311">
        <f>SUM(H21:H24)</f>
        <v>102382</v>
      </c>
      <c r="I25" s="265"/>
      <c r="J25" s="47"/>
      <c r="K25" s="47"/>
      <c r="L25" s="39">
        <f>SUM(L21:L21)</f>
        <v>1.1800000000000002</v>
      </c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53</v>
      </c>
      <c r="H26" s="304">
        <f>H25*0.19</f>
        <v>19452.580000000002</v>
      </c>
      <c r="I26" s="265"/>
      <c r="J26" s="47"/>
      <c r="K26" s="47"/>
      <c r="L26" s="39"/>
      <c r="M26" s="12"/>
      <c r="N26" s="12"/>
      <c r="O26" s="253">
        <f>SUM(O21:O23)</f>
        <v>1.2606000000000002</v>
      </c>
      <c r="P26" s="14"/>
      <c r="Q26" s="12"/>
      <c r="R26" s="238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121834.58</v>
      </c>
      <c r="I27" s="265"/>
      <c r="J27" s="47"/>
      <c r="K27" s="47"/>
      <c r="L27" s="39"/>
      <c r="M27" s="12"/>
      <c r="N27" s="12"/>
      <c r="O27" s="253">
        <f>O26</f>
        <v>1.2606000000000002</v>
      </c>
      <c r="P27" s="14"/>
      <c r="Q27" s="12"/>
      <c r="R27" s="238">
        <f>SUM(R21:R26)</f>
        <v>1.1800000000000002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0.25212000000000007</v>
      </c>
      <c r="P28" s="39" t="s">
        <v>132</v>
      </c>
      <c r="Q28" s="42"/>
      <c r="R28" s="239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315"/>
      <c r="K29" s="47"/>
      <c r="L29" s="14"/>
      <c r="M29" s="12"/>
      <c r="N29" s="12"/>
      <c r="O29" s="46">
        <f>O27+O28</f>
        <v>1.5127200000000003</v>
      </c>
      <c r="P29" s="14"/>
      <c r="Q29" s="14"/>
      <c r="R29" s="237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2"/>
      <c r="F30" s="233"/>
      <c r="G30" s="230"/>
      <c r="H30" s="275"/>
      <c r="I30" s="265"/>
      <c r="J30" s="315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2:24" ht="17.399999999999999" x14ac:dyDescent="0.35">
      <c r="B31" s="234"/>
      <c r="C31" s="235"/>
      <c r="D31" s="236"/>
      <c r="E31" s="234"/>
      <c r="F31" s="230"/>
      <c r="G31" s="230"/>
      <c r="I31" s="265"/>
      <c r="J31" s="47"/>
      <c r="K31" s="47"/>
      <c r="L31" s="39">
        <f>O29</f>
        <v>1.5127200000000003</v>
      </c>
      <c r="M31" s="12">
        <v>3500</v>
      </c>
      <c r="N31" s="12">
        <f t="shared" ref="N31:N36" si="5">L31*M31</f>
        <v>5294.5200000000013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0.5</v>
      </c>
      <c r="M32" s="12">
        <v>25000</v>
      </c>
      <c r="N32" s="12">
        <f t="shared" si="5"/>
        <v>12500</v>
      </c>
      <c r="O32" s="39" t="s">
        <v>156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I33" s="262"/>
      <c r="J33" s="47"/>
      <c r="K33" s="250"/>
      <c r="L33" s="14"/>
      <c r="M33" s="250">
        <v>40754</v>
      </c>
      <c r="N33" s="12">
        <f t="shared" si="5"/>
        <v>0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B34" s="24" t="s">
        <v>153</v>
      </c>
      <c r="I34" s="262"/>
      <c r="J34" s="314"/>
      <c r="K34" s="250"/>
      <c r="L34" s="14">
        <v>1</v>
      </c>
      <c r="M34" s="250">
        <v>25000</v>
      </c>
      <c r="N34" s="12">
        <f t="shared" si="5"/>
        <v>25000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B35" s="24" t="s">
        <v>146</v>
      </c>
      <c r="C35"/>
      <c r="D35"/>
      <c r="E35"/>
      <c r="F35"/>
      <c r="I35" s="262"/>
      <c r="J35" s="314"/>
      <c r="K35" s="250"/>
      <c r="L35" s="249"/>
      <c r="M35" s="250">
        <v>800</v>
      </c>
      <c r="N35" s="12">
        <f t="shared" si="5"/>
        <v>0</v>
      </c>
      <c r="O35" s="14" t="s">
        <v>34</v>
      </c>
      <c r="P35" s="14"/>
      <c r="Q35" s="230">
        <v>1.52</v>
      </c>
      <c r="R35" s="237"/>
      <c r="S35" s="237"/>
    </row>
    <row r="36" spans="2:23" s="230" customFormat="1" ht="17.399999999999999" x14ac:dyDescent="0.35">
      <c r="B36" s="29" t="s">
        <v>127</v>
      </c>
      <c r="C36"/>
      <c r="D36"/>
      <c r="E36"/>
      <c r="F36" s="229" t="s">
        <v>16</v>
      </c>
      <c r="I36" s="303"/>
      <c r="J36" s="47"/>
      <c r="K36" s="250"/>
      <c r="L36" s="266">
        <v>0.98</v>
      </c>
      <c r="M36" s="12">
        <v>1500</v>
      </c>
      <c r="N36" s="12">
        <f t="shared" si="5"/>
        <v>1470</v>
      </c>
      <c r="O36" s="14" t="s">
        <v>24</v>
      </c>
      <c r="P36" s="14"/>
      <c r="Q36">
        <v>2.44</v>
      </c>
      <c r="R36"/>
      <c r="S36" s="237">
        <v>1500</v>
      </c>
      <c r="W36" s="231"/>
    </row>
    <row r="37" spans="2:23" s="230" customFormat="1" ht="17.399999999999999" x14ac:dyDescent="0.35">
      <c r="J37" s="47"/>
      <c r="K37" s="250"/>
      <c r="L37" s="14"/>
      <c r="M37" s="12"/>
      <c r="N37" s="12">
        <f>SUM(N31:N36)</f>
        <v>44264.520000000004</v>
      </c>
      <c r="O37" s="39" t="s">
        <v>25</v>
      </c>
      <c r="P37" s="14"/>
      <c r="Q37">
        <f>Q35*Q36</f>
        <v>3.7088000000000001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49480</v>
      </c>
      <c r="K38" s="250"/>
      <c r="L38" s="254" t="s">
        <v>35</v>
      </c>
      <c r="M38" s="12"/>
      <c r="N38" s="255">
        <f>N37*2.2</f>
        <v>97381.944000000018</v>
      </c>
      <c r="O38" s="14" t="s">
        <v>142</v>
      </c>
      <c r="P38" s="14"/>
      <c r="Q38" s="46">
        <f>O27/Q37</f>
        <v>0.33989430543572047</v>
      </c>
      <c r="R38"/>
      <c r="S38" s="257" t="e">
        <f>S37/#REF!</f>
        <v>#REF!</v>
      </c>
    </row>
    <row r="39" spans="2:23" s="230" customFormat="1" ht="17.399999999999999" x14ac:dyDescent="0.35">
      <c r="G39"/>
      <c r="H39" s="260"/>
      <c r="I39" s="260"/>
      <c r="J39" s="47">
        <f>J38/1.19</f>
        <v>41579.831932773108</v>
      </c>
      <c r="K39" s="250"/>
      <c r="L39" s="14"/>
      <c r="M39" s="12"/>
      <c r="N39" s="12">
        <f>N38/O27</f>
        <v>77250.471204188492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2.2000000000000002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0.33064918032786889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8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45821</v>
      </c>
    </row>
    <row r="6" spans="2:31" ht="16.2" thickBot="1" x14ac:dyDescent="0.35">
      <c r="B6" s="140" t="s">
        <v>2</v>
      </c>
      <c r="C6" s="139" t="str">
        <f>'2229'!C10</f>
        <v>BRYAN RUIZ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29" t="s">
        <v>100</v>
      </c>
      <c r="I7" s="330"/>
      <c r="J7" s="330"/>
      <c r="K7" s="331"/>
      <c r="N7" s="75"/>
      <c r="O7" s="328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11473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8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-3965.7987001207753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102382</v>
      </c>
      <c r="E11" s="132">
        <f>D11*0.19</f>
        <v>19452.580000000002</v>
      </c>
      <c r="F11" s="131">
        <f>E11+D11</f>
        <v>121834.58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102024.20129987922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47628.610787439611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84024.20129987922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54753.389212560389</v>
      </c>
      <c r="E13" s="221">
        <f>(D11/D12)-1</f>
        <v>1.1495903052246841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75024.20129987922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36024.201299879227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78587.207799275347</v>
      </c>
      <c r="F15" s="216">
        <f>E15-D12</f>
        <v>30958.597011835736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36024.201299879227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76024.20129987922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5294.5200000000013</v>
      </c>
      <c r="E20" s="121">
        <f>D20*0.19</f>
        <v>1005.9588000000002</v>
      </c>
      <c r="F20" s="120">
        <f>SUM(D20:E20)</f>
        <v>6300.4788000000017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17794.52</v>
      </c>
      <c r="E21" s="116">
        <f>SUM(E18:E20)</f>
        <v>3380.9588000000003</v>
      </c>
      <c r="F21" s="115">
        <f>SUM(F18:F20)</f>
        <v>21175.478800000001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16071.621200000001</v>
      </c>
    </row>
    <row r="41" spans="2:16" ht="15" thickBot="1" x14ac:dyDescent="0.35">
      <c r="H41" s="332" t="s">
        <v>62</v>
      </c>
      <c r="I41" s="333"/>
      <c r="J41" s="333"/>
      <c r="K41" s="333"/>
      <c r="L41" s="333"/>
      <c r="M41" s="334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102382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17794.52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54753.389212560389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54753.389212560389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2025-06-13T20:01:40Z</cp:lastPrinted>
  <dcterms:created xsi:type="dcterms:W3CDTF">2013-03-18T13:35:42Z</dcterms:created>
  <dcterms:modified xsi:type="dcterms:W3CDTF">2025-06-13T20:10:34Z</dcterms:modified>
</cp:coreProperties>
</file>