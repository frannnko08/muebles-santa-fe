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6 JUNIO 2025\"/>
    </mc:Choice>
  </mc:AlternateContent>
  <xr:revisionPtr revIDLastSave="0" documentId="13_ncr:1_{38B71FED-F3D3-44E4-9D15-F3D9BD730A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5" i="1" l="1"/>
  <c r="H22" i="1"/>
  <c r="L21" i="1"/>
  <c r="N21" i="1"/>
  <c r="M21" i="1" l="1"/>
  <c r="M25" i="1" s="1"/>
  <c r="S21" i="1" l="1"/>
  <c r="S25" i="1" s="1"/>
  <c r="T21" i="1"/>
  <c r="T24" i="1" s="1"/>
  <c r="O21" i="1"/>
  <c r="P21" i="1" s="1"/>
  <c r="P25" i="1" s="1"/>
  <c r="K39" i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F18" i="3" l="1"/>
  <c r="O30" i="1" l="1"/>
  <c r="O36" i="1" s="1"/>
  <c r="O37" i="1" s="1"/>
  <c r="O38" i="1" l="1"/>
  <c r="D20" i="3"/>
  <c r="E20" i="3" s="1"/>
  <c r="E21" i="3" s="1"/>
  <c r="Q20" i="1" l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s="1"/>
  <c r="D11" i="3" l="1"/>
  <c r="X9" i="3" s="1"/>
  <c r="X15" i="3" s="1"/>
  <c r="H26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<sst xmlns="http://schemas.openxmlformats.org/spreadsheetml/2006/main" count="236" uniqueCount="179">
  <si>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</si>
  <si>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</si>
  <si>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</si>
  <si>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</si>
  <si>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</si>
  <si>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</si>
  <si>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</si>
  <si>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</si>
  <si>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</si>
  <si>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</si>
  <si>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</si>
  <si>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</si>
  <si>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</si>
  <si>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</si>
  <si>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</si>
  <si>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</si>
  <si>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</si>
  <si>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</si>
  <si>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</si>
  <si>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</si>
  <si>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</si>
  <si>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</si>
  <si>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</si>
  <si>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</si>
  <si>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</si>
  <si>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</si>
  <si>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</si>
  <si>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</si>
  <si>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</si>
  <si>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</si>
  <si>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</si>
  <si>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</si>
  <si>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</si>
  <si>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</si>
  <si>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</si>
  <si>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</si>
  <si>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</si>
  <si>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</si>
  <si>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</si>
  <si>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</si>
  <si>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</si>
  <si>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</si>
  <si>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</si>
  <si>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</si>
  <si>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</si>
  <si>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</si>
  <si>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</si>
  <si>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</si>
  <si>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</si>
  <si>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</si>
  <si>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</si>
  <si>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</si>
  <si>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</si>
  <si>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</si>
  <si>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</si>
  <si>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</si>
  <si>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</si>
  <si>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</si>
  <si>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</si>
  <si>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</si>
  <si>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</si>
  <si>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</si>
  <si>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</si>
  <si>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</si>
  <si>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</si>
  <si>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</si>
  <si>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</si>
  <si>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</si>
  <si>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</si>
  <si>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</si>
  <si>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</si>
  <si>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</si>
  <si>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</si>
  <si>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</si>
  <si>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</si>
  <si>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</si>
  <si>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</si>
  <si>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</si>
  <si>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</si>
  <si>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</si>
  <si>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</si>
  <si>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</si>
  <si>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</si>
  <si>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</si>
  <si>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</si>
  <si>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</si>
  <si>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</si>
  <si>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</si>
  <si>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</si>
  <si>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</si>
  <si>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</si>
  <si>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</si>
  <si>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</si>
  <si>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</si>
  <si>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</si>
  <si>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</si>
  <si>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</si>
  <si>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</si>
  <si>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</si>
  <si>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</si>
  <si>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</si>
  <si>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</si>
  <si>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</si>
  <si>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</si>
  <si>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</si>
  <si>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</si>
  <si>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</si>
  <si>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</si>
  <si>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</si>
  <si>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</si>
  <si>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</si>
  <si>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</si>
  <si>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</si>
  <si>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</si>
  <si>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</si>
  <si>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</si>
  <si>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</si>
  <si>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</si>
  <si>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</si>
  <si>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</si>
  <si>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</si>
  <si>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</si>
  <si>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</si>
  <si>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</si>
  <si>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</si>
  <si>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</si>
  <si>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</si>
  <si>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</si>
  <si>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</si>
  <si>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</si>
  <si>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</si>
  <si>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</si>
  <si>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</si>
  <si>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</si>
  <si>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</si>
  <si>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</si>
  <si>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</si>
  <si>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</si>
  <si>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</si>
  <si>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</si>
  <si>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</si>
  <si>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</si>
  <si>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</si>
  <si>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</si>
  <si>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</si>
  <si>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</si>
  <si>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</si>
  <si>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</si>
  <si>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</si>
  <si>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</si>
  <si>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</si>
  <si>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</si>
  <si>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</si>
  <si>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</si>
  <si>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</si>
  <si>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</si>
  <si>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</si>
  <si>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</si>
  <si>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</si>
  <si>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</si>
  <si>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</si>
  <si>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</si>
  <si>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</si>
  <si>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</si>
  <si>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</si>
  <si>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</si>
  <si>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CUB CON RESPALDO Y FRENTE 90°</t>
  </si>
  <si>
    <t>76.738.950-7</t>
  </si>
  <si>
    <t>56988078074</t>
  </si>
  <si>
    <t>EDUARDO COLLAO</t>
  </si>
  <si>
    <t>SUR-SERVI SPA</t>
  </si>
  <si>
    <t>FCA. DE MUEBLES</t>
  </si>
  <si>
    <t>COLLAO.EDUARDO@YAHOO.ES</t>
  </si>
  <si>
    <t>PEDRO MIRA 560, SAN MIGUEL</t>
  </si>
  <si>
    <t>5 DIAS HABILES</t>
  </si>
  <si>
    <t>N° 11476</t>
  </si>
  <si>
    <t>HAYA 1750 MT</t>
  </si>
  <si>
    <t>HUINCHA DE ZOCALO</t>
  </si>
  <si>
    <t>ABONO 66215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</si>
</sst>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 CUBIERTAS</a:t>
          </a:r>
          <a:r>
            <a:rPr lang="es-CL" sz="1200" b="1" baseline="0"/>
            <a:t>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RESPALDO 10CMS SOBRE LA BASE  Y FRENTE 4 CMS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OLLAO.EDUARDO@YAHOO.ES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J14" sqref="J14"/>
    </sheetView>
  </sheetViews>
  <sheetFormatPr baseColWidth="10" defaultRowHeight="14.4" x14ac:dyDescent="0.3"/>
  <cols>
    <col min="1" max="1" width="6" customWidth="1"/>
    <col min="2" max="2" width="10.5546875" customWidth="1"/>
    <col min="3" max="3" width="32.6640625" customWidth="1"/>
    <col min="4" max="4" width="11.109375" customWidth="1"/>
    <col min="5" max="5" width="10.5546875" customWidth="1"/>
    <col min="6" max="6" width="27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162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9" t="s">
        <v>175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160</v>
      </c>
      <c r="C10" s="278" t="s">
        <v>170</v>
      </c>
      <c r="D10" s="243"/>
      <c r="E10" s="243"/>
      <c r="F10" s="244" t="s">
        <v>0</v>
      </c>
      <c r="G10" s="276">
        <v>45825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 t="s">
        <v>167</v>
      </c>
      <c r="F11" t="s">
        <v>122</v>
      </c>
      <c r="G11" s="288" t="s">
        <v>174</v>
      </c>
      <c r="H11" s="289"/>
      <c r="Q11" s="19"/>
      <c r="R11" s="25" t="s">
        <v>18</v>
      </c>
      <c r="S11" s="19"/>
    </row>
    <row r="12" spans="2:24" ht="16.8" x14ac:dyDescent="0.4">
      <c r="B12" s="246" t="s">
        <v>143</v>
      </c>
      <c r="C12" s="306" t="s">
        <v>171</v>
      </c>
      <c r="D12" s="247"/>
      <c r="E12" s="247"/>
      <c r="F12" s="247" t="s">
        <v>126</v>
      </c>
      <c r="G12" s="277" t="s">
        <v>134</v>
      </c>
      <c r="H12" s="248"/>
      <c r="Q12" s="19"/>
      <c r="R12" s="25"/>
      <c r="S12" s="19"/>
    </row>
    <row r="13" spans="2:24" x14ac:dyDescent="0.3">
      <c r="B13" s="287" t="s">
        <v>144</v>
      </c>
      <c r="C13" t="s">
        <v>169</v>
      </c>
      <c r="G13" s="307"/>
      <c r="H13" s="289"/>
      <c r="Q13" s="19"/>
      <c r="R13" s="25"/>
      <c r="S13" s="19"/>
    </row>
    <row r="14" spans="2:24" x14ac:dyDescent="0.3">
      <c r="B14" s="246" t="s">
        <v>138</v>
      </c>
      <c r="C14" s="314" t="s">
        <v>172</v>
      </c>
      <c r="D14" s="247"/>
      <c r="E14" s="247"/>
      <c r="F14" s="315" t="s">
        <v>135</v>
      </c>
      <c r="G14" s="290" t="s">
        <v>134</v>
      </c>
      <c r="H14" s="248"/>
      <c r="J14" t="s">
        <v>178</v>
      </c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168</v>
      </c>
      <c r="D15" s="310"/>
      <c r="F15" t="s">
        <v>133</v>
      </c>
      <c r="G15" s="308" t="s">
        <v>134</v>
      </c>
      <c r="H15" s="289"/>
    </row>
    <row r="16" spans="2:24" ht="16.8" x14ac:dyDescent="0.4">
      <c r="B16" s="316" t="s">
        <v>3</v>
      </c>
      <c r="C16" s="306" t="s">
        <v>173</v>
      </c>
      <c r="D16" s="247"/>
      <c r="E16" s="247"/>
      <c r="F16" s="317" t="s">
        <v>128</v>
      </c>
      <c r="G16" s="318" t="s">
        <v>161</v>
      </c>
      <c r="H16" s="248"/>
    </row>
    <row r="17" spans="1:25" ht="15" thickBot="1" x14ac:dyDescent="0.35">
      <c r="B17" s="311" t="s">
        <v>13</v>
      </c>
      <c r="C17" s="312" t="s">
        <v>164</v>
      </c>
      <c r="D17" s="313"/>
      <c r="E17" s="119"/>
      <c r="F17" s="333" t="s">
        <v>163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94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O38</f>
        <v>115786.36065573772</v>
      </c>
      <c r="R20" s="258">
        <v>3000</v>
      </c>
      <c r="S20" s="38"/>
      <c r="T20" s="14" t="s">
        <v>127</v>
      </c>
      <c r="U20" s="9"/>
      <c r="X20" s="4"/>
    </row>
    <row r="21" spans="1:25" ht="17.399999999999999" x14ac:dyDescent="0.3">
      <c r="B21" s="330">
        <v>1</v>
      </c>
      <c r="C21" s="330" t="s">
        <v>166</v>
      </c>
      <c r="D21" s="331">
        <v>1.75</v>
      </c>
      <c r="E21" s="331">
        <v>0.625</v>
      </c>
      <c r="F21" s="330" t="s">
        <v>176</v>
      </c>
      <c r="G21" s="332">
        <v>132431</v>
      </c>
      <c r="H21" s="332">
        <f>G21*B21</f>
        <v>132431</v>
      </c>
      <c r="I21" s="320"/>
      <c r="J21" s="265">
        <v>210000</v>
      </c>
      <c r="K21" s="47"/>
      <c r="L21" s="47">
        <f>B21</f>
        <v>1</v>
      </c>
      <c r="M21" s="39">
        <f>D21+M$19</f>
        <v>1.83</v>
      </c>
      <c r="N21" s="39">
        <f>E21+$N$19</f>
        <v>0.625</v>
      </c>
      <c r="O21" s="261">
        <f t="shared" ref="O21" si="1">M21*N21</f>
        <v>1.14375</v>
      </c>
      <c r="P21" s="259">
        <f t="shared" ref="P21" si="2">O21*L21</f>
        <v>1.14375</v>
      </c>
      <c r="Q21" s="252">
        <f t="shared" ref="Q21" si="3">Q$20*O21</f>
        <v>132430.65000000002</v>
      </c>
      <c r="R21" s="319">
        <f t="shared" ref="R21" si="4">Q21+R$20</f>
        <v>135430.65000000002</v>
      </c>
      <c r="S21" s="297">
        <f>M21*L21</f>
        <v>1.83</v>
      </c>
      <c r="T21" s="46">
        <f>N21*2*L21*2</f>
        <v>2.5</v>
      </c>
      <c r="U21" s="9"/>
      <c r="X21" s="4"/>
    </row>
    <row r="22" spans="1:25" ht="17.399999999999999" x14ac:dyDescent="0.3">
      <c r="B22" s="330">
        <v>1</v>
      </c>
      <c r="C22" s="330" t="s">
        <v>177</v>
      </c>
      <c r="D22" s="331">
        <v>1.8</v>
      </c>
      <c r="E22" s="331">
        <v>0.11</v>
      </c>
      <c r="F22" s="330" t="s">
        <v>176</v>
      </c>
      <c r="G22" s="332">
        <v>0</v>
      </c>
      <c r="H22" s="332">
        <f>G22*B22</f>
        <v>0</v>
      </c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27</v>
      </c>
      <c r="H24" s="325">
        <f>SUM(H21:H23)</f>
        <v>132431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2.5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50</v>
      </c>
      <c r="H25" s="294">
        <f>H24*19%</f>
        <v>25161.89</v>
      </c>
      <c r="I25" s="322"/>
      <c r="J25" s="265"/>
      <c r="K25" s="47"/>
      <c r="L25" s="47"/>
      <c r="M25" s="39">
        <f>SUM(M21:M21)</f>
        <v>1.83</v>
      </c>
      <c r="N25" s="12"/>
      <c r="O25" s="12"/>
      <c r="P25" s="253">
        <f>SUM(P21:P23)</f>
        <v>1.14375</v>
      </c>
      <c r="Q25" s="14"/>
      <c r="R25" s="12"/>
      <c r="S25" s="239">
        <f>SUM(S21:S24)</f>
        <v>1.83</v>
      </c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157592.89000000001</v>
      </c>
      <c r="I26" s="322"/>
      <c r="J26" s="265"/>
      <c r="K26" s="47"/>
      <c r="L26" s="47"/>
      <c r="M26" s="39"/>
      <c r="N26" s="12"/>
      <c r="O26" s="12"/>
      <c r="P26" s="253">
        <f>P25</f>
        <v>1.14375</v>
      </c>
      <c r="Q26" s="14"/>
      <c r="R26" s="12"/>
      <c r="S26" s="239"/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0.22875000000000001</v>
      </c>
      <c r="Q27" s="39" t="s">
        <v>129</v>
      </c>
      <c r="R27" s="42"/>
      <c r="S27" s="240"/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1.3725000000000001</v>
      </c>
      <c r="Q28" s="14"/>
      <c r="R28" s="14"/>
      <c r="S28" s="238"/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/>
      <c r="T29" s="14"/>
      <c r="U29" s="302" t="s">
        <v>21</v>
      </c>
      <c r="V29" s="299" t="s">
        <v>150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1.3725000000000001</v>
      </c>
      <c r="N30" s="12">
        <v>3500</v>
      </c>
      <c r="O30" s="12">
        <f t="shared" ref="O30:O35" si="5">M30*N30</f>
        <v>4803.75</v>
      </c>
      <c r="P30" s="14" t="s">
        <v>21</v>
      </c>
      <c r="Q30" s="14"/>
      <c r="R30" s="14"/>
      <c r="S30" s="241"/>
      <c r="T30" s="14"/>
      <c r="U30" s="302" t="s">
        <v>151</v>
      </c>
      <c r="V30" s="299">
        <v>3625</v>
      </c>
      <c r="W30" s="59" t="s">
        <v>152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0.5</v>
      </c>
      <c r="N31" s="12">
        <v>25000</v>
      </c>
      <c r="O31" s="12">
        <f t="shared" si="5"/>
        <v>12500</v>
      </c>
      <c r="P31" s="39" t="s">
        <v>30</v>
      </c>
      <c r="Q31" s="42"/>
      <c r="R31" s="14"/>
      <c r="S31" s="240"/>
      <c r="T31" s="14"/>
      <c r="U31" s="302"/>
      <c r="V31" s="59">
        <v>906.25</v>
      </c>
      <c r="W31" s="59" t="s">
        <v>153</v>
      </c>
      <c r="X31" s="304"/>
    </row>
    <row r="32" spans="1:25" s="230" customFormat="1" ht="17.399999999999999" x14ac:dyDescent="0.35">
      <c r="B32" s="24" t="s">
        <v>149</v>
      </c>
      <c r="J32" s="262"/>
      <c r="K32" s="232"/>
      <c r="L32" s="250"/>
      <c r="M32" s="14"/>
      <c r="N32" s="250">
        <v>69000</v>
      </c>
      <c r="O32" s="12">
        <f t="shared" si="5"/>
        <v>0</v>
      </c>
      <c r="P32" s="39" t="s">
        <v>29</v>
      </c>
      <c r="Q32" s="42"/>
      <c r="S32" s="240"/>
      <c r="T32" s="256"/>
      <c r="U32" s="59"/>
      <c r="V32" s="59">
        <f>V31*20%</f>
        <v>181.25</v>
      </c>
      <c r="W32" s="304" t="s">
        <v>154</v>
      </c>
      <c r="X32" s="59"/>
    </row>
    <row r="33" spans="2:24" s="230" customFormat="1" ht="17.399999999999999" x14ac:dyDescent="0.35">
      <c r="B33" s="24" t="s">
        <v>165</v>
      </c>
      <c r="C33"/>
      <c r="D33"/>
      <c r="E33"/>
      <c r="F33"/>
      <c r="J33" s="262"/>
      <c r="K33" s="232"/>
      <c r="L33" s="250"/>
      <c r="M33" s="14">
        <v>1</v>
      </c>
      <c r="N33" s="250">
        <v>38500</v>
      </c>
      <c r="O33" s="12">
        <f t="shared" si="5"/>
        <v>38500</v>
      </c>
      <c r="P33" s="14" t="s">
        <v>140</v>
      </c>
      <c r="Q33" s="17"/>
      <c r="S33" s="238"/>
      <c r="T33" s="256"/>
      <c r="U33" s="59"/>
      <c r="V33" s="59">
        <f>V31+V32</f>
        <v>1087.5</v>
      </c>
      <c r="W33" s="304" t="s">
        <v>155</v>
      </c>
      <c r="X33" s="59"/>
    </row>
    <row r="34" spans="2:24" s="230" customFormat="1" ht="17.399999999999999" x14ac:dyDescent="0.35">
      <c r="B34" s="29" t="s">
        <v>124</v>
      </c>
      <c r="C34"/>
      <c r="D34"/>
      <c r="E34"/>
      <c r="F34" s="229" t="s">
        <v>15</v>
      </c>
      <c r="J34" s="262"/>
      <c r="K34" s="260"/>
      <c r="L34" s="250"/>
      <c r="M34" s="249">
        <v>1.83</v>
      </c>
      <c r="N34" s="250">
        <v>900</v>
      </c>
      <c r="O34" s="12">
        <f t="shared" si="5"/>
        <v>1647</v>
      </c>
      <c r="P34" s="14" t="s">
        <v>31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>
        <v>1.83</v>
      </c>
      <c r="N35" s="12">
        <v>1500</v>
      </c>
      <c r="O35" s="12">
        <f t="shared" si="5"/>
        <v>2745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60195.75</v>
      </c>
      <c r="P36" s="39">
        <v>0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32</v>
      </c>
      <c r="N37" s="12"/>
      <c r="O37" s="255">
        <f>O36*2.2</f>
        <v>132430.65000000002</v>
      </c>
      <c r="P37" s="14" t="s">
        <v>139</v>
      </c>
      <c r="Q37" s="14"/>
      <c r="R37" s="40">
        <f>P28/R36</f>
        <v>0.37006578947368424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45600</v>
      </c>
      <c r="L38" s="250"/>
      <c r="M38" s="14"/>
      <c r="N38" s="12"/>
      <c r="O38" s="12">
        <f>O37/P26</f>
        <v>115786.36065573772</v>
      </c>
      <c r="P38" s="45" t="s">
        <v>23</v>
      </c>
      <c r="Q38" s="14"/>
      <c r="R38" s="14"/>
      <c r="S38"/>
      <c r="T38" s="238"/>
      <c r="U38" s="59" t="s">
        <v>156</v>
      </c>
      <c r="V38" s="299">
        <v>43650</v>
      </c>
    </row>
    <row r="39" spans="2:24" s="230" customFormat="1" ht="17.399999999999999" x14ac:dyDescent="0.35">
      <c r="G39"/>
      <c r="K39" s="230">
        <f>K38/1.19</f>
        <v>38319.327731092439</v>
      </c>
      <c r="L39" s="250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158</v>
      </c>
      <c r="V39" s="300" t="s">
        <v>157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159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154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25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146</v>
      </c>
    </row>
    <row r="74" spans="3:15" x14ac:dyDescent="0.3">
      <c r="C74" t="s">
        <v>145</v>
      </c>
    </row>
    <row r="77" spans="3:15" x14ac:dyDescent="0.3">
      <c r="C77" t="s">
        <v>145</v>
      </c>
    </row>
    <row r="154" spans="3:3" x14ac:dyDescent="0.3">
      <c r="C154" t="s">
        <v>145</v>
      </c>
    </row>
    <row r="155" spans="3:3" x14ac:dyDescent="0.3">
      <c r="C155" t="s">
        <v>147</v>
      </c>
    </row>
    <row r="156" spans="3:3" x14ac:dyDescent="0.3">
      <c r="C156" t="s">
        <v>148</v>
      </c>
    </row>
    <row r="581" spans="3:3" x14ac:dyDescent="0.3">
      <c r="C581" t="s">
        <v>145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  <hyperlink ref="C14" r:id="rId2" xr:uid="{5CB234C2-1CE0-4C62-8BDD-76912129EDEA}"/>
  </hyperlinks>
  <pageMargins left="0.23622047244094491" right="0.23622047244094491" top="0.74803149606299213" bottom="0.74803149606299213" header="0.31496062992125984" footer="0.31496062992125984"/>
  <pageSetup scale="85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45825</v>
      </c>
    </row>
    <row r="6" spans="2:31" ht="16.2" thickBot="1" x14ac:dyDescent="0.35">
      <c r="B6" s="140" t="s">
        <v>2</v>
      </c>
      <c r="C6" s="139" t="str">
        <f>'2229'!C10</f>
        <v>SUR-SERVI SPA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97</v>
      </c>
      <c r="I7" s="340"/>
      <c r="J7" s="340"/>
      <c r="K7" s="341"/>
      <c r="N7" s="75"/>
      <c r="O7" s="338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11476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38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-9108.9271167874394</v>
      </c>
    </row>
    <row r="10" spans="2:31" ht="16.2" thickBot="1" x14ac:dyDescent="0.35">
      <c r="D10" s="218" t="s">
        <v>27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'2229'!H24</f>
        <v>132431</v>
      </c>
      <c r="E11" s="132">
        <f>D11*0.19</f>
        <v>25161.89</v>
      </c>
      <c r="F11" s="131">
        <f>E11+D11</f>
        <v>157592.89000000001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96881.072883212561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47137.840787439614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78881.072883212561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85293.159212560393</v>
      </c>
      <c r="E13" s="221">
        <f>(D11/D12)-1</f>
        <v>1.8094413699850178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69881.072883212561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27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30881.072883212561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77777.437299275363</v>
      </c>
      <c r="F15" s="216">
        <f>E15-D12</f>
        <v>30639.596511835749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30881.072883212561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70881.072883212561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27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'2229'!O31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27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4803.75</v>
      </c>
      <c r="E20" s="121">
        <f>D20*0.19</f>
        <v>912.71249999999998</v>
      </c>
      <c r="F20" s="120">
        <f>SUM(D20:E20)</f>
        <v>5716.4624999999996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28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17303.75</v>
      </c>
      <c r="E21" s="116">
        <f>SUM(E18:E20)</f>
        <v>3287.7125000000001</v>
      </c>
      <c r="F21" s="115">
        <f>SUM(F18:F20)</f>
        <v>20591.462500000001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24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26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21874.177499999998</v>
      </c>
    </row>
    <row r="41" spans="2:16" ht="15" thickBot="1" x14ac:dyDescent="0.35">
      <c r="H41" s="342" t="s">
        <v>59</v>
      </c>
      <c r="I41" s="343"/>
      <c r="J41" s="343"/>
      <c r="K41" s="343"/>
      <c r="L41" s="343"/>
      <c r="M41" s="344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132431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17303.75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85293.159212560393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85293.159212560393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2025-04-25T17:11:23Z</cp:lastPrinted>
  <dcterms:created xsi:type="dcterms:W3CDTF">2013-03-18T13:35:42Z</dcterms:created>
  <dcterms:modified xsi:type="dcterms:W3CDTF">2025-06-19T00:56:42Z</dcterms:modified>
</cp:coreProperties>
</file>