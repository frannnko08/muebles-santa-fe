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6 JUNIO 2025\"/>
    </mc:Choice>
  </mc:AlternateContent>
  <xr:revisionPtr revIDLastSave="0" documentId="13_ncr:1_{887BDFD5-4F7F-4C47-9254-0AB8F7526DF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0" i="1" l="1"/>
  <c r="H59" i="1"/>
  <c r="H58" i="1"/>
  <c r="H57" i="1"/>
  <c r="H56" i="1"/>
  <c r="M56" i="1"/>
  <c r="N56" i="1"/>
  <c r="M57" i="1"/>
  <c r="O57" i="1" s="1"/>
  <c r="P57" i="1" s="1"/>
  <c r="N57" i="1"/>
  <c r="M58" i="1"/>
  <c r="N58" i="1"/>
  <c r="O58" i="1"/>
  <c r="P58" i="1" s="1"/>
  <c r="M59" i="1"/>
  <c r="N59" i="1"/>
  <c r="M60" i="1"/>
  <c r="O60" i="1" s="1"/>
  <c r="P60" i="1" s="1"/>
  <c r="N60" i="1"/>
  <c r="H55" i="1"/>
  <c r="H54" i="1"/>
  <c r="H53" i="1"/>
  <c r="H52" i="1"/>
  <c r="H51" i="1"/>
  <c r="N55" i="1"/>
  <c r="N54" i="1"/>
  <c r="N53" i="1"/>
  <c r="N52" i="1"/>
  <c r="M55" i="1"/>
  <c r="M54" i="1"/>
  <c r="M53" i="1"/>
  <c r="O53" i="1" s="1"/>
  <c r="P53" i="1" s="1"/>
  <c r="M52" i="1"/>
  <c r="O52" i="1" s="1"/>
  <c r="P52" i="1" s="1"/>
  <c r="M51" i="1"/>
  <c r="N51" i="1"/>
  <c r="H50" i="1"/>
  <c r="H49" i="1"/>
  <c r="H48" i="1"/>
  <c r="H47" i="1"/>
  <c r="H46" i="1"/>
  <c r="N50" i="1"/>
  <c r="N49" i="1"/>
  <c r="N48" i="1"/>
  <c r="N47" i="1"/>
  <c r="N46" i="1"/>
  <c r="M50" i="1"/>
  <c r="M49" i="1"/>
  <c r="M48" i="1"/>
  <c r="M47" i="1"/>
  <c r="M46" i="1"/>
  <c r="H45" i="1"/>
  <c r="H44" i="1"/>
  <c r="H43" i="1"/>
  <c r="H42" i="1"/>
  <c r="H41" i="1"/>
  <c r="P61" i="1"/>
  <c r="P62" i="1"/>
  <c r="M42" i="1"/>
  <c r="N42" i="1"/>
  <c r="M43" i="1"/>
  <c r="N43" i="1"/>
  <c r="M44" i="1"/>
  <c r="N44" i="1"/>
  <c r="M45" i="1"/>
  <c r="N45" i="1"/>
  <c r="M41" i="1"/>
  <c r="N41" i="1"/>
  <c r="H37" i="1"/>
  <c r="H38" i="1"/>
  <c r="H39" i="1"/>
  <c r="H40" i="1"/>
  <c r="N37" i="1"/>
  <c r="N38" i="1"/>
  <c r="N39" i="1"/>
  <c r="N40" i="1"/>
  <c r="H36" i="1"/>
  <c r="M40" i="1"/>
  <c r="M39" i="1"/>
  <c r="O39" i="1" s="1"/>
  <c r="P39" i="1" s="1"/>
  <c r="M38" i="1"/>
  <c r="M37" i="1"/>
  <c r="O37" i="1" s="1"/>
  <c r="P37" i="1" s="1"/>
  <c r="M36" i="1"/>
  <c r="N36" i="1"/>
  <c r="H35" i="1"/>
  <c r="H34" i="1"/>
  <c r="H33" i="1"/>
  <c r="H32" i="1"/>
  <c r="H31" i="1"/>
  <c r="M31" i="1"/>
  <c r="N31" i="1"/>
  <c r="M32" i="1"/>
  <c r="N32" i="1"/>
  <c r="M33" i="1"/>
  <c r="N33" i="1"/>
  <c r="M34" i="1"/>
  <c r="N34" i="1"/>
  <c r="M35" i="1"/>
  <c r="N35" i="1"/>
  <c r="H30" i="1"/>
  <c r="H29" i="1"/>
  <c r="H28" i="1"/>
  <c r="H27" i="1"/>
  <c r="H26" i="1"/>
  <c r="M26" i="1"/>
  <c r="N26" i="1"/>
  <c r="M27" i="1"/>
  <c r="N27" i="1"/>
  <c r="M28" i="1"/>
  <c r="N28" i="1"/>
  <c r="M29" i="1"/>
  <c r="N29" i="1"/>
  <c r="M30" i="1"/>
  <c r="N30" i="1"/>
  <c r="H23" i="1"/>
  <c r="H24" i="1"/>
  <c r="H25" i="1"/>
  <c r="M23" i="1"/>
  <c r="N23" i="1"/>
  <c r="M24" i="1"/>
  <c r="N24" i="1"/>
  <c r="M25" i="1"/>
  <c r="N25" i="1"/>
  <c r="H22" i="1"/>
  <c r="N22" i="1"/>
  <c r="M22" i="1"/>
  <c r="N21" i="1"/>
  <c r="O59" i="1" l="1"/>
  <c r="P59" i="1" s="1"/>
  <c r="O56" i="1"/>
  <c r="P56" i="1" s="1"/>
  <c r="O51" i="1"/>
  <c r="P51" i="1" s="1"/>
  <c r="O54" i="1"/>
  <c r="P54" i="1" s="1"/>
  <c r="O47" i="1"/>
  <c r="P47" i="1" s="1"/>
  <c r="O43" i="1"/>
  <c r="P43" i="1" s="1"/>
  <c r="O55" i="1"/>
  <c r="P55" i="1" s="1"/>
  <c r="O49" i="1"/>
  <c r="P49" i="1" s="1"/>
  <c r="O50" i="1"/>
  <c r="P50" i="1" s="1"/>
  <c r="O46" i="1"/>
  <c r="P46" i="1" s="1"/>
  <c r="O48" i="1"/>
  <c r="P48" i="1" s="1"/>
  <c r="O41" i="1"/>
  <c r="P41" i="1" s="1"/>
  <c r="O45" i="1"/>
  <c r="P45" i="1" s="1"/>
  <c r="O42" i="1"/>
  <c r="P42" i="1" s="1"/>
  <c r="O44" i="1"/>
  <c r="P44" i="1" s="1"/>
  <c r="O29" i="1"/>
  <c r="P29" i="1" s="1"/>
  <c r="O27" i="1"/>
  <c r="P27" i="1" s="1"/>
  <c r="O38" i="1"/>
  <c r="P38" i="1" s="1"/>
  <c r="O30" i="1"/>
  <c r="P30" i="1" s="1"/>
  <c r="O35" i="1"/>
  <c r="P35" i="1" s="1"/>
  <c r="O33" i="1"/>
  <c r="P33" i="1" s="1"/>
  <c r="O31" i="1"/>
  <c r="P31" i="1" s="1"/>
  <c r="O26" i="1"/>
  <c r="P26" i="1" s="1"/>
  <c r="O34" i="1"/>
  <c r="P34" i="1" s="1"/>
  <c r="O32" i="1"/>
  <c r="P32" i="1" s="1"/>
  <c r="O40" i="1"/>
  <c r="P40" i="1" s="1"/>
  <c r="O36" i="1"/>
  <c r="P36" i="1" s="1"/>
  <c r="O28" i="1"/>
  <c r="P28" i="1" s="1"/>
  <c r="O24" i="1"/>
  <c r="P24" i="1" s="1"/>
  <c r="O23" i="1"/>
  <c r="P23" i="1" s="1"/>
  <c r="O25" i="1"/>
  <c r="P25" i="1" s="1"/>
  <c r="S22" i="1"/>
  <c r="O22" i="1"/>
  <c r="P22" i="1" s="1"/>
  <c r="M21" i="1"/>
  <c r="M64" i="1" s="1"/>
  <c r="S21" i="1" l="1"/>
  <c r="S65" i="1" s="1"/>
  <c r="T21" i="1"/>
  <c r="T63" i="1" s="1"/>
  <c r="O21" i="1"/>
  <c r="P21" i="1" s="1"/>
  <c r="P64" i="1" s="1"/>
  <c r="K78" i="1"/>
  <c r="S66" i="1" l="1"/>
  <c r="S67" i="1" s="1"/>
  <c r="S68" i="1" s="1"/>
  <c r="V71" i="1"/>
  <c r="V72" i="1" s="1"/>
  <c r="O70" i="1" l="1"/>
  <c r="P65" i="1" l="1"/>
  <c r="N20" i="1"/>
  <c r="L20" i="1"/>
  <c r="P66" i="1" l="1"/>
  <c r="P67" i="1" s="1"/>
  <c r="M69" i="1" s="1"/>
  <c r="O71" i="1"/>
  <c r="R75" i="1"/>
  <c r="R76" i="1" l="1"/>
  <c r="O72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74" i="1"/>
  <c r="O73" i="1"/>
  <c r="F18" i="3" l="1"/>
  <c r="O69" i="1" l="1"/>
  <c r="O75" i="1" s="1"/>
  <c r="O76" i="1" s="1"/>
  <c r="D20" i="3" l="1"/>
  <c r="E20" i="3" s="1"/>
  <c r="E21" i="3" s="1"/>
  <c r="O77" i="1" l="1"/>
  <c r="Q20" i="1" s="1"/>
  <c r="D21" i="3"/>
  <c r="M43" i="3" s="1"/>
  <c r="D12" i="3" s="1"/>
  <c r="F20" i="3"/>
  <c r="F21" i="3" s="1"/>
  <c r="Q56" i="1" l="1"/>
  <c r="R56" i="1" s="1"/>
  <c r="Q58" i="1"/>
  <c r="R58" i="1" s="1"/>
  <c r="Q60" i="1"/>
  <c r="R60" i="1" s="1"/>
  <c r="Q57" i="1"/>
  <c r="R57" i="1" s="1"/>
  <c r="Q59" i="1"/>
  <c r="R59" i="1" s="1"/>
  <c r="Q50" i="1"/>
  <c r="R50" i="1" s="1"/>
  <c r="Q53" i="1"/>
  <c r="R53" i="1" s="1"/>
  <c r="Q55" i="1"/>
  <c r="R55" i="1" s="1"/>
  <c r="Q52" i="1"/>
  <c r="R52" i="1" s="1"/>
  <c r="Q54" i="1"/>
  <c r="R54" i="1" s="1"/>
  <c r="Q51" i="1"/>
  <c r="R51" i="1" s="1"/>
  <c r="Q48" i="1"/>
  <c r="R48" i="1" s="1"/>
  <c r="Q49" i="1"/>
  <c r="R49" i="1" s="1"/>
  <c r="Q46" i="1"/>
  <c r="R46" i="1" s="1"/>
  <c r="Q47" i="1"/>
  <c r="R47" i="1" s="1"/>
  <c r="Q43" i="1"/>
  <c r="R43" i="1" s="1"/>
  <c r="Q44" i="1"/>
  <c r="R44" i="1" s="1"/>
  <c r="Q45" i="1"/>
  <c r="R45" i="1" s="1"/>
  <c r="Q42" i="1"/>
  <c r="R42" i="1" s="1"/>
  <c r="Q41" i="1"/>
  <c r="R41" i="1" s="1"/>
  <c r="Q36" i="1"/>
  <c r="R36" i="1" s="1"/>
  <c r="Q38" i="1"/>
  <c r="R38" i="1" s="1"/>
  <c r="Q39" i="1"/>
  <c r="R39" i="1" s="1"/>
  <c r="Q40" i="1"/>
  <c r="R40" i="1" s="1"/>
  <c r="Q37" i="1"/>
  <c r="R37" i="1" s="1"/>
  <c r="Q31" i="1"/>
  <c r="R31" i="1" s="1"/>
  <c r="Q33" i="1"/>
  <c r="R33" i="1" s="1"/>
  <c r="Q35" i="1"/>
  <c r="R35" i="1" s="1"/>
  <c r="Q32" i="1"/>
  <c r="R32" i="1" s="1"/>
  <c r="Q34" i="1"/>
  <c r="R34" i="1" s="1"/>
  <c r="Q26" i="1"/>
  <c r="R26" i="1" s="1"/>
  <c r="Q27" i="1"/>
  <c r="R27" i="1" s="1"/>
  <c r="Q29" i="1"/>
  <c r="R29" i="1" s="1"/>
  <c r="Q28" i="1"/>
  <c r="R28" i="1" s="1"/>
  <c r="Q30" i="1"/>
  <c r="R30" i="1" s="1"/>
  <c r="Q22" i="1"/>
  <c r="R22" i="1" s="1"/>
  <c r="Q24" i="1"/>
  <c r="R24" i="1" s="1"/>
  <c r="Q23" i="1"/>
  <c r="R23" i="1" s="1"/>
  <c r="Q25" i="1"/>
  <c r="R25" i="1" s="1"/>
  <c r="O78" i="1"/>
  <c r="E15" i="3"/>
  <c r="Q21" i="1" l="1"/>
  <c r="F15" i="3"/>
  <c r="R21" i="1" l="1"/>
  <c r="H21" i="1" l="1"/>
  <c r="H63" i="1" s="1"/>
  <c r="H64" i="1" s="1"/>
  <c r="H65" i="1" l="1"/>
  <c r="D11" i="3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<sst xmlns="http://schemas.openxmlformats.org/spreadsheetml/2006/main" count="310" uniqueCount="180">
  <si>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</si>
  <si>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</si>
  <si>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</si>
  <si>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</si>
  <si>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</si>
  <si>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</si>
  <si>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</si>
  <si>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</si>
  <si>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</si>
  <si>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</si>
  <si>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</si>
  <si>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</si>
  <si>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</si>
  <si>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</si>
  <si>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</si>
  <si>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</si>
  <si>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</si>
  <si>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</si>
  <si>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</si>
  <si>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</si>
  <si>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</si>
  <si>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</si>
  <si>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</si>
  <si>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</si>
  <si>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</si>
  <si>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</si>
  <si>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</si>
  <si>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</si>
  <si>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</si>
  <si>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</si>
  <si>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</si>
  <si>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</si>
  <si>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</si>
  <si>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</si>
  <si>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</si>
  <si>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</si>
  <si>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</si>
  <si>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</si>
  <si>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</si>
  <si>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</si>
  <si>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</si>
  <si>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</si>
  <si>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</si>
  <si>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</si>
  <si>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</si>
  <si>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</si>
  <si>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</si>
  <si>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</si>
  <si>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</si>
  <si>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</si>
  <si>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</si>
  <si>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</si>
  <si>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</si>
  <si>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</si>
  <si>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</si>
  <si>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</si>
  <si>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</si>
  <si>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</si>
  <si>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</si>
  <si>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</si>
  <si>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</si>
  <si>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</si>
  <si>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</si>
  <si>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</si>
  <si>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</si>
  <si>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</si>
  <si>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</si>
  <si>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</si>
  <si>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</si>
  <si>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</si>
  <si>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</si>
  <si>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</si>
  <si>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</si>
  <si>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</si>
  <si>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</si>
  <si>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</si>
  <si>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</si>
  <si>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</si>
  <si>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</si>
  <si>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</si>
  <si>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</si>
  <si>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</si>
  <si>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</si>
  <si>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</si>
  <si>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</si>
  <si>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</si>
  <si>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</si>
  <si>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</si>
  <si>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</si>
  <si>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</si>
  <si>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</si>
  <si>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</si>
  <si>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</si>
  <si>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</si>
  <si>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</si>
  <si>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</si>
  <si>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</si>
  <si>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</si>
  <si>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</si>
  <si>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</si>
  <si>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</si>
  <si>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</si>
  <si>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</si>
  <si>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</si>
  <si>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</si>
  <si>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</si>
  <si>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</si>
  <si>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</si>
  <si>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</si>
  <si>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</si>
  <si>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</si>
  <si>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</si>
  <si>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</si>
  <si>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</si>
  <si>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</si>
  <si>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</si>
  <si>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</si>
  <si>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</si>
  <si>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</si>
  <si>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</si>
  <si>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</si>
  <si>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</si>
  <si>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</si>
  <si>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</si>
  <si>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</si>
  <si>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</si>
  <si>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</si>
  <si>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</si>
  <si>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</si>
  <si>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</si>
  <si>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</si>
  <si>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</si>
  <si>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</si>
  <si>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</si>
  <si>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</si>
  <si>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</si>
  <si>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</si>
  <si>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</si>
  <si>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</si>
  <si>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</si>
  <si>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</si>
  <si>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</si>
  <si>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</si>
  <si>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</si>
  <si>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</si>
  <si>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</si>
  <si>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</si>
  <si>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</si>
  <si>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</si>
  <si>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</si>
  <si>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</si>
  <si>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</si>
  <si>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</si>
  <si>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</si>
  <si>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</si>
  <si>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</si>
  <si>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</si>
  <si>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</si>
  <si>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</si>
  <si>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</si>
  <si>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</si>
  <si>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</si>
  <si>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</si>
  <si>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</si>
  <si>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</si>
  <si>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SISTEMA MUEBLES</t>
  </si>
  <si>
    <t>BALANCE</t>
  </si>
  <si>
    <t>LAMINA 153X366</t>
  </si>
  <si>
    <t>alternativa 2</t>
  </si>
  <si>
    <t>19 de 153x366</t>
  </si>
  <si>
    <t>N° 11468</t>
  </si>
  <si>
    <t>CONSTANZA VELIZ</t>
  </si>
  <si>
    <t>+569 89269000</t>
  </si>
  <si>
    <t>A CONVENIR</t>
  </si>
  <si>
    <t>CUB CON RESPALDO 1O CMS FRENTE 180°</t>
  </si>
  <si>
    <t>QUARZITE 3044 PT</t>
  </si>
  <si>
    <t>CUB SIN RESPALDO FRENTE 180°</t>
  </si>
  <si>
    <t>CUB MESA FRENTE 180° 2 LADOS</t>
  </si>
  <si>
    <t>CUB CON RESPALDO 1O CMS FRENTE 180° MDF 25MM</t>
  </si>
  <si>
    <t>WHITE OAK 1336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</si>
</sst>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32" fillId="0" borderId="1" xfId="0" applyFont="1" applyFill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B36D98"/>
      <color rgb="FF8BCD4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66</xdr:row>
      <xdr:rowOff>8194</xdr:rowOff>
    </xdr:from>
    <xdr:to>
      <xdr:col>8</xdr:col>
      <xdr:colOff>8193</xdr:colOff>
      <xdr:row>69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68</xdr:row>
      <xdr:rowOff>154305</xdr:rowOff>
    </xdr:from>
    <xdr:to>
      <xdr:col>7</xdr:col>
      <xdr:colOff>853440</xdr:colOff>
      <xdr:row>68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66</xdr:row>
      <xdr:rowOff>9525</xdr:rowOff>
    </xdr:from>
    <xdr:to>
      <xdr:col>5</xdr:col>
      <xdr:colOff>1745226</xdr:colOff>
      <xdr:row>69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62</xdr:row>
      <xdr:rowOff>9525</xdr:rowOff>
    </xdr:from>
    <xdr:to>
      <xdr:col>5</xdr:col>
      <xdr:colOff>1728839</xdr:colOff>
      <xdr:row>65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</a:t>
          </a:r>
          <a:r>
            <a:rPr lang="es-CL" sz="1200" b="1" baseline="0"/>
            <a:t> SE ENTREGAN CON SOBRE MEDIDA EN EL LARGO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18MM, TODAS LAS CUBIERTAS LLEVAN TRASCARA BALANCE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1516511</xdr:colOff>
      <xdr:row>6</xdr:row>
      <xdr:rowOff>28776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620"/>
  <sheetViews>
    <sheetView tabSelected="1" zoomScale="93" zoomScaleNormal="93" workbookViewId="0">
      <selection activeCell="L26" sqref="L26"/>
    </sheetView>
  </sheetViews>
  <sheetFormatPr baseColWidth="10" defaultRowHeight="14.4" x14ac:dyDescent="0.3"/>
  <cols>
    <col min="1" max="1" width="6" customWidth="1"/>
    <col min="2" max="2" width="10.5546875" customWidth="1"/>
    <col min="3" max="3" width="51.5546875" customWidth="1"/>
    <col min="4" max="4" width="11.109375" customWidth="1"/>
    <col min="5" max="5" width="10.5546875" customWidth="1"/>
    <col min="6" max="6" width="34.218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137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162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125</v>
      </c>
      <c r="C8" s="292"/>
      <c r="D8" s="329" t="s">
        <v>170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5" t="s">
        <v>160</v>
      </c>
      <c r="C10" s="278" t="s">
        <v>165</v>
      </c>
      <c r="D10" s="243"/>
      <c r="E10" s="243"/>
      <c r="F10" s="244" t="s">
        <v>0</v>
      </c>
      <c r="G10" s="276">
        <v>45820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122</v>
      </c>
      <c r="G11" s="288" t="s">
        <v>173</v>
      </c>
      <c r="H11" s="289"/>
      <c r="Q11" s="19"/>
      <c r="R11" s="25" t="s">
        <v>18</v>
      </c>
      <c r="S11" s="19"/>
    </row>
    <row r="12" spans="2:24" ht="16.8" x14ac:dyDescent="0.4">
      <c r="B12" s="246" t="s">
        <v>143</v>
      </c>
      <c r="C12" s="306"/>
      <c r="D12" s="247"/>
      <c r="E12" s="247"/>
      <c r="F12" s="247" t="s">
        <v>126</v>
      </c>
      <c r="G12" s="277" t="s">
        <v>134</v>
      </c>
      <c r="H12" s="248"/>
      <c r="Q12" s="19"/>
      <c r="R12" s="25"/>
      <c r="S12" s="19"/>
    </row>
    <row r="13" spans="2:24" x14ac:dyDescent="0.3">
      <c r="B13" s="287" t="s">
        <v>144</v>
      </c>
      <c r="C13" t="s">
        <v>171</v>
      </c>
      <c r="G13" s="307"/>
      <c r="H13" s="289"/>
      <c r="Q13" s="19"/>
      <c r="R13" s="25"/>
      <c r="S13" s="19"/>
    </row>
    <row r="14" spans="2:24" x14ac:dyDescent="0.3">
      <c r="B14" s="246" t="s">
        <v>138</v>
      </c>
      <c r="C14" s="314"/>
      <c r="D14" s="247"/>
      <c r="E14" s="247"/>
      <c r="F14" s="315" t="s">
        <v>135</v>
      </c>
      <c r="G14" s="290" t="s">
        <v>134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 t="s">
        <v>172</v>
      </c>
      <c r="D15" s="310"/>
      <c r="F15" t="s">
        <v>133</v>
      </c>
      <c r="G15" s="308" t="s">
        <v>134</v>
      </c>
      <c r="H15" s="289"/>
    </row>
    <row r="16" spans="2:24" ht="16.8" x14ac:dyDescent="0.4">
      <c r="B16" s="316" t="s">
        <v>3</v>
      </c>
      <c r="C16" s="306"/>
      <c r="D16" s="247"/>
      <c r="E16" s="247"/>
      <c r="F16" s="317" t="s">
        <v>128</v>
      </c>
      <c r="G16" s="318" t="s">
        <v>161</v>
      </c>
      <c r="H16" s="248"/>
    </row>
    <row r="17" spans="2:25" ht="15" thickBot="1" x14ac:dyDescent="0.35">
      <c r="B17" s="311" t="s">
        <v>13</v>
      </c>
      <c r="C17" s="312" t="s">
        <v>164</v>
      </c>
      <c r="D17" s="313"/>
      <c r="E17" s="119"/>
      <c r="F17" s="333" t="s">
        <v>163</v>
      </c>
      <c r="G17" s="333"/>
      <c r="H17" s="334"/>
      <c r="I17" s="263"/>
      <c r="J17" s="263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335" t="s">
        <v>94</v>
      </c>
      <c r="C19" s="336"/>
      <c r="D19" s="336"/>
      <c r="E19" s="336"/>
      <c r="F19" s="336"/>
      <c r="G19" s="336"/>
      <c r="H19" s="337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132</v>
      </c>
      <c r="S19" s="10" t="s">
        <v>136</v>
      </c>
      <c r="U19" s="9"/>
      <c r="V19" s="9"/>
      <c r="X19" s="6"/>
      <c r="Y19" s="6"/>
    </row>
    <row r="20" spans="2:25" ht="17.399999999999999" x14ac:dyDescent="0.3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130</v>
      </c>
      <c r="N20" s="39" t="str">
        <f t="shared" ref="N20" si="0">E20</f>
        <v>ANCHO</v>
      </c>
      <c r="O20" s="261" t="s">
        <v>131</v>
      </c>
      <c r="P20" s="259" t="s">
        <v>16</v>
      </c>
      <c r="Q20" s="252">
        <f>O77</f>
        <v>115772.55555555558</v>
      </c>
      <c r="R20" s="258">
        <v>3000</v>
      </c>
      <c r="S20" s="38"/>
      <c r="T20" s="14" t="s">
        <v>127</v>
      </c>
      <c r="U20" s="9"/>
      <c r="X20" s="4"/>
    </row>
    <row r="21" spans="2:25" ht="17.399999999999999" x14ac:dyDescent="0.3">
      <c r="B21" s="330">
        <v>1</v>
      </c>
      <c r="C21" s="330" t="s">
        <v>174</v>
      </c>
      <c r="D21" s="332">
        <v>1</v>
      </c>
      <c r="E21" s="332">
        <v>0.6</v>
      </c>
      <c r="F21" s="330" t="s">
        <v>175</v>
      </c>
      <c r="G21" s="331">
        <v>112324</v>
      </c>
      <c r="H21" s="331">
        <f>G21*B21</f>
        <v>112324</v>
      </c>
      <c r="I21" s="320"/>
      <c r="J21" s="265"/>
      <c r="K21" s="47"/>
      <c r="L21" s="47"/>
      <c r="M21" s="39">
        <f>D21+M$19</f>
        <v>1.08</v>
      </c>
      <c r="N21" s="39">
        <f>E21+$N$19</f>
        <v>0.6</v>
      </c>
      <c r="O21" s="261">
        <f t="shared" ref="O21" si="1">M21*N21</f>
        <v>0.64800000000000002</v>
      </c>
      <c r="P21" s="259">
        <f t="shared" ref="P21" si="2">O21*L21</f>
        <v>0</v>
      </c>
      <c r="Q21" s="252">
        <f t="shared" ref="Q21" si="3">Q$20*O21</f>
        <v>75020.616000000009</v>
      </c>
      <c r="R21" s="319">
        <f t="shared" ref="R21" si="4">Q21+R$20</f>
        <v>78020.616000000009</v>
      </c>
      <c r="S21" s="297">
        <f t="shared" ref="S21" si="5">L21*M21*2</f>
        <v>0</v>
      </c>
      <c r="T21" s="46">
        <f>N21*2*L21*2</f>
        <v>0</v>
      </c>
      <c r="U21" s="9"/>
      <c r="X21" s="4"/>
    </row>
    <row r="22" spans="2:25" ht="17.399999999999999" x14ac:dyDescent="0.3">
      <c r="B22" s="330">
        <v>1</v>
      </c>
      <c r="C22" s="330" t="s">
        <v>174</v>
      </c>
      <c r="D22" s="332">
        <v>1.5</v>
      </c>
      <c r="E22" s="332">
        <v>0.6</v>
      </c>
      <c r="F22" s="330" t="s">
        <v>175</v>
      </c>
      <c r="G22" s="331">
        <v>160025</v>
      </c>
      <c r="H22" s="331">
        <f>G22*B22</f>
        <v>160025</v>
      </c>
      <c r="I22" s="320"/>
      <c r="J22" s="265"/>
      <c r="K22" s="47"/>
      <c r="L22" s="47"/>
      <c r="M22" s="39">
        <f>D22+M$19</f>
        <v>1.58</v>
      </c>
      <c r="N22" s="39">
        <f>E22</f>
        <v>0.6</v>
      </c>
      <c r="O22" s="261">
        <f t="shared" ref="O22" si="6">M22*N22</f>
        <v>0.94799999999999995</v>
      </c>
      <c r="P22" s="259">
        <f t="shared" ref="P22" si="7">O22*L22</f>
        <v>0</v>
      </c>
      <c r="Q22" s="252">
        <f t="shared" ref="Q22" si="8">Q$20*O22</f>
        <v>109752.38266666669</v>
      </c>
      <c r="R22" s="319">
        <f t="shared" ref="R22" si="9">Q22+R$20</f>
        <v>112752.38266666669</v>
      </c>
      <c r="S22" s="297">
        <f t="shared" ref="S22" si="10">L22*M22*2</f>
        <v>0</v>
      </c>
      <c r="T22" s="46"/>
      <c r="U22" s="9"/>
      <c r="X22" s="4"/>
    </row>
    <row r="23" spans="2:25" ht="17.399999999999999" x14ac:dyDescent="0.3">
      <c r="B23" s="330">
        <v>1</v>
      </c>
      <c r="C23" s="330" t="s">
        <v>174</v>
      </c>
      <c r="D23" s="332">
        <v>2</v>
      </c>
      <c r="E23" s="332">
        <v>0.6</v>
      </c>
      <c r="F23" s="330" t="s">
        <v>175</v>
      </c>
      <c r="G23" s="331">
        <v>171069</v>
      </c>
      <c r="H23" s="331">
        <f t="shared" ref="H23:H60" si="11">G23*B23</f>
        <v>171069</v>
      </c>
      <c r="I23" s="320"/>
      <c r="J23" s="265"/>
      <c r="K23" s="47"/>
      <c r="L23" s="47"/>
      <c r="M23" s="39">
        <f t="shared" ref="M23:M25" si="12">D23+M$19</f>
        <v>2.08</v>
      </c>
      <c r="N23" s="39">
        <f t="shared" ref="N23:N25" si="13">E23</f>
        <v>0.6</v>
      </c>
      <c r="O23" s="261">
        <f t="shared" ref="O23:O25" si="14">M23*N23</f>
        <v>1.248</v>
      </c>
      <c r="P23" s="259">
        <f t="shared" ref="P23:P25" si="15">O23*L23</f>
        <v>0</v>
      </c>
      <c r="Q23" s="252">
        <f t="shared" ref="Q23:Q25" si="16">Q$20*O23</f>
        <v>144484.14933333336</v>
      </c>
      <c r="R23" s="319">
        <f t="shared" ref="R23:R25" si="17">Q23+R$20</f>
        <v>147484.14933333336</v>
      </c>
      <c r="S23" s="297"/>
      <c r="T23" s="46"/>
      <c r="U23" s="9"/>
      <c r="X23" s="4"/>
    </row>
    <row r="24" spans="2:25" ht="17.399999999999999" x14ac:dyDescent="0.3">
      <c r="B24" s="330">
        <v>1</v>
      </c>
      <c r="C24" s="330" t="s">
        <v>174</v>
      </c>
      <c r="D24" s="332">
        <v>2.5</v>
      </c>
      <c r="E24" s="332">
        <v>0.6</v>
      </c>
      <c r="F24" s="330" t="s">
        <v>175</v>
      </c>
      <c r="G24" s="331">
        <v>184313</v>
      </c>
      <c r="H24" s="331">
        <f t="shared" si="11"/>
        <v>184313</v>
      </c>
      <c r="I24" s="320"/>
      <c r="J24" s="265"/>
      <c r="K24" s="47"/>
      <c r="L24" s="47"/>
      <c r="M24" s="39">
        <f t="shared" si="12"/>
        <v>2.58</v>
      </c>
      <c r="N24" s="39">
        <f t="shared" si="13"/>
        <v>0.6</v>
      </c>
      <c r="O24" s="261">
        <f t="shared" si="14"/>
        <v>1.548</v>
      </c>
      <c r="P24" s="259">
        <f t="shared" si="15"/>
        <v>0</v>
      </c>
      <c r="Q24" s="252">
        <f t="shared" si="16"/>
        <v>179215.91600000003</v>
      </c>
      <c r="R24" s="319">
        <f t="shared" si="17"/>
        <v>182215.91600000003</v>
      </c>
      <c r="S24" s="297"/>
      <c r="T24" s="46"/>
      <c r="U24" s="9"/>
      <c r="X24" s="4"/>
    </row>
    <row r="25" spans="2:25" ht="17.399999999999999" x14ac:dyDescent="0.3">
      <c r="B25" s="330">
        <v>1</v>
      </c>
      <c r="C25" s="330" t="s">
        <v>174</v>
      </c>
      <c r="D25" s="332">
        <v>3</v>
      </c>
      <c r="E25" s="332">
        <v>0.6</v>
      </c>
      <c r="F25" s="330" t="s">
        <v>175</v>
      </c>
      <c r="G25" s="331">
        <v>197007</v>
      </c>
      <c r="H25" s="331">
        <f t="shared" si="11"/>
        <v>197007</v>
      </c>
      <c r="I25" s="320"/>
      <c r="J25" s="265"/>
      <c r="K25" s="47"/>
      <c r="L25" s="47"/>
      <c r="M25" s="39">
        <f t="shared" si="12"/>
        <v>3.08</v>
      </c>
      <c r="N25" s="39">
        <f t="shared" si="13"/>
        <v>0.6</v>
      </c>
      <c r="O25" s="261">
        <f t="shared" si="14"/>
        <v>1.8479999999999999</v>
      </c>
      <c r="P25" s="259">
        <f t="shared" si="15"/>
        <v>0</v>
      </c>
      <c r="Q25" s="252">
        <f t="shared" si="16"/>
        <v>213947.68266666669</v>
      </c>
      <c r="R25" s="319">
        <f t="shared" si="17"/>
        <v>216947.68266666669</v>
      </c>
      <c r="S25" s="297"/>
      <c r="T25" s="46"/>
      <c r="U25" s="9"/>
      <c r="X25" s="4"/>
    </row>
    <row r="26" spans="2:25" ht="17.399999999999999" x14ac:dyDescent="0.3">
      <c r="B26" s="330">
        <v>1</v>
      </c>
      <c r="C26" s="330" t="s">
        <v>176</v>
      </c>
      <c r="D26" s="332">
        <v>1</v>
      </c>
      <c r="E26" s="332">
        <v>0.6</v>
      </c>
      <c r="F26" s="330" t="s">
        <v>175</v>
      </c>
      <c r="G26" s="331">
        <v>108760</v>
      </c>
      <c r="H26" s="331">
        <f t="shared" si="11"/>
        <v>108760</v>
      </c>
      <c r="I26" s="320"/>
      <c r="J26" s="265"/>
      <c r="K26" s="47"/>
      <c r="L26" s="47"/>
      <c r="M26" s="39">
        <f t="shared" ref="M26:M30" si="18">D26+M$19</f>
        <v>1.08</v>
      </c>
      <c r="N26" s="39">
        <f t="shared" ref="N26:N30" si="19">E26</f>
        <v>0.6</v>
      </c>
      <c r="O26" s="261">
        <f t="shared" ref="O26:O30" si="20">M26*N26</f>
        <v>0.64800000000000002</v>
      </c>
      <c r="P26" s="259">
        <f t="shared" ref="P26:P30" si="21">O26*L26</f>
        <v>0</v>
      </c>
      <c r="Q26" s="252">
        <f t="shared" ref="Q26:Q30" si="22">Q$20*O26</f>
        <v>75020.616000000009</v>
      </c>
      <c r="R26" s="319">
        <f t="shared" ref="R26:R30" si="23">Q26+R$20</f>
        <v>78020.616000000009</v>
      </c>
      <c r="S26" s="297"/>
      <c r="T26" s="46"/>
      <c r="U26" s="9"/>
      <c r="X26" s="4"/>
    </row>
    <row r="27" spans="2:25" ht="17.399999999999999" x14ac:dyDescent="0.3">
      <c r="B27" s="330">
        <v>1</v>
      </c>
      <c r="C27" s="330" t="s">
        <v>176</v>
      </c>
      <c r="D27" s="332">
        <v>1.5</v>
      </c>
      <c r="E27" s="332">
        <v>0.6</v>
      </c>
      <c r="F27" s="330" t="s">
        <v>175</v>
      </c>
      <c r="G27" s="331">
        <v>154811</v>
      </c>
      <c r="H27" s="331">
        <f t="shared" si="11"/>
        <v>154811</v>
      </c>
      <c r="I27" s="320"/>
      <c r="J27" s="265"/>
      <c r="K27" s="47"/>
      <c r="L27" s="47"/>
      <c r="M27" s="39">
        <f t="shared" si="18"/>
        <v>1.58</v>
      </c>
      <c r="N27" s="39">
        <f t="shared" si="19"/>
        <v>0.6</v>
      </c>
      <c r="O27" s="261">
        <f t="shared" si="20"/>
        <v>0.94799999999999995</v>
      </c>
      <c r="P27" s="259">
        <f t="shared" si="21"/>
        <v>0</v>
      </c>
      <c r="Q27" s="252">
        <f t="shared" si="22"/>
        <v>109752.38266666669</v>
      </c>
      <c r="R27" s="319">
        <f t="shared" si="23"/>
        <v>112752.38266666669</v>
      </c>
      <c r="S27" s="297"/>
      <c r="T27" s="46"/>
      <c r="U27" s="9"/>
      <c r="X27" s="4"/>
    </row>
    <row r="28" spans="2:25" ht="17.399999999999999" x14ac:dyDescent="0.3">
      <c r="B28" s="330">
        <v>1</v>
      </c>
      <c r="C28" s="330" t="s">
        <v>176</v>
      </c>
      <c r="D28" s="332">
        <v>2</v>
      </c>
      <c r="E28" s="332">
        <v>0.6</v>
      </c>
      <c r="F28" s="330" t="s">
        <v>175</v>
      </c>
      <c r="G28" s="331">
        <v>164205</v>
      </c>
      <c r="H28" s="331">
        <f t="shared" si="11"/>
        <v>164205</v>
      </c>
      <c r="I28" s="320"/>
      <c r="J28" s="265"/>
      <c r="K28" s="47"/>
      <c r="L28" s="47"/>
      <c r="M28" s="39">
        <f t="shared" si="18"/>
        <v>2.08</v>
      </c>
      <c r="N28" s="39">
        <f t="shared" si="19"/>
        <v>0.6</v>
      </c>
      <c r="O28" s="261">
        <f t="shared" si="20"/>
        <v>1.248</v>
      </c>
      <c r="P28" s="259">
        <f t="shared" si="21"/>
        <v>0</v>
      </c>
      <c r="Q28" s="252">
        <f t="shared" si="22"/>
        <v>144484.14933333336</v>
      </c>
      <c r="R28" s="319">
        <f t="shared" si="23"/>
        <v>147484.14933333336</v>
      </c>
      <c r="S28" s="297"/>
      <c r="T28" s="46"/>
      <c r="U28" s="9"/>
      <c r="X28" s="4"/>
    </row>
    <row r="29" spans="2:25" ht="17.399999999999999" x14ac:dyDescent="0.3">
      <c r="B29" s="330">
        <v>1</v>
      </c>
      <c r="C29" s="330" t="s">
        <v>176</v>
      </c>
      <c r="D29" s="332">
        <v>2.5</v>
      </c>
      <c r="E29" s="332">
        <v>0.6</v>
      </c>
      <c r="F29" s="330" t="s">
        <v>175</v>
      </c>
      <c r="G29" s="331">
        <v>175799</v>
      </c>
      <c r="H29" s="331">
        <f t="shared" si="11"/>
        <v>175799</v>
      </c>
      <c r="I29" s="320"/>
      <c r="J29" s="265"/>
      <c r="K29" s="47"/>
      <c r="L29" s="47"/>
      <c r="M29" s="39">
        <f t="shared" si="18"/>
        <v>2.58</v>
      </c>
      <c r="N29" s="39">
        <f t="shared" si="19"/>
        <v>0.6</v>
      </c>
      <c r="O29" s="261">
        <f t="shared" si="20"/>
        <v>1.548</v>
      </c>
      <c r="P29" s="259">
        <f t="shared" si="21"/>
        <v>0</v>
      </c>
      <c r="Q29" s="252">
        <f t="shared" si="22"/>
        <v>179215.91600000003</v>
      </c>
      <c r="R29" s="319">
        <f t="shared" si="23"/>
        <v>182215.91600000003</v>
      </c>
      <c r="S29" s="297"/>
      <c r="T29" s="46"/>
      <c r="U29" s="9"/>
      <c r="X29" s="4"/>
    </row>
    <row r="30" spans="2:25" ht="17.399999999999999" x14ac:dyDescent="0.3">
      <c r="B30" s="330">
        <v>1</v>
      </c>
      <c r="C30" s="330" t="s">
        <v>176</v>
      </c>
      <c r="D30" s="332">
        <v>3</v>
      </c>
      <c r="E30" s="332">
        <v>0.6</v>
      </c>
      <c r="F30" s="330" t="s">
        <v>175</v>
      </c>
      <c r="G30" s="331">
        <v>186843</v>
      </c>
      <c r="H30" s="331">
        <f t="shared" si="11"/>
        <v>186843</v>
      </c>
      <c r="I30" s="320"/>
      <c r="J30" s="265"/>
      <c r="K30" s="47"/>
      <c r="L30" s="47"/>
      <c r="M30" s="39">
        <f t="shared" si="18"/>
        <v>3.08</v>
      </c>
      <c r="N30" s="39">
        <f t="shared" si="19"/>
        <v>0.6</v>
      </c>
      <c r="O30" s="261">
        <f t="shared" si="20"/>
        <v>1.8479999999999999</v>
      </c>
      <c r="P30" s="259">
        <f t="shared" si="21"/>
        <v>0</v>
      </c>
      <c r="Q30" s="252">
        <f t="shared" si="22"/>
        <v>213947.68266666669</v>
      </c>
      <c r="R30" s="319">
        <f t="shared" si="23"/>
        <v>216947.68266666669</v>
      </c>
      <c r="S30" s="297"/>
      <c r="T30" s="46"/>
      <c r="U30" s="9"/>
      <c r="X30" s="4"/>
    </row>
    <row r="31" spans="2:25" ht="17.399999999999999" x14ac:dyDescent="0.3">
      <c r="B31" s="330">
        <v>1</v>
      </c>
      <c r="C31" s="330" t="s">
        <v>177</v>
      </c>
      <c r="D31" s="332">
        <v>1</v>
      </c>
      <c r="E31" s="332">
        <v>0.6</v>
      </c>
      <c r="F31" s="330" t="s">
        <v>175</v>
      </c>
      <c r="G31" s="331">
        <v>113567</v>
      </c>
      <c r="H31" s="331">
        <f t="shared" si="11"/>
        <v>113567</v>
      </c>
      <c r="I31" s="320"/>
      <c r="J31" s="265"/>
      <c r="K31" s="47"/>
      <c r="L31" s="47"/>
      <c r="M31" s="39">
        <f t="shared" ref="M31:M40" si="24">D31+M$19</f>
        <v>1.08</v>
      </c>
      <c r="N31" s="39">
        <f t="shared" ref="N31:N36" si="25">E31</f>
        <v>0.6</v>
      </c>
      <c r="O31" s="261">
        <f t="shared" ref="O31:O36" si="26">M31*N31</f>
        <v>0.64800000000000002</v>
      </c>
      <c r="P31" s="259">
        <f t="shared" ref="P31:P36" si="27">O31*L31</f>
        <v>0</v>
      </c>
      <c r="Q31" s="252">
        <f t="shared" ref="Q31:Q36" si="28">Q$20*O31</f>
        <v>75020.616000000009</v>
      </c>
      <c r="R31" s="319">
        <f t="shared" ref="R31:R36" si="29">Q31+R$20</f>
        <v>78020.616000000009</v>
      </c>
      <c r="S31" s="297"/>
      <c r="T31" s="46"/>
      <c r="U31" s="9"/>
      <c r="X31" s="4"/>
    </row>
    <row r="32" spans="2:25" ht="17.399999999999999" x14ac:dyDescent="0.3">
      <c r="B32" s="330">
        <v>1</v>
      </c>
      <c r="C32" s="330" t="s">
        <v>177</v>
      </c>
      <c r="D32" s="332">
        <v>1.5</v>
      </c>
      <c r="E32" s="332">
        <v>0.6</v>
      </c>
      <c r="F32" s="330" t="s">
        <v>175</v>
      </c>
      <c r="G32" s="331">
        <v>161712</v>
      </c>
      <c r="H32" s="331">
        <f t="shared" si="11"/>
        <v>161712</v>
      </c>
      <c r="I32" s="320"/>
      <c r="J32" s="265"/>
      <c r="K32" s="47"/>
      <c r="L32" s="47"/>
      <c r="M32" s="39">
        <f t="shared" si="24"/>
        <v>1.58</v>
      </c>
      <c r="N32" s="39">
        <f t="shared" si="25"/>
        <v>0.6</v>
      </c>
      <c r="O32" s="261">
        <f t="shared" si="26"/>
        <v>0.94799999999999995</v>
      </c>
      <c r="P32" s="259">
        <f t="shared" si="27"/>
        <v>0</v>
      </c>
      <c r="Q32" s="252">
        <f t="shared" si="28"/>
        <v>109752.38266666669</v>
      </c>
      <c r="R32" s="319">
        <f t="shared" si="29"/>
        <v>112752.38266666669</v>
      </c>
      <c r="S32" s="297"/>
      <c r="T32" s="46"/>
      <c r="U32" s="9"/>
      <c r="X32" s="4"/>
    </row>
    <row r="33" spans="2:24" ht="17.399999999999999" x14ac:dyDescent="0.3">
      <c r="B33" s="330">
        <v>1</v>
      </c>
      <c r="C33" s="330" t="s">
        <v>177</v>
      </c>
      <c r="D33" s="332">
        <v>2</v>
      </c>
      <c r="E33" s="332">
        <v>0.6</v>
      </c>
      <c r="F33" s="330" t="s">
        <v>175</v>
      </c>
      <c r="G33" s="331">
        <v>171533</v>
      </c>
      <c r="H33" s="331">
        <f t="shared" si="11"/>
        <v>171533</v>
      </c>
      <c r="I33" s="320"/>
      <c r="J33" s="265"/>
      <c r="K33" s="47"/>
      <c r="L33" s="47"/>
      <c r="M33" s="39">
        <f t="shared" si="24"/>
        <v>2.08</v>
      </c>
      <c r="N33" s="39">
        <f t="shared" si="25"/>
        <v>0.6</v>
      </c>
      <c r="O33" s="261">
        <f t="shared" si="26"/>
        <v>1.248</v>
      </c>
      <c r="P33" s="259">
        <f t="shared" si="27"/>
        <v>0</v>
      </c>
      <c r="Q33" s="252">
        <f t="shared" si="28"/>
        <v>144484.14933333336</v>
      </c>
      <c r="R33" s="319">
        <f t="shared" si="29"/>
        <v>147484.14933333336</v>
      </c>
      <c r="S33" s="297"/>
      <c r="T33" s="46"/>
      <c r="U33" s="9"/>
      <c r="X33" s="4"/>
    </row>
    <row r="34" spans="2:24" ht="17.399999999999999" x14ac:dyDescent="0.3">
      <c r="B34" s="330">
        <v>1</v>
      </c>
      <c r="C34" s="330" t="s">
        <v>177</v>
      </c>
      <c r="D34" s="332">
        <v>2.5</v>
      </c>
      <c r="E34" s="332">
        <v>0.6</v>
      </c>
      <c r="F34" s="330" t="s">
        <v>175</v>
      </c>
      <c r="G34" s="331">
        <v>181296</v>
      </c>
      <c r="H34" s="331">
        <f t="shared" si="11"/>
        <v>181296</v>
      </c>
      <c r="I34" s="320"/>
      <c r="J34" s="265"/>
      <c r="K34" s="47"/>
      <c r="L34" s="47"/>
      <c r="M34" s="39">
        <f t="shared" si="24"/>
        <v>2.58</v>
      </c>
      <c r="N34" s="39">
        <f t="shared" si="25"/>
        <v>0.6</v>
      </c>
      <c r="O34" s="261">
        <f t="shared" si="26"/>
        <v>1.548</v>
      </c>
      <c r="P34" s="259">
        <f t="shared" si="27"/>
        <v>0</v>
      </c>
      <c r="Q34" s="252">
        <f t="shared" si="28"/>
        <v>179215.91600000003</v>
      </c>
      <c r="R34" s="319">
        <f t="shared" si="29"/>
        <v>182215.91600000003</v>
      </c>
      <c r="S34" s="297"/>
      <c r="T34" s="46"/>
      <c r="U34" s="9"/>
      <c r="X34" s="4"/>
    </row>
    <row r="35" spans="2:24" ht="17.399999999999999" x14ac:dyDescent="0.3">
      <c r="B35" s="330">
        <v>1</v>
      </c>
      <c r="C35" s="330" t="s">
        <v>177</v>
      </c>
      <c r="D35" s="332">
        <v>3</v>
      </c>
      <c r="E35" s="332">
        <v>0.6</v>
      </c>
      <c r="F35" s="330" t="s">
        <v>175</v>
      </c>
      <c r="G35" s="331">
        <v>191117</v>
      </c>
      <c r="H35" s="331">
        <f t="shared" si="11"/>
        <v>191117</v>
      </c>
      <c r="I35" s="320"/>
      <c r="J35" s="265"/>
      <c r="K35" s="47"/>
      <c r="L35" s="47"/>
      <c r="M35" s="39">
        <f t="shared" si="24"/>
        <v>3.08</v>
      </c>
      <c r="N35" s="39">
        <f t="shared" si="25"/>
        <v>0.6</v>
      </c>
      <c r="O35" s="261">
        <f t="shared" si="26"/>
        <v>1.8479999999999999</v>
      </c>
      <c r="P35" s="259">
        <f t="shared" si="27"/>
        <v>0</v>
      </c>
      <c r="Q35" s="252">
        <f t="shared" si="28"/>
        <v>213947.68266666669</v>
      </c>
      <c r="R35" s="319">
        <f t="shared" si="29"/>
        <v>216947.68266666669</v>
      </c>
      <c r="S35" s="297"/>
      <c r="T35" s="46"/>
      <c r="U35" s="9"/>
      <c r="X35" s="4"/>
    </row>
    <row r="36" spans="2:24" ht="17.399999999999999" x14ac:dyDescent="0.3">
      <c r="B36" s="330">
        <v>1</v>
      </c>
      <c r="C36" s="330" t="s">
        <v>176</v>
      </c>
      <c r="D36" s="332">
        <v>1</v>
      </c>
      <c r="E36" s="332">
        <v>0.67</v>
      </c>
      <c r="F36" s="330" t="s">
        <v>175</v>
      </c>
      <c r="G36" s="331">
        <v>111147</v>
      </c>
      <c r="H36" s="331">
        <f t="shared" si="11"/>
        <v>111147</v>
      </c>
      <c r="I36" s="320"/>
      <c r="J36" s="265"/>
      <c r="K36" s="47"/>
      <c r="L36" s="47"/>
      <c r="M36" s="39">
        <f t="shared" si="24"/>
        <v>1.08</v>
      </c>
      <c r="N36" s="39">
        <f t="shared" si="25"/>
        <v>0.67</v>
      </c>
      <c r="O36" s="261">
        <f t="shared" si="26"/>
        <v>0.72360000000000013</v>
      </c>
      <c r="P36" s="259">
        <f t="shared" si="27"/>
        <v>0</v>
      </c>
      <c r="Q36" s="252">
        <f t="shared" si="28"/>
        <v>83773.021200000032</v>
      </c>
      <c r="R36" s="319">
        <f t="shared" si="29"/>
        <v>86773.021200000032</v>
      </c>
      <c r="S36" s="297"/>
      <c r="T36" s="46"/>
      <c r="U36" s="9"/>
      <c r="X36" s="4"/>
    </row>
    <row r="37" spans="2:24" ht="17.399999999999999" x14ac:dyDescent="0.3">
      <c r="B37" s="330">
        <v>1</v>
      </c>
      <c r="C37" s="330" t="s">
        <v>176</v>
      </c>
      <c r="D37" s="332">
        <v>1.5</v>
      </c>
      <c r="E37" s="332">
        <v>0.67</v>
      </c>
      <c r="F37" s="330" t="s">
        <v>175</v>
      </c>
      <c r="G37" s="331">
        <v>158285</v>
      </c>
      <c r="H37" s="331">
        <f t="shared" si="11"/>
        <v>158285</v>
      </c>
      <c r="I37" s="320"/>
      <c r="J37" s="265"/>
      <c r="K37" s="47"/>
      <c r="L37" s="47"/>
      <c r="M37" s="39">
        <f t="shared" si="24"/>
        <v>1.58</v>
      </c>
      <c r="N37" s="39">
        <f t="shared" ref="N37:N41" si="30">E37</f>
        <v>0.67</v>
      </c>
      <c r="O37" s="261">
        <f t="shared" ref="O37:O41" si="31">M37*N37</f>
        <v>1.0586000000000002</v>
      </c>
      <c r="P37" s="259">
        <f t="shared" ref="P37:P62" si="32">O37*L37</f>
        <v>0</v>
      </c>
      <c r="Q37" s="252">
        <f t="shared" ref="Q37:Q41" si="33">Q$20*O37</f>
        <v>122556.82731111116</v>
      </c>
      <c r="R37" s="319">
        <f t="shared" ref="R37:R41" si="34">Q37+R$20</f>
        <v>125556.82731111116</v>
      </c>
      <c r="S37" s="297"/>
      <c r="T37" s="46"/>
      <c r="U37" s="9"/>
      <c r="X37" s="4"/>
    </row>
    <row r="38" spans="2:24" ht="17.399999999999999" x14ac:dyDescent="0.3">
      <c r="B38" s="330">
        <v>1</v>
      </c>
      <c r="C38" s="330" t="s">
        <v>176</v>
      </c>
      <c r="D38" s="332">
        <v>2</v>
      </c>
      <c r="E38" s="332">
        <v>0.67</v>
      </c>
      <c r="F38" s="330" t="s">
        <v>175</v>
      </c>
      <c r="G38" s="331">
        <v>168711</v>
      </c>
      <c r="H38" s="331">
        <f t="shared" si="11"/>
        <v>168711</v>
      </c>
      <c r="I38" s="320"/>
      <c r="J38" s="265"/>
      <c r="K38" s="47"/>
      <c r="L38" s="47"/>
      <c r="M38" s="39">
        <f t="shared" si="24"/>
        <v>2.08</v>
      </c>
      <c r="N38" s="39">
        <f t="shared" si="30"/>
        <v>0.67</v>
      </c>
      <c r="O38" s="261">
        <f t="shared" si="31"/>
        <v>1.3936000000000002</v>
      </c>
      <c r="P38" s="259">
        <f t="shared" si="32"/>
        <v>0</v>
      </c>
      <c r="Q38" s="252">
        <f t="shared" si="33"/>
        <v>161340.63342222228</v>
      </c>
      <c r="R38" s="319">
        <f t="shared" si="34"/>
        <v>164340.63342222228</v>
      </c>
      <c r="S38" s="297"/>
      <c r="T38" s="46"/>
      <c r="U38" s="9"/>
      <c r="X38" s="4"/>
    </row>
    <row r="39" spans="2:24" ht="17.399999999999999" x14ac:dyDescent="0.3">
      <c r="B39" s="330">
        <v>1</v>
      </c>
      <c r="C39" s="330" t="s">
        <v>176</v>
      </c>
      <c r="D39" s="332">
        <v>2.5</v>
      </c>
      <c r="E39" s="332">
        <v>0.67</v>
      </c>
      <c r="F39" s="330" t="s">
        <v>175</v>
      </c>
      <c r="G39" s="331">
        <v>179192</v>
      </c>
      <c r="H39" s="331">
        <f t="shared" si="11"/>
        <v>179192</v>
      </c>
      <c r="I39" s="320"/>
      <c r="J39" s="265"/>
      <c r="K39" s="47"/>
      <c r="L39" s="47"/>
      <c r="M39" s="39">
        <f t="shared" si="24"/>
        <v>2.58</v>
      </c>
      <c r="N39" s="39">
        <f t="shared" si="30"/>
        <v>0.67</v>
      </c>
      <c r="O39" s="261">
        <f t="shared" si="31"/>
        <v>1.7286000000000001</v>
      </c>
      <c r="P39" s="259">
        <f t="shared" si="32"/>
        <v>0</v>
      </c>
      <c r="Q39" s="252">
        <f t="shared" si="33"/>
        <v>200124.43953333338</v>
      </c>
      <c r="R39" s="319">
        <f t="shared" si="34"/>
        <v>203124.43953333338</v>
      </c>
      <c r="S39" s="297"/>
      <c r="T39" s="46"/>
      <c r="U39" s="9"/>
      <c r="X39" s="4"/>
    </row>
    <row r="40" spans="2:24" ht="17.399999999999999" x14ac:dyDescent="0.3">
      <c r="B40" s="330">
        <v>1</v>
      </c>
      <c r="C40" s="330" t="s">
        <v>176</v>
      </c>
      <c r="D40" s="332">
        <v>3</v>
      </c>
      <c r="E40" s="332">
        <v>0.67</v>
      </c>
      <c r="F40" s="330" t="s">
        <v>175</v>
      </c>
      <c r="G40" s="331">
        <v>189728</v>
      </c>
      <c r="H40" s="331">
        <f t="shared" si="11"/>
        <v>189728</v>
      </c>
      <c r="I40" s="320"/>
      <c r="J40" s="265"/>
      <c r="K40" s="47"/>
      <c r="L40" s="47"/>
      <c r="M40" s="39">
        <f t="shared" si="24"/>
        <v>3.08</v>
      </c>
      <c r="N40" s="39">
        <f t="shared" si="30"/>
        <v>0.67</v>
      </c>
      <c r="O40" s="261">
        <f t="shared" si="31"/>
        <v>2.0636000000000001</v>
      </c>
      <c r="P40" s="259">
        <f t="shared" si="32"/>
        <v>0</v>
      </c>
      <c r="Q40" s="252">
        <f t="shared" si="33"/>
        <v>238908.24564444451</v>
      </c>
      <c r="R40" s="319">
        <f t="shared" si="34"/>
        <v>241908.24564444451</v>
      </c>
      <c r="S40" s="297"/>
      <c r="T40" s="46"/>
      <c r="U40" s="9"/>
      <c r="X40" s="4"/>
    </row>
    <row r="41" spans="2:24" ht="17.399999999999999" x14ac:dyDescent="0.3">
      <c r="B41" s="330">
        <v>1</v>
      </c>
      <c r="C41" s="330" t="s">
        <v>176</v>
      </c>
      <c r="D41" s="332">
        <v>1</v>
      </c>
      <c r="E41" s="332">
        <v>0.55000000000000004</v>
      </c>
      <c r="F41" s="330" t="s">
        <v>175</v>
      </c>
      <c r="G41" s="331">
        <v>105739</v>
      </c>
      <c r="H41" s="331">
        <f t="shared" si="11"/>
        <v>105739</v>
      </c>
      <c r="I41" s="320"/>
      <c r="J41" s="265"/>
      <c r="K41" s="47"/>
      <c r="L41" s="47"/>
      <c r="M41" s="39">
        <f>D41</f>
        <v>1</v>
      </c>
      <c r="N41" s="39">
        <f t="shared" si="30"/>
        <v>0.55000000000000004</v>
      </c>
      <c r="O41" s="261">
        <f t="shared" si="31"/>
        <v>0.55000000000000004</v>
      </c>
      <c r="P41" s="259">
        <f t="shared" si="32"/>
        <v>0</v>
      </c>
      <c r="Q41" s="252">
        <f t="shared" si="33"/>
        <v>63674.905555555575</v>
      </c>
      <c r="R41" s="319">
        <f t="shared" si="34"/>
        <v>66674.905555555568</v>
      </c>
      <c r="S41" s="297"/>
      <c r="T41" s="46"/>
      <c r="U41" s="9"/>
      <c r="X41" s="4"/>
    </row>
    <row r="42" spans="2:24" ht="17.399999999999999" x14ac:dyDescent="0.3">
      <c r="B42" s="330">
        <v>1</v>
      </c>
      <c r="C42" s="330" t="s">
        <v>176</v>
      </c>
      <c r="D42" s="332">
        <v>1.5</v>
      </c>
      <c r="E42" s="332">
        <v>0.55000000000000004</v>
      </c>
      <c r="F42" s="330" t="s">
        <v>175</v>
      </c>
      <c r="G42" s="331">
        <v>150943</v>
      </c>
      <c r="H42" s="331">
        <f t="shared" si="11"/>
        <v>150943</v>
      </c>
      <c r="I42" s="320"/>
      <c r="J42" s="265"/>
      <c r="K42" s="47"/>
      <c r="L42" s="47"/>
      <c r="M42" s="39">
        <f t="shared" ref="M42:M55" si="35">D42</f>
        <v>1.5</v>
      </c>
      <c r="N42" s="39">
        <f t="shared" ref="N42:N55" si="36">E42</f>
        <v>0.55000000000000004</v>
      </c>
      <c r="O42" s="261">
        <f t="shared" ref="O42:O55" si="37">M42*N42</f>
        <v>0.82500000000000007</v>
      </c>
      <c r="P42" s="259">
        <f t="shared" si="32"/>
        <v>0</v>
      </c>
      <c r="Q42" s="252">
        <f t="shared" ref="Q42:Q55" si="38">Q$20*O42</f>
        <v>95512.358333333352</v>
      </c>
      <c r="R42" s="319">
        <f t="shared" ref="R42:R55" si="39">Q42+R$20</f>
        <v>98512.358333333352</v>
      </c>
      <c r="S42" s="297"/>
      <c r="T42" s="46"/>
      <c r="U42" s="9"/>
      <c r="X42" s="4"/>
    </row>
    <row r="43" spans="2:24" ht="17.399999999999999" x14ac:dyDescent="0.3">
      <c r="B43" s="330">
        <v>1</v>
      </c>
      <c r="C43" s="330" t="s">
        <v>176</v>
      </c>
      <c r="D43" s="332">
        <v>2</v>
      </c>
      <c r="E43" s="332">
        <v>0.55000000000000004</v>
      </c>
      <c r="F43" s="330" t="s">
        <v>175</v>
      </c>
      <c r="G43" s="331">
        <v>159545</v>
      </c>
      <c r="H43" s="331">
        <f t="shared" si="11"/>
        <v>159545</v>
      </c>
      <c r="I43" s="320"/>
      <c r="J43" s="265"/>
      <c r="K43" s="47"/>
      <c r="L43" s="47"/>
      <c r="M43" s="39">
        <f t="shared" si="35"/>
        <v>2</v>
      </c>
      <c r="N43" s="39">
        <f t="shared" si="36"/>
        <v>0.55000000000000004</v>
      </c>
      <c r="O43" s="261">
        <f t="shared" si="37"/>
        <v>1.1000000000000001</v>
      </c>
      <c r="P43" s="259">
        <f t="shared" si="32"/>
        <v>0</v>
      </c>
      <c r="Q43" s="252">
        <f t="shared" si="38"/>
        <v>127349.81111111115</v>
      </c>
      <c r="R43" s="319">
        <f t="shared" si="39"/>
        <v>130349.81111111115</v>
      </c>
      <c r="S43" s="297"/>
      <c r="T43" s="46"/>
      <c r="U43" s="9"/>
      <c r="X43" s="4"/>
    </row>
    <row r="44" spans="2:24" ht="17.399999999999999" x14ac:dyDescent="0.3">
      <c r="B44" s="330">
        <v>1</v>
      </c>
      <c r="C44" s="330" t="s">
        <v>176</v>
      </c>
      <c r="D44" s="332">
        <v>2.5</v>
      </c>
      <c r="E44" s="332">
        <v>0.55000000000000004</v>
      </c>
      <c r="F44" s="330" t="s">
        <v>175</v>
      </c>
      <c r="G44" s="331">
        <v>168147</v>
      </c>
      <c r="H44" s="331">
        <f t="shared" si="11"/>
        <v>168147</v>
      </c>
      <c r="I44" s="320"/>
      <c r="J44" s="265"/>
      <c r="K44" s="47"/>
      <c r="L44" s="47"/>
      <c r="M44" s="39">
        <f t="shared" si="35"/>
        <v>2.5</v>
      </c>
      <c r="N44" s="39">
        <f t="shared" si="36"/>
        <v>0.55000000000000004</v>
      </c>
      <c r="O44" s="261">
        <f t="shared" si="37"/>
        <v>1.375</v>
      </c>
      <c r="P44" s="259">
        <f t="shared" si="32"/>
        <v>0</v>
      </c>
      <c r="Q44" s="252">
        <f t="shared" si="38"/>
        <v>159187.26388888891</v>
      </c>
      <c r="R44" s="319">
        <f t="shared" si="39"/>
        <v>162187.26388888891</v>
      </c>
      <c r="S44" s="297"/>
      <c r="T44" s="46"/>
      <c r="U44" s="9"/>
      <c r="X44" s="4"/>
    </row>
    <row r="45" spans="2:24" ht="17.399999999999999" x14ac:dyDescent="0.3">
      <c r="B45" s="330">
        <v>1</v>
      </c>
      <c r="C45" s="330" t="s">
        <v>176</v>
      </c>
      <c r="D45" s="332">
        <v>3</v>
      </c>
      <c r="E45" s="332">
        <v>0.55000000000000004</v>
      </c>
      <c r="F45" s="330" t="s">
        <v>175</v>
      </c>
      <c r="G45" s="331">
        <v>176749</v>
      </c>
      <c r="H45" s="331">
        <f t="shared" si="11"/>
        <v>176749</v>
      </c>
      <c r="I45" s="320"/>
      <c r="J45" s="265"/>
      <c r="K45" s="47"/>
      <c r="L45" s="47"/>
      <c r="M45" s="39">
        <f t="shared" si="35"/>
        <v>3</v>
      </c>
      <c r="N45" s="39">
        <f t="shared" si="36"/>
        <v>0.55000000000000004</v>
      </c>
      <c r="O45" s="261">
        <f t="shared" si="37"/>
        <v>1.6500000000000001</v>
      </c>
      <c r="P45" s="259">
        <f t="shared" si="32"/>
        <v>0</v>
      </c>
      <c r="Q45" s="252">
        <f t="shared" si="38"/>
        <v>191024.7166666667</v>
      </c>
      <c r="R45" s="319">
        <f t="shared" si="39"/>
        <v>194024.7166666667</v>
      </c>
      <c r="S45" s="297"/>
      <c r="T45" s="46"/>
      <c r="U45" s="9"/>
      <c r="X45" s="4"/>
    </row>
    <row r="46" spans="2:24" ht="17.399999999999999" x14ac:dyDescent="0.3">
      <c r="B46" s="330">
        <v>1</v>
      </c>
      <c r="C46" s="330" t="s">
        <v>174</v>
      </c>
      <c r="D46" s="332">
        <v>1</v>
      </c>
      <c r="E46" s="332">
        <v>0.5</v>
      </c>
      <c r="F46" s="330" t="s">
        <v>175</v>
      </c>
      <c r="G46" s="331">
        <v>107719</v>
      </c>
      <c r="H46" s="331">
        <f t="shared" si="11"/>
        <v>107719</v>
      </c>
      <c r="I46" s="320"/>
      <c r="J46" s="265"/>
      <c r="K46" s="47"/>
      <c r="L46" s="47"/>
      <c r="M46" s="39">
        <f t="shared" si="35"/>
        <v>1</v>
      </c>
      <c r="N46" s="39">
        <f t="shared" si="36"/>
        <v>0.5</v>
      </c>
      <c r="O46" s="261">
        <f t="shared" si="37"/>
        <v>0.5</v>
      </c>
      <c r="P46" s="259">
        <f t="shared" si="32"/>
        <v>0</v>
      </c>
      <c r="Q46" s="252">
        <f t="shared" si="38"/>
        <v>57886.277777777788</v>
      </c>
      <c r="R46" s="319">
        <f t="shared" si="39"/>
        <v>60886.277777777788</v>
      </c>
      <c r="S46" s="297"/>
      <c r="T46" s="46"/>
      <c r="U46" s="9"/>
      <c r="X46" s="4"/>
    </row>
    <row r="47" spans="2:24" ht="17.399999999999999" x14ac:dyDescent="0.3">
      <c r="B47" s="330">
        <v>1</v>
      </c>
      <c r="C47" s="330" t="s">
        <v>174</v>
      </c>
      <c r="D47" s="332">
        <v>1.5</v>
      </c>
      <c r="E47" s="332">
        <v>0.5</v>
      </c>
      <c r="F47" s="330" t="s">
        <v>175</v>
      </c>
      <c r="G47" s="331">
        <v>153836</v>
      </c>
      <c r="H47" s="331">
        <f t="shared" si="11"/>
        <v>153836</v>
      </c>
      <c r="I47" s="320"/>
      <c r="J47" s="265"/>
      <c r="K47" s="47"/>
      <c r="L47" s="47"/>
      <c r="M47" s="39">
        <f t="shared" si="35"/>
        <v>1.5</v>
      </c>
      <c r="N47" s="39">
        <f t="shared" si="36"/>
        <v>0.5</v>
      </c>
      <c r="O47" s="261">
        <f t="shared" si="37"/>
        <v>0.75</v>
      </c>
      <c r="P47" s="259">
        <f t="shared" si="32"/>
        <v>0</v>
      </c>
      <c r="Q47" s="252">
        <f t="shared" si="38"/>
        <v>86829.416666666686</v>
      </c>
      <c r="R47" s="319">
        <f t="shared" si="39"/>
        <v>89829.416666666686</v>
      </c>
      <c r="S47" s="297"/>
      <c r="T47" s="46"/>
      <c r="U47" s="9"/>
      <c r="X47" s="4"/>
    </row>
    <row r="48" spans="2:24" ht="17.399999999999999" x14ac:dyDescent="0.3">
      <c r="B48" s="330">
        <v>1</v>
      </c>
      <c r="C48" s="330" t="s">
        <v>174</v>
      </c>
      <c r="D48" s="332">
        <v>2</v>
      </c>
      <c r="E48" s="332">
        <v>0.5</v>
      </c>
      <c r="F48" s="330" t="s">
        <v>175</v>
      </c>
      <c r="G48" s="331">
        <v>163296</v>
      </c>
      <c r="H48" s="331">
        <f t="shared" si="11"/>
        <v>163296</v>
      </c>
      <c r="I48" s="320"/>
      <c r="J48" s="265"/>
      <c r="K48" s="47"/>
      <c r="L48" s="47"/>
      <c r="M48" s="39">
        <f t="shared" si="35"/>
        <v>2</v>
      </c>
      <c r="N48" s="39">
        <f t="shared" si="36"/>
        <v>0.5</v>
      </c>
      <c r="O48" s="261">
        <f t="shared" si="37"/>
        <v>1</v>
      </c>
      <c r="P48" s="259">
        <f t="shared" si="32"/>
        <v>0</v>
      </c>
      <c r="Q48" s="252">
        <f t="shared" si="38"/>
        <v>115772.55555555558</v>
      </c>
      <c r="R48" s="319">
        <f t="shared" si="39"/>
        <v>118772.55555555558</v>
      </c>
      <c r="S48" s="297"/>
      <c r="T48" s="46"/>
      <c r="U48" s="9"/>
      <c r="X48" s="4"/>
    </row>
    <row r="49" spans="2:24" ht="17.399999999999999" x14ac:dyDescent="0.3">
      <c r="B49" s="330">
        <v>1</v>
      </c>
      <c r="C49" s="330" t="s">
        <v>174</v>
      </c>
      <c r="D49" s="332">
        <v>2.5</v>
      </c>
      <c r="E49" s="332">
        <v>0.5</v>
      </c>
      <c r="F49" s="330" t="s">
        <v>175</v>
      </c>
      <c r="G49" s="331">
        <v>172756</v>
      </c>
      <c r="H49" s="331">
        <f t="shared" si="11"/>
        <v>172756</v>
      </c>
      <c r="I49" s="320"/>
      <c r="J49" s="265"/>
      <c r="K49" s="47"/>
      <c r="L49" s="47"/>
      <c r="M49" s="39">
        <f t="shared" si="35"/>
        <v>2.5</v>
      </c>
      <c r="N49" s="39">
        <f t="shared" si="36"/>
        <v>0.5</v>
      </c>
      <c r="O49" s="261">
        <f t="shared" si="37"/>
        <v>1.25</v>
      </c>
      <c r="P49" s="259">
        <f t="shared" si="32"/>
        <v>0</v>
      </c>
      <c r="Q49" s="252">
        <f t="shared" si="38"/>
        <v>144715.69444444447</v>
      </c>
      <c r="R49" s="319">
        <f t="shared" si="39"/>
        <v>147715.69444444447</v>
      </c>
      <c r="S49" s="297"/>
      <c r="T49" s="46"/>
      <c r="U49" s="9"/>
      <c r="X49" s="4"/>
    </row>
    <row r="50" spans="2:24" ht="17.399999999999999" x14ac:dyDescent="0.3">
      <c r="B50" s="330">
        <v>1</v>
      </c>
      <c r="C50" s="330" t="s">
        <v>174</v>
      </c>
      <c r="D50" s="332">
        <v>3</v>
      </c>
      <c r="E50" s="332">
        <v>0.5</v>
      </c>
      <c r="F50" s="330" t="s">
        <v>175</v>
      </c>
      <c r="G50" s="331">
        <v>182216</v>
      </c>
      <c r="H50" s="331">
        <f t="shared" si="11"/>
        <v>182216</v>
      </c>
      <c r="I50" s="320"/>
      <c r="J50" s="265"/>
      <c r="K50" s="47"/>
      <c r="L50" s="47"/>
      <c r="M50" s="39">
        <f t="shared" si="35"/>
        <v>3</v>
      </c>
      <c r="N50" s="39">
        <f t="shared" si="36"/>
        <v>0.5</v>
      </c>
      <c r="O50" s="261">
        <f t="shared" si="37"/>
        <v>1.5</v>
      </c>
      <c r="P50" s="259">
        <f t="shared" si="32"/>
        <v>0</v>
      </c>
      <c r="Q50" s="252">
        <f t="shared" si="38"/>
        <v>173658.83333333337</v>
      </c>
      <c r="R50" s="319">
        <f t="shared" si="39"/>
        <v>176658.83333333337</v>
      </c>
      <c r="S50" s="297"/>
      <c r="T50" s="46"/>
      <c r="U50" s="9"/>
      <c r="X50" s="4"/>
    </row>
    <row r="51" spans="2:24" ht="17.399999999999999" x14ac:dyDescent="0.3">
      <c r="B51" s="345">
        <v>1</v>
      </c>
      <c r="C51" s="330" t="s">
        <v>178</v>
      </c>
      <c r="D51" s="332">
        <v>1</v>
      </c>
      <c r="E51" s="332">
        <v>0.6</v>
      </c>
      <c r="F51" s="330" t="s">
        <v>175</v>
      </c>
      <c r="G51" s="331">
        <v>115266</v>
      </c>
      <c r="H51" s="331">
        <f t="shared" si="11"/>
        <v>115266</v>
      </c>
      <c r="I51" s="320"/>
      <c r="J51" s="265"/>
      <c r="K51" s="47"/>
      <c r="L51" s="47"/>
      <c r="M51" s="39">
        <f t="shared" si="35"/>
        <v>1</v>
      </c>
      <c r="N51" s="39">
        <f t="shared" si="36"/>
        <v>0.6</v>
      </c>
      <c r="O51" s="261">
        <f t="shared" si="37"/>
        <v>0.6</v>
      </c>
      <c r="P51" s="259">
        <f t="shared" si="32"/>
        <v>0</v>
      </c>
      <c r="Q51" s="252">
        <f t="shared" si="38"/>
        <v>69463.53333333334</v>
      </c>
      <c r="R51" s="319">
        <f t="shared" si="39"/>
        <v>72463.53333333334</v>
      </c>
      <c r="S51" s="297"/>
      <c r="T51" s="46"/>
      <c r="U51" s="9"/>
      <c r="X51" s="4"/>
    </row>
    <row r="52" spans="2:24" ht="17.399999999999999" x14ac:dyDescent="0.3">
      <c r="B52" s="330">
        <v>1</v>
      </c>
      <c r="C52" s="330" t="s">
        <v>178</v>
      </c>
      <c r="D52" s="332">
        <v>1.5</v>
      </c>
      <c r="E52" s="332">
        <v>0.6</v>
      </c>
      <c r="F52" s="330" t="s">
        <v>175</v>
      </c>
      <c r="G52" s="331">
        <v>165201</v>
      </c>
      <c r="H52" s="331">
        <f t="shared" si="11"/>
        <v>165201</v>
      </c>
      <c r="I52" s="320"/>
      <c r="J52" s="265"/>
      <c r="K52" s="47"/>
      <c r="L52" s="47"/>
      <c r="M52" s="39">
        <f t="shared" si="35"/>
        <v>1.5</v>
      </c>
      <c r="N52" s="39">
        <f t="shared" si="36"/>
        <v>0.6</v>
      </c>
      <c r="O52" s="261">
        <f t="shared" si="37"/>
        <v>0.89999999999999991</v>
      </c>
      <c r="P52" s="259">
        <f t="shared" si="32"/>
        <v>0</v>
      </c>
      <c r="Q52" s="252">
        <f t="shared" si="38"/>
        <v>104195.3</v>
      </c>
      <c r="R52" s="319">
        <f t="shared" si="39"/>
        <v>107195.3</v>
      </c>
      <c r="S52" s="297"/>
      <c r="T52" s="46"/>
      <c r="U52" s="9"/>
      <c r="X52" s="4"/>
    </row>
    <row r="53" spans="2:24" ht="17.399999999999999" x14ac:dyDescent="0.3">
      <c r="B53" s="330">
        <v>1</v>
      </c>
      <c r="C53" s="330" t="s">
        <v>178</v>
      </c>
      <c r="D53" s="332">
        <v>2</v>
      </c>
      <c r="E53" s="332">
        <v>0.6</v>
      </c>
      <c r="F53" s="330" t="s">
        <v>175</v>
      </c>
      <c r="G53" s="331">
        <v>178391</v>
      </c>
      <c r="H53" s="331">
        <f t="shared" si="11"/>
        <v>178391</v>
      </c>
      <c r="I53" s="320"/>
      <c r="J53" s="265"/>
      <c r="K53" s="47"/>
      <c r="L53" s="47"/>
      <c r="M53" s="39">
        <f t="shared" si="35"/>
        <v>2</v>
      </c>
      <c r="N53" s="39">
        <f t="shared" si="36"/>
        <v>0.6</v>
      </c>
      <c r="O53" s="261">
        <f t="shared" si="37"/>
        <v>1.2</v>
      </c>
      <c r="P53" s="259">
        <f t="shared" si="32"/>
        <v>0</v>
      </c>
      <c r="Q53" s="252">
        <f t="shared" si="38"/>
        <v>138927.06666666668</v>
      </c>
      <c r="R53" s="319">
        <f t="shared" si="39"/>
        <v>141927.06666666668</v>
      </c>
      <c r="S53" s="297"/>
      <c r="T53" s="46"/>
      <c r="U53" s="9"/>
      <c r="X53" s="4"/>
    </row>
    <row r="54" spans="2:24" ht="17.399999999999999" x14ac:dyDescent="0.3">
      <c r="B54" s="330">
        <v>1</v>
      </c>
      <c r="C54" s="330" t="s">
        <v>178</v>
      </c>
      <c r="D54" s="332">
        <v>2.5</v>
      </c>
      <c r="E54" s="332">
        <v>0.6</v>
      </c>
      <c r="F54" s="330" t="s">
        <v>175</v>
      </c>
      <c r="G54" s="331">
        <v>191668</v>
      </c>
      <c r="H54" s="331">
        <f t="shared" si="11"/>
        <v>191668</v>
      </c>
      <c r="I54" s="320"/>
      <c r="J54" s="265"/>
      <c r="K54" s="47"/>
      <c r="L54" s="47"/>
      <c r="M54" s="39">
        <f t="shared" si="35"/>
        <v>2.5</v>
      </c>
      <c r="N54" s="39">
        <f t="shared" si="36"/>
        <v>0.6</v>
      </c>
      <c r="O54" s="261">
        <f t="shared" si="37"/>
        <v>1.5</v>
      </c>
      <c r="P54" s="259">
        <f t="shared" si="32"/>
        <v>0</v>
      </c>
      <c r="Q54" s="252">
        <f t="shared" si="38"/>
        <v>173658.83333333337</v>
      </c>
      <c r="R54" s="319">
        <f t="shared" si="39"/>
        <v>176658.83333333337</v>
      </c>
      <c r="S54" s="297"/>
      <c r="T54" s="46"/>
      <c r="U54" s="9"/>
      <c r="X54" s="4"/>
    </row>
    <row r="55" spans="2:24" ht="17.399999999999999" x14ac:dyDescent="0.3">
      <c r="B55" s="330">
        <v>1</v>
      </c>
      <c r="C55" s="330" t="s">
        <v>178</v>
      </c>
      <c r="D55" s="332">
        <v>3</v>
      </c>
      <c r="E55" s="332">
        <v>0.6</v>
      </c>
      <c r="F55" s="330" t="s">
        <v>175</v>
      </c>
      <c r="G55" s="331">
        <v>204945</v>
      </c>
      <c r="H55" s="331">
        <f t="shared" si="11"/>
        <v>204945</v>
      </c>
      <c r="I55" s="320"/>
      <c r="J55" s="265"/>
      <c r="K55" s="47"/>
      <c r="L55" s="47"/>
      <c r="M55" s="39">
        <f t="shared" si="35"/>
        <v>3</v>
      </c>
      <c r="N55" s="39">
        <f t="shared" si="36"/>
        <v>0.6</v>
      </c>
      <c r="O55" s="261">
        <f t="shared" si="37"/>
        <v>1.7999999999999998</v>
      </c>
      <c r="P55" s="259">
        <f t="shared" si="32"/>
        <v>0</v>
      </c>
      <c r="Q55" s="252">
        <f t="shared" si="38"/>
        <v>208390.6</v>
      </c>
      <c r="R55" s="319">
        <f t="shared" si="39"/>
        <v>211390.6</v>
      </c>
      <c r="S55" s="297"/>
      <c r="T55" s="46"/>
      <c r="U55" s="9"/>
      <c r="X55" s="4"/>
    </row>
    <row r="56" spans="2:24" ht="17.399999999999999" x14ac:dyDescent="0.3">
      <c r="B56" s="330">
        <v>1</v>
      </c>
      <c r="C56" s="330" t="s">
        <v>176</v>
      </c>
      <c r="D56" s="332">
        <v>1</v>
      </c>
      <c r="E56" s="332">
        <v>0.6</v>
      </c>
      <c r="F56" s="330" t="s">
        <v>179</v>
      </c>
      <c r="G56" s="331">
        <v>81862</v>
      </c>
      <c r="H56" s="331">
        <f t="shared" si="11"/>
        <v>81862</v>
      </c>
      <c r="I56" s="320"/>
      <c r="J56" s="265"/>
      <c r="K56" s="47"/>
      <c r="L56" s="47"/>
      <c r="M56" s="39">
        <f t="shared" ref="M56:M60" si="40">D56</f>
        <v>1</v>
      </c>
      <c r="N56" s="39">
        <f t="shared" ref="N56:N60" si="41">E56</f>
        <v>0.6</v>
      </c>
      <c r="O56" s="261">
        <f t="shared" ref="O56:O60" si="42">M56*N56</f>
        <v>0.6</v>
      </c>
      <c r="P56" s="259">
        <f t="shared" ref="P56:P60" si="43">O56*L56</f>
        <v>0</v>
      </c>
      <c r="Q56" s="252">
        <f t="shared" ref="Q56:Q60" si="44">Q$20*O56</f>
        <v>69463.53333333334</v>
      </c>
      <c r="R56" s="319">
        <f t="shared" ref="R56:R60" si="45">Q56+R$20</f>
        <v>72463.53333333334</v>
      </c>
      <c r="S56" s="297"/>
      <c r="T56" s="46"/>
      <c r="U56" s="9"/>
      <c r="X56" s="4"/>
    </row>
    <row r="57" spans="2:24" ht="17.399999999999999" x14ac:dyDescent="0.3">
      <c r="B57" s="330">
        <v>1</v>
      </c>
      <c r="C57" s="330" t="s">
        <v>176</v>
      </c>
      <c r="D57" s="332">
        <v>1.5</v>
      </c>
      <c r="E57" s="332">
        <v>0.6</v>
      </c>
      <c r="F57" s="330" t="s">
        <v>179</v>
      </c>
      <c r="G57" s="331">
        <v>121077</v>
      </c>
      <c r="H57" s="331">
        <f t="shared" si="11"/>
        <v>121077</v>
      </c>
      <c r="I57" s="320"/>
      <c r="J57" s="265"/>
      <c r="K57" s="47"/>
      <c r="L57" s="47"/>
      <c r="M57" s="39">
        <f t="shared" si="40"/>
        <v>1.5</v>
      </c>
      <c r="N57" s="39">
        <f t="shared" si="41"/>
        <v>0.6</v>
      </c>
      <c r="O57" s="261">
        <f t="shared" si="42"/>
        <v>0.89999999999999991</v>
      </c>
      <c r="P57" s="259">
        <f t="shared" si="43"/>
        <v>0</v>
      </c>
      <c r="Q57" s="252">
        <f t="shared" si="44"/>
        <v>104195.3</v>
      </c>
      <c r="R57" s="319">
        <f t="shared" si="45"/>
        <v>107195.3</v>
      </c>
      <c r="S57" s="297"/>
      <c r="T57" s="46"/>
      <c r="U57" s="9"/>
      <c r="X57" s="4"/>
    </row>
    <row r="58" spans="2:24" ht="17.399999999999999" x14ac:dyDescent="0.3">
      <c r="B58" s="330">
        <v>1</v>
      </c>
      <c r="C58" s="330" t="s">
        <v>176</v>
      </c>
      <c r="D58" s="332">
        <v>2</v>
      </c>
      <c r="E58" s="332">
        <v>0.6</v>
      </c>
      <c r="F58" s="330" t="s">
        <v>179</v>
      </c>
      <c r="G58" s="331">
        <v>189303</v>
      </c>
      <c r="H58" s="331">
        <f t="shared" si="11"/>
        <v>189303</v>
      </c>
      <c r="I58" s="320"/>
      <c r="J58" s="265"/>
      <c r="K58" s="47"/>
      <c r="L58" s="47"/>
      <c r="M58" s="39">
        <f t="shared" si="40"/>
        <v>2</v>
      </c>
      <c r="N58" s="39">
        <f t="shared" si="41"/>
        <v>0.6</v>
      </c>
      <c r="O58" s="261">
        <f t="shared" si="42"/>
        <v>1.2</v>
      </c>
      <c r="P58" s="259">
        <f t="shared" si="43"/>
        <v>0</v>
      </c>
      <c r="Q58" s="252">
        <f t="shared" si="44"/>
        <v>138927.06666666668</v>
      </c>
      <c r="R58" s="319">
        <f t="shared" si="45"/>
        <v>141927.06666666668</v>
      </c>
      <c r="S58" s="297"/>
      <c r="T58" s="46"/>
      <c r="U58" s="9"/>
      <c r="X58" s="4"/>
    </row>
    <row r="59" spans="2:24" ht="17.399999999999999" x14ac:dyDescent="0.3">
      <c r="B59" s="330">
        <v>1</v>
      </c>
      <c r="C59" s="330" t="s">
        <v>176</v>
      </c>
      <c r="D59" s="332">
        <v>2.5</v>
      </c>
      <c r="E59" s="332">
        <v>0.6</v>
      </c>
      <c r="F59" s="330" t="s">
        <v>179</v>
      </c>
      <c r="G59" s="331">
        <v>200347</v>
      </c>
      <c r="H59" s="331">
        <f t="shared" si="11"/>
        <v>200347</v>
      </c>
      <c r="I59" s="320"/>
      <c r="J59" s="265"/>
      <c r="K59" s="47"/>
      <c r="L59" s="47"/>
      <c r="M59" s="39">
        <f t="shared" si="40"/>
        <v>2.5</v>
      </c>
      <c r="N59" s="39">
        <f t="shared" si="41"/>
        <v>0.6</v>
      </c>
      <c r="O59" s="261">
        <f t="shared" si="42"/>
        <v>1.5</v>
      </c>
      <c r="P59" s="259">
        <f t="shared" si="43"/>
        <v>0</v>
      </c>
      <c r="Q59" s="252">
        <f t="shared" si="44"/>
        <v>173658.83333333337</v>
      </c>
      <c r="R59" s="319">
        <f t="shared" si="45"/>
        <v>176658.83333333337</v>
      </c>
      <c r="S59" s="297"/>
      <c r="T59" s="46"/>
      <c r="U59" s="9"/>
      <c r="X59" s="4"/>
    </row>
    <row r="60" spans="2:24" ht="17.399999999999999" x14ac:dyDescent="0.3">
      <c r="B60" s="330">
        <v>1</v>
      </c>
      <c r="C60" s="330" t="s">
        <v>176</v>
      </c>
      <c r="D60" s="332">
        <v>3</v>
      </c>
      <c r="E60" s="332">
        <v>0.6</v>
      </c>
      <c r="F60" s="330" t="s">
        <v>179</v>
      </c>
      <c r="G60" s="331">
        <v>211391</v>
      </c>
      <c r="H60" s="331">
        <f t="shared" si="11"/>
        <v>211391</v>
      </c>
      <c r="I60" s="320"/>
      <c r="J60" s="265"/>
      <c r="K60" s="47"/>
      <c r="L60" s="47">
        <v>1</v>
      </c>
      <c r="M60" s="39">
        <f t="shared" si="40"/>
        <v>3</v>
      </c>
      <c r="N60" s="39">
        <f t="shared" si="41"/>
        <v>0.6</v>
      </c>
      <c r="O60" s="261">
        <f t="shared" si="42"/>
        <v>1.7999999999999998</v>
      </c>
      <c r="P60" s="259">
        <f t="shared" si="43"/>
        <v>1.7999999999999998</v>
      </c>
      <c r="Q60" s="252">
        <f t="shared" si="44"/>
        <v>208390.6</v>
      </c>
      <c r="R60" s="319">
        <f t="shared" si="45"/>
        <v>211390.6</v>
      </c>
      <c r="S60" s="297"/>
      <c r="T60" s="46"/>
      <c r="U60" s="9"/>
      <c r="X60" s="4"/>
    </row>
    <row r="61" spans="2:24" ht="17.399999999999999" x14ac:dyDescent="0.3">
      <c r="B61" s="285"/>
      <c r="C61" s="285"/>
      <c r="D61" s="286"/>
      <c r="E61" s="286"/>
      <c r="F61" s="285"/>
      <c r="G61" s="320"/>
      <c r="H61" s="320"/>
      <c r="I61" s="320"/>
      <c r="J61" s="265"/>
      <c r="K61" s="47"/>
      <c r="L61" s="47"/>
      <c r="M61" s="39"/>
      <c r="N61" s="39"/>
      <c r="O61" s="261"/>
      <c r="P61" s="259">
        <f t="shared" si="32"/>
        <v>0</v>
      </c>
      <c r="Q61" s="252"/>
      <c r="R61" s="319"/>
      <c r="S61" s="297"/>
      <c r="T61" s="46"/>
      <c r="U61" s="9"/>
      <c r="X61" s="4"/>
    </row>
    <row r="62" spans="2:24" ht="18" thickBot="1" x14ac:dyDescent="0.35">
      <c r="B62" s="285"/>
      <c r="C62" s="285"/>
      <c r="D62" s="286"/>
      <c r="E62" s="286"/>
      <c r="F62" s="285"/>
      <c r="G62" s="265"/>
      <c r="H62" s="321"/>
      <c r="I62" s="323"/>
      <c r="J62" s="233"/>
      <c r="K62" s="47"/>
      <c r="L62" s="47"/>
      <c r="M62" s="39"/>
      <c r="N62" s="39"/>
      <c r="O62" s="261"/>
      <c r="P62" s="259">
        <f t="shared" si="32"/>
        <v>0</v>
      </c>
      <c r="Q62" s="252"/>
      <c r="R62" s="258"/>
      <c r="S62" s="297"/>
      <c r="T62" s="14"/>
      <c r="U62" s="9"/>
      <c r="X62" s="4"/>
    </row>
    <row r="63" spans="2:24" ht="17.399999999999999" x14ac:dyDescent="0.3">
      <c r="B63" s="285"/>
      <c r="C63" s="285"/>
      <c r="D63" s="286"/>
      <c r="E63" s="286"/>
      <c r="F63" s="285"/>
      <c r="G63" s="324" t="s">
        <v>28</v>
      </c>
      <c r="H63" s="325">
        <f>SUM(H21:H62)</f>
        <v>6441841</v>
      </c>
      <c r="I63" s="322"/>
      <c r="J63" s="265"/>
      <c r="K63" s="47">
        <v>2600000</v>
      </c>
      <c r="L63" s="47"/>
      <c r="M63" s="39"/>
      <c r="N63" s="39"/>
      <c r="O63" s="261"/>
      <c r="P63" s="259"/>
      <c r="Q63" s="252"/>
      <c r="R63" s="258"/>
      <c r="S63" s="297"/>
      <c r="T63" s="46">
        <f>SUM(T21:T62)</f>
        <v>0</v>
      </c>
      <c r="U63" s="9"/>
      <c r="X63" s="4"/>
    </row>
    <row r="64" spans="2:24" ht="17.399999999999999" x14ac:dyDescent="0.3">
      <c r="B64" s="279"/>
      <c r="C64" s="282"/>
      <c r="D64" s="283"/>
      <c r="E64" s="283"/>
      <c r="F64" s="284"/>
      <c r="G64" s="296" t="s">
        <v>50</v>
      </c>
      <c r="H64" s="294">
        <f>H63*19%</f>
        <v>1223949.79</v>
      </c>
      <c r="I64" s="322"/>
      <c r="J64" s="265"/>
      <c r="K64" s="47"/>
      <c r="L64" s="47"/>
      <c r="M64" s="39">
        <f>SUM(M21:M63)</f>
        <v>81.59999999999998</v>
      </c>
      <c r="N64" s="12"/>
      <c r="O64" s="12"/>
      <c r="P64" s="253">
        <f>SUM(P21:P62)</f>
        <v>1.7999999999999998</v>
      </c>
      <c r="Q64" s="14"/>
      <c r="R64" s="12"/>
      <c r="S64" s="239"/>
      <c r="T64" s="46"/>
      <c r="U64" s="9"/>
      <c r="X64" s="4"/>
    </row>
    <row r="65" spans="1:24" ht="18" thickBot="1" x14ac:dyDescent="0.35">
      <c r="B65" s="275"/>
      <c r="C65" s="281"/>
      <c r="D65" s="272"/>
      <c r="E65" s="272"/>
      <c r="F65" s="273"/>
      <c r="G65" s="280" t="s">
        <v>6</v>
      </c>
      <c r="H65" s="295">
        <f>H63+H64</f>
        <v>7665790.79</v>
      </c>
      <c r="I65" s="322"/>
      <c r="J65" s="265"/>
      <c r="K65" s="47"/>
      <c r="L65" s="47"/>
      <c r="M65" s="39"/>
      <c r="N65" s="12"/>
      <c r="O65" s="12"/>
      <c r="P65" s="253">
        <f>P64</f>
        <v>1.7999999999999998</v>
      </c>
      <c r="Q65" s="14"/>
      <c r="R65" s="12"/>
      <c r="S65" s="239">
        <f>SUM(S21:S64)</f>
        <v>0</v>
      </c>
      <c r="T65" s="46"/>
      <c r="U65" s="9"/>
      <c r="X65" s="4"/>
    </row>
    <row r="66" spans="1:24" ht="17.399999999999999" x14ac:dyDescent="0.3">
      <c r="B66" s="275"/>
      <c r="C66" s="271"/>
      <c r="D66" s="272"/>
      <c r="E66" s="272"/>
      <c r="F66" s="273"/>
      <c r="J66" s="265"/>
      <c r="K66" s="47"/>
      <c r="L66" s="47"/>
      <c r="M66" s="14"/>
      <c r="N66" s="12"/>
      <c r="O66" s="12"/>
      <c r="P66" s="39">
        <f>P65*20%</f>
        <v>0.36</v>
      </c>
      <c r="Q66" s="39" t="s">
        <v>129</v>
      </c>
      <c r="R66" s="42"/>
      <c r="S66" s="240">
        <f>S65+T63</f>
        <v>0</v>
      </c>
      <c r="T66" s="14"/>
      <c r="U66" s="9"/>
      <c r="X66" s="4"/>
    </row>
    <row r="67" spans="1:24" ht="17.399999999999999" x14ac:dyDescent="0.35">
      <c r="B67" s="269"/>
      <c r="C67" s="230"/>
      <c r="D67" s="230"/>
      <c r="E67" s="233"/>
      <c r="F67" s="234"/>
      <c r="G67" s="230"/>
      <c r="H67" s="274"/>
      <c r="I67" s="274"/>
      <c r="J67" s="265"/>
      <c r="K67" s="47"/>
      <c r="L67" s="47"/>
      <c r="M67" s="14"/>
      <c r="N67" s="12"/>
      <c r="O67" s="12"/>
      <c r="P67" s="46">
        <f>P65+P66</f>
        <v>2.1599999999999997</v>
      </c>
      <c r="Q67" s="14"/>
      <c r="R67" s="14"/>
      <c r="S67" s="238">
        <f>S66*20%</f>
        <v>0</v>
      </c>
      <c r="T67" s="14"/>
      <c r="U67" s="9"/>
      <c r="X67" s="4"/>
    </row>
    <row r="68" spans="1:24" ht="17.399999999999999" x14ac:dyDescent="0.35">
      <c r="B68" s="235"/>
      <c r="C68" s="236"/>
      <c r="D68" s="237"/>
      <c r="E68" s="235"/>
      <c r="F68" s="230"/>
      <c r="G68" s="230"/>
      <c r="I68" s="274"/>
      <c r="J68" s="265"/>
      <c r="K68" s="47"/>
      <c r="L68" s="47"/>
      <c r="M68" s="14"/>
      <c r="N68" s="14"/>
      <c r="O68" s="14"/>
      <c r="P68" s="14"/>
      <c r="Q68" s="14"/>
      <c r="R68" s="14"/>
      <c r="S68" s="240">
        <f>S66+S67</f>
        <v>0</v>
      </c>
      <c r="T68" s="14"/>
      <c r="U68" s="302" t="s">
        <v>21</v>
      </c>
      <c r="V68" s="299" t="s">
        <v>150</v>
      </c>
      <c r="W68" s="303">
        <v>44971</v>
      </c>
      <c r="X68" s="304"/>
    </row>
    <row r="69" spans="1:24" ht="17.399999999999999" x14ac:dyDescent="0.35">
      <c r="B69" s="230"/>
      <c r="C69" s="230"/>
      <c r="D69" s="230"/>
      <c r="E69" s="230"/>
      <c r="F69" s="230"/>
      <c r="G69" s="230"/>
      <c r="J69" s="265"/>
      <c r="K69" s="47"/>
      <c r="L69" s="47"/>
      <c r="M69" s="39">
        <f>P67*2</f>
        <v>4.3199999999999994</v>
      </c>
      <c r="N69" s="12">
        <v>3500</v>
      </c>
      <c r="O69" s="12">
        <f t="shared" ref="O69:O71" si="46">M69*N69</f>
        <v>15119.999999999998</v>
      </c>
      <c r="P69" s="14" t="s">
        <v>21</v>
      </c>
      <c r="Q69" s="14"/>
      <c r="R69" s="14"/>
      <c r="S69" s="241"/>
      <c r="T69" s="14"/>
      <c r="U69" s="302" t="s">
        <v>151</v>
      </c>
      <c r="V69" s="299">
        <v>3625</v>
      </c>
      <c r="W69" s="59" t="s">
        <v>152</v>
      </c>
      <c r="X69" s="304"/>
    </row>
    <row r="70" spans="1:24" ht="17.399999999999999" x14ac:dyDescent="0.35">
      <c r="A70" s="230"/>
      <c r="B70" s="230"/>
      <c r="C70" s="230"/>
      <c r="D70" s="230"/>
      <c r="E70" s="230"/>
      <c r="F70" s="230"/>
      <c r="G70" s="230"/>
      <c r="H70" s="230"/>
      <c r="J70" s="265"/>
      <c r="K70" s="47"/>
      <c r="L70" s="47"/>
      <c r="M70" s="249">
        <v>0.41799999999999998</v>
      </c>
      <c r="N70" s="12">
        <v>25000</v>
      </c>
      <c r="O70" s="12">
        <f t="shared" si="46"/>
        <v>10450</v>
      </c>
      <c r="P70" s="39" t="s">
        <v>30</v>
      </c>
      <c r="Q70" s="42"/>
      <c r="R70" s="14"/>
      <c r="S70" s="240"/>
      <c r="T70" s="14"/>
      <c r="U70" s="302"/>
      <c r="V70" s="59">
        <v>906.25</v>
      </c>
      <c r="W70" s="59" t="s">
        <v>153</v>
      </c>
      <c r="X70" s="304"/>
    </row>
    <row r="71" spans="1:24" s="230" customFormat="1" ht="17.399999999999999" x14ac:dyDescent="0.35">
      <c r="B71" s="24" t="s">
        <v>149</v>
      </c>
      <c r="J71" s="262"/>
      <c r="K71" s="232"/>
      <c r="L71" s="250"/>
      <c r="M71" s="14">
        <v>1</v>
      </c>
      <c r="N71" s="250">
        <v>52033</v>
      </c>
      <c r="O71" s="12">
        <f t="shared" si="46"/>
        <v>52033</v>
      </c>
      <c r="P71" s="14" t="s">
        <v>167</v>
      </c>
      <c r="Q71" s="42"/>
      <c r="S71" s="240"/>
      <c r="T71" s="256"/>
      <c r="U71" s="59"/>
      <c r="V71" s="59">
        <f>V70*20%</f>
        <v>181.25</v>
      </c>
      <c r="W71" s="304" t="s">
        <v>154</v>
      </c>
      <c r="X71" s="59"/>
    </row>
    <row r="72" spans="1:24" s="230" customFormat="1" ht="17.399999999999999" x14ac:dyDescent="0.35">
      <c r="B72" s="24" t="s">
        <v>142</v>
      </c>
      <c r="C72"/>
      <c r="D72"/>
      <c r="E72"/>
      <c r="F72"/>
      <c r="J72" s="262"/>
      <c r="K72" s="232"/>
      <c r="L72" s="250"/>
      <c r="M72" s="14">
        <v>0.5</v>
      </c>
      <c r="N72" s="250">
        <v>25000</v>
      </c>
      <c r="O72" s="12">
        <f>M72*N72</f>
        <v>12500</v>
      </c>
      <c r="P72" s="230" t="s">
        <v>166</v>
      </c>
      <c r="S72" s="238"/>
      <c r="T72" s="256"/>
      <c r="U72" s="59"/>
      <c r="V72" s="59">
        <f>V70+V71</f>
        <v>1087.5</v>
      </c>
      <c r="W72" s="304" t="s">
        <v>155</v>
      </c>
      <c r="X72" s="59"/>
    </row>
    <row r="73" spans="1:24" s="230" customFormat="1" ht="17.399999999999999" x14ac:dyDescent="0.35">
      <c r="B73" s="29" t="s">
        <v>124</v>
      </c>
      <c r="C73"/>
      <c r="D73"/>
      <c r="E73"/>
      <c r="F73" s="229" t="s">
        <v>15</v>
      </c>
      <c r="I73" s="230" t="s">
        <v>168</v>
      </c>
      <c r="J73" s="262"/>
      <c r="K73" s="260"/>
      <c r="L73" s="250"/>
      <c r="M73" s="249"/>
      <c r="N73" s="250">
        <v>900</v>
      </c>
      <c r="O73" s="12">
        <f>M73*N73</f>
        <v>0</v>
      </c>
      <c r="P73" s="14" t="s">
        <v>31</v>
      </c>
      <c r="Q73" s="17"/>
      <c r="R73" s="230">
        <v>2.12</v>
      </c>
      <c r="S73" s="238"/>
      <c r="T73" s="238"/>
    </row>
    <row r="74" spans="1:24" s="230" customFormat="1" ht="17.399999999999999" x14ac:dyDescent="0.35">
      <c r="I74" s="230" t="s">
        <v>169</v>
      </c>
      <c r="J74" s="293"/>
      <c r="K74" s="260"/>
      <c r="L74" s="250"/>
      <c r="M74" s="266">
        <v>3.08</v>
      </c>
      <c r="N74" s="12">
        <v>1500</v>
      </c>
      <c r="O74" s="12">
        <f>M74*N74</f>
        <v>4620</v>
      </c>
      <c r="P74" s="14" t="s">
        <v>22</v>
      </c>
      <c r="Q74" s="14"/>
      <c r="R74">
        <v>2.44</v>
      </c>
      <c r="S74"/>
      <c r="T74" s="238"/>
      <c r="X74" s="231"/>
    </row>
    <row r="75" spans="1:24" s="230" customFormat="1" ht="17.399999999999999" x14ac:dyDescent="0.35">
      <c r="K75" s="260"/>
      <c r="L75" s="250"/>
      <c r="M75" s="14"/>
      <c r="N75" s="12"/>
      <c r="O75" s="12">
        <f>SUM(O69:O74)</f>
        <v>94723</v>
      </c>
      <c r="P75" s="39" t="s">
        <v>23</v>
      </c>
      <c r="Q75" s="14"/>
      <c r="R75">
        <f>R73*R74</f>
        <v>5.1728000000000005</v>
      </c>
      <c r="S75"/>
      <c r="T75" s="238"/>
      <c r="X75" s="231"/>
    </row>
    <row r="76" spans="1:24" s="230" customFormat="1" ht="17.399999999999999" x14ac:dyDescent="0.35">
      <c r="L76" s="250"/>
      <c r="M76" s="254" t="s">
        <v>32</v>
      </c>
      <c r="N76" s="12"/>
      <c r="O76" s="255">
        <f>O75*2.2</f>
        <v>208390.6</v>
      </c>
      <c r="P76" s="14" t="s">
        <v>139</v>
      </c>
      <c r="Q76" s="14"/>
      <c r="R76" s="40">
        <f>P67/R75</f>
        <v>0.41756882152799246</v>
      </c>
      <c r="S76"/>
      <c r="T76" s="257"/>
    </row>
    <row r="77" spans="1:24" s="230" customFormat="1" ht="17.399999999999999" x14ac:dyDescent="0.35">
      <c r="G77"/>
      <c r="H77" s="260"/>
      <c r="I77" s="260"/>
      <c r="J77" s="260"/>
      <c r="K77" s="230">
        <v>61920</v>
      </c>
      <c r="L77" s="250"/>
      <c r="M77" s="14"/>
      <c r="N77" s="12"/>
      <c r="O77" s="12">
        <f>O76/P65</f>
        <v>115772.55555555558</v>
      </c>
      <c r="P77" s="45" t="s">
        <v>24</v>
      </c>
      <c r="Q77" s="14"/>
      <c r="R77" s="14"/>
      <c r="S77"/>
      <c r="T77" s="238"/>
      <c r="U77" s="59" t="s">
        <v>156</v>
      </c>
      <c r="V77" s="299">
        <v>43650</v>
      </c>
    </row>
    <row r="78" spans="1:24" s="230" customFormat="1" ht="17.399999999999999" x14ac:dyDescent="0.35">
      <c r="G78"/>
      <c r="K78" s="230">
        <f>K77/1.19</f>
        <v>52033.613445378156</v>
      </c>
      <c r="L78" s="250"/>
      <c r="M78" s="13"/>
      <c r="N78" s="14"/>
      <c r="O78" s="17">
        <f>O76/O75</f>
        <v>2.2000000000000002</v>
      </c>
      <c r="P78" s="15"/>
      <c r="Q78" s="14"/>
      <c r="R78"/>
      <c r="S78"/>
      <c r="T78" s="238"/>
      <c r="U78" s="59" t="s">
        <v>158</v>
      </c>
      <c r="V78" s="300" t="s">
        <v>157</v>
      </c>
      <c r="W78" s="59">
        <v>2.4</v>
      </c>
    </row>
    <row r="79" spans="1:24" s="230" customFormat="1" ht="17.399999999999999" x14ac:dyDescent="0.35">
      <c r="G79" s="23"/>
      <c r="L79" s="12"/>
      <c r="Q79"/>
      <c r="T79" s="238"/>
      <c r="U79" s="59" t="s">
        <v>159</v>
      </c>
      <c r="V79" s="301">
        <v>395.37</v>
      </c>
    </row>
    <row r="80" spans="1:24" s="230" customFormat="1" ht="17.399999999999999" x14ac:dyDescent="0.35">
      <c r="B80"/>
      <c r="C80" s="228"/>
      <c r="D80" s="22"/>
      <c r="E80" s="22"/>
      <c r="F80" s="21"/>
      <c r="G80" s="23"/>
      <c r="L80" s="12"/>
      <c r="T80" s="238"/>
      <c r="U80" s="59" t="s">
        <v>154</v>
      </c>
      <c r="V80" s="59">
        <v>474.45</v>
      </c>
    </row>
    <row r="81" spans="12:22" ht="14.4" customHeight="1" x14ac:dyDescent="0.3">
      <c r="L81" s="12"/>
      <c r="U81" s="59"/>
      <c r="V81" s="59"/>
    </row>
    <row r="82" spans="12:22" x14ac:dyDescent="0.3">
      <c r="L82" s="250"/>
    </row>
    <row r="83" spans="12:22" x14ac:dyDescent="0.3">
      <c r="L83" s="250"/>
      <c r="T83" s="270"/>
    </row>
    <row r="84" spans="12:22" x14ac:dyDescent="0.3">
      <c r="L84" s="250"/>
    </row>
    <row r="85" spans="12:22" ht="15" customHeight="1" x14ac:dyDescent="0.3"/>
    <row r="87" spans="12:22" x14ac:dyDescent="0.3">
      <c r="O87">
        <v>40935</v>
      </c>
      <c r="P87" t="s">
        <v>16</v>
      </c>
      <c r="Q87" t="s">
        <v>26</v>
      </c>
    </row>
    <row r="89" spans="12:22" x14ac:dyDescent="0.3">
      <c r="O89" s="54"/>
      <c r="P89" s="54"/>
    </row>
    <row r="90" spans="12:22" x14ac:dyDescent="0.3">
      <c r="S90" s="18"/>
      <c r="T90" s="18"/>
    </row>
    <row r="91" spans="12:22" x14ac:dyDescent="0.3">
      <c r="S91" s="18"/>
      <c r="T91" s="18"/>
    </row>
    <row r="92" spans="12:22" x14ac:dyDescent="0.3">
      <c r="S92" s="18"/>
      <c r="T92" s="18"/>
    </row>
    <row r="93" spans="12:22" x14ac:dyDescent="0.3">
      <c r="S93" s="18"/>
      <c r="T93" s="18"/>
    </row>
    <row r="94" spans="12:22" x14ac:dyDescent="0.3">
      <c r="S94" s="18"/>
      <c r="T94" s="18"/>
    </row>
    <row r="95" spans="12:22" x14ac:dyDescent="0.3">
      <c r="S95" s="18"/>
      <c r="T95" s="18"/>
    </row>
    <row r="96" spans="12:22" x14ac:dyDescent="0.3">
      <c r="S96" s="18"/>
      <c r="T96" s="18"/>
    </row>
    <row r="97" spans="3:20" x14ac:dyDescent="0.3">
      <c r="S97" s="18"/>
      <c r="T97" s="18"/>
    </row>
    <row r="98" spans="3:20" x14ac:dyDescent="0.3">
      <c r="S98" s="18"/>
      <c r="T98" s="18"/>
    </row>
    <row r="101" spans="3:20" x14ac:dyDescent="0.3">
      <c r="O101" s="43"/>
    </row>
    <row r="102" spans="3:20" x14ac:dyDescent="0.3">
      <c r="O102" s="43"/>
    </row>
    <row r="103" spans="3:20" x14ac:dyDescent="0.3">
      <c r="O103" s="6"/>
    </row>
    <row r="104" spans="3:20" x14ac:dyDescent="0.3">
      <c r="O104" s="6"/>
    </row>
    <row r="112" spans="3:20" x14ac:dyDescent="0.3">
      <c r="C112" t="s">
        <v>146</v>
      </c>
    </row>
    <row r="113" spans="3:3" x14ac:dyDescent="0.3">
      <c r="C113" t="s">
        <v>145</v>
      </c>
    </row>
    <row r="116" spans="3:3" x14ac:dyDescent="0.3">
      <c r="C116" t="s">
        <v>145</v>
      </c>
    </row>
    <row r="193" spans="3:3" x14ac:dyDescent="0.3">
      <c r="C193" t="s">
        <v>145</v>
      </c>
    </row>
    <row r="194" spans="3:3" x14ac:dyDescent="0.3">
      <c r="C194" t="s">
        <v>147</v>
      </c>
    </row>
    <row r="195" spans="3:3" x14ac:dyDescent="0.3">
      <c r="C195" t="s">
        <v>148</v>
      </c>
    </row>
    <row r="620" spans="3:3" x14ac:dyDescent="0.3">
      <c r="C620" t="s">
        <v>145</v>
      </c>
    </row>
  </sheetData>
  <mergeCells count="2">
    <mergeCell ref="F17:H17"/>
    <mergeCell ref="B19:H19"/>
  </mergeCells>
  <phoneticPr fontId="34" type="noConversion"/>
  <hyperlinks>
    <hyperlink ref="F73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5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104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45820</v>
      </c>
    </row>
    <row r="6" spans="2:31" ht="16.2" thickBot="1" x14ac:dyDescent="0.35">
      <c r="B6" s="140" t="s">
        <v>2</v>
      </c>
      <c r="C6" s="139" t="str">
        <f>'2229'!C10</f>
        <v>SISTEMA MUEBLES</v>
      </c>
      <c r="D6" s="138"/>
      <c r="E6" s="138"/>
      <c r="F6" s="138"/>
      <c r="N6" s="75" t="s">
        <v>103</v>
      </c>
      <c r="O6" s="75"/>
      <c r="P6" s="142" t="s">
        <v>102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9" t="s">
        <v>97</v>
      </c>
      <c r="I7" s="340"/>
      <c r="J7" s="340"/>
      <c r="K7" s="341"/>
      <c r="N7" s="75"/>
      <c r="O7" s="338" t="s">
        <v>101</v>
      </c>
      <c r="P7" s="141" t="s">
        <v>100</v>
      </c>
      <c r="Q7" s="141"/>
    </row>
    <row r="8" spans="2:31" ht="16.2" thickBot="1" x14ac:dyDescent="0.35">
      <c r="B8" s="140" t="s">
        <v>99</v>
      </c>
      <c r="C8" s="139" t="str">
        <f>'2229'!D8</f>
        <v>N° 11468</v>
      </c>
      <c r="D8" s="138"/>
      <c r="E8" s="138"/>
      <c r="F8" s="138"/>
      <c r="H8" s="182" t="s">
        <v>116</v>
      </c>
      <c r="I8" s="154" t="s">
        <v>115</v>
      </c>
      <c r="J8" s="227" t="s">
        <v>94</v>
      </c>
      <c r="K8" s="135" t="s">
        <v>6</v>
      </c>
      <c r="L8" s="134" t="s">
        <v>6</v>
      </c>
      <c r="N8" s="75"/>
      <c r="O8" s="338"/>
      <c r="P8" s="75" t="s">
        <v>98</v>
      </c>
      <c r="Q8" s="75"/>
      <c r="X8">
        <f>SUM(Q11:Q16)</f>
        <v>6</v>
      </c>
    </row>
    <row r="9" spans="2:31" ht="15" thickBot="1" x14ac:dyDescent="0.35">
      <c r="H9" s="197" t="s">
        <v>95</v>
      </c>
      <c r="I9" s="198" t="s">
        <v>114</v>
      </c>
      <c r="J9" s="183" t="s">
        <v>91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-1044094.9667001208</v>
      </c>
    </row>
    <row r="10" spans="2:31" ht="16.2" thickBot="1" x14ac:dyDescent="0.35">
      <c r="D10" s="218" t="s">
        <v>28</v>
      </c>
      <c r="E10" s="219" t="s">
        <v>50</v>
      </c>
      <c r="F10" s="220" t="s">
        <v>6</v>
      </c>
      <c r="H10" s="190">
        <v>3</v>
      </c>
      <c r="I10" s="204">
        <v>350</v>
      </c>
      <c r="J10" s="201" t="s">
        <v>31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92</v>
      </c>
      <c r="D11" s="133">
        <f>'2229'!H63</f>
        <v>6441841</v>
      </c>
      <c r="E11" s="132">
        <f>D11*0.19</f>
        <v>1223949.79</v>
      </c>
      <c r="F11" s="131">
        <f>E11+D11</f>
        <v>7665790.79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34</v>
      </c>
      <c r="S11" s="51">
        <v>2.8</v>
      </c>
      <c r="T11" s="51">
        <v>0.62</v>
      </c>
      <c r="U11" s="7" t="s">
        <v>37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-938104.96670012083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96</v>
      </c>
      <c r="D12" s="136">
        <f>SUM(M43:M45)</f>
        <v>107437.09078743961</v>
      </c>
      <c r="F12" s="61"/>
      <c r="H12" s="191">
        <v>0</v>
      </c>
      <c r="I12" s="174">
        <v>7500</v>
      </c>
      <c r="J12" s="150" t="s">
        <v>110</v>
      </c>
      <c r="K12" s="158">
        <f t="shared" si="0"/>
        <v>0</v>
      </c>
      <c r="L12" s="61"/>
      <c r="Q12" s="7">
        <v>1</v>
      </c>
      <c r="R12" s="7" t="s">
        <v>34</v>
      </c>
      <c r="S12" s="51">
        <v>2.2999999999999998</v>
      </c>
      <c r="T12" s="51">
        <v>0.62</v>
      </c>
      <c r="U12" s="7" t="s">
        <v>37</v>
      </c>
      <c r="V12" s="55">
        <v>87990</v>
      </c>
      <c r="W12" s="49">
        <f t="shared" si="1"/>
        <v>87990</v>
      </c>
      <c r="X12" s="176">
        <f t="shared" si="2"/>
        <v>-956104.96670012083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90</v>
      </c>
      <c r="D13" s="217">
        <f>D11-D12</f>
        <v>6334403.9092125604</v>
      </c>
      <c r="E13" s="221">
        <f>(D11/D12)-1</f>
        <v>58.959190562456207</v>
      </c>
      <c r="H13" s="191">
        <v>0</v>
      </c>
      <c r="I13" s="174">
        <v>50</v>
      </c>
      <c r="J13" s="150" t="s">
        <v>111</v>
      </c>
      <c r="K13" s="158">
        <f t="shared" si="0"/>
        <v>0</v>
      </c>
      <c r="L13" s="61"/>
      <c r="Q13" s="7">
        <v>1</v>
      </c>
      <c r="R13" s="7" t="s">
        <v>34</v>
      </c>
      <c r="S13" s="51">
        <v>2.0299999999999998</v>
      </c>
      <c r="T13" s="51">
        <v>0.62</v>
      </c>
      <c r="U13" s="7" t="s">
        <v>37</v>
      </c>
      <c r="V13" s="55">
        <v>78990</v>
      </c>
      <c r="W13" s="49">
        <f t="shared" si="1"/>
        <v>78990</v>
      </c>
      <c r="X13" s="176">
        <f t="shared" si="2"/>
        <v>-965104.96670012083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121</v>
      </c>
      <c r="E14" s="179" t="s">
        <v>28</v>
      </c>
      <c r="F14" s="178" t="s">
        <v>109</v>
      </c>
      <c r="H14" s="191">
        <v>0</v>
      </c>
      <c r="I14" s="174">
        <v>50</v>
      </c>
      <c r="J14" s="150" t="s">
        <v>112</v>
      </c>
      <c r="K14" s="158">
        <f t="shared" si="0"/>
        <v>0</v>
      </c>
      <c r="L14" s="61"/>
      <c r="P14" s="126"/>
      <c r="Q14" s="7">
        <v>1</v>
      </c>
      <c r="R14" s="7" t="s">
        <v>34</v>
      </c>
      <c r="S14" s="51">
        <v>1.08</v>
      </c>
      <c r="T14" s="51">
        <v>0.62</v>
      </c>
      <c r="U14" s="7" t="s">
        <v>37</v>
      </c>
      <c r="V14" s="55">
        <v>39990</v>
      </c>
      <c r="W14" s="49">
        <f t="shared" si="1"/>
        <v>39990</v>
      </c>
      <c r="X14" s="176">
        <f t="shared" si="2"/>
        <v>-1004104.9667001208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120</v>
      </c>
      <c r="D15" s="214">
        <v>0.65</v>
      </c>
      <c r="E15" s="215">
        <f>(100%+D15)*D12</f>
        <v>177271.19979927535</v>
      </c>
      <c r="F15" s="216">
        <f>E15-D12</f>
        <v>69834.109011835739</v>
      </c>
      <c r="H15" s="191">
        <v>0</v>
      </c>
      <c r="I15" s="174">
        <v>10</v>
      </c>
      <c r="J15" s="150" t="s">
        <v>113</v>
      </c>
      <c r="K15" s="158">
        <f t="shared" si="0"/>
        <v>0</v>
      </c>
      <c r="L15" s="61"/>
      <c r="Q15" s="7">
        <v>1</v>
      </c>
      <c r="R15" s="7" t="s">
        <v>34</v>
      </c>
      <c r="S15" s="51">
        <v>1.08</v>
      </c>
      <c r="T15" s="51">
        <v>0.62</v>
      </c>
      <c r="U15" s="7" t="s">
        <v>37</v>
      </c>
      <c r="V15" s="55">
        <v>39990</v>
      </c>
      <c r="W15" s="49">
        <f t="shared" si="1"/>
        <v>39990</v>
      </c>
      <c r="X15" s="176">
        <f t="shared" si="2"/>
        <v>-1004104.9667001208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89</v>
      </c>
      <c r="K16" s="158">
        <f t="shared" si="0"/>
        <v>0</v>
      </c>
      <c r="L16" s="61"/>
      <c r="Q16" s="7">
        <v>1</v>
      </c>
      <c r="R16" s="7" t="s">
        <v>34</v>
      </c>
      <c r="S16" s="51">
        <v>2.06</v>
      </c>
      <c r="T16" s="51">
        <v>0.62</v>
      </c>
      <c r="U16" s="7" t="s">
        <v>37</v>
      </c>
      <c r="V16" s="55">
        <v>79990</v>
      </c>
      <c r="W16" s="49">
        <f t="shared" si="1"/>
        <v>79990</v>
      </c>
      <c r="X16" s="176">
        <f t="shared" si="2"/>
        <v>-964104.96670012083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87</v>
      </c>
      <c r="C17" s="129" t="s">
        <v>86</v>
      </c>
      <c r="D17" s="129" t="s">
        <v>28</v>
      </c>
      <c r="E17" s="128" t="s">
        <v>50</v>
      </c>
      <c r="F17" s="127" t="s">
        <v>6</v>
      </c>
      <c r="H17" s="193">
        <v>1</v>
      </c>
      <c r="I17" s="202"/>
      <c r="J17" s="188" t="s">
        <v>88</v>
      </c>
      <c r="K17" s="158">
        <f t="shared" si="0"/>
        <v>0</v>
      </c>
      <c r="L17" s="61"/>
      <c r="Q17" s="7">
        <v>6</v>
      </c>
      <c r="R17" s="7" t="s">
        <v>35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84</v>
      </c>
      <c r="D18" s="122">
        <f>'2229'!O71</f>
        <v>52033</v>
      </c>
      <c r="E18" s="123">
        <f>D18*0.19</f>
        <v>9886.27</v>
      </c>
      <c r="F18" s="120">
        <f>SUM(D18:E18)</f>
        <v>61919.270000000004</v>
      </c>
      <c r="H18" s="192">
        <v>1</v>
      </c>
      <c r="I18" s="202"/>
      <c r="J18" s="184" t="s">
        <v>85</v>
      </c>
      <c r="K18" s="158">
        <f t="shared" si="0"/>
        <v>0</v>
      </c>
      <c r="L18" s="61"/>
      <c r="Q18" s="7">
        <v>1</v>
      </c>
      <c r="R18" s="56" t="s">
        <v>36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30</v>
      </c>
      <c r="D19" s="122">
        <f>'2229'!O70</f>
        <v>10450</v>
      </c>
      <c r="E19" s="123">
        <f>D19*0.19</f>
        <v>1985.5</v>
      </c>
      <c r="F19" s="120">
        <f>SUM(D19:E19)</f>
        <v>12435.5</v>
      </c>
      <c r="H19" s="192">
        <v>1</v>
      </c>
      <c r="I19" s="202"/>
      <c r="J19" s="184" t="s">
        <v>83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'2229'!O69</f>
        <v>15119.999999999998</v>
      </c>
      <c r="E20" s="121">
        <f>D20*0.19</f>
        <v>2872.7999999999997</v>
      </c>
      <c r="F20" s="120">
        <f>SUM(D20:E20)</f>
        <v>17992.8</v>
      </c>
      <c r="H20" s="192">
        <v>1</v>
      </c>
      <c r="I20" s="202"/>
      <c r="J20" s="184" t="s">
        <v>82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77603</v>
      </c>
      <c r="E21" s="116">
        <f>SUM(E18:E20)</f>
        <v>14744.57</v>
      </c>
      <c r="F21" s="115">
        <f>SUM(F18:F20)</f>
        <v>92347.57</v>
      </c>
      <c r="H21" s="192">
        <v>1</v>
      </c>
      <c r="I21" s="202"/>
      <c r="J21" s="184" t="s">
        <v>81</v>
      </c>
      <c r="K21" s="158">
        <f t="shared" si="0"/>
        <v>0</v>
      </c>
      <c r="M21" s="153">
        <f>B32/9</f>
        <v>2318.840579710145</v>
      </c>
      <c r="Q21" s="50" t="s">
        <v>38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79</v>
      </c>
      <c r="C22" s="113" t="s">
        <v>78</v>
      </c>
      <c r="D22" s="112" t="s">
        <v>77</v>
      </c>
      <c r="E22" s="111" t="s">
        <v>76</v>
      </c>
      <c r="F22" s="110" t="s">
        <v>6</v>
      </c>
      <c r="H22" s="192">
        <v>1</v>
      </c>
      <c r="I22" s="202"/>
      <c r="J22" s="148" t="s">
        <v>80</v>
      </c>
      <c r="K22" s="158">
        <f t="shared" si="0"/>
        <v>0</v>
      </c>
      <c r="M22" s="105"/>
      <c r="N22" s="58"/>
      <c r="Q22" s="50" t="s">
        <v>33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75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73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116</v>
      </c>
      <c r="I24" s="155" t="s">
        <v>114</v>
      </c>
      <c r="J24" s="181" t="s">
        <v>74</v>
      </c>
      <c r="K24" s="152" t="s">
        <v>93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72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107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70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71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69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68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67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105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66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117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118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64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119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63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40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39</v>
      </c>
      <c r="K33" s="97">
        <f t="shared" si="5"/>
        <v>0</v>
      </c>
    </row>
    <row r="34" spans="2:16" ht="15" thickBot="1" x14ac:dyDescent="0.35">
      <c r="B34" s="83" t="s">
        <v>62</v>
      </c>
      <c r="C34" s="82" t="s">
        <v>61</v>
      </c>
      <c r="D34" s="81">
        <f>L9</f>
        <v>2550</v>
      </c>
      <c r="H34" s="192">
        <v>1</v>
      </c>
      <c r="I34" s="174"/>
      <c r="J34" s="148" t="s">
        <v>106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60</v>
      </c>
      <c r="D35" s="78">
        <f>L24</f>
        <v>0</v>
      </c>
      <c r="H35" s="194">
        <v>6</v>
      </c>
      <c r="I35" s="206"/>
      <c r="J35" s="180" t="s">
        <v>108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58</v>
      </c>
      <c r="D36" s="78">
        <f>L36</f>
        <v>18467.665666666668</v>
      </c>
      <c r="E36" s="58"/>
      <c r="H36" s="151" t="s">
        <v>95</v>
      </c>
      <c r="I36" s="155" t="s">
        <v>114</v>
      </c>
      <c r="J36" s="189" t="s">
        <v>65</v>
      </c>
      <c r="K36" s="152" t="s">
        <v>93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41</v>
      </c>
      <c r="D37" s="73"/>
      <c r="H37" s="199">
        <f>$E$33</f>
        <v>3.9000000000000004</v>
      </c>
      <c r="I37" s="204">
        <f>32609.69/9</f>
        <v>3623.2988888888885</v>
      </c>
      <c r="J37" s="187" t="s">
        <v>44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42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43</v>
      </c>
      <c r="K39" s="84">
        <f>I39*H39</f>
        <v>565.5</v>
      </c>
    </row>
    <row r="40" spans="2:16" ht="15" thickBot="1" x14ac:dyDescent="0.35">
      <c r="B40" s="68" t="s">
        <v>51</v>
      </c>
      <c r="C40" s="67" t="s">
        <v>50</v>
      </c>
      <c r="D40" s="66">
        <f>E11-E21</f>
        <v>1209205.22</v>
      </c>
    </row>
    <row r="41" spans="2:16" ht="15" thickBot="1" x14ac:dyDescent="0.35">
      <c r="H41" s="342" t="s">
        <v>59</v>
      </c>
      <c r="I41" s="343"/>
      <c r="J41" s="343"/>
      <c r="K41" s="343"/>
      <c r="L41" s="343"/>
      <c r="M41" s="344"/>
    </row>
    <row r="42" spans="2:16" ht="15" thickBot="1" x14ac:dyDescent="0.35">
      <c r="B42" s="75" t="s">
        <v>45</v>
      </c>
      <c r="C42" s="75"/>
      <c r="D42" s="207">
        <f>E33</f>
        <v>3.9000000000000004</v>
      </c>
      <c r="H42" s="77" t="s">
        <v>57</v>
      </c>
      <c r="I42" s="159" t="s">
        <v>56</v>
      </c>
      <c r="J42" s="160"/>
      <c r="K42" s="160"/>
      <c r="L42" s="161"/>
      <c r="M42" s="76">
        <f>D11</f>
        <v>6441841</v>
      </c>
    </row>
    <row r="43" spans="2:16" ht="15" thickBot="1" x14ac:dyDescent="0.35">
      <c r="D43" s="57"/>
      <c r="H43" s="72" t="s">
        <v>55</v>
      </c>
      <c r="I43" s="162" t="s">
        <v>54</v>
      </c>
      <c r="J43" s="163"/>
      <c r="K43" s="163"/>
      <c r="L43" s="164"/>
      <c r="M43" s="64">
        <f>D21</f>
        <v>77603</v>
      </c>
    </row>
    <row r="44" spans="2:16" x14ac:dyDescent="0.3">
      <c r="D44" s="57"/>
      <c r="I44" s="165" t="s">
        <v>53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52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49</v>
      </c>
      <c r="J46" s="172"/>
      <c r="K46" s="172"/>
      <c r="L46" s="173"/>
      <c r="M46" s="62">
        <f>M42-(SUM(M43:M45))</f>
        <v>6334403.9092125604</v>
      </c>
    </row>
    <row r="47" spans="2:16" x14ac:dyDescent="0.3">
      <c r="I47" s="162" t="s">
        <v>48</v>
      </c>
      <c r="J47" s="163"/>
      <c r="K47" s="163"/>
      <c r="L47" s="164"/>
      <c r="M47" s="64"/>
    </row>
    <row r="48" spans="2:16" ht="15" thickBot="1" x14ac:dyDescent="0.35">
      <c r="D48" s="60"/>
      <c r="I48" s="168" t="s">
        <v>47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46</v>
      </c>
      <c r="J49" s="172"/>
      <c r="K49" s="172"/>
      <c r="L49" s="173"/>
      <c r="M49" s="62">
        <f>M46-SUM(M47:M48)</f>
        <v>6334403.9092125604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2025-01-03T15:29:49Z</cp:lastPrinted>
  <dcterms:created xsi:type="dcterms:W3CDTF">2013-03-18T13:35:42Z</dcterms:created>
  <dcterms:modified xsi:type="dcterms:W3CDTF">2025-06-13T00:40:32Z</dcterms:modified>
</cp:coreProperties>
</file>