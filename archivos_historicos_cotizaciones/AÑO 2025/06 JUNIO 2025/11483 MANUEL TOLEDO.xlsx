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8D1D54B2-482A-4CB2-BCC4-2A920F2BF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K22" i="1"/>
  <c r="L22" i="1"/>
  <c r="M22" i="1"/>
  <c r="K21" i="1"/>
  <c r="H21" i="1"/>
  <c r="N34" i="1"/>
  <c r="N35" i="1"/>
  <c r="N36" i="1"/>
  <c r="J40" i="1"/>
  <c r="N22" i="1" l="1"/>
  <c r="O22" i="1" s="1"/>
  <c r="R22" i="1"/>
  <c r="L21" i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Q38" i="1" l="1"/>
  <c r="Q39" i="1" s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Q22" i="1" s="1"/>
  <c r="E15" i="3"/>
  <c r="P21" i="1" l="1"/>
  <c r="F15" i="3"/>
  <c r="Q21" i="1" l="1"/>
  <c r="R28" i="1"/>
  <c r="H26" i="1" l="1"/>
  <c r="H27" i="1" l="1"/>
  <c r="H28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<sst xmlns="http://schemas.openxmlformats.org/spreadsheetml/2006/main" count="221" uniqueCount="166">
  <si>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</si>
  <si>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</si>
  <si>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</si>
  <si>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</si>
  <si>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</si>
  <si>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</si>
  <si>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</si>
  <si>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</si>
  <si>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</si>
  <si>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</si>
  <si>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</si>
  <si>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</si>
  <si>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</si>
  <si>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</si>
  <si>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</si>
  <si>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</si>
  <si>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</si>
  <si>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</si>
  <si>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</si>
  <si>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</si>
  <si>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</si>
  <si>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</si>
  <si>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</si>
  <si>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</si>
  <si>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</si>
  <si>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</si>
  <si>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</si>
  <si>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</si>
  <si>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</si>
  <si>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</si>
  <si>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</si>
  <si>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</si>
  <si>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</si>
  <si>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</si>
  <si>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</si>
  <si>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</si>
  <si>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</si>
  <si>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</si>
  <si>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</si>
  <si>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</si>
  <si>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</si>
  <si>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</si>
  <si>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</si>
  <si>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</si>
  <si>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</si>
  <si>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</si>
  <si>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</si>
  <si>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</si>
  <si>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</si>
  <si>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</si>
  <si>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</si>
  <si>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</si>
  <si>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</si>
  <si>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</si>
  <si>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</si>
  <si>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</si>
  <si>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</si>
  <si>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</si>
  <si>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</si>
  <si>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</si>
  <si>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</si>
  <si>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</si>
  <si>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</si>
  <si>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</si>
  <si>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</si>
  <si>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</si>
  <si>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</si>
  <si>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</si>
  <si>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</si>
  <si>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</si>
  <si>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</si>
  <si>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</si>
  <si>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</si>
  <si>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</si>
  <si>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</si>
  <si>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</si>
  <si>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</si>
  <si>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</si>
  <si>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</si>
  <si>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</si>
  <si>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</si>
  <si>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</si>
  <si>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</si>
  <si>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</si>
  <si>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</si>
  <si>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</si>
  <si>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</si>
  <si>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</si>
  <si>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</si>
  <si>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</si>
  <si>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</si>
  <si>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</si>
  <si>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</si>
  <si>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</si>
  <si>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</si>
  <si>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</si>
  <si>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</si>
  <si>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</si>
  <si>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</si>
  <si>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</si>
  <si>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</si>
  <si>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</si>
  <si>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</si>
  <si>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</si>
  <si>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</si>
  <si>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</si>
  <si>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</si>
  <si>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</si>
  <si>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</si>
  <si>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</si>
  <si>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</si>
  <si>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</si>
  <si>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</si>
  <si>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</si>
  <si>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</si>
  <si>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</si>
  <si>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</si>
  <si>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</si>
  <si>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</si>
  <si>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</si>
  <si>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</si>
  <si>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</si>
  <si>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</si>
  <si>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</si>
  <si>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</si>
  <si>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</si>
  <si>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</si>
  <si>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</si>
  <si>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</si>
  <si>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</si>
  <si>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</si>
  <si>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</si>
  <si>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</si>
  <si>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</si>
  <si>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</si>
  <si>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</si>
  <si>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</si>
  <si>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</si>
  <si>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</si>
  <si>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</si>
  <si>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</si>
  <si>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</si>
  <si>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</si>
  <si>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</si>
  <si>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</si>
  <si>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</si>
  <si>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</si>
  <si>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</si>
  <si>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</si>
  <si>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</si>
  <si>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</si>
  <si>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</si>
  <si>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</si>
  <si>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</si>
  <si>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</si>
  <si>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</si>
  <si>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</si>
  <si>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</si>
  <si>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</si>
  <si>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11483</t>
  </si>
  <si>
    <t>MANUEL TOLEDO</t>
  </si>
  <si>
    <t>+56994303310</t>
  </si>
  <si>
    <t>FRESNO 0470 MT</t>
  </si>
  <si>
    <t xml:space="preserve">SERVICIO DE DESFONDADO </t>
  </si>
  <si>
    <t>SI</t>
  </si>
  <si>
    <t>CUB CON RESPALDO Y FRENTE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</si>
</sst>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30</xdr:row>
      <xdr:rowOff>28575</xdr:rowOff>
    </xdr:from>
    <xdr:to>
      <xdr:col>8</xdr:col>
      <xdr:colOff>7776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24</xdr:row>
      <xdr:rowOff>217716</xdr:rowOff>
    </xdr:from>
    <xdr:to>
      <xdr:col>5</xdr:col>
      <xdr:colOff>1764031</xdr:colOff>
      <xdr:row>28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CORTADAS A LA MEDIDA Y CON SUS CANTOS ENCHAPADOS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SUSTRATO: MDF18MM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3" zoomScale="98" zoomScaleNormal="98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45827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164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4" t="s">
        <v>155</v>
      </c>
      <c r="G17" s="324"/>
      <c r="H17" s="32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6" t="s">
        <v>149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102419.89417989418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1</v>
      </c>
      <c r="C21" s="317" t="s">
        <v>165</v>
      </c>
      <c r="D21" s="320">
        <v>1.6</v>
      </c>
      <c r="E21" s="320">
        <v>0.6</v>
      </c>
      <c r="F21" s="317" t="s">
        <v>162</v>
      </c>
      <c r="G21" s="321">
        <v>113239</v>
      </c>
      <c r="H21" s="321">
        <f t="shared" ref="H21:H23" si="1">G21*B21</f>
        <v>113239</v>
      </c>
      <c r="I21" s="265"/>
      <c r="J21" s="47"/>
      <c r="K21" s="322">
        <f>B21</f>
        <v>1</v>
      </c>
      <c r="L21" s="39">
        <f t="shared" ref="L21:M21" si="2">D21+L$19</f>
        <v>1.6800000000000002</v>
      </c>
      <c r="M21" s="39">
        <f t="shared" si="2"/>
        <v>0.6</v>
      </c>
      <c r="N21" s="261">
        <f>L21*M21</f>
        <v>1.008</v>
      </c>
      <c r="O21" s="259">
        <f>N21*K21</f>
        <v>1.008</v>
      </c>
      <c r="P21" s="252">
        <f>P$20*N21</f>
        <v>103239.25333333334</v>
      </c>
      <c r="Q21" s="258">
        <f>P21+Q$20</f>
        <v>108239.25333333334</v>
      </c>
      <c r="R21" s="308">
        <f>K21*L21</f>
        <v>1.6800000000000002</v>
      </c>
      <c r="S21" s="14"/>
      <c r="T21" s="9"/>
      <c r="W21" s="4"/>
    </row>
    <row r="22" spans="2:24" ht="17.399999999999999" x14ac:dyDescent="0.3">
      <c r="B22" s="317">
        <v>1</v>
      </c>
      <c r="C22" s="317" t="s">
        <v>165</v>
      </c>
      <c r="D22" s="320">
        <v>1.6</v>
      </c>
      <c r="E22" s="320">
        <v>0.3</v>
      </c>
      <c r="F22" s="317" t="s">
        <v>162</v>
      </c>
      <c r="G22" s="321">
        <v>61620</v>
      </c>
      <c r="H22" s="321">
        <f t="shared" si="1"/>
        <v>61620</v>
      </c>
      <c r="I22" s="265"/>
      <c r="J22" s="47"/>
      <c r="K22" s="322">
        <f>B22</f>
        <v>1</v>
      </c>
      <c r="L22" s="39">
        <f t="shared" ref="L22" si="3">D22+L$19</f>
        <v>1.6800000000000002</v>
      </c>
      <c r="M22" s="39">
        <f t="shared" ref="M22" si="4">E22+M$19</f>
        <v>0.3</v>
      </c>
      <c r="N22" s="261">
        <f>L22*M22</f>
        <v>0.504</v>
      </c>
      <c r="O22" s="259">
        <f>N22*K22</f>
        <v>0.504</v>
      </c>
      <c r="P22" s="252">
        <f>P$20*N22</f>
        <v>51619.626666666671</v>
      </c>
      <c r="Q22" s="258">
        <f>P22+Q$20</f>
        <v>56619.626666666671</v>
      </c>
      <c r="R22" s="308">
        <f>K22*L22</f>
        <v>1.6800000000000002</v>
      </c>
      <c r="S22" s="14"/>
      <c r="T22" s="9"/>
      <c r="W22" s="4"/>
    </row>
    <row r="23" spans="2:24" ht="17.399999999999999" x14ac:dyDescent="0.3">
      <c r="B23" s="317">
        <v>2</v>
      </c>
      <c r="C23" s="317" t="s">
        <v>163</v>
      </c>
      <c r="D23" s="320"/>
      <c r="E23" s="320"/>
      <c r="F23" s="317"/>
      <c r="G23" s="321">
        <v>20000</v>
      </c>
      <c r="H23" s="321">
        <f t="shared" si="1"/>
        <v>40000</v>
      </c>
      <c r="I23" s="265"/>
      <c r="J23" s="47"/>
      <c r="K23" s="322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3"/>
      <c r="H24" s="323"/>
      <c r="I24" s="265"/>
      <c r="J24" s="47"/>
      <c r="K24" s="322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0" t="s">
        <v>30</v>
      </c>
      <c r="H26" s="311">
        <f>SUM(H21:H25)</f>
        <v>214859</v>
      </c>
      <c r="I26" s="265"/>
      <c r="J26" s="47"/>
      <c r="K26" s="47"/>
      <c r="L26" s="39">
        <f>SUM(L21:L22)</f>
        <v>3.3600000000000003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H26*0.19</f>
        <v>40823.21</v>
      </c>
      <c r="I27" s="265"/>
      <c r="J27" s="47"/>
      <c r="K27" s="47"/>
      <c r="L27" s="39"/>
      <c r="M27" s="12"/>
      <c r="N27" s="12"/>
      <c r="O27" s="253">
        <f>SUM(O21:O22)</f>
        <v>1.512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255682.21</v>
      </c>
      <c r="I28" s="265"/>
      <c r="J28" s="47"/>
      <c r="K28" s="47"/>
      <c r="L28" s="39"/>
      <c r="M28" s="12"/>
      <c r="N28" s="12"/>
      <c r="O28" s="253">
        <f>O27</f>
        <v>1.512</v>
      </c>
      <c r="P28" s="14"/>
      <c r="Q28" s="12"/>
      <c r="R28" s="238">
        <f>SUM(R21:R27)</f>
        <v>3.3600000000000003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0.3024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4"/>
      <c r="K30" s="47"/>
      <c r="L30" s="14"/>
      <c r="M30" s="12"/>
      <c r="N30" s="12"/>
      <c r="O30" s="46">
        <f>O28+O29</f>
        <v>1.8144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4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1.8144</v>
      </c>
      <c r="M32" s="12">
        <v>3500</v>
      </c>
      <c r="N32" s="12">
        <f t="shared" ref="N32:N37" si="5">L32*M32</f>
        <v>6350.4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0.5</v>
      </c>
      <c r="M33" s="12">
        <v>25000</v>
      </c>
      <c r="N33" s="12">
        <f t="shared" si="5"/>
        <v>12500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40754</v>
      </c>
      <c r="N34" s="12">
        <f t="shared" si="5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3"/>
      <c r="K35" s="250"/>
      <c r="L35" s="14">
        <v>1</v>
      </c>
      <c r="M35" s="250">
        <v>46500</v>
      </c>
      <c r="N35" s="12">
        <f t="shared" si="5"/>
        <v>46500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3"/>
      <c r="K36" s="250"/>
      <c r="L36" s="249"/>
      <c r="M36" s="250">
        <v>900</v>
      </c>
      <c r="N36" s="12">
        <f t="shared" si="5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3.36</v>
      </c>
      <c r="M37" s="12">
        <v>1500</v>
      </c>
      <c r="N37" s="12">
        <f t="shared" si="5"/>
        <v>5040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70390.399999999994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55110</v>
      </c>
      <c r="K39" s="250"/>
      <c r="L39" s="254" t="s">
        <v>35</v>
      </c>
      <c r="M39" s="12"/>
      <c r="N39" s="255">
        <f>N38*2.2</f>
        <v>154858.88</v>
      </c>
      <c r="O39" s="14" t="s">
        <v>142</v>
      </c>
      <c r="P39" s="14"/>
      <c r="Q39" s="46">
        <f>O28/Q38</f>
        <v>0.40767903364969799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46310.924369747903</v>
      </c>
      <c r="K40" s="250"/>
      <c r="L40" s="14"/>
      <c r="M40" s="12"/>
      <c r="N40" s="12">
        <f>N39/O28</f>
        <v>102419.89417989418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0.3965901639344262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45827</v>
      </c>
    </row>
    <row r="6" spans="2:31" ht="16.2" thickBot="1" x14ac:dyDescent="0.35">
      <c r="B6" s="140" t="s">
        <v>2</v>
      </c>
      <c r="C6" s="139" t="str">
        <f>'2229'!C10</f>
        <v>MANUEL TOLEDO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11483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-22421.598366787439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214859</v>
      </c>
      <c r="E11" s="132">
        <f>D11*0.19</f>
        <v>40823.21</v>
      </c>
      <c r="F11" s="131">
        <f>E11+D11</f>
        <v>255682.21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83568.401633212561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48684.490787439616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65568.401633212561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166174.50921256037</v>
      </c>
      <c r="E13" s="221">
        <f>(D11/D12)-1</f>
        <v>3.4132945939209183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56568.401633212561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17568.401633212561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80329.409799275367</v>
      </c>
      <c r="F15" s="216">
        <f>E15-D12</f>
        <v>31644.919011835751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17568.401633212561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57568.401633212561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6350.4</v>
      </c>
      <c r="E20" s="121">
        <f>D20*0.19</f>
        <v>1206.576</v>
      </c>
      <c r="F20" s="120">
        <f>SUM(D20:E20)</f>
        <v>7556.9759999999997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18850.400000000001</v>
      </c>
      <c r="E21" s="116">
        <f>SUM(E18:E20)</f>
        <v>3581.576</v>
      </c>
      <c r="F21" s="115">
        <f>SUM(F18:F20)</f>
        <v>22431.975999999999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37241.633999999998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214859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18850.400000000001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166174.50921256037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166174.50921256037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2025-06-19T00:32:02Z</cp:lastPrinted>
  <dcterms:created xsi:type="dcterms:W3CDTF">2013-03-18T13:35:42Z</dcterms:created>
  <dcterms:modified xsi:type="dcterms:W3CDTF">2025-06-20T23:23:53Z</dcterms:modified>
</cp:coreProperties>
</file>