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023CB351-6826-44D3-BD52-07F8AD4D5C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" i="1" l="1"/>
  <c r="L22" i="1"/>
  <c r="M22" i="1"/>
  <c r="N22" i="1"/>
  <c r="O22" i="1"/>
  <c r="P22" i="1" s="1"/>
  <c r="S22" i="1"/>
  <c r="H22" i="1"/>
  <c r="H21" i="1"/>
  <c r="L21" i="1"/>
  <c r="L23" i="1" s="1"/>
  <c r="M21" i="1"/>
  <c r="N21" i="1"/>
  <c r="J15" i="1"/>
  <c r="J10" i="1"/>
  <c r="H25" i="1" l="1"/>
  <c r="O21" i="1"/>
  <c r="P21" i="1" s="1"/>
  <c r="S21" i="1"/>
  <c r="M26" i="1"/>
  <c r="T25" i="1"/>
  <c r="K40" i="1"/>
  <c r="S27" i="1" l="1"/>
  <c r="S28" i="1" s="1"/>
  <c r="S29" i="1" s="1"/>
  <c r="S30" i="1" s="1"/>
  <c r="V33" i="1"/>
  <c r="V34" i="1" s="1"/>
  <c r="O32" i="1" l="1"/>
  <c r="P27" i="1" l="1"/>
  <c r="N20" i="1"/>
  <c r="L20" i="1"/>
  <c r="P28" i="1" l="1"/>
  <c r="P29" i="1" s="1"/>
  <c r="O33" i="1"/>
  <c r="R37" i="1"/>
  <c r="M31" i="1" l="1"/>
  <c r="R38" i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s="1"/>
  <c r="D20" i="3" l="1"/>
  <c r="E20" i="3" s="1"/>
  <c r="E21" i="3" s="1"/>
  <c r="Q20" i="1" l="1"/>
  <c r="Q22" i="1" s="1"/>
  <c r="R22" i="1" s="1"/>
  <c r="D21" i="3"/>
  <c r="M43" i="3" s="1"/>
  <c r="D12" i="3" s="1"/>
  <c r="F20" i="3"/>
  <c r="F21" i="3" s="1"/>
  <c r="Q21" i="1" l="1"/>
  <c r="R21" i="1" s="1"/>
  <c r="O40" i="1"/>
  <c r="E15" i="3"/>
  <c r="F15" i="3" l="1"/>
  <c r="H26" i="1" l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<sst xmlns="http://schemas.openxmlformats.org/spreadsheetml/2006/main" count="231" uniqueCount="174">
  <si>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</si>
  <si>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</si>
  <si>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</si>
  <si>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</si>
  <si>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</si>
  <si>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</si>
  <si>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</si>
  <si>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</si>
  <si>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</si>
  <si>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</si>
  <si>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</si>
  <si>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</si>
  <si>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</si>
  <si>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</si>
  <si>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</si>
  <si>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</si>
  <si>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</si>
  <si>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</si>
  <si>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</si>
  <si>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</si>
  <si>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</si>
  <si>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</si>
  <si>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</si>
  <si>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</si>
  <si>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</si>
  <si>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</si>
  <si>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</si>
  <si>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</si>
  <si>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</si>
  <si>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</si>
  <si>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</si>
  <si>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</si>
  <si>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</si>
  <si>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</si>
  <si>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</si>
  <si>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</si>
  <si>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</si>
  <si>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</si>
  <si>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</si>
  <si>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</si>
  <si>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</si>
  <si>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</si>
  <si>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</si>
  <si>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</si>
  <si>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</si>
  <si>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</si>
  <si>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</si>
  <si>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</si>
  <si>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</si>
  <si>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</si>
  <si>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</si>
  <si>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</si>
  <si>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</si>
  <si>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</si>
  <si>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</si>
  <si>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</si>
  <si>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</si>
  <si>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</si>
  <si>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</si>
  <si>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</si>
  <si>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</si>
  <si>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</si>
  <si>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</si>
  <si>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</si>
  <si>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</si>
  <si>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</si>
  <si>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</si>
  <si>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</si>
  <si>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</si>
  <si>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</si>
  <si>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</si>
  <si>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</si>
  <si>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</si>
  <si>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</si>
  <si>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</si>
  <si>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</si>
  <si>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</si>
  <si>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</si>
  <si>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</si>
  <si>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</si>
  <si>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</si>
  <si>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</si>
  <si>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</si>
  <si>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</si>
  <si>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</si>
  <si>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</si>
  <si>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</si>
  <si>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</si>
  <si>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</si>
  <si>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</si>
  <si>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</si>
  <si>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</si>
  <si>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</si>
  <si>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</si>
  <si>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</si>
  <si>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</si>
  <si>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</si>
  <si>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</si>
  <si>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</si>
  <si>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</si>
  <si>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</si>
  <si>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</si>
  <si>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</si>
  <si>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</si>
  <si>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</si>
  <si>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</si>
  <si>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</si>
  <si>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</si>
  <si>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</si>
  <si>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</si>
  <si>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</si>
  <si>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</si>
  <si>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</si>
  <si>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</si>
  <si>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</si>
  <si>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</si>
  <si>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</si>
  <si>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</si>
  <si>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</si>
  <si>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</si>
  <si>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</si>
  <si>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</si>
  <si>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</si>
  <si>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</si>
  <si>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</si>
  <si>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</si>
  <si>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</si>
  <si>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</si>
  <si>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</si>
  <si>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</si>
  <si>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</si>
  <si>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</si>
  <si>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</si>
  <si>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</si>
  <si>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</si>
  <si>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</si>
  <si>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</si>
  <si>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</si>
  <si>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</si>
  <si>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</si>
  <si>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</si>
  <si>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</si>
  <si>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</si>
  <si>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</si>
  <si>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</si>
  <si>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</si>
  <si>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</si>
  <si>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</si>
  <si>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</si>
  <si>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</si>
  <si>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</si>
  <si>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</si>
  <si>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</si>
  <si>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</si>
  <si>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</si>
  <si>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</si>
  <si>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</si>
  <si>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</si>
  <si>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</si>
  <si>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</si>
  <si>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</si>
  <si>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</si>
  <si>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</si>
  <si>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</si>
  <si>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</si>
  <si>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</si>
  <si>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</si>
  <si>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</si>
  <si>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</si>
  <si>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</si>
  <si>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no</t>
  </si>
  <si>
    <t>BLACK SF</t>
  </si>
  <si>
    <t>N° 11459</t>
  </si>
  <si>
    <t>5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</si>
</sst>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MEDIDA, NO LLEVAN</a:t>
          </a:r>
          <a:r>
            <a:rPr lang="es-CL" sz="1200" b="1" baseline="0"/>
            <a:t> CORTES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6" zoomScale="93" zoomScaleNormal="93" workbookViewId="0">
      <selection activeCell="I27" sqref="I2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24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172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45813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170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C13" t="s">
        <v>168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169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0.05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63827.647058823524</v>
      </c>
      <c r="R20" s="258">
        <v>1000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35</v>
      </c>
      <c r="D21" s="333">
        <v>1.8</v>
      </c>
      <c r="E21" s="333">
        <v>0.5</v>
      </c>
      <c r="F21" s="330" t="s">
        <v>171</v>
      </c>
      <c r="G21" s="331">
        <v>60041</v>
      </c>
      <c r="H21" s="331">
        <f t="shared" ref="H21" si="1">G21*B21</f>
        <v>60041</v>
      </c>
      <c r="I21" s="320"/>
      <c r="J21" s="265">
        <v>19</v>
      </c>
      <c r="K21" s="47"/>
      <c r="L21" s="332">
        <f t="shared" ref="L21" si="2">B21</f>
        <v>1</v>
      </c>
      <c r="M21" s="39">
        <f t="shared" ref="M21" si="3">D21+M$19</f>
        <v>1.85</v>
      </c>
      <c r="N21" s="39">
        <f t="shared" ref="N21" si="4">E21+$N$19</f>
        <v>0.5</v>
      </c>
      <c r="O21" s="261">
        <f t="shared" ref="O21" si="5">M21*N21</f>
        <v>0.92500000000000004</v>
      </c>
      <c r="P21" s="259">
        <f t="shared" ref="P21" si="6">O21*L21</f>
        <v>0.92500000000000004</v>
      </c>
      <c r="Q21" s="252">
        <f t="shared" ref="Q21" si="7">Q$20*O21</f>
        <v>59040.573529411762</v>
      </c>
      <c r="R21" s="319">
        <f t="shared" ref="R21" si="8">Q21+R$20</f>
        <v>60040.573529411762</v>
      </c>
      <c r="S21" s="297">
        <f t="shared" ref="S21" si="9">M21*L21</f>
        <v>1.85</v>
      </c>
      <c r="T21" s="46"/>
      <c r="U21" s="9"/>
      <c r="X21" s="4"/>
    </row>
    <row r="22" spans="1:25" ht="17.399999999999999" x14ac:dyDescent="0.3">
      <c r="B22" s="330">
        <v>1</v>
      </c>
      <c r="C22" s="330" t="s">
        <v>35</v>
      </c>
      <c r="D22" s="333">
        <v>1.5</v>
      </c>
      <c r="E22" s="333">
        <v>0.5</v>
      </c>
      <c r="F22" s="330" t="s">
        <v>171</v>
      </c>
      <c r="G22" s="331">
        <v>50466</v>
      </c>
      <c r="H22" s="331">
        <f t="shared" ref="H22" si="10">G22*B22</f>
        <v>50466</v>
      </c>
      <c r="I22" s="320"/>
      <c r="J22" s="265"/>
      <c r="K22" s="47"/>
      <c r="L22" s="332">
        <f t="shared" ref="L22" si="11">B22</f>
        <v>1</v>
      </c>
      <c r="M22" s="39">
        <f t="shared" ref="M22" si="12">D22+M$19</f>
        <v>1.55</v>
      </c>
      <c r="N22" s="39">
        <f t="shared" ref="N22" si="13">E22+$N$19</f>
        <v>0.5</v>
      </c>
      <c r="O22" s="261">
        <f t="shared" ref="O22" si="14">M22*N22</f>
        <v>0.77500000000000002</v>
      </c>
      <c r="P22" s="259">
        <f t="shared" ref="P22" si="15">O22*L22</f>
        <v>0.77500000000000002</v>
      </c>
      <c r="Q22" s="252">
        <f t="shared" ref="Q22" si="16">Q$20*O22</f>
        <v>49466.426470588231</v>
      </c>
      <c r="R22" s="319">
        <f t="shared" ref="R22" si="17">Q22+R$20</f>
        <v>50466.426470588231</v>
      </c>
      <c r="S22" s="297">
        <f t="shared" ref="S22" si="18">M22*L22</f>
        <v>1.55</v>
      </c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332">
        <f>SUM(L21:L21)</f>
        <v>1</v>
      </c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110507</v>
      </c>
      <c r="I25" s="322"/>
      <c r="J25" s="265"/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0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20996.33</v>
      </c>
      <c r="I26" s="322"/>
      <c r="J26" s="265"/>
      <c r="K26" s="47"/>
      <c r="L26" s="47"/>
      <c r="M26" s="39">
        <f>SUM(M21:M25)</f>
        <v>3.4000000000000004</v>
      </c>
      <c r="N26" s="12"/>
      <c r="O26" s="12"/>
      <c r="P26" s="253">
        <f>SUM(P21:P24)</f>
        <v>1.7000000000000002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131503.33000000002</v>
      </c>
      <c r="I27" s="322"/>
      <c r="J27" s="265"/>
      <c r="K27" s="47"/>
      <c r="L27" s="47"/>
      <c r="M27" s="39"/>
      <c r="N27" s="12"/>
      <c r="O27" s="12"/>
      <c r="P27" s="253">
        <f>P26</f>
        <v>1.7000000000000002</v>
      </c>
      <c r="Q27" s="14"/>
      <c r="R27" s="12"/>
      <c r="S27" s="239">
        <f>SUM(S21:S26)</f>
        <v>3.4000000000000004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0.34000000000000008</v>
      </c>
      <c r="Q28" s="39" t="s">
        <v>130</v>
      </c>
      <c r="R28" s="42"/>
      <c r="S28" s="240">
        <f>S27+T25</f>
        <v>3.4000000000000004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2.04</v>
      </c>
      <c r="Q29" s="14"/>
      <c r="R29" s="14"/>
      <c r="S29" s="238">
        <f>S28*20%</f>
        <v>0.68000000000000016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4.08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2.04</v>
      </c>
      <c r="N31" s="12">
        <v>2000</v>
      </c>
      <c r="O31" s="12">
        <f t="shared" ref="O31:O36" si="19">M31*N31</f>
        <v>4080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0.55000000000000004</v>
      </c>
      <c r="N32" s="12">
        <v>39800</v>
      </c>
      <c r="O32" s="12">
        <f t="shared" si="19"/>
        <v>21890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67000</v>
      </c>
      <c r="O33" s="12">
        <f t="shared" si="19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1</v>
      </c>
      <c r="N34" s="250">
        <v>24000</v>
      </c>
      <c r="O34" s="12">
        <f t="shared" si="19"/>
        <v>24000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19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>
        <v>3.4</v>
      </c>
      <c r="N36" s="12">
        <v>500</v>
      </c>
      <c r="O36" s="12">
        <f t="shared" si="19"/>
        <v>1700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51670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O37*2.1</f>
        <v>108507</v>
      </c>
      <c r="P38" s="14" t="s">
        <v>140</v>
      </c>
      <c r="Q38" s="14"/>
      <c r="R38" s="40">
        <f>P29/R37</f>
        <v>0.55004314063848148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40000</v>
      </c>
      <c r="L39" s="250"/>
      <c r="M39" s="14"/>
      <c r="N39" s="12"/>
      <c r="O39" s="12">
        <f>O38/P27</f>
        <v>63827.647058823524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K40" s="230">
        <f>K39/1.19</f>
        <v>33613.445378151264</v>
      </c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45813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11459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-3071.7083667874394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110507</v>
      </c>
      <c r="E11" s="132">
        <f>D11*0.19</f>
        <v>20996.33</v>
      </c>
      <c r="F11" s="131">
        <f>E11+D11</f>
        <v>131503.33000000002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102918.29163321256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55804.090787439614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84918.291633212561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54702.909212560386</v>
      </c>
      <c r="E13" s="221">
        <f>(D11/D12)-1</f>
        <v>0.98026700983134596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75918.291633212561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36918.291633212561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92076.749799275363</v>
      </c>
      <c r="F15" s="216">
        <f>E15-D12</f>
        <v>36272.659011835749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36918.291633212561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76918.291633212561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21890</v>
      </c>
      <c r="E19" s="123">
        <f>D19*0.19</f>
        <v>4159.1000000000004</v>
      </c>
      <c r="F19" s="120">
        <f>SUM(D19:E19)</f>
        <v>26049.1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4080</v>
      </c>
      <c r="E20" s="121">
        <f>D20*0.19</f>
        <v>775.2</v>
      </c>
      <c r="F20" s="120">
        <f>SUM(D20:E20)</f>
        <v>4855.2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25970</v>
      </c>
      <c r="E21" s="116">
        <f>SUM(E18:E20)</f>
        <v>4934.3</v>
      </c>
      <c r="F21" s="115">
        <f>SUM(F18:F20)</f>
        <v>30904.3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16062.030000000002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110507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25970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54702.909212560386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54702.909212560386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2025-05-22T21:24:31Z</cp:lastPrinted>
  <dcterms:created xsi:type="dcterms:W3CDTF">2013-03-18T13:35:42Z</dcterms:created>
  <dcterms:modified xsi:type="dcterms:W3CDTF">2025-06-09T14:46:21Z</dcterms:modified>
</cp:coreProperties>
</file>