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B82D1C13-F3FC-4F8A-B9C6-AC31DAEB3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H21" i="1"/>
  <c r="N31" i="1"/>
  <c r="N32" i="1"/>
  <c r="N33" i="1"/>
  <c r="J37" i="1"/>
  <c r="L21" i="1" l="1"/>
  <c r="L23" i="1" s="1"/>
  <c r="M21" i="1"/>
  <c r="N21" i="1" l="1"/>
  <c r="O21" i="1" s="1"/>
  <c r="O24" i="1" s="1"/>
  <c r="R21" i="1"/>
  <c r="N30" i="1"/>
  <c r="O25" i="1" l="1"/>
  <c r="S42" i="1"/>
  <c r="O26" i="1" l="1"/>
  <c r="M20" i="1"/>
  <c r="K20" i="1"/>
  <c r="Q35" i="1" l="1"/>
  <c r="Q36" i="1" s="1"/>
  <c r="S35" i="1" l="1"/>
  <c r="S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F18" i="3" l="1"/>
  <c r="O27" i="1" l="1"/>
  <c r="L29" i="1" s="1"/>
  <c r="N29" i="1" l="1"/>
  <c r="S43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R25" i="1"/>
  <c r="H23" i="1" l="1"/>
  <c r="H24" i="1" l="1"/>
  <c r="H25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<sst xmlns="http://schemas.openxmlformats.org/spreadsheetml/2006/main" count="218" uniqueCount="165">
  <si>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</si>
  <si>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</si>
  <si>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</si>
  <si>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</si>
  <si>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</si>
  <si>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</si>
  <si>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</si>
  <si>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</si>
  <si>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</si>
  <si>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</si>
  <si>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</si>
  <si>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</si>
  <si>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</si>
  <si>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</si>
  <si>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</si>
  <si>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</si>
  <si>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</si>
  <si>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</si>
  <si>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</si>
  <si>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</si>
  <si>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</si>
  <si>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</si>
  <si>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</si>
  <si>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</si>
  <si>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</si>
  <si>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</si>
  <si>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</si>
  <si>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</si>
  <si>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</si>
  <si>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</si>
  <si>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</si>
  <si>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</si>
  <si>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</si>
  <si>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</si>
  <si>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</si>
  <si>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</si>
  <si>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</si>
  <si>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</si>
  <si>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</si>
  <si>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</si>
  <si>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</si>
  <si>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</si>
  <si>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</si>
  <si>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</si>
  <si>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</si>
  <si>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</si>
  <si>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</si>
  <si>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</si>
  <si>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</si>
  <si>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</si>
  <si>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</si>
  <si>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</si>
  <si>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</si>
  <si>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</si>
  <si>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</si>
  <si>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</si>
  <si>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</si>
  <si>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</si>
  <si>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</si>
  <si>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</si>
  <si>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</si>
  <si>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</si>
  <si>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</si>
  <si>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</si>
  <si>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</si>
  <si>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</si>
  <si>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</si>
  <si>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</si>
  <si>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</si>
  <si>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</si>
  <si>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</si>
  <si>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</si>
  <si>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</si>
  <si>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</si>
  <si>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</si>
  <si>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</si>
  <si>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</si>
  <si>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</si>
  <si>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</si>
  <si>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</si>
  <si>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</si>
  <si>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</si>
  <si>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</si>
  <si>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</si>
  <si>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</si>
  <si>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</si>
  <si>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</si>
  <si>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</si>
  <si>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</si>
  <si>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</si>
  <si>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</si>
  <si>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</si>
  <si>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</si>
  <si>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</si>
  <si>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</si>
  <si>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</si>
  <si>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</si>
  <si>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</si>
  <si>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</si>
  <si>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</si>
  <si>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</si>
  <si>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</si>
  <si>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</si>
  <si>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</si>
  <si>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</si>
  <si>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</si>
  <si>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</si>
  <si>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</si>
  <si>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</si>
  <si>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</si>
  <si>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</si>
  <si>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</si>
  <si>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</si>
  <si>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</si>
  <si>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</si>
  <si>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</si>
  <si>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</si>
  <si>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</si>
  <si>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</si>
  <si>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</si>
  <si>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</si>
  <si>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</si>
  <si>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</si>
  <si>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</si>
  <si>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</si>
  <si>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</si>
  <si>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</si>
  <si>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</si>
  <si>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</si>
  <si>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</si>
  <si>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</si>
  <si>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</si>
  <si>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</si>
  <si>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</si>
  <si>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</si>
  <si>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</si>
  <si>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</si>
  <si>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</si>
  <si>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</si>
  <si>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</si>
  <si>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</si>
  <si>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</si>
  <si>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</si>
  <si>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</si>
  <si>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</si>
  <si>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</si>
  <si>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</si>
  <si>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</si>
  <si>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</si>
  <si>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</si>
  <si>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</si>
  <si>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</si>
  <si>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</si>
  <si>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</si>
  <si>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</si>
  <si>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</si>
  <si>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</si>
  <si>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</si>
  <si>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N° 11481</t>
  </si>
  <si>
    <t>JUAN AGUILERA</t>
  </si>
  <si>
    <t>+56966674029</t>
  </si>
  <si>
    <t>2 DIAS HABILES</t>
  </si>
  <si>
    <t>SI</t>
  </si>
  <si>
    <t>PUERTAS POSTFORMADAS RADIO 6MM</t>
  </si>
  <si>
    <t>BANCLO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</si>
</sst>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27</xdr:row>
      <xdr:rowOff>28575</xdr:rowOff>
    </xdr:from>
    <xdr:to>
      <xdr:col>8</xdr:col>
      <xdr:colOff>7776</xdr:colOff>
      <xdr:row>30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21</xdr:row>
      <xdr:rowOff>217716</xdr:rowOff>
    </xdr:from>
    <xdr:to>
      <xdr:col>5</xdr:col>
      <xdr:colOff>1764031</xdr:colOff>
      <xdr:row>25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ENCHAPADAS CON TAPACANTO PVC 0,4MM COLOR BLANCO</a:t>
          </a:r>
          <a:endParaRPr lang="es-CL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3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45826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161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162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N37</f>
        <v>65352.975360375131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3</v>
      </c>
      <c r="C21" s="317" t="s">
        <v>163</v>
      </c>
      <c r="D21" s="320">
        <v>0.85299999999999998</v>
      </c>
      <c r="E21" s="320">
        <v>0.39800000000000002</v>
      </c>
      <c r="F21" s="317" t="s">
        <v>164</v>
      </c>
      <c r="G21" s="321">
        <v>23487</v>
      </c>
      <c r="H21" s="321">
        <f t="shared" ref="H21" si="1">G21*B21</f>
        <v>70461</v>
      </c>
      <c r="I21" s="265"/>
      <c r="J21" s="47"/>
      <c r="K21" s="322">
        <f>B21</f>
        <v>3</v>
      </c>
      <c r="L21" s="39">
        <f t="shared" ref="L21:M21" si="2">D21+L$19</f>
        <v>0.90300000000000002</v>
      </c>
      <c r="M21" s="39">
        <f t="shared" si="2"/>
        <v>0.39800000000000002</v>
      </c>
      <c r="N21" s="261">
        <f>L21*M21</f>
        <v>0.35939400000000005</v>
      </c>
      <c r="O21" s="259">
        <f>N21*K21</f>
        <v>1.0781820000000002</v>
      </c>
      <c r="P21" s="252">
        <f>P$20*N21</f>
        <v>23487.467226666664</v>
      </c>
      <c r="Q21" s="258">
        <f>P21+Q$20</f>
        <v>28487.467226666664</v>
      </c>
      <c r="R21" s="308">
        <f>K21*L21</f>
        <v>2.7090000000000001</v>
      </c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2"/>
      <c r="I22" s="232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 t="s">
        <v>30</v>
      </c>
      <c r="H23" s="311">
        <f>SUM(H21:H22)</f>
        <v>70461</v>
      </c>
      <c r="I23" s="265"/>
      <c r="J23" s="47"/>
      <c r="K23" s="47"/>
      <c r="L23" s="39">
        <f>SUM(L21:L21)</f>
        <v>0.90300000000000002</v>
      </c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7" t="s">
        <v>53</v>
      </c>
      <c r="H24" s="304">
        <f>H23*0.19</f>
        <v>13387.59</v>
      </c>
      <c r="I24" s="265"/>
      <c r="J24" s="47"/>
      <c r="K24" s="47"/>
      <c r="L24" s="39"/>
      <c r="M24" s="12"/>
      <c r="N24" s="12"/>
      <c r="O24" s="253">
        <f>SUM(O21:O21)</f>
        <v>1.0781820000000002</v>
      </c>
      <c r="P24" s="14"/>
      <c r="Q24" s="12"/>
      <c r="R24" s="238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5">
        <f>H23+H24</f>
        <v>83848.59</v>
      </c>
      <c r="I25" s="265"/>
      <c r="J25" s="47"/>
      <c r="K25" s="47"/>
      <c r="L25" s="39"/>
      <c r="M25" s="12"/>
      <c r="N25" s="12"/>
      <c r="O25" s="253">
        <f>O24</f>
        <v>1.0781820000000002</v>
      </c>
      <c r="P25" s="14"/>
      <c r="Q25" s="12"/>
      <c r="R25" s="238">
        <f>SUM(R21:R24)</f>
        <v>2.7090000000000001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0.21563640000000006</v>
      </c>
      <c r="P26" s="39" t="s">
        <v>132</v>
      </c>
      <c r="Q26" s="42"/>
      <c r="R26" s="239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314"/>
      <c r="K27" s="47"/>
      <c r="L27" s="14"/>
      <c r="M27" s="12"/>
      <c r="N27" s="12"/>
      <c r="O27" s="46">
        <f>O25+O26</f>
        <v>1.2938184000000001</v>
      </c>
      <c r="P27" s="14"/>
      <c r="Q27" s="14"/>
      <c r="R27" s="237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2"/>
      <c r="F28" s="233"/>
      <c r="G28" s="230"/>
      <c r="H28" s="275"/>
      <c r="I28" s="265"/>
      <c r="J28" s="314"/>
      <c r="K28" s="47"/>
      <c r="L28" s="14"/>
      <c r="M28" s="14"/>
      <c r="N28" s="14"/>
      <c r="O28" s="14"/>
      <c r="P28" s="14"/>
      <c r="Q28" s="14"/>
      <c r="R28" s="237"/>
      <c r="S28" s="14"/>
      <c r="T28" s="9"/>
      <c r="W28" s="4"/>
    </row>
    <row r="29" spans="2:24" ht="17.399999999999999" x14ac:dyDescent="0.35">
      <c r="B29" s="234"/>
      <c r="C29" s="235"/>
      <c r="D29" s="236"/>
      <c r="E29" s="234"/>
      <c r="F29" s="230"/>
      <c r="G29" s="230"/>
      <c r="I29" s="265"/>
      <c r="J29" s="47"/>
      <c r="K29" s="47"/>
      <c r="L29" s="39">
        <f>O27</f>
        <v>1.2938184000000001</v>
      </c>
      <c r="M29" s="12">
        <v>3500</v>
      </c>
      <c r="N29" s="12">
        <f t="shared" ref="N29:N34" si="3">L29*M29</f>
        <v>4528.3644000000004</v>
      </c>
      <c r="O29" s="14" t="s">
        <v>22</v>
      </c>
      <c r="P29" s="14" t="s">
        <v>23</v>
      </c>
      <c r="Q29" s="14"/>
      <c r="R29" s="240"/>
      <c r="S29" s="14"/>
      <c r="T29" s="9"/>
      <c r="W29" s="4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0.3</v>
      </c>
      <c r="M30" s="12">
        <v>25000</v>
      </c>
      <c r="N30" s="12">
        <f t="shared" si="3"/>
        <v>7500</v>
      </c>
      <c r="O30" s="39" t="s">
        <v>156</v>
      </c>
      <c r="P30" s="42"/>
      <c r="Q30" s="14"/>
      <c r="R30" s="239"/>
      <c r="S30" s="14"/>
      <c r="T30" s="9"/>
      <c r="W30" s="4"/>
    </row>
    <row r="31" spans="2:24" s="230" customFormat="1" ht="17.399999999999999" x14ac:dyDescent="0.35">
      <c r="I31" s="262"/>
      <c r="J31" s="47"/>
      <c r="K31" s="250"/>
      <c r="L31" s="14"/>
      <c r="M31" s="250">
        <v>40754</v>
      </c>
      <c r="N31" s="12">
        <f t="shared" si="3"/>
        <v>0</v>
      </c>
      <c r="O31" s="39" t="s">
        <v>32</v>
      </c>
      <c r="P31" s="42"/>
      <c r="R31" s="239"/>
      <c r="S31" s="256"/>
      <c r="V31" s="231"/>
    </row>
    <row r="32" spans="2:24" s="230" customFormat="1" ht="17.399999999999999" x14ac:dyDescent="0.35">
      <c r="B32" s="24" t="s">
        <v>153</v>
      </c>
      <c r="I32" s="262"/>
      <c r="J32" s="313"/>
      <c r="K32" s="250"/>
      <c r="L32" s="14">
        <v>1</v>
      </c>
      <c r="M32" s="250">
        <v>20000</v>
      </c>
      <c r="N32" s="12">
        <f t="shared" si="3"/>
        <v>20000</v>
      </c>
      <c r="O32" s="14" t="s">
        <v>143</v>
      </c>
      <c r="P32" s="17"/>
      <c r="R32" s="237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13"/>
      <c r="K33" s="250"/>
      <c r="L33" s="249"/>
      <c r="M33" s="250">
        <v>900</v>
      </c>
      <c r="N33" s="12">
        <f t="shared" si="3"/>
        <v>0</v>
      </c>
      <c r="O33" s="14" t="s">
        <v>34</v>
      </c>
      <c r="P33" s="14"/>
      <c r="Q33" s="230">
        <v>1.52</v>
      </c>
      <c r="R33" s="237"/>
      <c r="S33" s="237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303"/>
      <c r="J34" s="47"/>
      <c r="K34" s="250"/>
      <c r="L34" s="266"/>
      <c r="M34" s="12">
        <v>1500</v>
      </c>
      <c r="N34" s="12">
        <f t="shared" si="3"/>
        <v>0</v>
      </c>
      <c r="O34" s="14" t="s">
        <v>24</v>
      </c>
      <c r="P34" s="14"/>
      <c r="Q34">
        <v>2.44</v>
      </c>
      <c r="R34"/>
      <c r="S34" s="237">
        <v>1500</v>
      </c>
      <c r="W34" s="231"/>
    </row>
    <row r="35" spans="2:23" s="230" customFormat="1" ht="17.399999999999999" x14ac:dyDescent="0.35">
      <c r="J35" s="47"/>
      <c r="K35" s="250"/>
      <c r="L35" s="14"/>
      <c r="M35" s="12"/>
      <c r="N35" s="12">
        <f>SUM(N29:N34)</f>
        <v>32028.364399999999</v>
      </c>
      <c r="O35" s="39" t="s">
        <v>25</v>
      </c>
      <c r="P35" s="14"/>
      <c r="Q35">
        <f>Q33*Q34</f>
        <v>3.7088000000000001</v>
      </c>
      <c r="R35"/>
      <c r="S35" s="237">
        <f>R27*S34</f>
        <v>60000</v>
      </c>
      <c r="W35" s="231"/>
    </row>
    <row r="36" spans="2:23" s="230" customFormat="1" ht="17.399999999999999" x14ac:dyDescent="0.35">
      <c r="J36" s="47">
        <v>60170</v>
      </c>
      <c r="K36" s="250"/>
      <c r="L36" s="254" t="s">
        <v>35</v>
      </c>
      <c r="M36" s="12"/>
      <c r="N36" s="255">
        <f>N35*2.2</f>
        <v>70462.401679999995</v>
      </c>
      <c r="O36" s="14" t="s">
        <v>142</v>
      </c>
      <c r="P36" s="14"/>
      <c r="Q36" s="46">
        <f>O25/Q35</f>
        <v>0.29070912424503886</v>
      </c>
      <c r="R36"/>
      <c r="S36" s="257" t="e">
        <f>S35/#REF!</f>
        <v>#REF!</v>
      </c>
    </row>
    <row r="37" spans="2:23" s="230" customFormat="1" ht="17.399999999999999" x14ac:dyDescent="0.35">
      <c r="G37"/>
      <c r="H37" s="260"/>
      <c r="I37" s="260"/>
      <c r="J37" s="47">
        <f>J36/1.19</f>
        <v>50563.025210084037</v>
      </c>
      <c r="K37" s="250"/>
      <c r="L37" s="14"/>
      <c r="M37" s="12"/>
      <c r="N37" s="12">
        <f>N36/O25</f>
        <v>65352.975360375131</v>
      </c>
      <c r="O37" s="45" t="s">
        <v>26</v>
      </c>
      <c r="P37" s="14"/>
      <c r="Q37" s="14"/>
      <c r="R37"/>
      <c r="S37" s="237"/>
    </row>
    <row r="38" spans="2:23" s="230" customFormat="1" ht="17.399999999999999" x14ac:dyDescent="0.35">
      <c r="G38"/>
      <c r="J38" s="47"/>
      <c r="K38" s="250"/>
      <c r="L38" s="13"/>
      <c r="M38" s="14"/>
      <c r="N38" s="17">
        <f>N36/N35</f>
        <v>2.1999999999999997</v>
      </c>
      <c r="O38" s="15"/>
      <c r="P38"/>
      <c r="Q38"/>
      <c r="R38"/>
      <c r="S38" s="237"/>
    </row>
    <row r="39" spans="2:23" s="230" customFormat="1" ht="17.399999999999999" x14ac:dyDescent="0.35">
      <c r="G39" s="23"/>
      <c r="J39" s="47"/>
      <c r="K39" s="12"/>
      <c r="S39" s="237"/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47"/>
      <c r="K40" s="12"/>
      <c r="S40" s="237">
        <v>1.83</v>
      </c>
    </row>
    <row r="41" spans="2:23" ht="14.4" customHeight="1" x14ac:dyDescent="0.3">
      <c r="J41" s="47"/>
      <c r="K41" s="12"/>
      <c r="S41">
        <v>2.5</v>
      </c>
    </row>
    <row r="42" spans="2:23" x14ac:dyDescent="0.3">
      <c r="J42" s="47"/>
      <c r="K42" s="250"/>
      <c r="S42">
        <f>S40*S41</f>
        <v>4.5750000000000002</v>
      </c>
    </row>
    <row r="43" spans="2:23" x14ac:dyDescent="0.3">
      <c r="K43" s="250"/>
      <c r="S43" s="270">
        <f>O27/S42</f>
        <v>0.2828018360655738</v>
      </c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28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150</v>
      </c>
    </row>
    <row r="73" spans="3:3" x14ac:dyDescent="0.3">
      <c r="C73" t="s">
        <v>149</v>
      </c>
    </row>
    <row r="76" spans="3:3" x14ac:dyDescent="0.3">
      <c r="C76" t="s">
        <v>149</v>
      </c>
    </row>
    <row r="153" spans="3:3" x14ac:dyDescent="0.3">
      <c r="C153" t="s">
        <v>149</v>
      </c>
    </row>
    <row r="154" spans="3:3" x14ac:dyDescent="0.3">
      <c r="C154" t="s">
        <v>151</v>
      </c>
    </row>
    <row r="155" spans="3:3" x14ac:dyDescent="0.3">
      <c r="C155" t="s">
        <v>152</v>
      </c>
    </row>
    <row r="580" spans="3:3" x14ac:dyDescent="0.3">
      <c r="C580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45826</v>
      </c>
    </row>
    <row r="6" spans="2:31" ht="16.2" thickBot="1" x14ac:dyDescent="0.35">
      <c r="B6" s="140" t="s">
        <v>2</v>
      </c>
      <c r="C6" s="139" t="str">
        <f>'2229'!C10</f>
        <v>JUAN AGUILERA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11481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-231.3248234541073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70461</v>
      </c>
      <c r="E11" s="132">
        <f>D11*0.19</f>
        <v>13387.59</v>
      </c>
      <c r="F11" s="131">
        <f>E11+D11</f>
        <v>83848.59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105758.67517654589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41862.455187439613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87758.67517654589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28598.544812560387</v>
      </c>
      <c r="E13" s="221">
        <f>(D11/D12)-1</f>
        <v>0.68315498182106338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78758.67517654589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39758.67517654589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69073.051059275356</v>
      </c>
      <c r="F15" s="216">
        <f>E15-D12</f>
        <v>27210.595871835743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39758.67517654589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79758.67517654589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4528.3644000000004</v>
      </c>
      <c r="E20" s="121">
        <f>D20*0.19</f>
        <v>860.3892360000001</v>
      </c>
      <c r="F20" s="120">
        <f>SUM(D20:E20)</f>
        <v>5388.7536360000004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12028.3644</v>
      </c>
      <c r="E21" s="116">
        <f>SUM(E18:E20)</f>
        <v>2285.389236</v>
      </c>
      <c r="F21" s="115">
        <f>SUM(F18:F20)</f>
        <v>14313.753636000001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11102.200764000001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70461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12028.3644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28598.544812560387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28598.544812560387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2025-06-19T00:32:02Z</cp:lastPrinted>
  <dcterms:created xsi:type="dcterms:W3CDTF">2013-03-18T13:35:42Z</dcterms:created>
  <dcterms:modified xsi:type="dcterms:W3CDTF">2025-06-19T00:39:10Z</dcterms:modified>
</cp:coreProperties>
</file>