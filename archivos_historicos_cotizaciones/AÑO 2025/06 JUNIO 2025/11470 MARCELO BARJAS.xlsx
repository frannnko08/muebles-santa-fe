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6 JUNIO 2025\"/>
    </mc:Choice>
  </mc:AlternateContent>
  <xr:revisionPtr revIDLastSave="0" documentId="8_{63AC5E2E-9034-4CF5-B487-372A04786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K21" i="1" l="1"/>
  <c r="J38" i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G21" i="1" s="1"/>
  <c r="F15" i="3"/>
  <c r="Q21" i="1" l="1"/>
  <c r="H21" i="1"/>
  <c r="R26" i="1"/>
  <c r="H24" i="1" l="1"/>
  <c r="H25" i="1" l="1"/>
  <c r="H26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<sst xmlns="http://schemas.openxmlformats.org/spreadsheetml/2006/main" count="218" uniqueCount="163">
  <si>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</si>
  <si>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</si>
  <si>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</si>
  <si>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</si>
  <si>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</si>
  <si>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</si>
  <si>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</si>
  <si>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</si>
  <si>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</si>
  <si>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</si>
  <si>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</si>
  <si>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</si>
  <si>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</si>
  <si>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</si>
  <si>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</si>
  <si>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</si>
  <si>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</si>
  <si>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</si>
  <si>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</si>
  <si>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</si>
  <si>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</si>
  <si>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</si>
  <si>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</si>
  <si>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</si>
  <si>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</si>
  <si>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</si>
  <si>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</si>
  <si>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</si>
  <si>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</si>
  <si>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</si>
  <si>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</si>
  <si>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</si>
  <si>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</si>
  <si>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</si>
  <si>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</si>
  <si>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</si>
  <si>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</si>
  <si>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</si>
  <si>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</si>
  <si>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</si>
  <si>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</si>
  <si>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</si>
  <si>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</si>
  <si>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</si>
  <si>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</si>
  <si>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</si>
  <si>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</si>
  <si>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</si>
  <si>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</si>
  <si>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</si>
  <si>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</si>
  <si>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</si>
  <si>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</si>
  <si>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</si>
  <si>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</si>
  <si>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</si>
  <si>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</si>
  <si>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</si>
  <si>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</si>
  <si>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</si>
  <si>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</si>
  <si>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</si>
  <si>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</si>
  <si>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</si>
  <si>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</si>
  <si>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</si>
  <si>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</si>
  <si>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</si>
  <si>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</si>
  <si>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</si>
  <si>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</si>
  <si>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</si>
  <si>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</si>
  <si>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</si>
  <si>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</si>
  <si>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</si>
  <si>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</si>
  <si>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</si>
  <si>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</si>
  <si>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</si>
  <si>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</si>
  <si>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</si>
  <si>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</si>
  <si>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</si>
  <si>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</si>
  <si>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</si>
  <si>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</si>
  <si>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</si>
  <si>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</si>
  <si>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</si>
  <si>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</si>
  <si>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</si>
  <si>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</si>
  <si>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</si>
  <si>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</si>
  <si>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</si>
  <si>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</si>
  <si>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</si>
  <si>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</si>
  <si>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</si>
  <si>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</si>
  <si>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</si>
  <si>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</si>
  <si>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</si>
  <si>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</si>
  <si>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</si>
  <si>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</si>
  <si>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</si>
  <si>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</si>
  <si>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</si>
  <si>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</si>
  <si>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</si>
  <si>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</si>
  <si>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</si>
  <si>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</si>
  <si>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</si>
  <si>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</si>
  <si>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</si>
  <si>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</si>
  <si>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</si>
  <si>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</si>
  <si>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</si>
  <si>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</si>
  <si>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</si>
  <si>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</si>
  <si>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</si>
  <si>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</si>
  <si>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</si>
  <si>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</si>
  <si>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</si>
  <si>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</si>
  <si>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</si>
  <si>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</si>
  <si>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</si>
  <si>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</si>
  <si>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</si>
  <si>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</si>
  <si>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</si>
  <si>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</si>
  <si>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</si>
  <si>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</si>
  <si>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</si>
  <si>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</si>
  <si>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</si>
  <si>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</si>
  <si>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</si>
  <si>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</si>
  <si>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</si>
  <si>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</si>
  <si>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</si>
  <si>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</si>
  <si>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</si>
  <si>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</si>
  <si>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</si>
  <si>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</si>
  <si>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</si>
  <si>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</si>
  <si>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</si>
  <si>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</si>
  <si>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FLORENTINO AZUL</t>
  </si>
  <si>
    <t>MARCELO BARJAS</t>
  </si>
  <si>
    <t>+56982174582</t>
  </si>
  <si>
    <t>N° 11460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</si>
</sst>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28</xdr:row>
      <xdr:rowOff>28575</xdr:rowOff>
    </xdr:from>
    <xdr:to>
      <xdr:col>8</xdr:col>
      <xdr:colOff>7776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22</xdr:row>
      <xdr:rowOff>217716</xdr:rowOff>
    </xdr:from>
    <xdr:to>
      <xdr:col>5</xdr:col>
      <xdr:colOff>1764031</xdr:colOff>
      <xdr:row>26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SOBREMEDIDAS</a:t>
          </a:r>
        </a:p>
        <a:p>
          <a:pPr algn="l"/>
          <a:endParaRPr lang="es-CL" sz="12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11" zoomScale="98" zoomScaleNormal="98" workbookViewId="0">
      <selection activeCell="J26" sqref="J26"/>
    </sheetView>
  </sheetViews>
  <sheetFormatPr baseColWidth="10" defaultRowHeight="14.4" x14ac:dyDescent="0.3"/>
  <cols>
    <col min="1" max="1" width="6" customWidth="1"/>
    <col min="2" max="2" width="10.5546875" customWidth="1"/>
    <col min="3" max="3" width="28.664062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45814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51706.346153846156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8">
        <v>2</v>
      </c>
      <c r="C21" s="318" t="s">
        <v>37</v>
      </c>
      <c r="D21" s="321">
        <v>2</v>
      </c>
      <c r="E21" s="321">
        <v>0.5</v>
      </c>
      <c r="F21" s="318" t="s">
        <v>159</v>
      </c>
      <c r="G21" s="322">
        <f>P21</f>
        <v>53774.600000000006</v>
      </c>
      <c r="H21" s="322">
        <f t="shared" ref="H21" si="1">G21*B21</f>
        <v>107549.20000000001</v>
      </c>
      <c r="I21" s="265"/>
      <c r="J21" s="47"/>
      <c r="K21" s="47">
        <f>B21</f>
        <v>2</v>
      </c>
      <c r="L21" s="39">
        <f t="shared" ref="L21:M21" si="2">D21+L$19</f>
        <v>2.08</v>
      </c>
      <c r="M21" s="39">
        <f t="shared" si="2"/>
        <v>0.5</v>
      </c>
      <c r="N21" s="261">
        <f>L21*M21</f>
        <v>1.04</v>
      </c>
      <c r="O21" s="259">
        <f>N21*K21</f>
        <v>2.08</v>
      </c>
      <c r="P21" s="252">
        <f>P$20*N21</f>
        <v>53774.600000000006</v>
      </c>
      <c r="Q21" s="258">
        <f>P21+Q$20</f>
        <v>58774.600000000006</v>
      </c>
      <c r="R21" s="308">
        <f>K21*L21</f>
        <v>4.16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3"/>
      <c r="H22" s="313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30</v>
      </c>
      <c r="H24" s="311">
        <f>SUM(H21:H23)</f>
        <v>107549.20000000001</v>
      </c>
      <c r="I24" s="265"/>
      <c r="J24" s="47"/>
      <c r="K24" s="47"/>
      <c r="L24" s="39">
        <f>SUM(L21:L21)</f>
        <v>2.08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20434.348000000002</v>
      </c>
      <c r="I25" s="265"/>
      <c r="J25" s="47"/>
      <c r="K25" s="47"/>
      <c r="L25" s="39"/>
      <c r="M25" s="12"/>
      <c r="N25" s="12"/>
      <c r="O25" s="253">
        <f>SUM(O21:O22)</f>
        <v>2.08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127983.54800000001</v>
      </c>
      <c r="I26" s="265"/>
      <c r="J26" s="47"/>
      <c r="K26" s="47"/>
      <c r="L26" s="39"/>
      <c r="M26" s="12"/>
      <c r="N26" s="12"/>
      <c r="O26" s="253">
        <f>O25</f>
        <v>2.08</v>
      </c>
      <c r="P26" s="14"/>
      <c r="Q26" s="12"/>
      <c r="R26" s="238">
        <f>SUM(R21:R25)</f>
        <v>4.16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0.41600000000000004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5"/>
      <c r="K28" s="47"/>
      <c r="L28" s="14"/>
      <c r="M28" s="12"/>
      <c r="N28" s="12"/>
      <c r="O28" s="46">
        <f>O26+O27</f>
        <v>2.496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5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2.496</v>
      </c>
      <c r="M30" s="12">
        <v>3500</v>
      </c>
      <c r="N30" s="12">
        <f t="shared" ref="N30:N35" si="3">L30*M30</f>
        <v>8736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0.6</v>
      </c>
      <c r="M31" s="12">
        <v>25000</v>
      </c>
      <c r="N31" s="12">
        <f t="shared" si="3"/>
        <v>15000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4"/>
      <c r="K33" s="250"/>
      <c r="L33" s="14">
        <v>1</v>
      </c>
      <c r="M33" s="250">
        <v>19000</v>
      </c>
      <c r="N33" s="12">
        <f t="shared" si="3"/>
        <v>19000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4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v>4.0999999999999996</v>
      </c>
      <c r="M35" s="12">
        <v>1500</v>
      </c>
      <c r="N35" s="12">
        <f t="shared" si="3"/>
        <v>6149.9999999999991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48886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49480</v>
      </c>
      <c r="K37" s="250"/>
      <c r="L37" s="254" t="s">
        <v>35</v>
      </c>
      <c r="M37" s="12"/>
      <c r="N37" s="255">
        <f>N36*2.2</f>
        <v>107549.20000000001</v>
      </c>
      <c r="O37" s="14" t="s">
        <v>142</v>
      </c>
      <c r="P37" s="14"/>
      <c r="Q37" s="46">
        <f>O26/Q36</f>
        <v>0.56082830025884378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41579.831932773108</v>
      </c>
      <c r="K38" s="250"/>
      <c r="L38" s="14"/>
      <c r="M38" s="12"/>
      <c r="N38" s="12">
        <f>N37/O26</f>
        <v>51706.346153846156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0.54557377049180322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45814</v>
      </c>
    </row>
    <row r="6" spans="2:31" ht="16.2" thickBot="1" x14ac:dyDescent="0.35">
      <c r="B6" s="140" t="s">
        <v>2</v>
      </c>
      <c r="C6" s="139" t="str">
        <f>'2229'!C10</f>
        <v>MARCELO BARJAS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11460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-3193.0917001207758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107549.20000000001</v>
      </c>
      <c r="E11" s="132">
        <f>D11*0.19</f>
        <v>20434.348000000002</v>
      </c>
      <c r="F11" s="131">
        <f>E11+D11</f>
        <v>127983.54800000001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102796.90829987923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53570.090787439614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84796.908299879229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53979.109212560397</v>
      </c>
      <c r="E13" s="221">
        <f>(D11/D12)-1</f>
        <v>1.0076352012682546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75796.908299879229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36796.908299879222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88390.649799275358</v>
      </c>
      <c r="F15" s="216">
        <f>E15-D12</f>
        <v>34820.559011835743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36796.908299879222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76796.908299879229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8736</v>
      </c>
      <c r="E20" s="121">
        <f>D20*0.19</f>
        <v>1659.84</v>
      </c>
      <c r="F20" s="120">
        <f>SUM(D20:E20)</f>
        <v>10395.84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23736</v>
      </c>
      <c r="E21" s="116">
        <f>SUM(E18:E20)</f>
        <v>4509.84</v>
      </c>
      <c r="F21" s="115">
        <f>SUM(F18:F20)</f>
        <v>28245.84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15924.508000000002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107549.20000000001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23736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53979.109212560397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53979.109212560397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2025-06-06T20:05:14Z</cp:lastPrinted>
  <dcterms:created xsi:type="dcterms:W3CDTF">2013-03-18T13:35:42Z</dcterms:created>
  <dcterms:modified xsi:type="dcterms:W3CDTF">2025-06-13T16:57:20Z</dcterms:modified>
</cp:coreProperties>
</file>