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8930BEED-7B24-41C5-9090-712A15572D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38" i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G21" i="1" s="1"/>
  <c r="F15" i="3"/>
  <c r="Q21" i="1" l="1"/>
  <c r="H21" i="1"/>
  <c r="R26" i="1"/>
  <c r="H24" i="1" l="1"/>
  <c r="H25" i="1" l="1"/>
  <c r="H26" i="1" s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<sst xmlns="http://schemas.openxmlformats.org/spreadsheetml/2006/main" count="218" uniqueCount="164">
  <si>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</si>
  <si>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</si>
  <si>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</si>
  <si>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</si>
  <si>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</si>
  <si>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</si>
  <si>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</si>
  <si>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</si>
  <si>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</si>
  <si>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</si>
  <si>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</si>
  <si>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</si>
  <si>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</si>
  <si>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</si>
  <si>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</si>
  <si>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</si>
  <si>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</si>
  <si>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</si>
  <si>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</si>
  <si>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</si>
  <si>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</si>
  <si>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</si>
  <si>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</si>
  <si>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</si>
  <si>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</si>
  <si>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</si>
  <si>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</si>
  <si>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</si>
  <si>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</si>
  <si>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</si>
  <si>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</si>
  <si>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</si>
  <si>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</si>
  <si>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</si>
  <si>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</si>
  <si>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</si>
  <si>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</si>
  <si>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</si>
  <si>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</si>
  <si>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</si>
  <si>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</si>
  <si>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</si>
  <si>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</si>
  <si>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</si>
  <si>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</si>
  <si>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</si>
  <si>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</si>
  <si>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</si>
  <si>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</si>
  <si>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</si>
  <si>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</si>
  <si>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</si>
  <si>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</si>
  <si>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</si>
  <si>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</si>
  <si>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</si>
  <si>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</si>
  <si>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</si>
  <si>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</si>
  <si>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</si>
  <si>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</si>
  <si>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</si>
  <si>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</si>
  <si>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</si>
  <si>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</si>
  <si>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</si>
  <si>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</si>
  <si>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</si>
  <si>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</si>
  <si>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</si>
  <si>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</si>
  <si>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</si>
  <si>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</si>
  <si>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</si>
  <si>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</si>
  <si>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</si>
  <si>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</si>
  <si>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</si>
  <si>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</si>
  <si>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</si>
  <si>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</si>
  <si>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</si>
  <si>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</si>
  <si>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</si>
  <si>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</si>
  <si>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</si>
  <si>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</si>
  <si>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</si>
  <si>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</si>
  <si>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</si>
  <si>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</si>
  <si>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</si>
  <si>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</si>
  <si>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</si>
  <si>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</si>
  <si>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</si>
  <si>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</si>
  <si>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</si>
  <si>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</si>
  <si>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</si>
  <si>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</si>
  <si>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</si>
  <si>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</si>
  <si>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</si>
  <si>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</si>
  <si>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</si>
  <si>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</si>
  <si>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</si>
  <si>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</si>
  <si>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</si>
  <si>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</si>
  <si>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</si>
  <si>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</si>
  <si>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</si>
  <si>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</si>
  <si>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</si>
  <si>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</si>
  <si>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</si>
  <si>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</si>
  <si>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</si>
  <si>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</si>
  <si>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</si>
  <si>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</si>
  <si>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</si>
  <si>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</si>
  <si>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</si>
  <si>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</si>
  <si>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</si>
  <si>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</si>
  <si>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</si>
  <si>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</si>
  <si>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</si>
  <si>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</si>
  <si>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</si>
  <si>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</si>
  <si>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</si>
  <si>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</si>
  <si>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</si>
  <si>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</si>
  <si>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</si>
  <si>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</si>
  <si>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</si>
  <si>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</si>
  <si>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</si>
  <si>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</si>
  <si>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</si>
  <si>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</si>
  <si>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</si>
  <si>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</si>
  <si>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</si>
  <si>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</si>
  <si>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</si>
  <si>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</si>
  <si>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</si>
  <si>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</si>
  <si>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</si>
  <si>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</si>
  <si>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</si>
  <si>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</si>
  <si>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N° 11471</t>
  </si>
  <si>
    <t>JAVIER ARAYA GALLARDO</t>
  </si>
  <si>
    <t>+5699820</t>
  </si>
  <si>
    <t>CUB S/R 180°</t>
  </si>
  <si>
    <t>BLANCO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</si>
</sst>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28</xdr:row>
      <xdr:rowOff>28575</xdr:rowOff>
    </xdr:from>
    <xdr:to>
      <xdr:col>8</xdr:col>
      <xdr:colOff>7776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463199" y="5743575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15552</xdr:colOff>
      <xdr:row>22</xdr:row>
      <xdr:rowOff>217716</xdr:rowOff>
    </xdr:from>
    <xdr:to>
      <xdr:col>5</xdr:col>
      <xdr:colOff>1764031</xdr:colOff>
      <xdr:row>26</xdr:row>
      <xdr:rowOff>15552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7654" y="4610879"/>
          <a:ext cx="5923928" cy="68424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</a:t>
          </a:r>
          <a:r>
            <a:rPr lang="es-CL" sz="1200" b="1" baseline="0"/>
            <a:t> EN EL LARGO</a:t>
          </a:r>
        </a:p>
        <a:p>
          <a:pPr algn="l"/>
          <a:r>
            <a:rPr lang="es-CL" sz="1200" b="1" baseline="0"/>
            <a:t>SUSTRATO: MDF 18MM</a:t>
          </a:r>
          <a:endParaRPr lang="es-CL" sz="1200" b="1"/>
        </a:p>
        <a:p>
          <a:pPr algn="l"/>
          <a:endParaRPr lang="es-CL" sz="1200" b="1" u="sng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3" zoomScale="98" zoomScaleNormal="98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28.6640625" customWidth="1"/>
    <col min="4" max="4" width="11.109375" customWidth="1"/>
    <col min="5" max="5" width="10.5546875" customWidth="1"/>
    <col min="6" max="6" width="27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45821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3" t="s">
        <v>155</v>
      </c>
      <c r="G17" s="323"/>
      <c r="H17" s="32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5" t="s">
        <v>149</v>
      </c>
      <c r="C19" s="326"/>
      <c r="D19" s="326"/>
      <c r="E19" s="326"/>
      <c r="F19" s="326"/>
      <c r="G19" s="326"/>
      <c r="H19" s="327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7" t="s">
        <v>7</v>
      </c>
      <c r="C20" s="319" t="s">
        <v>1</v>
      </c>
      <c r="D20" s="319" t="s">
        <v>10</v>
      </c>
      <c r="E20" s="319" t="s">
        <v>11</v>
      </c>
      <c r="F20" s="319" t="s">
        <v>8</v>
      </c>
      <c r="G20" s="319" t="s">
        <v>5</v>
      </c>
      <c r="H20" s="320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64683.548387096787</v>
      </c>
      <c r="Q20" s="258">
        <v>5000</v>
      </c>
      <c r="R20" s="38"/>
      <c r="S20" s="14" t="s">
        <v>130</v>
      </c>
      <c r="T20" s="9"/>
      <c r="W20" s="4"/>
    </row>
    <row r="21" spans="2:24" ht="17.399999999999999" x14ac:dyDescent="0.3">
      <c r="B21" s="318">
        <v>2</v>
      </c>
      <c r="C21" s="318" t="s">
        <v>162</v>
      </c>
      <c r="D21" s="321">
        <v>2.4</v>
      </c>
      <c r="E21" s="321">
        <v>0.8</v>
      </c>
      <c r="F21" s="318" t="s">
        <v>163</v>
      </c>
      <c r="G21" s="322">
        <f>P21</f>
        <v>128332.16000000002</v>
      </c>
      <c r="H21" s="322">
        <f t="shared" ref="H21" si="1">G21*B21</f>
        <v>256664.32000000004</v>
      </c>
      <c r="I21" s="265"/>
      <c r="J21" s="47"/>
      <c r="K21" s="47">
        <f>B21</f>
        <v>2</v>
      </c>
      <c r="L21" s="39">
        <f t="shared" ref="L21:M21" si="2">D21+L$19</f>
        <v>2.48</v>
      </c>
      <c r="M21" s="39">
        <f t="shared" si="2"/>
        <v>0.8</v>
      </c>
      <c r="N21" s="261">
        <f>L21*M21</f>
        <v>1.984</v>
      </c>
      <c r="O21" s="259">
        <f>N21*K21</f>
        <v>3.968</v>
      </c>
      <c r="P21" s="252">
        <f>P$20*N21</f>
        <v>128332.16000000002</v>
      </c>
      <c r="Q21" s="258">
        <f>P21+Q$20</f>
        <v>133332.16000000003</v>
      </c>
      <c r="R21" s="308">
        <f>K21*L21</f>
        <v>4.96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3"/>
      <c r="H22" s="313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0" t="s">
        <v>30</v>
      </c>
      <c r="H24" s="311">
        <f>SUM(H21:H23)</f>
        <v>256664.32000000004</v>
      </c>
      <c r="I24" s="265"/>
      <c r="J24" s="47"/>
      <c r="K24" s="47"/>
      <c r="L24" s="39">
        <f>SUM(L21:L21)</f>
        <v>2.48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H24*0.19</f>
        <v>48766.22080000001</v>
      </c>
      <c r="I25" s="265"/>
      <c r="J25" s="47"/>
      <c r="K25" s="47"/>
      <c r="L25" s="39"/>
      <c r="M25" s="12"/>
      <c r="N25" s="12"/>
      <c r="O25" s="253">
        <f>SUM(O21:O22)</f>
        <v>3.968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305430.54080000008</v>
      </c>
      <c r="I26" s="265"/>
      <c r="J26" s="47"/>
      <c r="K26" s="47"/>
      <c r="L26" s="39"/>
      <c r="M26" s="12"/>
      <c r="N26" s="12"/>
      <c r="O26" s="253">
        <f>O25</f>
        <v>3.968</v>
      </c>
      <c r="P26" s="14"/>
      <c r="Q26" s="12"/>
      <c r="R26" s="238">
        <f>SUM(R21:R25)</f>
        <v>4.96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0.79360000000000008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15"/>
      <c r="K28" s="47"/>
      <c r="L28" s="14"/>
      <c r="M28" s="12"/>
      <c r="N28" s="12"/>
      <c r="O28" s="46">
        <f>O26+O27</f>
        <v>4.7615999999999996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15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</f>
        <v>4.7615999999999996</v>
      </c>
      <c r="M30" s="12">
        <v>3500</v>
      </c>
      <c r="N30" s="12">
        <f t="shared" ref="N30:N35" si="3">L30*M30</f>
        <v>16665.599999999999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2</v>
      </c>
      <c r="M31" s="12">
        <v>25000</v>
      </c>
      <c r="N31" s="12">
        <f t="shared" si="3"/>
        <v>50000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40754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4"/>
      <c r="K33" s="250"/>
      <c r="L33" s="14">
        <v>2</v>
      </c>
      <c r="M33" s="250">
        <v>25000</v>
      </c>
      <c r="N33" s="12">
        <f t="shared" si="3"/>
        <v>50000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4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/>
      <c r="M35" s="12">
        <v>1500</v>
      </c>
      <c r="N35" s="12">
        <f t="shared" si="3"/>
        <v>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116665.60000000001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49480</v>
      </c>
      <c r="K37" s="250"/>
      <c r="L37" s="254" t="s">
        <v>35</v>
      </c>
      <c r="M37" s="12"/>
      <c r="N37" s="255">
        <f>N36*2.2</f>
        <v>256664.32000000004</v>
      </c>
      <c r="O37" s="14" t="s">
        <v>142</v>
      </c>
      <c r="P37" s="14"/>
      <c r="Q37" s="46">
        <f>O26/Q36</f>
        <v>1.0698878343399483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41579.831932773108</v>
      </c>
      <c r="K38" s="250"/>
      <c r="L38" s="14"/>
      <c r="M38" s="12"/>
      <c r="N38" s="12">
        <f>N37/O26</f>
        <v>64683.548387096787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1.0407868852459015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45821</v>
      </c>
    </row>
    <row r="6" spans="2:31" ht="16.2" thickBot="1" x14ac:dyDescent="0.35">
      <c r="B6" s="140" t="s">
        <v>2</v>
      </c>
      <c r="C6" s="139" t="str">
        <f>'2229'!C10</f>
        <v>JAVIER ARAYA GALLARDO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9" t="s">
        <v>100</v>
      </c>
      <c r="I7" s="330"/>
      <c r="J7" s="330"/>
      <c r="K7" s="331"/>
      <c r="N7" s="75"/>
      <c r="O7" s="328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11471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8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-16239.971700120781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256664.32000000004</v>
      </c>
      <c r="E11" s="132">
        <f>D11*0.19</f>
        <v>48766.22080000001</v>
      </c>
      <c r="F11" s="131">
        <f>E11+D11</f>
        <v>305430.54080000008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89750.028299879225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96499.690787439613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71750.028299879225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160164.62921256042</v>
      </c>
      <c r="E13" s="221">
        <f>(D11/D12)-1</f>
        <v>1.6597424085571002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62750.028299879217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23750.028299879217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159224.48979927535</v>
      </c>
      <c r="F15" s="216">
        <f>E15-D12</f>
        <v>62724.799011835741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23750.028299879217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63750.028299879217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16665.599999999999</v>
      </c>
      <c r="E20" s="121">
        <f>D20*0.19</f>
        <v>3166.4639999999999</v>
      </c>
      <c r="F20" s="120">
        <f>SUM(D20:E20)</f>
        <v>19832.063999999998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66665.600000000006</v>
      </c>
      <c r="E21" s="116">
        <f>SUM(E18:E20)</f>
        <v>12666.464</v>
      </c>
      <c r="F21" s="115">
        <f>SUM(F18:F20)</f>
        <v>79332.063999999998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36099.75680000001</v>
      </c>
    </row>
    <row r="41" spans="2:16" ht="15" thickBot="1" x14ac:dyDescent="0.35">
      <c r="H41" s="332" t="s">
        <v>62</v>
      </c>
      <c r="I41" s="333"/>
      <c r="J41" s="333"/>
      <c r="K41" s="333"/>
      <c r="L41" s="333"/>
      <c r="M41" s="334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256664.32000000004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66665.600000000006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160164.62921256042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160164.62921256042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2025-06-06T20:05:14Z</cp:lastPrinted>
  <dcterms:created xsi:type="dcterms:W3CDTF">2013-03-18T13:35:42Z</dcterms:created>
  <dcterms:modified xsi:type="dcterms:W3CDTF">2025-06-13T19:58:04Z</dcterms:modified>
</cp:coreProperties>
</file>