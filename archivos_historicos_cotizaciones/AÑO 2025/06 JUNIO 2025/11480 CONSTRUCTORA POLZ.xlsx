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6D15E339-5640-4BEE-8F5D-AAEDDE12C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N31" i="1"/>
  <c r="N32" i="1"/>
  <c r="N33" i="1"/>
  <c r="J37" i="1"/>
  <c r="L21" i="1" l="1"/>
  <c r="L23" i="1" s="1"/>
  <c r="M21" i="1"/>
  <c r="N21" i="1" l="1"/>
  <c r="O21" i="1" s="1"/>
  <c r="O24" i="1" s="1"/>
  <c r="R21" i="1"/>
  <c r="N30" i="1"/>
  <c r="O25" i="1" l="1"/>
  <c r="S42" i="1"/>
  <c r="O26" i="1" l="1"/>
  <c r="M20" i="1"/>
  <c r="K20" i="1"/>
  <c r="Q35" i="1" l="1"/>
  <c r="Q36" i="1" s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F18" i="3" l="1"/>
  <c r="O27" i="1" l="1"/>
  <c r="L29" i="1" s="1"/>
  <c r="N29" i="1" l="1"/>
  <c r="S43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R25" i="1"/>
  <c r="H23" i="1" l="1"/>
  <c r="H24" i="1" l="1"/>
  <c r="H25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<sst xmlns="http://schemas.openxmlformats.org/spreadsheetml/2006/main" count="220" uniqueCount="166">
  <si>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</si>
  <si>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</si>
  <si>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</si>
  <si>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</si>
  <si>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</si>
  <si>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</si>
  <si>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</si>
  <si>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</si>
  <si>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</si>
  <si>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</si>
  <si>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</si>
  <si>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</si>
  <si>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</si>
  <si>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</si>
  <si>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</si>
  <si>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</si>
  <si>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</si>
  <si>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</si>
  <si>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</si>
  <si>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</si>
  <si>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</si>
  <si>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</si>
  <si>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</si>
  <si>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</si>
  <si>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</si>
  <si>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</si>
  <si>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</si>
  <si>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</si>
  <si>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</si>
  <si>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</si>
  <si>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</si>
  <si>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</si>
  <si>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</si>
  <si>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</si>
  <si>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</si>
  <si>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</si>
  <si>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</si>
  <si>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</si>
  <si>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</si>
  <si>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</si>
  <si>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</si>
  <si>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</si>
  <si>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</si>
  <si>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</si>
  <si>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</si>
  <si>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</si>
  <si>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</si>
  <si>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</si>
  <si>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</si>
  <si>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</si>
  <si>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</si>
  <si>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</si>
  <si>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</si>
  <si>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</si>
  <si>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</si>
  <si>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</si>
  <si>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</si>
  <si>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</si>
  <si>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</si>
  <si>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</si>
  <si>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</si>
  <si>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</si>
  <si>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</si>
  <si>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</si>
  <si>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</si>
  <si>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</si>
  <si>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</si>
  <si>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</si>
  <si>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</si>
  <si>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</si>
  <si>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</si>
  <si>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</si>
  <si>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</si>
  <si>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</si>
  <si>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</si>
  <si>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</si>
  <si>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</si>
  <si>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</si>
  <si>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</si>
  <si>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</si>
  <si>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</si>
  <si>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</si>
  <si>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</si>
  <si>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</si>
  <si>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</si>
  <si>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</si>
  <si>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</si>
  <si>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</si>
  <si>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</si>
  <si>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</si>
  <si>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</si>
  <si>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</si>
  <si>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</si>
  <si>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</si>
  <si>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</si>
  <si>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</si>
  <si>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</si>
  <si>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</si>
  <si>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</si>
  <si>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</si>
  <si>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</si>
  <si>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</si>
  <si>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</si>
  <si>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</si>
  <si>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</si>
  <si>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</si>
  <si>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</si>
  <si>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</si>
  <si>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</si>
  <si>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</si>
  <si>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</si>
  <si>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</si>
  <si>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</si>
  <si>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</si>
  <si>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</si>
  <si>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</si>
  <si>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</si>
  <si>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</si>
  <si>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</si>
  <si>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</si>
  <si>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</si>
  <si>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</si>
  <si>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</si>
  <si>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</si>
  <si>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</si>
  <si>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</si>
  <si>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</si>
  <si>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</si>
  <si>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</si>
  <si>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</si>
  <si>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</si>
  <si>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</si>
  <si>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</si>
  <si>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</si>
  <si>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</si>
  <si>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</si>
  <si>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</si>
  <si>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</si>
  <si>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</si>
  <si>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</si>
  <si>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</si>
  <si>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</si>
  <si>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</si>
  <si>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</si>
  <si>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</si>
  <si>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</si>
  <si>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</si>
  <si>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</si>
  <si>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</si>
  <si>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</si>
  <si>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</si>
  <si>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</si>
  <si>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</si>
  <si>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</si>
  <si>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</si>
  <si>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</si>
  <si>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</si>
  <si>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</si>
  <si>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</si>
  <si>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N° 11480</t>
  </si>
  <si>
    <t>CONSTRUCTORA POLZ</t>
  </si>
  <si>
    <t>76.540.036-8</t>
  </si>
  <si>
    <t>CRISTIAN</t>
  </si>
  <si>
    <t>+56996315372</t>
  </si>
  <si>
    <t xml:space="preserve"> ESMERALD 21013 OPACO</t>
  </si>
  <si>
    <t>CUB CON RESPALDO Y FRENTE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</si>
</sst>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27</xdr:row>
      <xdr:rowOff>28575</xdr:rowOff>
    </xdr:from>
    <xdr:to>
      <xdr:col>8</xdr:col>
      <xdr:colOff>7776</xdr:colOff>
      <xdr:row>30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21</xdr:row>
      <xdr:rowOff>217716</xdr:rowOff>
    </xdr:from>
    <xdr:to>
      <xdr:col>5</xdr:col>
      <xdr:colOff>1764031</xdr:colOff>
      <xdr:row>25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 CUBIERTAS MDF 18MM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RESPALDO DE 10 CMS, FRENTE 5 CMS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8" zoomScaleNormal="98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7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45826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 t="s">
        <v>161</v>
      </c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N37</f>
        <v>68462.95395545839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165</v>
      </c>
      <c r="D21" s="320">
        <v>2.7650000000000001</v>
      </c>
      <c r="E21" s="320">
        <v>0.65</v>
      </c>
      <c r="F21" s="317" t="s">
        <v>164</v>
      </c>
      <c r="G21" s="321">
        <v>130270</v>
      </c>
      <c r="H21" s="321">
        <f t="shared" ref="H21" si="1">G21*B21</f>
        <v>130270</v>
      </c>
      <c r="I21" s="265"/>
      <c r="J21" s="47"/>
      <c r="K21" s="322">
        <v>1</v>
      </c>
      <c r="L21" s="39">
        <f t="shared" ref="L21:M21" si="2">D21+L$19</f>
        <v>2.8149999999999999</v>
      </c>
      <c r="M21" s="39">
        <f t="shared" si="2"/>
        <v>0.65</v>
      </c>
      <c r="N21" s="261">
        <f>L21*M21</f>
        <v>1.82975</v>
      </c>
      <c r="O21" s="259">
        <f>N21*K21</f>
        <v>1.82975</v>
      </c>
      <c r="P21" s="252">
        <f>P$20*N21</f>
        <v>125270.08999999998</v>
      </c>
      <c r="Q21" s="258">
        <f>P21+Q$20</f>
        <v>130270.08999999998</v>
      </c>
      <c r="R21" s="308">
        <f>K21*L21</f>
        <v>2.8149999999999999</v>
      </c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2"/>
      <c r="I22" s="232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30</v>
      </c>
      <c r="H23" s="311">
        <f>SUM(H21:H22)</f>
        <v>130270</v>
      </c>
      <c r="I23" s="265"/>
      <c r="J23" s="47"/>
      <c r="K23" s="47"/>
      <c r="L23" s="39">
        <f>SUM(L21:L21)</f>
        <v>2.8149999999999999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7" t="s">
        <v>53</v>
      </c>
      <c r="H24" s="304">
        <f>H23*0.19</f>
        <v>24751.3</v>
      </c>
      <c r="I24" s="265"/>
      <c r="J24" s="47"/>
      <c r="K24" s="47"/>
      <c r="L24" s="39"/>
      <c r="M24" s="12"/>
      <c r="N24" s="12"/>
      <c r="O24" s="253">
        <f>SUM(O21:O21)</f>
        <v>1.82975</v>
      </c>
      <c r="P24" s="14"/>
      <c r="Q24" s="12"/>
      <c r="R24" s="238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155021.29999999999</v>
      </c>
      <c r="I25" s="265"/>
      <c r="J25" s="47"/>
      <c r="K25" s="47"/>
      <c r="L25" s="39"/>
      <c r="M25" s="12"/>
      <c r="N25" s="12"/>
      <c r="O25" s="253">
        <f>O24</f>
        <v>1.82975</v>
      </c>
      <c r="P25" s="14"/>
      <c r="Q25" s="12"/>
      <c r="R25" s="238">
        <f>SUM(R21:R24)</f>
        <v>2.8149999999999999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0.36595</v>
      </c>
      <c r="P26" s="39" t="s">
        <v>132</v>
      </c>
      <c r="Q26" s="42"/>
      <c r="R26" s="239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314"/>
      <c r="K27" s="47"/>
      <c r="L27" s="14"/>
      <c r="M27" s="12"/>
      <c r="N27" s="12"/>
      <c r="O27" s="46">
        <f>O25+O26</f>
        <v>2.1957</v>
      </c>
      <c r="P27" s="14"/>
      <c r="Q27" s="14"/>
      <c r="R27" s="237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2"/>
      <c r="F28" s="233"/>
      <c r="G28" s="230"/>
      <c r="H28" s="275"/>
      <c r="I28" s="265"/>
      <c r="J28" s="314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2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39">
        <f>O27</f>
        <v>2.1957</v>
      </c>
      <c r="M29" s="12">
        <v>3500</v>
      </c>
      <c r="N29" s="12">
        <f t="shared" ref="N29:N34" si="3">L29*M29</f>
        <v>7684.95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25000</v>
      </c>
      <c r="N30" s="12">
        <f t="shared" si="3"/>
        <v>12500</v>
      </c>
      <c r="O30" s="39" t="s">
        <v>156</v>
      </c>
      <c r="P30" s="42"/>
      <c r="Q30" s="14"/>
      <c r="R30" s="239"/>
      <c r="S30" s="14"/>
      <c r="T30" s="9"/>
      <c r="W30" s="4"/>
    </row>
    <row r="31" spans="2:24" s="230" customFormat="1" ht="17.399999999999999" x14ac:dyDescent="0.35">
      <c r="I31" s="262"/>
      <c r="J31" s="47"/>
      <c r="K31" s="250"/>
      <c r="L31" s="14"/>
      <c r="M31" s="250">
        <v>40754</v>
      </c>
      <c r="N31" s="12">
        <f t="shared" si="3"/>
        <v>0</v>
      </c>
      <c r="O31" s="39" t="s">
        <v>32</v>
      </c>
      <c r="P31" s="42"/>
      <c r="R31" s="239"/>
      <c r="S31" s="256"/>
      <c r="V31" s="231"/>
    </row>
    <row r="32" spans="2:24" s="230" customFormat="1" ht="17.399999999999999" x14ac:dyDescent="0.35">
      <c r="B32" s="24" t="s">
        <v>153</v>
      </c>
      <c r="I32" s="262"/>
      <c r="J32" s="313"/>
      <c r="K32" s="250"/>
      <c r="L32" s="14">
        <v>1</v>
      </c>
      <c r="M32" s="250">
        <v>30000</v>
      </c>
      <c r="N32" s="12">
        <f t="shared" si="3"/>
        <v>30000</v>
      </c>
      <c r="O32" s="14" t="s">
        <v>143</v>
      </c>
      <c r="P32" s="17"/>
      <c r="R32" s="237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3"/>
      <c r="K33" s="250"/>
      <c r="L33" s="249">
        <v>2.8149999999999999</v>
      </c>
      <c r="M33" s="250">
        <v>900</v>
      </c>
      <c r="N33" s="12">
        <f t="shared" si="3"/>
        <v>2533.5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303"/>
      <c r="J34" s="47"/>
      <c r="K34" s="250"/>
      <c r="L34" s="266">
        <v>2.8149999999999999</v>
      </c>
      <c r="M34" s="12">
        <v>1500</v>
      </c>
      <c r="N34" s="12">
        <f t="shared" si="3"/>
        <v>4222.5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J35" s="47"/>
      <c r="K35" s="250"/>
      <c r="L35" s="14"/>
      <c r="M35" s="12"/>
      <c r="N35" s="12">
        <f>SUM(N29:N34)</f>
        <v>56940.95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>
        <v>60170</v>
      </c>
      <c r="K36" s="250"/>
      <c r="L36" s="254" t="s">
        <v>35</v>
      </c>
      <c r="M36" s="12"/>
      <c r="N36" s="255">
        <f>N35*2.2</f>
        <v>125270.09</v>
      </c>
      <c r="O36" s="14" t="s">
        <v>142</v>
      </c>
      <c r="P36" s="14"/>
      <c r="Q36" s="46">
        <f>O25/Q35</f>
        <v>0.49335364538395166</v>
      </c>
      <c r="R36"/>
      <c r="S36" s="257" t="e">
        <f>S35/#REF!</f>
        <v>#REF!</v>
      </c>
    </row>
    <row r="37" spans="2:23" s="230" customFormat="1" ht="17.399999999999999" x14ac:dyDescent="0.35">
      <c r="G37"/>
      <c r="H37" s="260"/>
      <c r="I37" s="260"/>
      <c r="J37" s="47">
        <f>J36/1.19</f>
        <v>50563.025210084037</v>
      </c>
      <c r="K37" s="250"/>
      <c r="L37" s="14"/>
      <c r="M37" s="12"/>
      <c r="N37" s="12">
        <f>N36/O25</f>
        <v>68462.95395545839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50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50"/>
      <c r="S42">
        <f>S40*S41</f>
        <v>4.5750000000000002</v>
      </c>
    </row>
    <row r="43" spans="2:23" x14ac:dyDescent="0.3">
      <c r="K43" s="250"/>
      <c r="S43" s="270">
        <f>O27/S42</f>
        <v>0.47993442622950816</v>
      </c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45826</v>
      </c>
    </row>
    <row r="6" spans="2:31" ht="16.2" thickBot="1" x14ac:dyDescent="0.35">
      <c r="B6" s="140" t="s">
        <v>2</v>
      </c>
      <c r="C6" s="139" t="str">
        <f>'2229'!C10</f>
        <v>CONSTRUCTORA POLZ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-7956.4304501207735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130270</v>
      </c>
      <c r="E11" s="132">
        <f>D11*0.19</f>
        <v>24751.3</v>
      </c>
      <c r="F11" s="131">
        <f>E11+D11</f>
        <v>155021.29999999999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98033.569549879234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50019.040787439619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80033.569549879234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80250.959212560381</v>
      </c>
      <c r="E13" s="221">
        <f>(D11/D12)-1</f>
        <v>1.6044082003410263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71033.569549879234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32033.569549879227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82531.417299275359</v>
      </c>
      <c r="F15" s="216">
        <f>E15-D12</f>
        <v>32512.376511835741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32033.569549879227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72033.569549879234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7684.95</v>
      </c>
      <c r="E20" s="121">
        <f>D20*0.19</f>
        <v>1460.1405</v>
      </c>
      <c r="F20" s="120">
        <f>SUM(D20:E20)</f>
        <v>9145.0905000000002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20184.95</v>
      </c>
      <c r="E21" s="116">
        <f>SUM(E18:E20)</f>
        <v>3835.1405</v>
      </c>
      <c r="F21" s="115">
        <f>SUM(F18:F20)</f>
        <v>24020.090499999998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20916.159499999998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130270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20184.95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80250.959212560381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80250.959212560381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2025-06-19T00:32:56Z</dcterms:modified>
</cp:coreProperties>
</file>