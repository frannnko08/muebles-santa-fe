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10DA8B10-0BEC-4151-8A87-8CFE72B4D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N32" i="1"/>
  <c r="N33" i="1"/>
  <c r="N34" i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Q36" i="1" l="1"/>
  <c r="Q37" i="1" s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<sst xmlns="http://schemas.openxmlformats.org/spreadsheetml/2006/main" count="218" uniqueCount="164">
  <si>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</si>
  <si>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</si>
  <si>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</si>
  <si>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</si>
  <si>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</si>
  <si>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</si>
  <si>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</si>
  <si>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</si>
  <si>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</si>
  <si>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</si>
  <si>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</si>
  <si>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</si>
  <si>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</si>
  <si>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</si>
  <si>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</si>
  <si>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</si>
  <si>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</si>
  <si>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</si>
  <si>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</si>
  <si>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</si>
  <si>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</si>
  <si>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</si>
  <si>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</si>
  <si>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</si>
  <si>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</si>
  <si>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</si>
  <si>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</si>
  <si>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</si>
  <si>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</si>
  <si>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</si>
  <si>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</si>
  <si>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</si>
  <si>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</si>
  <si>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</si>
  <si>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</si>
  <si>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</si>
  <si>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</si>
  <si>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</si>
  <si>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</si>
  <si>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</si>
  <si>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</si>
  <si>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</si>
  <si>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</si>
  <si>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</si>
  <si>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</si>
  <si>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</si>
  <si>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</si>
  <si>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</si>
  <si>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</si>
  <si>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</si>
  <si>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</si>
  <si>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</si>
  <si>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</si>
  <si>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</si>
  <si>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</si>
  <si>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</si>
  <si>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</si>
  <si>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</si>
  <si>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</si>
  <si>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</si>
  <si>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</si>
  <si>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</si>
  <si>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</si>
  <si>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</si>
  <si>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</si>
  <si>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</si>
  <si>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</si>
  <si>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</si>
  <si>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</si>
  <si>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</si>
  <si>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</si>
  <si>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</si>
  <si>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</si>
  <si>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</si>
  <si>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</si>
  <si>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</si>
  <si>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</si>
  <si>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</si>
  <si>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</si>
  <si>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</si>
  <si>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</si>
  <si>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</si>
  <si>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</si>
  <si>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</si>
  <si>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</si>
  <si>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</si>
  <si>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</si>
  <si>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</si>
  <si>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</si>
  <si>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</si>
  <si>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</si>
  <si>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</si>
  <si>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</si>
  <si>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</si>
  <si>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</si>
  <si>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</si>
  <si>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</si>
  <si>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</si>
  <si>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</si>
  <si>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</si>
  <si>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</si>
  <si>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</si>
  <si>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</si>
  <si>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</si>
  <si>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</si>
  <si>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</si>
  <si>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</si>
  <si>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</si>
  <si>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</si>
  <si>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</si>
  <si>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</si>
  <si>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</si>
  <si>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</si>
  <si>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</si>
  <si>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</si>
  <si>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</si>
  <si>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</si>
  <si>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</si>
  <si>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</si>
  <si>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</si>
  <si>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</si>
  <si>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</si>
  <si>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</si>
  <si>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</si>
  <si>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</si>
  <si>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</si>
  <si>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</si>
  <si>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</si>
  <si>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</si>
  <si>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</si>
  <si>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</si>
  <si>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</si>
  <si>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</si>
  <si>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</si>
  <si>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</si>
  <si>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</si>
  <si>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</si>
  <si>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</si>
  <si>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</si>
  <si>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</si>
  <si>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</si>
  <si>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</si>
  <si>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</si>
  <si>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</si>
  <si>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</si>
  <si>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</si>
  <si>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</si>
  <si>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</si>
  <si>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</si>
  <si>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</si>
  <si>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</si>
  <si>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</si>
  <si>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</si>
  <si>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</si>
  <si>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</si>
  <si>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</si>
  <si>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</si>
  <si>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</si>
  <si>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</si>
  <si>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Y FRENTE 90°</t>
  </si>
  <si>
    <t>N° 11484</t>
  </si>
  <si>
    <t>CARLOS LAGOS</t>
  </si>
  <si>
    <t>+56959616884</t>
  </si>
  <si>
    <t>BLANCO MERINO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</si>
</sst>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="98" zoomScaleNormal="98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45831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66922.926829268297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159</v>
      </c>
      <c r="D21" s="320">
        <v>2.5</v>
      </c>
      <c r="E21" s="320">
        <v>0.82</v>
      </c>
      <c r="F21" s="317" t="s">
        <v>163</v>
      </c>
      <c r="G21" s="321">
        <v>137192</v>
      </c>
      <c r="H21" s="321">
        <f t="shared" ref="H21" si="1">G21*B21</f>
        <v>137192</v>
      </c>
      <c r="I21" s="265"/>
      <c r="J21" s="47"/>
      <c r="K21" s="322">
        <f>B21</f>
        <v>1</v>
      </c>
      <c r="L21" s="39">
        <f t="shared" ref="L21:M21" si="2">D21+L$19</f>
        <v>2.5</v>
      </c>
      <c r="M21" s="39">
        <f t="shared" si="2"/>
        <v>0.82</v>
      </c>
      <c r="N21" s="261">
        <f>L21*M21</f>
        <v>2.0499999999999998</v>
      </c>
      <c r="O21" s="259">
        <f>N21*K21</f>
        <v>2.0499999999999998</v>
      </c>
      <c r="P21" s="252">
        <f>P$20*N21</f>
        <v>137192</v>
      </c>
      <c r="Q21" s="258">
        <f>P21+Q$20</f>
        <v>142192</v>
      </c>
      <c r="R21" s="308">
        <f>K21*L21</f>
        <v>2.5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3"/>
      <c r="H22" s="323"/>
      <c r="I22" s="265"/>
      <c r="J22" s="47"/>
      <c r="K22" s="322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137192</v>
      </c>
      <c r="I24" s="265"/>
      <c r="J24" s="47"/>
      <c r="K24" s="47"/>
      <c r="L24" s="39">
        <f>SUM(L21:L21)</f>
        <v>2.5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26066.48</v>
      </c>
      <c r="I25" s="265"/>
      <c r="J25" s="47"/>
      <c r="K25" s="47"/>
      <c r="L25" s="39"/>
      <c r="M25" s="12"/>
      <c r="N25" s="12"/>
      <c r="O25" s="253">
        <f>SUM(O21:O21)</f>
        <v>2.0499999999999998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163258.48000000001</v>
      </c>
      <c r="I26" s="265"/>
      <c r="J26" s="47"/>
      <c r="K26" s="47"/>
      <c r="L26" s="39"/>
      <c r="M26" s="12"/>
      <c r="N26" s="12"/>
      <c r="O26" s="253">
        <f>O25</f>
        <v>2.0499999999999998</v>
      </c>
      <c r="P26" s="14"/>
      <c r="Q26" s="12"/>
      <c r="R26" s="238">
        <f>SUM(R21:R25)</f>
        <v>2.5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4"/>
      <c r="K28" s="47"/>
      <c r="L28" s="14"/>
      <c r="M28" s="12"/>
      <c r="N28" s="12"/>
      <c r="O28" s="46">
        <f>O26+O27</f>
        <v>2.46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4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2.46</v>
      </c>
      <c r="M30" s="12">
        <v>3500</v>
      </c>
      <c r="N30" s="12">
        <f t="shared" ref="N30:N35" si="3">L30*M30</f>
        <v>8610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3"/>
        <v>15000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3"/>
      <c r="K33" s="250"/>
      <c r="L33" s="14">
        <v>1</v>
      </c>
      <c r="M33" s="250">
        <v>35000</v>
      </c>
      <c r="N33" s="12">
        <f t="shared" si="3"/>
        <v>35000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3"/>
      <c r="K34" s="250"/>
      <c r="L34" s="249"/>
      <c r="M34" s="250">
        <v>900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2.5</v>
      </c>
      <c r="M35" s="12">
        <v>1500</v>
      </c>
      <c r="N35" s="12">
        <f t="shared" si="3"/>
        <v>3750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62360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55110</v>
      </c>
      <c r="K37" s="250"/>
      <c r="L37" s="254" t="s">
        <v>35</v>
      </c>
      <c r="M37" s="12"/>
      <c r="N37" s="255">
        <f>N36*2.2</f>
        <v>137192</v>
      </c>
      <c r="O37" s="14" t="s">
        <v>142</v>
      </c>
      <c r="P37" s="14"/>
      <c r="Q37" s="46">
        <f>O26/Q36</f>
        <v>0.552739430543572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46310.924369747903</v>
      </c>
      <c r="K38" s="250"/>
      <c r="L38" s="14"/>
      <c r="M38" s="12"/>
      <c r="N38" s="12">
        <f>N37/O26</f>
        <v>66922.926829268297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0.53770491803278686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45831</v>
      </c>
    </row>
    <row r="6" spans="2:31" ht="16.2" thickBot="1" x14ac:dyDescent="0.35">
      <c r="B6" s="140" t="s">
        <v>2</v>
      </c>
      <c r="C6" s="139" t="str">
        <f>'2229'!C10</f>
        <v>CARLOS LAGOS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-8168.2083667874394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137192</v>
      </c>
      <c r="E11" s="132">
        <f>D11*0.19</f>
        <v>26066.48</v>
      </c>
      <c r="F11" s="131">
        <f>E11+D11</f>
        <v>163258.48000000001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97821.791633212561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53444.090787439614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79821.791633212561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83747.909212560393</v>
      </c>
      <c r="E13" s="221">
        <f>(D11/D12)-1</f>
        <v>1.5670190656932785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70821.791633212561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31821.791633212561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88182.749799275363</v>
      </c>
      <c r="F15" s="216">
        <f>E15-D12</f>
        <v>34738.659011835749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31821.791633212561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71821.791633212561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8610</v>
      </c>
      <c r="E20" s="121">
        <f>D20*0.19</f>
        <v>1635.9</v>
      </c>
      <c r="F20" s="120">
        <f>SUM(D20:E20)</f>
        <v>10245.9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23610</v>
      </c>
      <c r="E21" s="116">
        <f>SUM(E18:E20)</f>
        <v>4485.8999999999996</v>
      </c>
      <c r="F21" s="115">
        <f>SUM(F18:F20)</f>
        <v>28095.9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21580.58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137192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23610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83747.909212560393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83747.909212560393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2025-06-30T21:04:17Z</dcterms:modified>
</cp:coreProperties>
</file>