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6 JUNIO 2025\"/>
    </mc:Choice>
  </mc:AlternateContent>
  <xr:revisionPtr revIDLastSave="0" documentId="13_ncr:1_{D68A5369-92AE-40C6-87CC-24E70111D2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L25" i="1"/>
  <c r="O26" i="1"/>
  <c r="K22" i="1"/>
  <c r="L22" i="1"/>
  <c r="M22" i="1"/>
  <c r="N22" i="1"/>
  <c r="O22" i="1" s="1"/>
  <c r="R22" i="1"/>
  <c r="K21" i="1"/>
  <c r="H21" i="1"/>
  <c r="N33" i="1"/>
  <c r="N34" i="1"/>
  <c r="N35" i="1"/>
  <c r="J39" i="1"/>
  <c r="L21" i="1" l="1"/>
  <c r="M21" i="1"/>
  <c r="N21" i="1" l="1"/>
  <c r="O21" i="1" s="1"/>
  <c r="R21" i="1"/>
  <c r="N32" i="1"/>
  <c r="O27" i="1" l="1"/>
  <c r="S44" i="1"/>
  <c r="O28" i="1" l="1"/>
  <c r="M20" i="1"/>
  <c r="K20" i="1"/>
  <c r="Q37" i="1" l="1"/>
  <c r="Q38" i="1" s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F18" i="3" l="1"/>
  <c r="O29" i="1" l="1"/>
  <c r="L31" i="1" s="1"/>
  <c r="N31" i="1" l="1"/>
  <c r="S45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P22" i="1" s="1"/>
  <c r="Q22" i="1" s="1"/>
  <c r="E15" i="3"/>
  <c r="P21" i="1" l="1"/>
  <c r="F15" i="3"/>
  <c r="Q21" i="1" l="1"/>
  <c r="R27" i="1"/>
  <c r="H25" i="1" l="1"/>
  <c r="H26" i="1" l="1"/>
  <c r="H27" i="1" s="1"/>
  <c r="D11" i="3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<sst xmlns="http://schemas.openxmlformats.org/spreadsheetml/2006/main" count="220" uniqueCount="164">
  <si>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</si>
  <si>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</si>
  <si>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</si>
  <si>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</si>
  <si>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</si>
  <si>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</si>
  <si>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</si>
  <si>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</si>
  <si>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</si>
  <si>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</si>
  <si>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</si>
  <si>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</si>
  <si>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</si>
  <si>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</si>
  <si>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</si>
  <si>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</si>
  <si>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</si>
  <si>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</si>
  <si>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</si>
  <si>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</si>
  <si>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</si>
  <si>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</si>
  <si>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</si>
  <si>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</si>
  <si>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</si>
  <si>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</si>
  <si>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</si>
  <si>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</si>
  <si>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</si>
  <si>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</si>
  <si>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</si>
  <si>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</si>
  <si>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</si>
  <si>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</si>
  <si>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</si>
  <si>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</si>
  <si>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</si>
  <si>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</si>
  <si>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</si>
  <si>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</si>
  <si>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</si>
  <si>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</si>
  <si>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</si>
  <si>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</si>
  <si>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</si>
  <si>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</si>
  <si>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</si>
  <si>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</si>
  <si>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</si>
  <si>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</si>
  <si>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</si>
  <si>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</si>
  <si>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</si>
  <si>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</si>
  <si>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</si>
  <si>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</si>
  <si>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</si>
  <si>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</si>
  <si>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</si>
  <si>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</si>
  <si>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</si>
  <si>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</si>
  <si>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</si>
  <si>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</si>
  <si>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</si>
  <si>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</si>
  <si>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</si>
  <si>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</si>
  <si>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</si>
  <si>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</si>
  <si>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</si>
  <si>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</si>
  <si>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</si>
  <si>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</si>
  <si>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</si>
  <si>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</si>
  <si>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</si>
  <si>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</si>
  <si>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</si>
  <si>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</si>
  <si>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</si>
  <si>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</si>
  <si>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</si>
  <si>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</si>
  <si>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</si>
  <si>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</si>
  <si>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</si>
  <si>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</si>
  <si>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</si>
  <si>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</si>
  <si>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</si>
  <si>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</si>
  <si>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</si>
  <si>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</si>
  <si>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</si>
  <si>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</si>
  <si>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</si>
  <si>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</si>
  <si>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</si>
  <si>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</si>
  <si>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</si>
  <si>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</si>
  <si>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</si>
  <si>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</si>
  <si>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</si>
  <si>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</si>
  <si>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</si>
  <si>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</si>
  <si>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</si>
  <si>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</si>
  <si>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</si>
  <si>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</si>
  <si>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</si>
  <si>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</si>
  <si>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</si>
  <si>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</si>
  <si>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</si>
  <si>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</si>
  <si>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</si>
  <si>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</si>
  <si>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</si>
  <si>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</si>
  <si>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</si>
  <si>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</si>
  <si>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</si>
  <si>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</si>
  <si>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</si>
  <si>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</si>
  <si>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</si>
  <si>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</si>
  <si>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</si>
  <si>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</si>
  <si>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</si>
  <si>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</si>
  <si>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</si>
  <si>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</si>
  <si>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</si>
  <si>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</si>
  <si>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</si>
  <si>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</si>
  <si>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</si>
  <si>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</si>
  <si>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</si>
  <si>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</si>
  <si>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</si>
  <si>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</si>
  <si>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</si>
  <si>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</si>
  <si>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</si>
  <si>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</si>
  <si>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</si>
  <si>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</si>
  <si>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</si>
  <si>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</si>
  <si>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</si>
  <si>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</si>
  <si>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</si>
  <si>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</si>
  <si>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N° 11482</t>
  </si>
  <si>
    <t>ANDREA NUÑEZ</t>
  </si>
  <si>
    <t>+56961914275</t>
  </si>
  <si>
    <t>5 DIAS HABILES</t>
  </si>
  <si>
    <t>CUB CON RESPALDO FRENTE 90°</t>
  </si>
  <si>
    <t>PP-383 BRILLO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</si>
</sst>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7" borderId="0" xfId="0" applyNumberForma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9526</xdr:colOff>
      <xdr:row>29</xdr:row>
      <xdr:rowOff>28575</xdr:rowOff>
    </xdr:from>
    <xdr:to>
      <xdr:col>8</xdr:col>
      <xdr:colOff>7776</xdr:colOff>
      <xdr:row>32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463199" y="5743575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15552</xdr:colOff>
      <xdr:row>23</xdr:row>
      <xdr:rowOff>217716</xdr:rowOff>
    </xdr:from>
    <xdr:to>
      <xdr:col>5</xdr:col>
      <xdr:colOff>1764031</xdr:colOff>
      <xdr:row>27</xdr:row>
      <xdr:rowOff>15552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7654" y="4610879"/>
          <a:ext cx="5923928" cy="684244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ECON SOBRE MEDIDA EN EL LARGO</a:t>
          </a:r>
        </a:p>
        <a:p>
          <a:pPr algn="l"/>
          <a:r>
            <a:rPr lang="es-CL" sz="1200" b="1" u="sng" baseline="0">
              <a:solidFill>
                <a:sysClr val="windowText" lastClr="000000"/>
              </a:solidFill>
            </a:rPr>
            <a:t>SUSTRATO: MDF18MM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6" zoomScale="98" zoomScaleNormal="98" workbookViewId="0">
      <selection activeCell="A24" sqref="A24"/>
    </sheetView>
  </sheetViews>
  <sheetFormatPr baseColWidth="10" defaultRowHeight="14.4" x14ac:dyDescent="0.3"/>
  <cols>
    <col min="1" max="1" width="6" customWidth="1"/>
    <col min="2" max="2" width="10.5546875" customWidth="1"/>
    <col min="3" max="3" width="37.33203125" customWidth="1"/>
    <col min="4" max="4" width="11.109375" customWidth="1"/>
    <col min="5" max="5" width="10.5546875" customWidth="1"/>
    <col min="6" max="6" width="33.332031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5" t="s">
        <v>158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159</v>
      </c>
      <c r="D10" s="243"/>
      <c r="E10" s="243"/>
      <c r="F10" s="244" t="s">
        <v>0</v>
      </c>
      <c r="G10" s="277">
        <v>45826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125</v>
      </c>
      <c r="G11" s="289" t="s">
        <v>161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2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09" t="s">
        <v>160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2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3" t="s">
        <v>155</v>
      </c>
      <c r="G17" s="323"/>
      <c r="H17" s="32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5" t="s">
        <v>149</v>
      </c>
      <c r="C19" s="326"/>
      <c r="D19" s="326"/>
      <c r="E19" s="326"/>
      <c r="F19" s="326"/>
      <c r="G19" s="326"/>
      <c r="H19" s="327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7.399999999999999" x14ac:dyDescent="0.3">
      <c r="B20" s="316" t="s">
        <v>7</v>
      </c>
      <c r="C20" s="318" t="s">
        <v>1</v>
      </c>
      <c r="D20" s="318" t="s">
        <v>10</v>
      </c>
      <c r="E20" s="318" t="s">
        <v>11</v>
      </c>
      <c r="F20" s="318" t="s">
        <v>8</v>
      </c>
      <c r="G20" s="318" t="s">
        <v>5</v>
      </c>
      <c r="H20" s="319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N39</f>
        <v>123107.32609396838</v>
      </c>
      <c r="Q20" s="258">
        <v>5000</v>
      </c>
      <c r="R20" s="38"/>
      <c r="S20" s="14" t="s">
        <v>130</v>
      </c>
      <c r="T20" s="9"/>
      <c r="W20" s="4"/>
    </row>
    <row r="21" spans="2:24" ht="17.399999999999999" x14ac:dyDescent="0.3">
      <c r="B21" s="317">
        <v>1</v>
      </c>
      <c r="C21" s="317" t="s">
        <v>162</v>
      </c>
      <c r="D21" s="320">
        <v>1.62</v>
      </c>
      <c r="E21" s="320">
        <v>0.56000000000000005</v>
      </c>
      <c r="F21" s="317" t="s">
        <v>163</v>
      </c>
      <c r="G21" s="321">
        <v>118130</v>
      </c>
      <c r="H21" s="321">
        <f t="shared" ref="H21:H22" si="1">G21*B21</f>
        <v>118130</v>
      </c>
      <c r="I21" s="265"/>
      <c r="J21" s="47"/>
      <c r="K21" s="322">
        <f>B21</f>
        <v>1</v>
      </c>
      <c r="L21" s="39">
        <f t="shared" ref="L21:M21" si="2">D21+L$19</f>
        <v>1.6700000000000002</v>
      </c>
      <c r="M21" s="39">
        <f t="shared" si="2"/>
        <v>0.56000000000000005</v>
      </c>
      <c r="N21" s="261">
        <f>L21*M21</f>
        <v>0.93520000000000014</v>
      </c>
      <c r="O21" s="259">
        <f>N21*K21</f>
        <v>0.93520000000000014</v>
      </c>
      <c r="P21" s="252">
        <f>P$20*N21</f>
        <v>115129.97136307925</v>
      </c>
      <c r="Q21" s="258">
        <f>P21+Q$20</f>
        <v>120129.97136307925</v>
      </c>
      <c r="R21" s="308">
        <f>K21*L21</f>
        <v>1.6700000000000002</v>
      </c>
      <c r="S21" s="14"/>
      <c r="T21" s="9"/>
      <c r="W21" s="4"/>
    </row>
    <row r="22" spans="2:24" ht="17.399999999999999" x14ac:dyDescent="0.3">
      <c r="B22" s="317">
        <v>1</v>
      </c>
      <c r="C22" s="317" t="s">
        <v>162</v>
      </c>
      <c r="D22" s="320">
        <v>1.8</v>
      </c>
      <c r="E22" s="320">
        <v>0.5</v>
      </c>
      <c r="F22" s="317" t="s">
        <v>163</v>
      </c>
      <c r="G22" s="321">
        <v>116874</v>
      </c>
      <c r="H22" s="321">
        <f t="shared" si="1"/>
        <v>116874</v>
      </c>
      <c r="I22" s="265"/>
      <c r="J22" s="47"/>
      <c r="K22" s="322">
        <f>B22</f>
        <v>1</v>
      </c>
      <c r="L22" s="39">
        <f t="shared" ref="L22" si="3">D22+L$19</f>
        <v>1.85</v>
      </c>
      <c r="M22" s="39">
        <f t="shared" ref="M22" si="4">E22+M$19</f>
        <v>0.5</v>
      </c>
      <c r="N22" s="261">
        <f>L22*M22</f>
        <v>0.92500000000000004</v>
      </c>
      <c r="O22" s="259">
        <f>N22*K22</f>
        <v>0.92500000000000004</v>
      </c>
      <c r="P22" s="252">
        <f>P$20*N22</f>
        <v>113874.27663692075</v>
      </c>
      <c r="Q22" s="258">
        <f>P22+Q$20</f>
        <v>118874.27663692075</v>
      </c>
      <c r="R22" s="308">
        <f>K22*L22</f>
        <v>1.85</v>
      </c>
      <c r="S22" s="14"/>
      <c r="T22" s="9"/>
      <c r="W22" s="4"/>
    </row>
    <row r="23" spans="2:24" ht="17.399999999999999" x14ac:dyDescent="0.3">
      <c r="B23" s="335"/>
      <c r="C23" s="335"/>
      <c r="D23" s="336"/>
      <c r="E23" s="336"/>
      <c r="F23" s="335"/>
      <c r="G23" s="337"/>
      <c r="H23" s="337"/>
      <c r="I23" s="265"/>
      <c r="J23" s="47"/>
      <c r="K23" s="322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2"/>
      <c r="I24" s="232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10" t="s">
        <v>30</v>
      </c>
      <c r="H25" s="311">
        <f>SUM(H21:H24)</f>
        <v>235004</v>
      </c>
      <c r="I25" s="265"/>
      <c r="J25" s="47"/>
      <c r="K25" s="47"/>
      <c r="L25" s="39">
        <f>SUM(L21:L22)</f>
        <v>3.5200000000000005</v>
      </c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7" t="s">
        <v>53</v>
      </c>
      <c r="H26" s="304">
        <f>H25*0.19</f>
        <v>44650.76</v>
      </c>
      <c r="I26" s="265"/>
      <c r="J26" s="47"/>
      <c r="K26" s="47"/>
      <c r="L26" s="39"/>
      <c r="M26" s="12"/>
      <c r="N26" s="12"/>
      <c r="O26" s="253">
        <f>SUM(O21:O22)</f>
        <v>1.8602000000000003</v>
      </c>
      <c r="P26" s="14"/>
      <c r="Q26" s="12"/>
      <c r="R26" s="238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5">
        <f>H25+H26</f>
        <v>279654.76</v>
      </c>
      <c r="I27" s="265"/>
      <c r="J27" s="47"/>
      <c r="K27" s="47"/>
      <c r="L27" s="39"/>
      <c r="M27" s="12"/>
      <c r="N27" s="12"/>
      <c r="O27" s="253">
        <f>O26</f>
        <v>1.8602000000000003</v>
      </c>
      <c r="P27" s="14"/>
      <c r="Q27" s="12"/>
      <c r="R27" s="238">
        <f>SUM(R21:R26)</f>
        <v>3.5200000000000005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0.37204000000000009</v>
      </c>
      <c r="P28" s="39" t="s">
        <v>132</v>
      </c>
      <c r="Q28" s="42"/>
      <c r="R28" s="239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314"/>
      <c r="K29" s="47"/>
      <c r="L29" s="14"/>
      <c r="M29" s="12"/>
      <c r="N29" s="12"/>
      <c r="O29" s="46">
        <f>O27+O28</f>
        <v>2.2322400000000004</v>
      </c>
      <c r="P29" s="14"/>
      <c r="Q29" s="14"/>
      <c r="R29" s="237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2"/>
      <c r="F30" s="233"/>
      <c r="G30" s="230"/>
      <c r="H30" s="275"/>
      <c r="I30" s="265"/>
      <c r="J30" s="314"/>
      <c r="K30" s="47"/>
      <c r="L30" s="14"/>
      <c r="M30" s="14"/>
      <c r="N30" s="14"/>
      <c r="O30" s="14"/>
      <c r="P30" s="14"/>
      <c r="Q30" s="14"/>
      <c r="R30" s="237"/>
      <c r="S30" s="14"/>
      <c r="T30" s="9"/>
      <c r="W30" s="4"/>
    </row>
    <row r="31" spans="2:24" ht="17.399999999999999" x14ac:dyDescent="0.35">
      <c r="B31" s="234"/>
      <c r="C31" s="235"/>
      <c r="D31" s="236"/>
      <c r="E31" s="234"/>
      <c r="F31" s="230"/>
      <c r="G31" s="230"/>
      <c r="I31" s="265"/>
      <c r="J31" s="47"/>
      <c r="K31" s="47"/>
      <c r="L31" s="39">
        <f>O29</f>
        <v>2.2322400000000004</v>
      </c>
      <c r="M31" s="12">
        <v>3500</v>
      </c>
      <c r="N31" s="12">
        <f t="shared" ref="N31:N36" si="5">L31*M31</f>
        <v>7812.840000000002</v>
      </c>
      <c r="O31" s="14" t="s">
        <v>22</v>
      </c>
      <c r="P31" s="14" t="s">
        <v>23</v>
      </c>
      <c r="Q31" s="14"/>
      <c r="R31" s="240"/>
      <c r="S31" s="14"/>
      <c r="T31" s="9"/>
      <c r="W31" s="4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0.6</v>
      </c>
      <c r="M32" s="12">
        <v>25000</v>
      </c>
      <c r="N32" s="12">
        <f t="shared" si="5"/>
        <v>15000</v>
      </c>
      <c r="O32" s="39" t="s">
        <v>156</v>
      </c>
      <c r="P32" s="42"/>
      <c r="Q32" s="14"/>
      <c r="R32" s="239"/>
      <c r="S32" s="14"/>
      <c r="T32" s="9"/>
      <c r="W32" s="4"/>
    </row>
    <row r="33" spans="2:23" s="230" customFormat="1" ht="17.399999999999999" x14ac:dyDescent="0.35">
      <c r="I33" s="262"/>
      <c r="J33" s="47"/>
      <c r="K33" s="250"/>
      <c r="L33" s="14"/>
      <c r="M33" s="250">
        <v>40754</v>
      </c>
      <c r="N33" s="12">
        <f t="shared" si="5"/>
        <v>0</v>
      </c>
      <c r="O33" s="39" t="s">
        <v>32</v>
      </c>
      <c r="P33" s="42"/>
      <c r="R33" s="239"/>
      <c r="S33" s="256"/>
      <c r="V33" s="231"/>
    </row>
    <row r="34" spans="2:23" s="230" customFormat="1" ht="17.399999999999999" x14ac:dyDescent="0.35">
      <c r="B34" s="24" t="s">
        <v>153</v>
      </c>
      <c r="I34" s="262"/>
      <c r="J34" s="313"/>
      <c r="K34" s="250"/>
      <c r="L34" s="14">
        <v>2</v>
      </c>
      <c r="M34" s="250">
        <v>38000</v>
      </c>
      <c r="N34" s="12">
        <f t="shared" si="5"/>
        <v>76000</v>
      </c>
      <c r="O34" s="14" t="s">
        <v>143</v>
      </c>
      <c r="P34" s="17"/>
      <c r="R34" s="237"/>
      <c r="S34" s="256"/>
      <c r="V34" s="231"/>
    </row>
    <row r="35" spans="2:23" s="230" customFormat="1" ht="17.399999999999999" x14ac:dyDescent="0.35">
      <c r="B35" s="24" t="s">
        <v>146</v>
      </c>
      <c r="C35"/>
      <c r="D35"/>
      <c r="E35"/>
      <c r="F35"/>
      <c r="I35" s="262"/>
      <c r="J35" s="313"/>
      <c r="K35" s="250"/>
      <c r="L35" s="249"/>
      <c r="M35" s="250">
        <v>900</v>
      </c>
      <c r="N35" s="12">
        <f t="shared" si="5"/>
        <v>0</v>
      </c>
      <c r="O35" s="14" t="s">
        <v>34</v>
      </c>
      <c r="P35" s="14"/>
      <c r="Q35" s="230">
        <v>1.52</v>
      </c>
      <c r="R35" s="237"/>
      <c r="S35" s="237"/>
    </row>
    <row r="36" spans="2:23" s="230" customFormat="1" ht="17.399999999999999" x14ac:dyDescent="0.35">
      <c r="B36" s="29" t="s">
        <v>127</v>
      </c>
      <c r="C36"/>
      <c r="D36"/>
      <c r="E36"/>
      <c r="F36" s="229" t="s">
        <v>16</v>
      </c>
      <c r="I36" s="303"/>
      <c r="J36" s="47"/>
      <c r="K36" s="250"/>
      <c r="L36" s="266">
        <v>3.52</v>
      </c>
      <c r="M36" s="12">
        <v>1500</v>
      </c>
      <c r="N36" s="12">
        <f t="shared" si="5"/>
        <v>5280</v>
      </c>
      <c r="O36" s="14" t="s">
        <v>24</v>
      </c>
      <c r="P36" s="14"/>
      <c r="Q36">
        <v>2.44</v>
      </c>
      <c r="R36"/>
      <c r="S36" s="237">
        <v>1500</v>
      </c>
      <c r="W36" s="231"/>
    </row>
    <row r="37" spans="2:23" s="230" customFormat="1" ht="17.399999999999999" x14ac:dyDescent="0.35">
      <c r="J37" s="47"/>
      <c r="K37" s="250"/>
      <c r="L37" s="14"/>
      <c r="M37" s="12"/>
      <c r="N37" s="12">
        <f>SUM(N31:N36)</f>
        <v>104092.84</v>
      </c>
      <c r="O37" s="39" t="s">
        <v>25</v>
      </c>
      <c r="P37" s="14"/>
      <c r="Q37">
        <f>Q35*Q36</f>
        <v>3.7088000000000001</v>
      </c>
      <c r="R37"/>
      <c r="S37" s="237">
        <f>R29*S36</f>
        <v>60000</v>
      </c>
      <c r="W37" s="231"/>
    </row>
    <row r="38" spans="2:23" s="230" customFormat="1" ht="17.399999999999999" x14ac:dyDescent="0.35">
      <c r="J38" s="47">
        <v>60170</v>
      </c>
      <c r="K38" s="250"/>
      <c r="L38" s="254" t="s">
        <v>35</v>
      </c>
      <c r="M38" s="12"/>
      <c r="N38" s="255">
        <f>N37*2.2</f>
        <v>229004.24800000002</v>
      </c>
      <c r="O38" s="14" t="s">
        <v>142</v>
      </c>
      <c r="P38" s="14"/>
      <c r="Q38" s="46">
        <f>O27/Q37</f>
        <v>0.50156384814495258</v>
      </c>
      <c r="R38"/>
      <c r="S38" s="257" t="e">
        <f>S37/#REF!</f>
        <v>#REF!</v>
      </c>
    </row>
    <row r="39" spans="2:23" s="230" customFormat="1" ht="17.399999999999999" x14ac:dyDescent="0.35">
      <c r="G39"/>
      <c r="H39" s="260"/>
      <c r="I39" s="260"/>
      <c r="J39" s="47">
        <f>J38/1.19</f>
        <v>50563.025210084037</v>
      </c>
      <c r="K39" s="250"/>
      <c r="L39" s="14"/>
      <c r="M39" s="12"/>
      <c r="N39" s="12">
        <f>N38/O27</f>
        <v>123107.32609396838</v>
      </c>
      <c r="O39" s="45" t="s">
        <v>26</v>
      </c>
      <c r="P39" s="14"/>
      <c r="Q39" s="14"/>
      <c r="R39"/>
      <c r="S39" s="237"/>
    </row>
    <row r="40" spans="2:23" s="230" customFormat="1" ht="17.399999999999999" x14ac:dyDescent="0.35">
      <c r="G40"/>
      <c r="J40" s="47"/>
      <c r="K40" s="250"/>
      <c r="L40" s="13"/>
      <c r="M40" s="14"/>
      <c r="N40" s="17">
        <f>N38/N37</f>
        <v>2.2000000000000002</v>
      </c>
      <c r="O40" s="15"/>
      <c r="P40"/>
      <c r="Q40"/>
      <c r="R40"/>
      <c r="S40" s="237"/>
    </row>
    <row r="41" spans="2:23" s="230" customFormat="1" ht="17.399999999999999" x14ac:dyDescent="0.35">
      <c r="G41" s="23"/>
      <c r="J41" s="47"/>
      <c r="K41" s="12"/>
      <c r="S41" s="237"/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47"/>
      <c r="K42" s="12"/>
      <c r="S42" s="237">
        <v>1.83</v>
      </c>
    </row>
    <row r="43" spans="2:23" ht="14.4" customHeight="1" x14ac:dyDescent="0.3">
      <c r="J43" s="47"/>
      <c r="K43" s="12"/>
      <c r="S43">
        <v>2.5</v>
      </c>
    </row>
    <row r="44" spans="2:23" x14ac:dyDescent="0.3">
      <c r="J44" s="47"/>
      <c r="K44" s="250"/>
      <c r="S44">
        <f>S42*S43</f>
        <v>4.5750000000000002</v>
      </c>
    </row>
    <row r="45" spans="2:23" x14ac:dyDescent="0.3">
      <c r="K45" s="250"/>
      <c r="S45" s="270">
        <f>O29/S44</f>
        <v>0.4879213114754099</v>
      </c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150</v>
      </c>
    </row>
    <row r="75" spans="3:14" x14ac:dyDescent="0.3">
      <c r="C75" t="s">
        <v>149</v>
      </c>
    </row>
    <row r="78" spans="3:14" x14ac:dyDescent="0.3">
      <c r="C78" t="s">
        <v>149</v>
      </c>
    </row>
    <row r="155" spans="3:3" x14ac:dyDescent="0.3">
      <c r="C155" t="s">
        <v>149</v>
      </c>
    </row>
    <row r="156" spans="3:3" x14ac:dyDescent="0.3">
      <c r="C156" t="s">
        <v>151</v>
      </c>
    </row>
    <row r="157" spans="3:3" x14ac:dyDescent="0.3">
      <c r="C157" t="s">
        <v>152</v>
      </c>
    </row>
    <row r="582" spans="3:3" x14ac:dyDescent="0.3">
      <c r="C582" t="s">
        <v>149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45826</v>
      </c>
    </row>
    <row r="6" spans="2:31" ht="16.2" thickBot="1" x14ac:dyDescent="0.35">
      <c r="B6" s="140" t="s">
        <v>2</v>
      </c>
      <c r="C6" s="139" t="str">
        <f>'2229'!C10</f>
        <v>ANDREA NUÑEZ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29" t="s">
        <v>100</v>
      </c>
      <c r="I7" s="330"/>
      <c r="J7" s="330"/>
      <c r="K7" s="331"/>
      <c r="N7" s="75"/>
      <c r="O7" s="328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11482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8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-24689.42736678744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'2229'!H25</f>
        <v>235004</v>
      </c>
      <c r="E11" s="132">
        <f>D11*0.19</f>
        <v>44650.76</v>
      </c>
      <c r="F11" s="131">
        <f>E11+D11</f>
        <v>279654.76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81300.572633212563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52646.930787439618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63300.572633212563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182357.06921256037</v>
      </c>
      <c r="E13" s="221">
        <f>(D11/D12)-1</f>
        <v>3.4637739842579141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54300.572633212563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15300.57263321256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86867.435799275365</v>
      </c>
      <c r="F15" s="216">
        <f>E15-D12</f>
        <v>34220.505011835747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15300.57263321256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55300.572633212563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15000</v>
      </c>
      <c r="E19" s="123">
        <f>D19*0.19</f>
        <v>2850</v>
      </c>
      <c r="F19" s="120">
        <f>SUM(D19:E19)</f>
        <v>17850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7812.840000000002</v>
      </c>
      <c r="E20" s="121">
        <f>D20*0.19</f>
        <v>1484.4396000000004</v>
      </c>
      <c r="F20" s="120">
        <f>SUM(D20:E20)</f>
        <v>9297.2796000000017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22812.840000000004</v>
      </c>
      <c r="E21" s="116">
        <f>SUM(E18:E20)</f>
        <v>4334.4396000000006</v>
      </c>
      <c r="F21" s="115">
        <f>SUM(F18:F20)</f>
        <v>27147.279600000002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40316.320400000004</v>
      </c>
    </row>
    <row r="41" spans="2:16" ht="15" thickBot="1" x14ac:dyDescent="0.35">
      <c r="H41" s="332" t="s">
        <v>62</v>
      </c>
      <c r="I41" s="333"/>
      <c r="J41" s="333"/>
      <c r="K41" s="333"/>
      <c r="L41" s="333"/>
      <c r="M41" s="334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235004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22812.840000000004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182357.06921256037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182357.06921256037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2025-06-19T00:32:02Z</cp:lastPrinted>
  <dcterms:created xsi:type="dcterms:W3CDTF">2013-03-18T13:35:42Z</dcterms:created>
  <dcterms:modified xsi:type="dcterms:W3CDTF">2025-06-19T00:51:37Z</dcterms:modified>
</cp:coreProperties>
</file>