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AA98FB20-442B-453A-BF02-D6A519356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2" i="1"/>
  <c r="H23" i="1"/>
  <c r="H24" i="1"/>
  <c r="H25" i="1"/>
  <c r="O29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5" i="1"/>
  <c r="L25" i="1"/>
  <c r="M25" i="1"/>
  <c r="N25" i="1"/>
  <c r="O25" i="1" s="1"/>
  <c r="R25" i="1"/>
  <c r="K21" i="1"/>
  <c r="H21" i="1"/>
  <c r="N36" i="1"/>
  <c r="N37" i="1"/>
  <c r="N38" i="1"/>
  <c r="J42" i="1"/>
  <c r="L21" i="1" l="1"/>
  <c r="L28" i="1" s="1"/>
  <c r="M21" i="1"/>
  <c r="N21" i="1" l="1"/>
  <c r="O21" i="1" s="1"/>
  <c r="R21" i="1"/>
  <c r="N35" i="1"/>
  <c r="O30" i="1" l="1"/>
  <c r="S47" i="1"/>
  <c r="O31" i="1" l="1"/>
  <c r="M20" i="1"/>
  <c r="K20" i="1"/>
  <c r="Q40" i="1" l="1"/>
  <c r="Q41" i="1" s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5" i="1" l="1"/>
  <c r="Q25" i="1" s="1"/>
  <c r="P24" i="1"/>
  <c r="Q24" i="1" s="1"/>
  <c r="P23" i="1"/>
  <c r="Q23" i="1" s="1"/>
  <c r="P22" i="1"/>
  <c r="Q22" i="1" s="1"/>
  <c r="P21" i="1"/>
  <c r="F15" i="3"/>
  <c r="Q21" i="1" l="1"/>
  <c r="R30" i="1"/>
  <c r="H29" i="1" l="1"/>
  <c r="H30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<sst xmlns="http://schemas.openxmlformats.org/spreadsheetml/2006/main" count="226" uniqueCount="166">
  <si>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</si>
  <si>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</si>
  <si>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</si>
  <si>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</si>
  <si>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</si>
  <si>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</si>
  <si>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</si>
  <si>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</si>
  <si>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</si>
  <si>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</si>
  <si>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</si>
  <si>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</si>
  <si>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</si>
  <si>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</si>
  <si>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</si>
  <si>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</si>
  <si>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</si>
  <si>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</si>
  <si>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</si>
  <si>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</si>
  <si>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</si>
  <si>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</si>
  <si>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</si>
  <si>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</si>
  <si>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</si>
  <si>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</si>
  <si>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</si>
  <si>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</si>
  <si>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</si>
  <si>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</si>
  <si>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</si>
  <si>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</si>
  <si>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</si>
  <si>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</si>
  <si>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</si>
  <si>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</si>
  <si>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</si>
  <si>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</si>
  <si>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</si>
  <si>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</si>
  <si>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</si>
  <si>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</si>
  <si>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</si>
  <si>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</si>
  <si>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</si>
  <si>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</si>
  <si>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</si>
  <si>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</si>
  <si>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</si>
  <si>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</si>
  <si>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</si>
  <si>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</si>
  <si>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</si>
  <si>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</si>
  <si>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</si>
  <si>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</si>
  <si>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</si>
  <si>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</si>
  <si>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</si>
  <si>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</si>
  <si>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</si>
  <si>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</si>
  <si>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</si>
  <si>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</si>
  <si>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</si>
  <si>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</si>
  <si>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</si>
  <si>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</si>
  <si>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</si>
  <si>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</si>
  <si>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</si>
  <si>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</si>
  <si>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</si>
  <si>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</si>
  <si>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</si>
  <si>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</si>
  <si>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</si>
  <si>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</si>
  <si>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</si>
  <si>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</si>
  <si>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</si>
  <si>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</si>
  <si>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</si>
  <si>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</si>
  <si>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</si>
  <si>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</si>
  <si>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</si>
  <si>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</si>
  <si>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</si>
  <si>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</si>
  <si>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</si>
  <si>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</si>
  <si>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</si>
  <si>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</si>
  <si>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</si>
  <si>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</si>
  <si>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</si>
  <si>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</si>
  <si>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</si>
  <si>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</si>
  <si>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</si>
  <si>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</si>
  <si>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</si>
  <si>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</si>
  <si>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</si>
  <si>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</si>
  <si>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</si>
  <si>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</si>
  <si>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</si>
  <si>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</si>
  <si>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</si>
  <si>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</si>
  <si>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</si>
  <si>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</si>
  <si>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</si>
  <si>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</si>
  <si>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</si>
  <si>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</si>
  <si>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</si>
  <si>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</si>
  <si>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</si>
  <si>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</si>
  <si>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</si>
  <si>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</si>
  <si>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</si>
  <si>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</si>
  <si>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</si>
  <si>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</si>
  <si>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</si>
  <si>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</si>
  <si>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</si>
  <si>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</si>
  <si>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</si>
  <si>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</si>
  <si>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</si>
  <si>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</si>
  <si>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</si>
  <si>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</si>
  <si>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</si>
  <si>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</si>
  <si>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</si>
  <si>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</si>
  <si>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</si>
  <si>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</si>
  <si>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</si>
  <si>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</si>
  <si>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</si>
  <si>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</si>
  <si>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</si>
  <si>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</si>
  <si>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</si>
  <si>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</si>
  <si>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</si>
  <si>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</si>
  <si>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</si>
  <si>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</si>
  <si>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</si>
  <si>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</si>
  <si>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OSCAR ALMARZA</t>
  </si>
  <si>
    <t>+56945779682</t>
  </si>
  <si>
    <t>SI</t>
  </si>
  <si>
    <t>PR8</t>
  </si>
  <si>
    <t>PR8 PARA VIDRIO</t>
  </si>
  <si>
    <t>INK 21032 SF</t>
  </si>
  <si>
    <t>N° 11486</t>
  </si>
  <si>
    <t>8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</si>
</sst>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32</xdr:row>
      <xdr:rowOff>28575</xdr:rowOff>
    </xdr:from>
    <xdr:to>
      <xdr:col>8</xdr:col>
      <xdr:colOff>7776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26</xdr:row>
      <xdr:rowOff>217716</xdr:rowOff>
    </xdr:from>
    <xdr:to>
      <xdr:col>5</xdr:col>
      <xdr:colOff>1764031</xdr:colOff>
      <xdr:row>30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 A LA MEDIDA Y ENCHPADAS CON TAPACANTO PVC, 04MM LO MAS PARECIDO AL COLOR ORIGINAL</a:t>
          </a:r>
          <a:endParaRPr lang="es-CL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zoomScale="98" zoomScaleNormal="98" workbookViewId="0">
      <selection activeCell="F14" sqref="F14"/>
    </sheetView>
  </sheetViews>
  <sheetFormatPr baseColWidth="10" defaultRowHeight="14.4" x14ac:dyDescent="0.3"/>
  <cols>
    <col min="1" max="1" width="6" customWidth="1"/>
    <col min="2" max="2" width="10.5546875" customWidth="1"/>
    <col min="3" max="3" width="26.2187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45831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165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160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4" t="s">
        <v>155</v>
      </c>
      <c r="G17" s="324"/>
      <c r="H17" s="32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6" t="s">
        <v>149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/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79644.41753208045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1</v>
      </c>
      <c r="C21" s="317" t="s">
        <v>161</v>
      </c>
      <c r="D21" s="320">
        <v>0.74</v>
      </c>
      <c r="E21" s="320">
        <v>0.496</v>
      </c>
      <c r="F21" s="317" t="s">
        <v>163</v>
      </c>
      <c r="G21" s="321">
        <v>32233</v>
      </c>
      <c r="H21" s="321">
        <f t="shared" ref="H21:H25" si="1">G21*B21</f>
        <v>32233</v>
      </c>
      <c r="I21" s="265"/>
      <c r="J21" s="47"/>
      <c r="K21" s="322">
        <f>B21</f>
        <v>1</v>
      </c>
      <c r="L21" s="39">
        <f t="shared" ref="L21:M21" si="2">D21+L$19</f>
        <v>0.74</v>
      </c>
      <c r="M21" s="39">
        <f t="shared" si="2"/>
        <v>0.496</v>
      </c>
      <c r="N21" s="261">
        <f>L21*M21</f>
        <v>0.36703999999999998</v>
      </c>
      <c r="O21" s="259">
        <f>N21*K21</f>
        <v>0.36703999999999998</v>
      </c>
      <c r="P21" s="252">
        <f>P$20*N21</f>
        <v>29232.687010974805</v>
      </c>
      <c r="Q21" s="258">
        <f>P21+Q$20</f>
        <v>32232.687010974805</v>
      </c>
      <c r="R21" s="308">
        <f>K21*L21</f>
        <v>0.74</v>
      </c>
      <c r="S21" s="14"/>
      <c r="T21" s="9"/>
      <c r="W21" s="4"/>
    </row>
    <row r="22" spans="2:24" ht="17.399999999999999" x14ac:dyDescent="0.3">
      <c r="B22" s="317">
        <v>3</v>
      </c>
      <c r="C22" s="317" t="s">
        <v>161</v>
      </c>
      <c r="D22" s="320">
        <v>0.74</v>
      </c>
      <c r="E22" s="320">
        <v>0.39600000000000002</v>
      </c>
      <c r="F22" s="317" t="s">
        <v>163</v>
      </c>
      <c r="G22" s="321">
        <v>26339</v>
      </c>
      <c r="H22" s="321">
        <f t="shared" si="1"/>
        <v>79017</v>
      </c>
      <c r="I22" s="265"/>
      <c r="J22" s="47"/>
      <c r="K22" s="322">
        <f t="shared" ref="K22:K25" si="3">B22</f>
        <v>3</v>
      </c>
      <c r="L22" s="39">
        <f t="shared" ref="L22:L25" si="4">D22+L$19</f>
        <v>0.74</v>
      </c>
      <c r="M22" s="39">
        <f t="shared" ref="M22:M25" si="5">E22+M$19</f>
        <v>0.39600000000000002</v>
      </c>
      <c r="N22" s="261">
        <f t="shared" ref="N22:N25" si="6">L22*M22</f>
        <v>0.29304000000000002</v>
      </c>
      <c r="O22" s="259">
        <f t="shared" ref="O22:O25" si="7">N22*K22</f>
        <v>0.87912000000000012</v>
      </c>
      <c r="P22" s="252">
        <f t="shared" ref="P22:P25" si="8">P$20*N22</f>
        <v>23339.000113600858</v>
      </c>
      <c r="Q22" s="258">
        <f t="shared" ref="Q22:Q25" si="9">P22+Q$20</f>
        <v>26339.000113600858</v>
      </c>
      <c r="R22" s="308">
        <f t="shared" ref="R22:R25" si="10">K22*L22</f>
        <v>2.2199999999999998</v>
      </c>
      <c r="S22" s="14"/>
      <c r="T22" s="9"/>
      <c r="W22" s="4"/>
    </row>
    <row r="23" spans="2:24" ht="17.399999999999999" x14ac:dyDescent="0.3">
      <c r="B23" s="317">
        <v>2</v>
      </c>
      <c r="C23" s="317" t="s">
        <v>161</v>
      </c>
      <c r="D23" s="320">
        <v>1.325</v>
      </c>
      <c r="E23" s="320">
        <v>0.39600000000000002</v>
      </c>
      <c r="F23" s="317" t="s">
        <v>163</v>
      </c>
      <c r="G23" s="321">
        <v>44789</v>
      </c>
      <c r="H23" s="321">
        <f t="shared" si="1"/>
        <v>89578</v>
      </c>
      <c r="I23" s="265"/>
      <c r="J23" s="47"/>
      <c r="K23" s="322">
        <f t="shared" si="3"/>
        <v>2</v>
      </c>
      <c r="L23" s="39">
        <f t="shared" si="4"/>
        <v>1.325</v>
      </c>
      <c r="M23" s="39">
        <f t="shared" si="5"/>
        <v>0.39600000000000002</v>
      </c>
      <c r="N23" s="261">
        <f t="shared" si="6"/>
        <v>0.52470000000000006</v>
      </c>
      <c r="O23" s="259">
        <f t="shared" si="7"/>
        <v>1.0494000000000001</v>
      </c>
      <c r="P23" s="252">
        <f t="shared" si="8"/>
        <v>41789.425879082613</v>
      </c>
      <c r="Q23" s="258">
        <f t="shared" si="9"/>
        <v>44789.425879082613</v>
      </c>
      <c r="R23" s="308">
        <f t="shared" si="10"/>
        <v>2.65</v>
      </c>
      <c r="S23" s="14"/>
      <c r="T23" s="9"/>
      <c r="W23" s="4"/>
    </row>
    <row r="24" spans="2:24" ht="17.399999999999999" x14ac:dyDescent="0.3">
      <c r="B24" s="317">
        <v>1</v>
      </c>
      <c r="C24" s="317" t="s">
        <v>162</v>
      </c>
      <c r="D24" s="320">
        <v>1.325</v>
      </c>
      <c r="E24" s="320">
        <v>0.39600000000000002</v>
      </c>
      <c r="F24" s="317" t="s">
        <v>163</v>
      </c>
      <c r="G24" s="321">
        <v>64789</v>
      </c>
      <c r="H24" s="321">
        <f t="shared" si="1"/>
        <v>64789</v>
      </c>
      <c r="I24" s="265"/>
      <c r="J24" s="47"/>
      <c r="K24" s="322">
        <f t="shared" si="3"/>
        <v>1</v>
      </c>
      <c r="L24" s="39">
        <f t="shared" si="4"/>
        <v>1.325</v>
      </c>
      <c r="M24" s="39">
        <f t="shared" si="5"/>
        <v>0.39600000000000002</v>
      </c>
      <c r="N24" s="261">
        <f t="shared" si="6"/>
        <v>0.52470000000000006</v>
      </c>
      <c r="O24" s="259">
        <f t="shared" si="7"/>
        <v>0.52470000000000006</v>
      </c>
      <c r="P24" s="252">
        <f t="shared" si="8"/>
        <v>41789.425879082613</v>
      </c>
      <c r="Q24" s="258">
        <f t="shared" si="9"/>
        <v>44789.425879082613</v>
      </c>
      <c r="R24" s="308">
        <f t="shared" si="10"/>
        <v>1.325</v>
      </c>
      <c r="S24" s="14"/>
      <c r="T24" s="9"/>
      <c r="W24" s="4"/>
    </row>
    <row r="25" spans="2:24" ht="17.399999999999999" x14ac:dyDescent="0.3">
      <c r="B25" s="317">
        <v>1</v>
      </c>
      <c r="C25" s="317" t="s">
        <v>162</v>
      </c>
      <c r="D25" s="320">
        <v>0.74</v>
      </c>
      <c r="E25" s="320">
        <v>0.496</v>
      </c>
      <c r="F25" s="317" t="s">
        <v>163</v>
      </c>
      <c r="G25" s="321">
        <v>52233</v>
      </c>
      <c r="H25" s="321">
        <f t="shared" si="1"/>
        <v>52233</v>
      </c>
      <c r="I25" s="265"/>
      <c r="J25" s="47"/>
      <c r="K25" s="322">
        <f t="shared" si="3"/>
        <v>1</v>
      </c>
      <c r="L25" s="39">
        <f t="shared" si="4"/>
        <v>0.74</v>
      </c>
      <c r="M25" s="39">
        <f t="shared" si="5"/>
        <v>0.496</v>
      </c>
      <c r="N25" s="261">
        <f t="shared" si="6"/>
        <v>0.36703999999999998</v>
      </c>
      <c r="O25" s="259">
        <f t="shared" si="7"/>
        <v>0.36703999999999998</v>
      </c>
      <c r="P25" s="252">
        <f t="shared" si="8"/>
        <v>29232.687010974805</v>
      </c>
      <c r="Q25" s="258">
        <f t="shared" si="9"/>
        <v>32232.687010974805</v>
      </c>
      <c r="R25" s="308">
        <f t="shared" si="10"/>
        <v>0.74</v>
      </c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23"/>
      <c r="H26" s="323"/>
      <c r="I26" s="265"/>
      <c r="J26" s="47"/>
      <c r="K26" s="322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10" t="s">
        <v>30</v>
      </c>
      <c r="H28" s="311">
        <f>SUM(H21:H27)</f>
        <v>317850</v>
      </c>
      <c r="I28" s="265"/>
      <c r="J28" s="47"/>
      <c r="K28" s="47"/>
      <c r="L28" s="39">
        <f>SUM(L21:L21)</f>
        <v>0.74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53</v>
      </c>
      <c r="H29" s="304">
        <f>H28*0.19</f>
        <v>60391.5</v>
      </c>
      <c r="I29" s="265"/>
      <c r="J29" s="47"/>
      <c r="K29" s="47"/>
      <c r="L29" s="39"/>
      <c r="M29" s="12"/>
      <c r="N29" s="12"/>
      <c r="O29" s="253">
        <f>SUM(O21:O25)</f>
        <v>3.1873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378241.5</v>
      </c>
      <c r="I30" s="265"/>
      <c r="J30" s="47"/>
      <c r="K30" s="47"/>
      <c r="L30" s="39"/>
      <c r="M30" s="12"/>
      <c r="N30" s="12"/>
      <c r="O30" s="253">
        <f>O29</f>
        <v>3.1873</v>
      </c>
      <c r="P30" s="14"/>
      <c r="Q30" s="12"/>
      <c r="R30" s="238">
        <f>SUM(R21:R29)</f>
        <v>7.6749999999999998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0.63746000000000003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14"/>
      <c r="K32" s="47"/>
      <c r="L32" s="14"/>
      <c r="M32" s="12"/>
      <c r="N32" s="12"/>
      <c r="O32" s="46">
        <f>O30+O31</f>
        <v>3.8247599999999999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14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/>
      <c r="L34" s="39">
        <f>O32</f>
        <v>3.8247599999999999</v>
      </c>
      <c r="M34" s="12">
        <v>3500</v>
      </c>
      <c r="N34" s="12">
        <f t="shared" ref="N34:N39" si="11">L34*M34</f>
        <v>13386.66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</v>
      </c>
      <c r="M35" s="12">
        <v>45000</v>
      </c>
      <c r="N35" s="12">
        <f t="shared" si="11"/>
        <v>45000</v>
      </c>
      <c r="O35" s="39" t="s">
        <v>156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/>
      <c r="M36" s="250">
        <v>40754</v>
      </c>
      <c r="N36" s="12">
        <f t="shared" si="11"/>
        <v>0</v>
      </c>
      <c r="O36" s="39" t="s">
        <v>32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153</v>
      </c>
      <c r="I37" s="262"/>
      <c r="J37" s="313"/>
      <c r="K37" s="250"/>
      <c r="L37" s="14">
        <v>2</v>
      </c>
      <c r="M37" s="250">
        <v>28500</v>
      </c>
      <c r="N37" s="12">
        <f t="shared" si="11"/>
        <v>57000</v>
      </c>
      <c r="O37" s="14" t="s">
        <v>143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3"/>
      <c r="K38" s="250"/>
      <c r="L38" s="249"/>
      <c r="M38" s="250">
        <v>900</v>
      </c>
      <c r="N38" s="12">
        <f t="shared" si="11"/>
        <v>0</v>
      </c>
      <c r="O38" s="14" t="s">
        <v>34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/>
      <c r="M39" s="12">
        <v>1500</v>
      </c>
      <c r="N39" s="12">
        <f t="shared" si="11"/>
        <v>0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115386.66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55110</v>
      </c>
      <c r="K41" s="250"/>
      <c r="L41" s="254" t="s">
        <v>35</v>
      </c>
      <c r="M41" s="12"/>
      <c r="N41" s="255">
        <f>N40*2.2</f>
        <v>253850.65200000003</v>
      </c>
      <c r="O41" s="14" t="s">
        <v>142</v>
      </c>
      <c r="P41" s="14"/>
      <c r="Q41" s="46">
        <f>O30/Q40</f>
        <v>0.8593884814495254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46310.924369747903</v>
      </c>
      <c r="K42" s="250"/>
      <c r="L42" s="14"/>
      <c r="M42" s="12"/>
      <c r="N42" s="12">
        <f>N41/O30</f>
        <v>79644.41753208045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0.83601311475409834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45831</v>
      </c>
    </row>
    <row r="6" spans="2:31" ht="16.2" thickBot="1" x14ac:dyDescent="0.35">
      <c r="B6" s="140" t="s">
        <v>2</v>
      </c>
      <c r="C6" s="139" t="str">
        <f>'2229'!C10</f>
        <v>OSCAR ALMARZA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11486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-28714.293533454111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317850</v>
      </c>
      <c r="E11" s="132">
        <f>D11*0.19</f>
        <v>60391.5</v>
      </c>
      <c r="F11" s="131">
        <f>E11+D11</f>
        <v>378241.5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77275.706466545889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88220.750787439611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59275.706466545889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229629.24921256039</v>
      </c>
      <c r="E13" s="221">
        <f>(D11/D12)-1</f>
        <v>2.6028938448487309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50275.706466545889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11275.706466545889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145564.23879927534</v>
      </c>
      <c r="F15" s="216">
        <f>E15-D12</f>
        <v>57343.488011835725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11275.706466545889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51275.706466545889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13386.66</v>
      </c>
      <c r="E20" s="121">
        <f>D20*0.19</f>
        <v>2543.4654</v>
      </c>
      <c r="F20" s="120">
        <f>SUM(D20:E20)</f>
        <v>15930.125400000001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58386.66</v>
      </c>
      <c r="E21" s="116">
        <f>SUM(E18:E20)</f>
        <v>11093.465400000001</v>
      </c>
      <c r="F21" s="115">
        <f>SUM(F18:F20)</f>
        <v>69480.125400000004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49298.034599999999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317850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58386.66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229629.24921256039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229629.24921256039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2025-06-19T00:32:02Z</cp:lastPrinted>
  <dcterms:created xsi:type="dcterms:W3CDTF">2013-03-18T13:35:42Z</dcterms:created>
  <dcterms:modified xsi:type="dcterms:W3CDTF">2025-06-23T19:28:37Z</dcterms:modified>
</cp:coreProperties>
</file>