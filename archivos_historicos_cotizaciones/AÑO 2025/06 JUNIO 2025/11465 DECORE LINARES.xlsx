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DC6AA1CD-C0A3-4417-B429-FC82F8AD5E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N38" i="1"/>
  <c r="K21" i="1"/>
  <c r="J39" i="1"/>
  <c r="L21" i="1" l="1"/>
  <c r="L25" i="1" s="1"/>
  <c r="M21" i="1"/>
  <c r="N21" i="1" l="1"/>
  <c r="O21" i="1" s="1"/>
  <c r="O26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H21" i="1"/>
  <c r="R27" i="1"/>
  <c r="H25" i="1" l="1"/>
  <c r="H26" i="1" l="1"/>
  <c r="H27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<sst xmlns="http://schemas.openxmlformats.org/spreadsheetml/2006/main" count="224" uniqueCount="170">
  <si>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</si>
  <si>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</si>
  <si>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</si>
  <si>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</si>
  <si>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</si>
  <si>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</si>
  <si>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</si>
  <si>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</si>
  <si>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</si>
  <si>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</si>
  <si>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</si>
  <si>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</si>
  <si>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</si>
  <si>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</si>
  <si>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</si>
  <si>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</si>
  <si>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</si>
  <si>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</si>
  <si>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</si>
  <si>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</si>
  <si>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</si>
  <si>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</si>
  <si>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</si>
  <si>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</si>
  <si>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</si>
  <si>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</si>
  <si>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</si>
  <si>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</si>
  <si>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</si>
  <si>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</si>
  <si>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</si>
  <si>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</si>
  <si>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</si>
  <si>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</si>
  <si>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</si>
  <si>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</si>
  <si>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</si>
  <si>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</si>
  <si>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</si>
  <si>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</si>
  <si>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</si>
  <si>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</si>
  <si>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</si>
  <si>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</si>
  <si>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</si>
  <si>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</si>
  <si>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</si>
  <si>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</si>
  <si>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</si>
  <si>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</si>
  <si>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</si>
  <si>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</si>
  <si>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</si>
  <si>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</si>
  <si>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</si>
  <si>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</si>
  <si>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</si>
  <si>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</si>
  <si>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</si>
  <si>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</si>
  <si>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</si>
  <si>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</si>
  <si>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</si>
  <si>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</si>
  <si>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</si>
  <si>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</si>
  <si>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</si>
  <si>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</si>
  <si>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</si>
  <si>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</si>
  <si>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</si>
  <si>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</si>
  <si>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</si>
  <si>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</si>
  <si>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</si>
  <si>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</si>
  <si>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</si>
  <si>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</si>
  <si>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</si>
  <si>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</si>
  <si>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</si>
  <si>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</si>
  <si>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</si>
  <si>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</si>
  <si>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</si>
  <si>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</si>
  <si>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</si>
  <si>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</si>
  <si>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</si>
  <si>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</si>
  <si>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</si>
  <si>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</si>
  <si>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</si>
  <si>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</si>
  <si>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</si>
  <si>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</si>
  <si>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</si>
  <si>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</si>
  <si>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</si>
  <si>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</si>
  <si>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</si>
  <si>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</si>
  <si>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</si>
  <si>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</si>
  <si>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</si>
  <si>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</si>
  <si>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</si>
  <si>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</si>
  <si>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</si>
  <si>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</si>
  <si>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</si>
  <si>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</si>
  <si>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</si>
  <si>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</si>
  <si>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</si>
  <si>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</si>
  <si>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</si>
  <si>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</si>
  <si>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</si>
  <si>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</si>
  <si>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</si>
  <si>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</si>
  <si>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</si>
  <si>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</si>
  <si>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</si>
  <si>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</si>
  <si>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</si>
  <si>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</si>
  <si>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</si>
  <si>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</si>
  <si>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</si>
  <si>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</si>
  <si>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</si>
  <si>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</si>
  <si>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</si>
  <si>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</si>
  <si>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</si>
  <si>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</si>
  <si>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</si>
  <si>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</si>
  <si>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</si>
  <si>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</si>
  <si>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</si>
  <si>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</si>
  <si>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</si>
  <si>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</si>
  <si>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</si>
  <si>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</si>
  <si>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</si>
  <si>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</si>
  <si>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</si>
  <si>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</si>
  <si>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</si>
  <si>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</si>
  <si>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</si>
  <si>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</si>
  <si>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</si>
  <si>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N° 11465</t>
  </si>
  <si>
    <t>DECORE LINARES SPA</t>
  </si>
  <si>
    <t>77.727.616-4</t>
  </si>
  <si>
    <t>MUEBLES</t>
  </si>
  <si>
    <t>GERSO QUIJADA</t>
  </si>
  <si>
    <t>+56984999189</t>
  </si>
  <si>
    <t>AV. LEON BUSTOS 01319 LINARES</t>
  </si>
  <si>
    <t>LINARES</t>
  </si>
  <si>
    <t>A CONVENIR</t>
  </si>
  <si>
    <t>POR TRANSPORTES</t>
  </si>
  <si>
    <t>GRIS NUBE 2189 MT F6</t>
  </si>
  <si>
    <t>CORNISA 90° 1 LADO</t>
  </si>
  <si>
    <t>LAMINAS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</si>
</sst>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CORNISAS SE ENTREGAN CON SOBRE MEDIDA EN EL</a:t>
          </a:r>
          <a:r>
            <a:rPr lang="es-CL" sz="1200" b="1" baseline="0"/>
            <a:t> LARGO.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 MDF18MM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2" zoomScale="98" zoomScaleNormal="98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41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157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158</v>
      </c>
      <c r="D10" s="243"/>
      <c r="E10" s="243"/>
      <c r="F10" s="244" t="s">
        <v>0</v>
      </c>
      <c r="G10" s="277">
        <v>45826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 t="s">
        <v>159</v>
      </c>
      <c r="F11" t="s">
        <v>125</v>
      </c>
      <c r="G11" s="289" t="s">
        <v>165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 t="s">
        <v>160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161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L14">
        <v>900</v>
      </c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162</v>
      </c>
      <c r="D15" s="295"/>
      <c r="E15" s="247"/>
      <c r="F15" s="247" t="s">
        <v>136</v>
      </c>
      <c r="G15" s="296" t="s">
        <v>166</v>
      </c>
      <c r="H15" s="248"/>
    </row>
    <row r="16" spans="2:23" ht="16.8" x14ac:dyDescent="0.4">
      <c r="B16" s="292" t="s">
        <v>3</v>
      </c>
      <c r="C16" s="312" t="s">
        <v>163</v>
      </c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164</v>
      </c>
      <c r="D17" s="299"/>
      <c r="E17" s="300"/>
      <c r="F17" s="323" t="s">
        <v>154</v>
      </c>
      <c r="G17" s="323"/>
      <c r="H17" s="32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5" t="s">
        <v>149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7" t="s">
        <v>7</v>
      </c>
      <c r="C20" s="319" t="s">
        <v>1</v>
      </c>
      <c r="D20" s="319" t="s">
        <v>10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33009.429520908328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18">
        <v>300</v>
      </c>
      <c r="C21" s="318" t="s">
        <v>168</v>
      </c>
      <c r="D21" s="321">
        <v>3.06</v>
      </c>
      <c r="E21" s="321">
        <v>0.23</v>
      </c>
      <c r="F21" s="318" t="s">
        <v>167</v>
      </c>
      <c r="G21" s="322">
        <v>24839</v>
      </c>
      <c r="H21" s="322">
        <f t="shared" ref="H21:H22" si="1">G21*B21</f>
        <v>7451700</v>
      </c>
      <c r="I21" s="265"/>
      <c r="J21" s="47"/>
      <c r="K21" s="47">
        <f>B21</f>
        <v>300</v>
      </c>
      <c r="L21" s="39">
        <f t="shared" ref="L21:M21" si="2">D21+L$19</f>
        <v>3.14</v>
      </c>
      <c r="M21" s="39">
        <f t="shared" si="2"/>
        <v>0.23</v>
      </c>
      <c r="N21" s="261">
        <f>L21*M21</f>
        <v>0.72220000000000006</v>
      </c>
      <c r="O21" s="259">
        <f>N21*K21</f>
        <v>216.66000000000003</v>
      </c>
      <c r="P21" s="252">
        <f>P$20*N21</f>
        <v>23839.409999999996</v>
      </c>
      <c r="Q21" s="258">
        <f>P21+Q$20</f>
        <v>26839.409999999996</v>
      </c>
      <c r="R21" s="308">
        <f>K21*L21</f>
        <v>942</v>
      </c>
      <c r="S21" s="14"/>
      <c r="T21" s="9"/>
      <c r="W21" s="4"/>
    </row>
    <row r="22" spans="2:24" ht="17.399999999999999" x14ac:dyDescent="0.3">
      <c r="B22" s="318">
        <v>75</v>
      </c>
      <c r="C22" s="318" t="s">
        <v>169</v>
      </c>
      <c r="D22" s="321">
        <v>3.05</v>
      </c>
      <c r="E22" s="321">
        <v>1.23</v>
      </c>
      <c r="F22" s="318" t="s">
        <v>167</v>
      </c>
      <c r="G22" s="322">
        <v>28000</v>
      </c>
      <c r="H22" s="322">
        <f t="shared" si="1"/>
        <v>2100000</v>
      </c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335"/>
      <c r="G23" s="313"/>
      <c r="H23" s="313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0" t="s">
        <v>30</v>
      </c>
      <c r="H25" s="311">
        <f>SUM(H21:H24)</f>
        <v>9551700</v>
      </c>
      <c r="I25" s="265"/>
      <c r="J25" s="47"/>
      <c r="K25" s="47"/>
      <c r="L25" s="39">
        <f>SUM(L21:L24)</f>
        <v>3.14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H25*19%</f>
        <v>1814823</v>
      </c>
      <c r="I26" s="265"/>
      <c r="J26" s="47"/>
      <c r="K26" s="47"/>
      <c r="L26" s="39"/>
      <c r="M26" s="12"/>
      <c r="N26" s="12"/>
      <c r="O26" s="253">
        <f>SUM(O21:O22)</f>
        <v>216.66000000000003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11366523</v>
      </c>
      <c r="I27" s="265"/>
      <c r="J27" s="47"/>
      <c r="K27" s="47"/>
      <c r="L27" s="39"/>
      <c r="M27" s="12"/>
      <c r="N27" s="12"/>
      <c r="O27" s="253">
        <f>O26</f>
        <v>216.66000000000003</v>
      </c>
      <c r="P27" s="14"/>
      <c r="Q27" s="12"/>
      <c r="R27" s="238">
        <f>SUM(R21:R26)</f>
        <v>942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43.332000000000008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5"/>
      <c r="K29" s="47"/>
      <c r="L29" s="14"/>
      <c r="M29" s="12"/>
      <c r="N29" s="12"/>
      <c r="O29" s="46">
        <f>O27+O28</f>
        <v>259.99200000000002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5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259.99200000000002</v>
      </c>
      <c r="M31" s="12">
        <v>2500</v>
      </c>
      <c r="N31" s="12">
        <f t="shared" ref="N31:N36" si="3">L31*M31</f>
        <v>649980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60</v>
      </c>
      <c r="M32" s="12">
        <v>18890</v>
      </c>
      <c r="N32" s="12">
        <f t="shared" si="3"/>
        <v>1133400</v>
      </c>
      <c r="O32" s="39" t="s">
        <v>155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40754</v>
      </c>
      <c r="N33" s="12">
        <f t="shared" si="3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4"/>
      <c r="K34" s="250"/>
      <c r="L34" s="14">
        <v>75</v>
      </c>
      <c r="M34" s="250">
        <v>21630</v>
      </c>
      <c r="N34" s="12">
        <f t="shared" si="3"/>
        <v>1622250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4"/>
      <c r="K35" s="250"/>
      <c r="L35" s="249"/>
      <c r="M35" s="250">
        <v>800</v>
      </c>
      <c r="N35" s="12">
        <f t="shared" si="3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/>
      <c r="M36" s="12">
        <v>1500</v>
      </c>
      <c r="N36" s="12">
        <f t="shared" si="3"/>
        <v>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3405630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34140</v>
      </c>
      <c r="K38" s="250"/>
      <c r="L38" s="254" t="s">
        <v>35</v>
      </c>
      <c r="M38" s="12"/>
      <c r="N38" s="255">
        <f>N37*2.1</f>
        <v>7151823</v>
      </c>
      <c r="O38" s="14" t="s">
        <v>142</v>
      </c>
      <c r="P38" s="14"/>
      <c r="Q38" s="46">
        <f>O27/Q37</f>
        <v>58.417817083692846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28689.0756302521</v>
      </c>
      <c r="K39" s="250"/>
      <c r="L39" s="14"/>
      <c r="M39" s="12"/>
      <c r="N39" s="12">
        <f>N38/O27</f>
        <v>33009.429520908328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2.1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56.828852459016396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45826</v>
      </c>
    </row>
    <row r="6" spans="2:31" ht="16.2" thickBot="1" x14ac:dyDescent="0.35">
      <c r="B6" s="140" t="s">
        <v>2</v>
      </c>
      <c r="C6" s="139" t="str">
        <f>'2229'!C10</f>
        <v>DECORE LINARES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11465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-1093316.125033454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9551700</v>
      </c>
      <c r="E11" s="132">
        <f>D11*0.19</f>
        <v>1814823</v>
      </c>
      <c r="F11" s="131">
        <f>E11+D11</f>
        <v>11366523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-987326.12503345404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1813214.0907874396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-1005326.125033454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7738485.9092125604</v>
      </c>
      <c r="E13" s="221">
        <f>(D11/D12)-1</f>
        <v>4.267828023469586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-1014326.125033454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-1053326.125033454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2991803.2497992753</v>
      </c>
      <c r="F15" s="216">
        <f>E15-D12</f>
        <v>1178589.1590118357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-1053326.125033454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-1013326.125033454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1133400</v>
      </c>
      <c r="E19" s="123">
        <f>D19*0.19</f>
        <v>215346</v>
      </c>
      <c r="F19" s="120">
        <f>SUM(D19:E19)</f>
        <v>1348746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649980</v>
      </c>
      <c r="E20" s="121">
        <f>D20*0.19</f>
        <v>123496.2</v>
      </c>
      <c r="F20" s="120">
        <f>SUM(D20:E20)</f>
        <v>773476.2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1783380</v>
      </c>
      <c r="E21" s="116">
        <f>SUM(E18:E20)</f>
        <v>338842.2</v>
      </c>
      <c r="F21" s="115">
        <f>SUM(F18:F20)</f>
        <v>2122222.2000000002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1475980.8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9551700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1783380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7738485.9092125604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7738485.9092125604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2025-06-10T22:28:31Z</cp:lastPrinted>
  <dcterms:created xsi:type="dcterms:W3CDTF">2013-03-18T13:35:42Z</dcterms:created>
  <dcterms:modified xsi:type="dcterms:W3CDTF">2025-06-19T00:22:07Z</dcterms:modified>
</cp:coreProperties>
</file>