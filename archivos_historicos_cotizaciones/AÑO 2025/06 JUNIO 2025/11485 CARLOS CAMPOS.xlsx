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E23EC206-CC51-443A-8C75-3F804639EF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H21" i="1"/>
  <c r="N32" i="1"/>
  <c r="N33" i="1"/>
  <c r="N34" i="1"/>
  <c r="J38" i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Q36" i="1" l="1"/>
  <c r="Q37" i="1" s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R26" i="1"/>
  <c r="H24" i="1" l="1"/>
  <c r="H25" i="1" l="1"/>
  <c r="H26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<sst xmlns="http://schemas.openxmlformats.org/spreadsheetml/2006/main" count="218" uniqueCount="164">
  <si>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</si>
  <si>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</si>
  <si>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</si>
  <si>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</si>
  <si>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</si>
  <si>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</si>
  <si>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</si>
  <si>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</si>
  <si>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</si>
  <si>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</si>
  <si>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</si>
  <si>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</si>
  <si>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</si>
  <si>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</si>
  <si>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</si>
  <si>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</si>
  <si>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</si>
  <si>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</si>
  <si>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</si>
  <si>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</si>
  <si>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</si>
  <si>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</si>
  <si>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</si>
  <si>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</si>
  <si>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</si>
  <si>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</si>
  <si>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</si>
  <si>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</si>
  <si>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</si>
  <si>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</si>
  <si>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</si>
  <si>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</si>
  <si>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</si>
  <si>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</si>
  <si>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</si>
  <si>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</si>
  <si>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</si>
  <si>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</si>
  <si>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</si>
  <si>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</si>
  <si>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</si>
  <si>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</si>
  <si>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</si>
  <si>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</si>
  <si>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</si>
  <si>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</si>
  <si>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</si>
  <si>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</si>
  <si>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</si>
  <si>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</si>
  <si>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</si>
  <si>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</si>
  <si>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</si>
  <si>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</si>
  <si>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</si>
  <si>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</si>
  <si>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</si>
  <si>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</si>
  <si>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</si>
  <si>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</si>
  <si>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</si>
  <si>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</si>
  <si>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</si>
  <si>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</si>
  <si>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</si>
  <si>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</si>
  <si>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</si>
  <si>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</si>
  <si>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</si>
  <si>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</si>
  <si>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</si>
  <si>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</si>
  <si>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</si>
  <si>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</si>
  <si>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</si>
  <si>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</si>
  <si>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</si>
  <si>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</si>
  <si>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</si>
  <si>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</si>
  <si>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</si>
  <si>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</si>
  <si>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</si>
  <si>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</si>
  <si>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</si>
  <si>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</si>
  <si>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</si>
  <si>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</si>
  <si>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</si>
  <si>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</si>
  <si>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</si>
  <si>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</si>
  <si>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</si>
  <si>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</si>
  <si>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</si>
  <si>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</si>
  <si>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</si>
  <si>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</si>
  <si>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</si>
  <si>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</si>
  <si>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</si>
  <si>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</si>
  <si>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</si>
  <si>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</si>
  <si>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</si>
  <si>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</si>
  <si>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</si>
  <si>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</si>
  <si>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</si>
  <si>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</si>
  <si>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</si>
  <si>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</si>
  <si>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</si>
  <si>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</si>
  <si>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</si>
  <si>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</si>
  <si>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</si>
  <si>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</si>
  <si>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</si>
  <si>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</si>
  <si>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</si>
  <si>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</si>
  <si>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</si>
  <si>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</si>
  <si>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</si>
  <si>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</si>
  <si>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</si>
  <si>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</si>
  <si>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</si>
  <si>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</si>
  <si>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</si>
  <si>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</si>
  <si>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</si>
  <si>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</si>
  <si>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</si>
  <si>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</si>
  <si>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</si>
  <si>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</si>
  <si>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</si>
  <si>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</si>
  <si>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</si>
  <si>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</si>
  <si>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</si>
  <si>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</si>
  <si>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</si>
  <si>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</si>
  <si>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</si>
  <si>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</si>
  <si>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</si>
  <si>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</si>
  <si>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</si>
  <si>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</si>
  <si>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</si>
  <si>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</si>
  <si>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</si>
  <si>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</si>
  <si>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</si>
  <si>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</si>
  <si>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</si>
  <si>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N° 11485</t>
  </si>
  <si>
    <t>CARLOS CAMPOS</t>
  </si>
  <si>
    <t>+56975238278</t>
  </si>
  <si>
    <t>CUB CON RESPALDO Y FRENTE 180°</t>
  </si>
  <si>
    <t>GRANITO CINZA PP-383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</si>
</sst>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28</xdr:row>
      <xdr:rowOff>28575</xdr:rowOff>
    </xdr:from>
    <xdr:to>
      <xdr:col>8</xdr:col>
      <xdr:colOff>7776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22</xdr:row>
      <xdr:rowOff>217716</xdr:rowOff>
    </xdr:from>
    <xdr:to>
      <xdr:col>5</xdr:col>
      <xdr:colOff>1764031</xdr:colOff>
      <xdr:row>26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</a:t>
          </a:r>
        </a:p>
        <a:p>
          <a:pPr algn="l"/>
          <a:r>
            <a:rPr lang="es-CL" sz="1200" b="1" u="sng" baseline="0">
              <a:solidFill>
                <a:sysClr val="windowText" lastClr="000000"/>
              </a:solidFill>
            </a:rPr>
            <a:t>SUSTRATO: MDF18MM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4" zoomScale="98" zoomScaleNormal="98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7.33203125" customWidth="1"/>
    <col min="4" max="4" width="11.109375" customWidth="1"/>
    <col min="5" max="5" width="10.5546875" customWidth="1"/>
    <col min="6" max="6" width="33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5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45831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4" t="s">
        <v>155</v>
      </c>
      <c r="G17" s="324"/>
      <c r="H17" s="32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6" t="s">
        <v>149</v>
      </c>
      <c r="C19" s="327"/>
      <c r="D19" s="327"/>
      <c r="E19" s="327"/>
      <c r="F19" s="327"/>
      <c r="G19" s="327"/>
      <c r="H19" s="328"/>
      <c r="I19" s="264"/>
      <c r="J19" s="5"/>
      <c r="K19" s="250"/>
      <c r="L19" s="14"/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6" t="s">
        <v>7</v>
      </c>
      <c r="C20" s="318" t="s">
        <v>1</v>
      </c>
      <c r="D20" s="318" t="s">
        <v>10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87240.000000000015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17">
        <v>1</v>
      </c>
      <c r="C21" s="317" t="s">
        <v>162</v>
      </c>
      <c r="D21" s="320">
        <v>2.5</v>
      </c>
      <c r="E21" s="320">
        <v>0.55000000000000004</v>
      </c>
      <c r="F21" s="317" t="s">
        <v>163</v>
      </c>
      <c r="G21" s="321">
        <v>124955</v>
      </c>
      <c r="H21" s="321">
        <f t="shared" ref="H21" si="1">G21*B21</f>
        <v>124955</v>
      </c>
      <c r="I21" s="265"/>
      <c r="J21" s="47"/>
      <c r="K21" s="322">
        <f>B21</f>
        <v>1</v>
      </c>
      <c r="L21" s="39">
        <f t="shared" ref="L21:M21" si="2">D21+L$19</f>
        <v>2.5</v>
      </c>
      <c r="M21" s="39">
        <f t="shared" si="2"/>
        <v>0.55000000000000004</v>
      </c>
      <c r="N21" s="261">
        <f>L21*M21</f>
        <v>1.375</v>
      </c>
      <c r="O21" s="259">
        <f>N21*K21</f>
        <v>1.375</v>
      </c>
      <c r="P21" s="252">
        <f>P$20*N21</f>
        <v>119955.00000000001</v>
      </c>
      <c r="Q21" s="258">
        <f>P21+Q$20</f>
        <v>124955.00000000001</v>
      </c>
      <c r="R21" s="308">
        <f>K21*L21</f>
        <v>2.5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23"/>
      <c r="H22" s="323"/>
      <c r="I22" s="265"/>
      <c r="J22" s="47"/>
      <c r="K22" s="322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30</v>
      </c>
      <c r="H24" s="311">
        <f>SUM(H21:H23)</f>
        <v>124955</v>
      </c>
      <c r="I24" s="265"/>
      <c r="J24" s="47"/>
      <c r="K24" s="47"/>
      <c r="L24" s="39">
        <f>SUM(L21:L21)</f>
        <v>2.5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23741.45</v>
      </c>
      <c r="I25" s="265"/>
      <c r="J25" s="47"/>
      <c r="K25" s="47"/>
      <c r="L25" s="39"/>
      <c r="M25" s="12"/>
      <c r="N25" s="12"/>
      <c r="O25" s="253">
        <f>SUM(O21:O21)</f>
        <v>1.375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148696.45000000001</v>
      </c>
      <c r="I26" s="265"/>
      <c r="J26" s="47"/>
      <c r="K26" s="47"/>
      <c r="L26" s="39"/>
      <c r="M26" s="12"/>
      <c r="N26" s="12"/>
      <c r="O26" s="253">
        <f>O25</f>
        <v>1.375</v>
      </c>
      <c r="P26" s="14"/>
      <c r="Q26" s="12"/>
      <c r="R26" s="238">
        <f>SUM(R21:R25)</f>
        <v>2.5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0.27500000000000002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4"/>
      <c r="K28" s="47"/>
      <c r="L28" s="14"/>
      <c r="M28" s="12"/>
      <c r="N28" s="12"/>
      <c r="O28" s="46">
        <f>O26+O27</f>
        <v>1.65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4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1.65</v>
      </c>
      <c r="M30" s="12">
        <v>3500</v>
      </c>
      <c r="N30" s="12">
        <f t="shared" ref="N30:N35" si="3">L30*M30</f>
        <v>5775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0.4</v>
      </c>
      <c r="M31" s="12">
        <v>25000</v>
      </c>
      <c r="N31" s="12">
        <f t="shared" si="3"/>
        <v>10000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3"/>
      <c r="K33" s="250"/>
      <c r="L33" s="14">
        <v>1</v>
      </c>
      <c r="M33" s="250">
        <v>35000</v>
      </c>
      <c r="N33" s="12">
        <f t="shared" si="3"/>
        <v>35000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3"/>
      <c r="K34" s="250"/>
      <c r="L34" s="249"/>
      <c r="M34" s="250">
        <v>900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>
        <v>2.5</v>
      </c>
      <c r="M35" s="12">
        <v>1500</v>
      </c>
      <c r="N35" s="12">
        <f t="shared" si="3"/>
        <v>3750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54525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55110</v>
      </c>
      <c r="K37" s="250"/>
      <c r="L37" s="254" t="s">
        <v>35</v>
      </c>
      <c r="M37" s="12"/>
      <c r="N37" s="255">
        <f>N36*2.2</f>
        <v>119955.00000000001</v>
      </c>
      <c r="O37" s="14" t="s">
        <v>142</v>
      </c>
      <c r="P37" s="14"/>
      <c r="Q37" s="46">
        <f>O26/Q36</f>
        <v>0.37073986194995684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46310.924369747903</v>
      </c>
      <c r="K38" s="250"/>
      <c r="L38" s="14"/>
      <c r="M38" s="12"/>
      <c r="N38" s="12">
        <f>N37/O26</f>
        <v>87240.000000000015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0.36065573770491799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45831</v>
      </c>
    </row>
    <row r="6" spans="2:31" ht="16.2" thickBot="1" x14ac:dyDescent="0.35">
      <c r="B6" s="140" t="s">
        <v>2</v>
      </c>
      <c r="C6" s="139" t="str">
        <f>'2229'!C10</f>
        <v>CARLOS CAMPOS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0" t="s">
        <v>100</v>
      </c>
      <c r="I7" s="331"/>
      <c r="J7" s="331"/>
      <c r="K7" s="332"/>
      <c r="N7" s="75"/>
      <c r="O7" s="32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11485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-8283.3333667874394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124955</v>
      </c>
      <c r="E11" s="132">
        <f>D11*0.19</f>
        <v>23741.45</v>
      </c>
      <c r="F11" s="131">
        <f>E11+D11</f>
        <v>148696.45000000001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97706.666633212561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45609.090787439614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79706.666633212561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79345.909212560393</v>
      </c>
      <c r="E13" s="221">
        <f>(D11/D12)-1</f>
        <v>1.7396950441821049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70706.666633212561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31706.666633212561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75254.999799275363</v>
      </c>
      <c r="F15" s="216">
        <f>E15-D12</f>
        <v>29645.909011835749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31706.666633212561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71706.666633212561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5775</v>
      </c>
      <c r="E20" s="121">
        <f>D20*0.19</f>
        <v>1097.25</v>
      </c>
      <c r="F20" s="120">
        <f>SUM(D20:E20)</f>
        <v>6872.25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15775</v>
      </c>
      <c r="E21" s="116">
        <f>SUM(E18:E20)</f>
        <v>2997.25</v>
      </c>
      <c r="F21" s="115">
        <f>SUM(F18:F20)</f>
        <v>18772.25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20744.2</v>
      </c>
    </row>
    <row r="41" spans="2:16" ht="15" thickBot="1" x14ac:dyDescent="0.35">
      <c r="H41" s="333" t="s">
        <v>62</v>
      </c>
      <c r="I41" s="334"/>
      <c r="J41" s="334"/>
      <c r="K41" s="334"/>
      <c r="L41" s="334"/>
      <c r="M41" s="33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124955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15775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79345.909212560393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79345.909212560393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2025-06-19T00:32:02Z</cp:lastPrinted>
  <dcterms:created xsi:type="dcterms:W3CDTF">2013-03-18T13:35:42Z</dcterms:created>
  <dcterms:modified xsi:type="dcterms:W3CDTF">2025-06-23T19:15:40Z</dcterms:modified>
</cp:coreProperties>
</file>