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6 JUNIO 2025\"/>
    </mc:Choice>
  </mc:AlternateContent>
  <xr:revisionPtr revIDLastSave="0" documentId="8_{8FC97777-99B2-4FC6-A069-4D88501EB6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  <c r="K22" i="1" l="1"/>
  <c r="L22" i="1"/>
  <c r="M22" i="1"/>
  <c r="K21" i="1"/>
  <c r="N33" i="1"/>
  <c r="N34" i="1"/>
  <c r="N35" i="1"/>
  <c r="J39" i="1"/>
  <c r="N22" i="1" l="1"/>
  <c r="O22" i="1" s="1"/>
  <c r="R22" i="1"/>
  <c r="L21" i="1"/>
  <c r="L25" i="1" s="1"/>
  <c r="M21" i="1"/>
  <c r="N21" i="1" l="1"/>
  <c r="O21" i="1" s="1"/>
  <c r="O26" i="1" s="1"/>
  <c r="R21" i="1"/>
  <c r="N32" i="1"/>
  <c r="O27" i="1" l="1"/>
  <c r="S44" i="1"/>
  <c r="O28" i="1" l="1"/>
  <c r="M20" i="1"/>
  <c r="K20" i="1"/>
  <c r="Q37" i="1" l="1"/>
  <c r="Q38" i="1" s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2" i="1" l="1"/>
  <c r="P21" i="1"/>
  <c r="G21" i="1" s="1"/>
  <c r="H21" i="1" s="1"/>
  <c r="F15" i="3"/>
  <c r="Q22" i="1" l="1"/>
  <c r="G22" i="1"/>
  <c r="H22" i="1" s="1"/>
  <c r="Q21" i="1"/>
  <c r="R27" i="1"/>
  <c r="H34" i="1" l="1"/>
  <c r="H35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<sst xmlns="http://schemas.openxmlformats.org/spreadsheetml/2006/main" count="231" uniqueCount="175">
  <si>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</si>
  <si>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</si>
  <si>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</si>
  <si>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</si>
  <si>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</si>
  <si>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</si>
  <si>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</si>
  <si>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</si>
  <si>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</si>
  <si>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</si>
  <si>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</si>
  <si>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</si>
  <si>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</si>
  <si>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</si>
  <si>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</si>
  <si>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</si>
  <si>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</si>
  <si>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</si>
  <si>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</si>
  <si>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</si>
  <si>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</si>
  <si>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</si>
  <si>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</si>
  <si>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</si>
  <si>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</si>
  <si>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</si>
  <si>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</si>
  <si>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</si>
  <si>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</si>
  <si>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</si>
  <si>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</si>
  <si>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</si>
  <si>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</si>
  <si>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</si>
  <si>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</si>
  <si>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</si>
  <si>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</si>
  <si>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</si>
  <si>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</si>
  <si>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</si>
  <si>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</si>
  <si>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</si>
  <si>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</si>
  <si>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</si>
  <si>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</si>
  <si>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</si>
  <si>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</si>
  <si>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</si>
  <si>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</si>
  <si>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</si>
  <si>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</si>
  <si>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</si>
  <si>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</si>
  <si>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</si>
  <si>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</si>
  <si>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</si>
  <si>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</si>
  <si>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</si>
  <si>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</si>
  <si>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</si>
  <si>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</si>
  <si>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</si>
  <si>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</si>
  <si>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</si>
  <si>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</si>
  <si>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</si>
  <si>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</si>
  <si>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</si>
  <si>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</si>
  <si>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</si>
  <si>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</si>
  <si>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</si>
  <si>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</si>
  <si>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</si>
  <si>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</si>
  <si>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</si>
  <si>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</si>
  <si>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</si>
  <si>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</si>
  <si>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</si>
  <si>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</si>
  <si>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</si>
  <si>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</si>
  <si>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</si>
  <si>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</si>
  <si>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</si>
  <si>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</si>
  <si>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</si>
  <si>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</si>
  <si>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</si>
  <si>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</si>
  <si>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</si>
  <si>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</si>
  <si>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</si>
  <si>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</si>
  <si>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</si>
  <si>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</si>
  <si>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</si>
  <si>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</si>
  <si>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</si>
  <si>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</si>
  <si>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</si>
  <si>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</si>
  <si>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</si>
  <si>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</si>
  <si>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</si>
  <si>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</si>
  <si>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</si>
  <si>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</si>
  <si>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</si>
  <si>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</si>
  <si>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</si>
  <si>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</si>
  <si>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</si>
  <si>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</si>
  <si>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</si>
  <si>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</si>
  <si>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</si>
  <si>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</si>
  <si>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</si>
  <si>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</si>
  <si>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</si>
  <si>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</si>
  <si>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</si>
  <si>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</si>
  <si>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</si>
  <si>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</si>
  <si>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</si>
  <si>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</si>
  <si>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</si>
  <si>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</si>
  <si>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</si>
  <si>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</si>
  <si>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</si>
  <si>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</si>
  <si>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</si>
  <si>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</si>
  <si>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</si>
  <si>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</si>
  <si>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</si>
  <si>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</si>
  <si>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</si>
  <si>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</si>
  <si>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</si>
  <si>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</si>
  <si>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</si>
  <si>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</si>
  <si>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</si>
  <si>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</si>
  <si>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</si>
  <si>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</si>
  <si>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</si>
  <si>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</si>
  <si>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</si>
  <si>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</si>
  <si>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</si>
  <si>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</si>
  <si>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</si>
  <si>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DANIELA SEPULVEDA</t>
  </si>
  <si>
    <t>+569 7850 5612</t>
  </si>
  <si>
    <t>5 DIAS HABILES</t>
  </si>
  <si>
    <t>CUB CON RESPALDO FRENTE 90°</t>
  </si>
  <si>
    <t>WENGUE MT</t>
  </si>
  <si>
    <t>N° 11489</t>
  </si>
  <si>
    <t>INCLUYE:</t>
  </si>
  <si>
    <t>FLETE</t>
  </si>
  <si>
    <t>CORTE Y DESFONDADOS</t>
  </si>
  <si>
    <t>INSUMOS Y MATERIALES PARA UNA CORRECTA INSTALACIÓN</t>
  </si>
  <si>
    <t>6 MESES DE GARANTÍA</t>
  </si>
  <si>
    <t>NO INCLUYE:</t>
  </si>
  <si>
    <t>CONEXIONES DE GASFITERIA</t>
  </si>
  <si>
    <t>LLEVARSE LOS MATERIALES ANTIGUOS (CUBIERTAS, PUERTAS, ETC.)</t>
  </si>
  <si>
    <t>VISITA PARA RECTIFICACIÓN DE MEDIDAS (SE DESCUENTAN AL TOTAL SI EL PRESUPUESTO ES ACEPTADO)</t>
  </si>
  <si>
    <t>SERVICIO DE INSTALACIÓN</t>
  </si>
  <si>
    <t>DESMONTURA DE CUBIERTAS ANTIGUAS  Y MONTAJE DE CUBIERTAS NUEVAS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</si>
</sst>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0"/>
      <name val="Calibri"/>
      <family val="2"/>
      <scheme val="minor"/>
    </font>
    <font>
      <b/>
      <i/>
      <u/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28" fillId="8" borderId="0" xfId="0" applyFont="1" applyFill="1" applyAlignment="1">
      <alignment horizontal="left"/>
    </xf>
    <xf numFmtId="0" fontId="8" fillId="8" borderId="46" xfId="0" applyFont="1" applyFill="1" applyBorder="1"/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14" fontId="28" fillId="0" borderId="0" xfId="0" applyNumberFormat="1" applyFont="1" applyAlignment="1">
      <alignment horizontal="left"/>
    </xf>
    <xf numFmtId="0" fontId="0" fillId="0" borderId="55" xfId="0" applyBorder="1"/>
    <xf numFmtId="0" fontId="28" fillId="0" borderId="0" xfId="0" applyFont="1"/>
    <xf numFmtId="0" fontId="7" fillId="0" borderId="54" xfId="0" applyFont="1" applyBorder="1"/>
    <xf numFmtId="0" fontId="14" fillId="0" borderId="0" xfId="0" applyFont="1"/>
    <xf numFmtId="0" fontId="29" fillId="0" borderId="0" xfId="0" applyFont="1"/>
    <xf numFmtId="0" fontId="24" fillId="8" borderId="0" xfId="0" applyFont="1" applyFill="1"/>
    <xf numFmtId="0" fontId="28" fillId="8" borderId="0" xfId="0" applyFont="1" applyFill="1"/>
    <xf numFmtId="0" fontId="0" fillId="8" borderId="44" xfId="0" applyFill="1" applyBorder="1"/>
    <xf numFmtId="0" fontId="28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3" fillId="20" borderId="2" xfId="0" applyFont="1" applyFill="1" applyBorder="1" applyAlignment="1">
      <alignment horizontal="left" indent="1"/>
    </xf>
    <xf numFmtId="0" fontId="22" fillId="20" borderId="9" xfId="0" applyFont="1" applyFill="1" applyBorder="1"/>
    <xf numFmtId="42" fontId="21" fillId="0" borderId="0" xfId="0" applyNumberFormat="1" applyFont="1"/>
    <xf numFmtId="42" fontId="32" fillId="18" borderId="20" xfId="8" applyFont="1" applyFill="1" applyBorder="1"/>
    <xf numFmtId="42" fontId="32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4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2" fillId="0" borderId="27" xfId="8" applyFont="1" applyFill="1" applyBorder="1"/>
    <xf numFmtId="0" fontId="35" fillId="0" borderId="0" xfId="0" applyFont="1"/>
    <xf numFmtId="167" fontId="31" fillId="0" borderId="0" xfId="0" applyNumberFormat="1" applyFont="1"/>
    <xf numFmtId="167" fontId="0" fillId="0" borderId="0" xfId="0" applyNumberFormat="1" applyAlignment="1">
      <alignment horizontal="center"/>
    </xf>
    <xf numFmtId="0" fontId="23" fillId="20" borderId="3" xfId="0" applyFont="1" applyFill="1" applyBorder="1" applyAlignment="1">
      <alignment horizontal="center"/>
    </xf>
    <xf numFmtId="0" fontId="20" fillId="20" borderId="1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0" fillId="20" borderId="42" xfId="0" applyFont="1" applyFill="1" applyBorder="1" applyAlignment="1">
      <alignment horizontal="center" vertical="center"/>
    </xf>
    <xf numFmtId="0" fontId="20" fillId="20" borderId="10" xfId="0" applyFont="1" applyFill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6" fillId="0" borderId="0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28" fillId="0" borderId="12" xfId="0" applyFont="1" applyBorder="1" applyAlignment="1">
      <alignment horizontal="left" vertical="center"/>
    </xf>
    <xf numFmtId="0" fontId="31" fillId="0" borderId="12" xfId="0" applyFont="1" applyBorder="1" applyAlignment="1">
      <alignment horizontal="center" vertical="center"/>
    </xf>
    <xf numFmtId="166" fontId="31" fillId="0" borderId="12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167" fontId="11" fillId="0" borderId="11" xfId="2" applyNumberFormat="1" applyFont="1" applyFill="1" applyBorder="1" applyAlignment="1">
      <alignment horizontal="center" vertical="center"/>
    </xf>
    <xf numFmtId="0" fontId="0" fillId="0" borderId="59" xfId="0" applyBorder="1"/>
    <xf numFmtId="0" fontId="36" fillId="0" borderId="0" xfId="0" applyFont="1" applyBorder="1" applyAlignment="1">
      <alignment horizontal="left" vertical="center"/>
    </xf>
    <xf numFmtId="0" fontId="0" fillId="0" borderId="0" xfId="0" applyBorder="1"/>
    <xf numFmtId="167" fontId="11" fillId="0" borderId="60" xfId="2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0" fillId="0" borderId="61" xfId="0" applyBorder="1"/>
    <xf numFmtId="0" fontId="0" fillId="0" borderId="16" xfId="0" applyBorder="1"/>
    <xf numFmtId="0" fontId="36" fillId="0" borderId="16" xfId="0" applyFont="1" applyFill="1" applyBorder="1" applyAlignment="1">
      <alignment horizontal="left" vertical="center"/>
    </xf>
    <xf numFmtId="167" fontId="11" fillId="0" borderId="15" xfId="2" applyNumberFormat="1" applyFont="1" applyFill="1" applyBorder="1" applyAlignment="1">
      <alignment horizontal="center" vertical="center"/>
    </xf>
    <xf numFmtId="0" fontId="37" fillId="0" borderId="0" xfId="0" applyFont="1" applyBorder="1" applyAlignment="1">
      <alignment horizontal="left" vertical="center"/>
    </xf>
    <xf numFmtId="0" fontId="38" fillId="0" borderId="0" xfId="0" applyFont="1" applyBorder="1" applyAlignment="1">
      <alignment vertical="center"/>
    </xf>
    <xf numFmtId="0" fontId="0" fillId="0" borderId="57" xfId="0" applyFont="1" applyBorder="1" applyAlignment="1">
      <alignment horizontal="left" indent="1"/>
    </xf>
    <xf numFmtId="0" fontId="0" fillId="0" borderId="22" xfId="0" applyFont="1" applyBorder="1" applyAlignment="1">
      <alignment horizontal="left" indent="1"/>
    </xf>
    <xf numFmtId="0" fontId="0" fillId="0" borderId="21" xfId="0" applyFont="1" applyBorder="1" applyAlignment="1">
      <alignment horizontal="left" indent="1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36</xdr:row>
      <xdr:rowOff>28575</xdr:rowOff>
    </xdr:from>
    <xdr:to>
      <xdr:col>8</xdr:col>
      <xdr:colOff>7776</xdr:colOff>
      <xdr:row>39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63199" y="5743575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38</xdr:row>
      <xdr:rowOff>154305</xdr:rowOff>
    </xdr:from>
    <xdr:to>
      <xdr:col>7</xdr:col>
      <xdr:colOff>853440</xdr:colOff>
      <xdr:row>38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36</xdr:row>
      <xdr:rowOff>9525</xdr:rowOff>
    </xdr:from>
    <xdr:to>
      <xdr:col>5</xdr:col>
      <xdr:colOff>1788367</xdr:colOff>
      <xdr:row>39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7466239"/>
          <a:ext cx="6358618" cy="662668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RESPONSABLES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15552</xdr:colOff>
      <xdr:row>31</xdr:row>
      <xdr:rowOff>217716</xdr:rowOff>
    </xdr:from>
    <xdr:to>
      <xdr:col>5</xdr:col>
      <xdr:colOff>1764031</xdr:colOff>
      <xdr:row>35</xdr:row>
      <xdr:rowOff>15552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7654" y="4610879"/>
          <a:ext cx="5923928" cy="684244"/>
        </a:xfrm>
        <a:prstGeom prst="rect">
          <a:avLst/>
        </a:prstGeom>
        <a:solidFill>
          <a:schemeClr val="bg2"/>
        </a:solidFill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EL AREA DE</a:t>
          </a:r>
          <a:r>
            <a:rPr lang="es-CL" sz="1200" b="1" baseline="0"/>
            <a:t> TRABAJO DEBE ESTAR DESPEJADA.</a:t>
          </a:r>
        </a:p>
        <a:p>
          <a:pPr algn="l"/>
          <a:r>
            <a:rPr lang="es-CL" sz="1200" b="1" u="none" baseline="0">
              <a:solidFill>
                <a:sysClr val="windowText" lastClr="000000"/>
              </a:solidFill>
            </a:rPr>
            <a:t>EL LAVAPLATOS Y ENCIMERA DEBE SER SELLADO POSTERIORMENTE POR EL GASFITER.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  <xdr:twoCellAnchor>
    <xdr:from>
      <xdr:col>2</xdr:col>
      <xdr:colOff>7776</xdr:colOff>
      <xdr:row>29</xdr:row>
      <xdr:rowOff>0</xdr:rowOff>
    </xdr:from>
    <xdr:to>
      <xdr:col>7</xdr:col>
      <xdr:colOff>0</xdr:colOff>
      <xdr:row>29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F8A4333E-8F70-D352-7740-260FAB170BF4}"/>
            </a:ext>
          </a:extLst>
        </xdr:cNvPr>
        <xdr:cNvCxnSpPr/>
      </xdr:nvCxnSpPr>
      <xdr:spPr>
        <a:xfrm>
          <a:off x="1143000" y="5917163"/>
          <a:ext cx="706016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2"/>
  <sheetViews>
    <sheetView tabSelected="1" topLeftCell="A6" zoomScale="98" zoomScaleNormal="98" workbookViewId="0">
      <selection activeCell="J31" sqref="J3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3.332031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7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6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6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6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6" t="s">
        <v>15</v>
      </c>
      <c r="N6" s="30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6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6" t="s">
        <v>128</v>
      </c>
      <c r="C8" s="297"/>
      <c r="D8" s="310" t="s">
        <v>163</v>
      </c>
      <c r="F8" s="56"/>
      <c r="J8" s="49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38" t="s">
        <v>2</v>
      </c>
      <c r="C10" s="274" t="s">
        <v>158</v>
      </c>
      <c r="D10" s="239"/>
      <c r="E10" s="239"/>
      <c r="F10" s="240" t="s">
        <v>0</v>
      </c>
      <c r="G10" s="272">
        <v>45833</v>
      </c>
      <c r="H10" s="241"/>
      <c r="J10" s="1"/>
      <c r="Q10" s="2"/>
      <c r="R10" s="3"/>
      <c r="S10" s="3"/>
      <c r="T10" s="4"/>
      <c r="U10" s="2"/>
      <c r="V10" s="3"/>
    </row>
    <row r="11" spans="2:23" ht="16.8" x14ac:dyDescent="0.4">
      <c r="B11" s="283" t="s">
        <v>12</v>
      </c>
      <c r="C11" s="307"/>
      <c r="F11" t="s">
        <v>125</v>
      </c>
      <c r="G11" s="284" t="s">
        <v>160</v>
      </c>
      <c r="H11" s="285"/>
      <c r="P11" s="19"/>
      <c r="Q11" s="22" t="s">
        <v>19</v>
      </c>
      <c r="R11" s="19"/>
    </row>
    <row r="12" spans="2:23" ht="16.8" x14ac:dyDescent="0.4">
      <c r="B12" s="242" t="s">
        <v>147</v>
      </c>
      <c r="C12" s="307"/>
      <c r="D12" s="243"/>
      <c r="E12" s="243"/>
      <c r="F12" s="243" t="s">
        <v>129</v>
      </c>
      <c r="G12" s="273" t="s">
        <v>137</v>
      </c>
      <c r="H12" s="244"/>
      <c r="P12" s="19"/>
      <c r="Q12" s="22"/>
      <c r="R12" s="19"/>
    </row>
    <row r="13" spans="2:23" x14ac:dyDescent="0.3">
      <c r="B13" s="242" t="s">
        <v>148</v>
      </c>
      <c r="D13" s="243"/>
      <c r="E13" s="243"/>
      <c r="F13" s="243"/>
      <c r="G13" s="273"/>
      <c r="H13" s="244"/>
      <c r="P13" s="19"/>
      <c r="Q13" s="22"/>
      <c r="R13" s="19"/>
    </row>
    <row r="14" spans="2:23" x14ac:dyDescent="0.3">
      <c r="B14" s="283" t="s">
        <v>141</v>
      </c>
      <c r="C14" s="301"/>
      <c r="F14" s="26" t="s">
        <v>138</v>
      </c>
      <c r="G14" s="286" t="s">
        <v>137</v>
      </c>
      <c r="H14" s="285"/>
      <c r="J14" s="26"/>
      <c r="P14" s="20"/>
      <c r="Q14" s="23" t="s">
        <v>18</v>
      </c>
      <c r="R14" s="20"/>
    </row>
    <row r="15" spans="2:23" ht="15.6" x14ac:dyDescent="0.3">
      <c r="B15" s="242" t="s">
        <v>4</v>
      </c>
      <c r="C15" s="304" t="s">
        <v>159</v>
      </c>
      <c r="D15" s="290"/>
      <c r="E15" s="243"/>
      <c r="F15" s="243" t="s">
        <v>136</v>
      </c>
      <c r="G15" s="291" t="s">
        <v>137</v>
      </c>
      <c r="H15" s="244"/>
    </row>
    <row r="16" spans="2:23" ht="16.8" x14ac:dyDescent="0.4">
      <c r="B16" s="287" t="s">
        <v>3</v>
      </c>
      <c r="C16" s="307"/>
      <c r="F16" s="288" t="s">
        <v>131</v>
      </c>
      <c r="G16" s="289" t="s">
        <v>157</v>
      </c>
      <c r="H16" s="285"/>
    </row>
    <row r="17" spans="2:24" ht="15" thickBot="1" x14ac:dyDescent="0.35">
      <c r="B17" s="292" t="s">
        <v>13</v>
      </c>
      <c r="C17" s="293" t="s">
        <v>154</v>
      </c>
      <c r="D17" s="294"/>
      <c r="E17" s="295"/>
      <c r="F17" s="318" t="s">
        <v>155</v>
      </c>
      <c r="G17" s="318"/>
      <c r="H17" s="319"/>
      <c r="I17" s="259"/>
      <c r="S17" s="6"/>
      <c r="T17" s="6"/>
    </row>
    <row r="18" spans="2:24" ht="15.75" customHeight="1" thickBot="1" x14ac:dyDescent="0.35">
      <c r="I18" s="44"/>
      <c r="J18" s="5"/>
      <c r="U18" s="9"/>
      <c r="W18" s="6"/>
      <c r="X18" s="6"/>
    </row>
    <row r="19" spans="2:24" ht="13.5" customHeight="1" x14ac:dyDescent="0.3">
      <c r="B19" s="320" t="s">
        <v>149</v>
      </c>
      <c r="C19" s="321"/>
      <c r="D19" s="321"/>
      <c r="E19" s="321"/>
      <c r="F19" s="321"/>
      <c r="G19" s="321"/>
      <c r="H19" s="322"/>
      <c r="I19" s="260"/>
      <c r="J19" s="5"/>
      <c r="K19" s="246"/>
      <c r="L19" s="14"/>
      <c r="M19" s="14"/>
      <c r="N19" s="14"/>
      <c r="O19" s="247" t="s">
        <v>6</v>
      </c>
      <c r="P19" s="33" t="s">
        <v>21</v>
      </c>
      <c r="Q19" s="34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1" t="s">
        <v>7</v>
      </c>
      <c r="C20" s="313" t="s">
        <v>1</v>
      </c>
      <c r="D20" s="313" t="s">
        <v>10</v>
      </c>
      <c r="E20" s="313" t="s">
        <v>11</v>
      </c>
      <c r="F20" s="313" t="s">
        <v>8</v>
      </c>
      <c r="G20" s="313" t="s">
        <v>5</v>
      </c>
      <c r="H20" s="314" t="s">
        <v>6</v>
      </c>
      <c r="I20" s="261"/>
      <c r="J20" s="44"/>
      <c r="K20" s="264" t="str">
        <f t="shared" ref="K20" si="0">B20</f>
        <v>UNIDAD</v>
      </c>
      <c r="L20" s="263" t="s">
        <v>133</v>
      </c>
      <c r="M20" s="36" t="str">
        <f>E20</f>
        <v>ANCHO</v>
      </c>
      <c r="N20" s="257" t="s">
        <v>134</v>
      </c>
      <c r="O20" s="255" t="s">
        <v>17</v>
      </c>
      <c r="P20" s="248">
        <f>N39</f>
        <v>73996.335282651082</v>
      </c>
      <c r="Q20" s="254">
        <v>3000</v>
      </c>
      <c r="R20" s="35"/>
      <c r="S20" s="14" t="s">
        <v>130</v>
      </c>
      <c r="T20" s="9"/>
      <c r="W20" s="4"/>
    </row>
    <row r="21" spans="2:24" ht="17.399999999999999" x14ac:dyDescent="0.3">
      <c r="B21" s="312">
        <v>1</v>
      </c>
      <c r="C21" s="312" t="s">
        <v>161</v>
      </c>
      <c r="D21" s="315">
        <v>2.4</v>
      </c>
      <c r="E21" s="315">
        <v>0.57999999999999996</v>
      </c>
      <c r="F21" s="312" t="s">
        <v>162</v>
      </c>
      <c r="G21" s="316">
        <f>P21</f>
        <v>103002.8987134503</v>
      </c>
      <c r="H21" s="316">
        <f t="shared" ref="H21:H22" si="1">G21*B21</f>
        <v>103002.8987134503</v>
      </c>
      <c r="I21" s="261"/>
      <c r="J21" s="44"/>
      <c r="K21" s="317">
        <f>B21</f>
        <v>1</v>
      </c>
      <c r="L21" s="36">
        <f t="shared" ref="L21:M21" si="2">D21+L$19</f>
        <v>2.4</v>
      </c>
      <c r="M21" s="36">
        <f t="shared" si="2"/>
        <v>0.57999999999999996</v>
      </c>
      <c r="N21" s="257">
        <f>L21*M21</f>
        <v>1.3919999999999999</v>
      </c>
      <c r="O21" s="255">
        <f>N21*K21</f>
        <v>1.3919999999999999</v>
      </c>
      <c r="P21" s="248">
        <f>P$20*N21</f>
        <v>103002.8987134503</v>
      </c>
      <c r="Q21" s="254">
        <f>P21+Q$20</f>
        <v>106002.8987134503</v>
      </c>
      <c r="R21" s="303">
        <f>K21*L21</f>
        <v>2.4</v>
      </c>
      <c r="S21" s="14"/>
      <c r="T21" s="9"/>
      <c r="W21" s="4"/>
    </row>
    <row r="22" spans="2:24" ht="17.399999999999999" x14ac:dyDescent="0.3">
      <c r="B22" s="312">
        <v>1</v>
      </c>
      <c r="C22" s="312" t="s">
        <v>161</v>
      </c>
      <c r="D22" s="315">
        <v>2.2000000000000002</v>
      </c>
      <c r="E22" s="315">
        <v>0.3</v>
      </c>
      <c r="F22" s="312" t="s">
        <v>162</v>
      </c>
      <c r="G22" s="316">
        <f>P22</f>
        <v>48837.581286549714</v>
      </c>
      <c r="H22" s="316">
        <f t="shared" si="1"/>
        <v>48837.581286549714</v>
      </c>
      <c r="I22" s="261"/>
      <c r="J22" s="44"/>
      <c r="K22" s="317">
        <f t="shared" ref="K22" si="3">B22</f>
        <v>1</v>
      </c>
      <c r="L22" s="36">
        <f t="shared" ref="L22" si="4">D22+L$19</f>
        <v>2.2000000000000002</v>
      </c>
      <c r="M22" s="36">
        <f t="shared" ref="M22" si="5">E22+M$19</f>
        <v>0.3</v>
      </c>
      <c r="N22" s="257">
        <f t="shared" ref="N22" si="6">L22*M22</f>
        <v>0.66</v>
      </c>
      <c r="O22" s="255">
        <f t="shared" ref="O22" si="7">N22*K22</f>
        <v>0.66</v>
      </c>
      <c r="P22" s="248">
        <f t="shared" ref="P22" si="8">P$20*N22</f>
        <v>48837.581286549714</v>
      </c>
      <c r="Q22" s="254">
        <f t="shared" ref="Q22" si="9">P22+Q$20</f>
        <v>51837.581286549714</v>
      </c>
      <c r="R22" s="303">
        <f t="shared" ref="R22" si="10">K22*L22</f>
        <v>2.2000000000000002</v>
      </c>
      <c r="S22" s="14"/>
      <c r="T22" s="9"/>
      <c r="W22" s="4"/>
    </row>
    <row r="23" spans="2:24" ht="17.399999999999999" x14ac:dyDescent="0.3">
      <c r="B23" s="331">
        <v>1</v>
      </c>
      <c r="C23" s="349" t="s">
        <v>172</v>
      </c>
      <c r="D23" s="350"/>
      <c r="E23" s="350"/>
      <c r="F23" s="350"/>
      <c r="G23" s="351"/>
      <c r="H23" s="316">
        <v>25000</v>
      </c>
      <c r="I23" s="261"/>
      <c r="J23" s="44"/>
      <c r="K23" s="317"/>
      <c r="L23" s="36"/>
      <c r="M23" s="36"/>
      <c r="N23" s="257"/>
      <c r="O23" s="255"/>
      <c r="P23" s="248"/>
      <c r="Q23" s="254"/>
      <c r="R23" s="303"/>
      <c r="S23" s="14"/>
      <c r="T23" s="9"/>
      <c r="W23" s="4"/>
    </row>
    <row r="24" spans="2:24" ht="17.399999999999999" x14ac:dyDescent="0.3">
      <c r="B24" s="332">
        <v>1</v>
      </c>
      <c r="C24" s="333" t="s">
        <v>173</v>
      </c>
      <c r="D24" s="334"/>
      <c r="E24" s="335"/>
      <c r="F24" s="334"/>
      <c r="G24" s="336"/>
      <c r="H24" s="337"/>
      <c r="I24" s="228"/>
      <c r="J24" s="44"/>
      <c r="K24" s="44"/>
      <c r="L24" s="36"/>
      <c r="M24" s="36"/>
      <c r="N24" s="257"/>
      <c r="O24" s="255"/>
      <c r="P24" s="248"/>
      <c r="Q24" s="254"/>
      <c r="R24" s="303"/>
      <c r="S24" s="14"/>
      <c r="T24" s="9"/>
      <c r="W24" s="4"/>
    </row>
    <row r="25" spans="2:24" ht="17.399999999999999" x14ac:dyDescent="0.3">
      <c r="B25" s="338"/>
      <c r="C25" s="347" t="s">
        <v>164</v>
      </c>
      <c r="D25" s="339" t="s">
        <v>165</v>
      </c>
      <c r="E25" s="340"/>
      <c r="F25" s="340"/>
      <c r="G25" s="340"/>
      <c r="H25" s="341"/>
      <c r="I25" s="261"/>
      <c r="J25" s="44"/>
      <c r="K25" s="44"/>
      <c r="L25" s="36">
        <f>SUM(L21:L22)</f>
        <v>4.5999999999999996</v>
      </c>
      <c r="M25" s="36"/>
      <c r="N25" s="257"/>
      <c r="O25" s="255"/>
      <c r="P25" s="248"/>
      <c r="Q25" s="254"/>
      <c r="R25" s="303"/>
      <c r="S25" s="14"/>
      <c r="T25" s="9"/>
      <c r="W25" s="4"/>
    </row>
    <row r="26" spans="2:24" ht="17.399999999999999" x14ac:dyDescent="0.3">
      <c r="B26" s="338"/>
      <c r="C26" s="342"/>
      <c r="D26" s="330" t="s">
        <v>174</v>
      </c>
      <c r="E26" s="340"/>
      <c r="F26" s="340"/>
      <c r="G26" s="340"/>
      <c r="H26" s="341"/>
      <c r="I26" s="261"/>
      <c r="J26" s="44"/>
      <c r="K26" s="44"/>
      <c r="L26" s="36"/>
      <c r="M26" s="12"/>
      <c r="N26" s="12"/>
      <c r="O26" s="249">
        <f>SUM(O21:O22)</f>
        <v>2.052</v>
      </c>
      <c r="P26" s="14"/>
      <c r="Q26" s="12"/>
      <c r="R26" s="234"/>
      <c r="S26" s="14"/>
      <c r="T26" s="9"/>
      <c r="W26" s="4"/>
    </row>
    <row r="27" spans="2:24" ht="17.399999999999999" x14ac:dyDescent="0.3">
      <c r="B27" s="338"/>
      <c r="C27" s="342"/>
      <c r="D27" s="330" t="s">
        <v>166</v>
      </c>
      <c r="E27" s="340"/>
      <c r="F27" s="340"/>
      <c r="G27" s="340"/>
      <c r="H27" s="341"/>
      <c r="I27" s="261"/>
      <c r="J27" s="44"/>
      <c r="K27" s="44"/>
      <c r="L27" s="36"/>
      <c r="M27" s="12"/>
      <c r="N27" s="12"/>
      <c r="O27" s="249">
        <f>O26</f>
        <v>2.052</v>
      </c>
      <c r="P27" s="14"/>
      <c r="Q27" s="12"/>
      <c r="R27" s="234">
        <f>SUM(R21:R26)</f>
        <v>4.5999999999999996</v>
      </c>
      <c r="S27" s="14"/>
      <c r="T27" s="9"/>
      <c r="W27" s="4"/>
    </row>
    <row r="28" spans="2:24" ht="17.399999999999999" x14ac:dyDescent="0.3">
      <c r="B28" s="338"/>
      <c r="C28" s="342"/>
      <c r="D28" s="330" t="s">
        <v>167</v>
      </c>
      <c r="E28" s="340"/>
      <c r="F28" s="340"/>
      <c r="G28" s="340"/>
      <c r="H28" s="341"/>
      <c r="I28" s="261"/>
      <c r="J28" s="44"/>
      <c r="K28" s="44"/>
      <c r="L28" s="14"/>
      <c r="M28" s="12"/>
      <c r="N28" s="12"/>
      <c r="O28" s="36">
        <f>O27*20%</f>
        <v>0.41040000000000004</v>
      </c>
      <c r="P28" s="36" t="s">
        <v>132</v>
      </c>
      <c r="Q28" s="39"/>
      <c r="R28" s="235"/>
      <c r="S28" s="14"/>
      <c r="T28" s="9"/>
      <c r="W28" s="4"/>
    </row>
    <row r="29" spans="2:24" ht="17.399999999999999" x14ac:dyDescent="0.3">
      <c r="B29" s="338"/>
      <c r="C29" s="342"/>
      <c r="D29" s="330" t="s">
        <v>168</v>
      </c>
      <c r="E29" s="340"/>
      <c r="F29" s="340"/>
      <c r="G29" s="340"/>
      <c r="H29" s="341"/>
      <c r="I29" s="261"/>
      <c r="J29" s="309"/>
      <c r="K29" s="44"/>
      <c r="L29" s="14"/>
      <c r="M29" s="12"/>
      <c r="N29" s="12"/>
      <c r="O29" s="43">
        <f>O27+O28</f>
        <v>2.4624000000000001</v>
      </c>
      <c r="P29" s="14"/>
      <c r="Q29" s="14"/>
      <c r="R29" s="233">
        <v>40</v>
      </c>
      <c r="S29" s="14"/>
      <c r="T29" s="9"/>
      <c r="W29" s="4"/>
    </row>
    <row r="30" spans="2:24" ht="17.399999999999999" x14ac:dyDescent="0.3">
      <c r="B30" s="338"/>
      <c r="C30" s="348" t="s">
        <v>169</v>
      </c>
      <c r="D30" s="342" t="s">
        <v>170</v>
      </c>
      <c r="E30" s="340"/>
      <c r="F30" s="340"/>
      <c r="G30" s="340"/>
      <c r="H30" s="341"/>
      <c r="I30" s="261"/>
      <c r="J30" s="309"/>
      <c r="K30" s="44"/>
      <c r="L30" s="14"/>
      <c r="M30" s="14"/>
      <c r="N30" s="14"/>
      <c r="O30" s="14"/>
      <c r="P30" s="14"/>
      <c r="Q30" s="14"/>
      <c r="R30" s="233"/>
      <c r="S30" s="14"/>
      <c r="T30" s="9"/>
      <c r="W30" s="4"/>
    </row>
    <row r="31" spans="2:24" ht="17.399999999999999" x14ac:dyDescent="0.3">
      <c r="B31" s="343"/>
      <c r="C31" s="344"/>
      <c r="D31" s="345" t="s">
        <v>171</v>
      </c>
      <c r="E31" s="344"/>
      <c r="F31" s="344"/>
      <c r="G31" s="344"/>
      <c r="H31" s="346">
        <v>150000</v>
      </c>
      <c r="I31" s="261"/>
      <c r="J31" s="44"/>
      <c r="K31" s="44"/>
      <c r="L31" s="36">
        <f>O29</f>
        <v>2.4624000000000001</v>
      </c>
      <c r="M31" s="12">
        <v>3500</v>
      </c>
      <c r="N31" s="12">
        <f t="shared" ref="N31:N36" si="11">L31*M31</f>
        <v>8618.4</v>
      </c>
      <c r="O31" s="14" t="s">
        <v>22</v>
      </c>
      <c r="P31" s="14" t="s">
        <v>23</v>
      </c>
      <c r="Q31" s="14"/>
      <c r="R31" s="236"/>
      <c r="S31" s="14"/>
      <c r="T31" s="9"/>
      <c r="W31" s="4"/>
    </row>
    <row r="32" spans="2:24" ht="18" thickBot="1" x14ac:dyDescent="0.35">
      <c r="I32" s="261"/>
      <c r="J32" s="44"/>
      <c r="K32" s="44"/>
      <c r="L32" s="245">
        <v>0.6</v>
      </c>
      <c r="M32" s="12">
        <v>25000</v>
      </c>
      <c r="N32" s="12">
        <f t="shared" si="11"/>
        <v>15000</v>
      </c>
      <c r="O32" s="36" t="s">
        <v>156</v>
      </c>
      <c r="P32" s="39"/>
      <c r="Q32" s="14"/>
      <c r="R32" s="235"/>
      <c r="S32" s="14"/>
      <c r="T32" s="9"/>
      <c r="W32" s="4"/>
    </row>
    <row r="33" spans="1:23" s="226" customFormat="1" ht="17.399999999999999" x14ac:dyDescent="0.35">
      <c r="A33"/>
      <c r="B33" s="281"/>
      <c r="C33" s="281"/>
      <c r="D33" s="282"/>
      <c r="E33" s="282"/>
      <c r="F33" s="281"/>
      <c r="G33" s="305" t="s">
        <v>30</v>
      </c>
      <c r="H33" s="306">
        <f>SUM(H21:H31)</f>
        <v>326840.48</v>
      </c>
      <c r="I33" s="258"/>
      <c r="J33" s="44"/>
      <c r="K33" s="246"/>
      <c r="L33" s="14"/>
      <c r="M33" s="246">
        <v>40754</v>
      </c>
      <c r="N33" s="12">
        <f t="shared" si="11"/>
        <v>0</v>
      </c>
      <c r="O33" s="36" t="s">
        <v>32</v>
      </c>
      <c r="P33" s="39"/>
      <c r="R33" s="235"/>
      <c r="S33" s="252"/>
      <c r="V33" s="227"/>
    </row>
    <row r="34" spans="1:23" s="226" customFormat="1" ht="17.399999999999999" x14ac:dyDescent="0.35">
      <c r="A34"/>
      <c r="B34" s="275"/>
      <c r="C34" s="278"/>
      <c r="D34" s="279"/>
      <c r="E34" s="279"/>
      <c r="F34" s="280"/>
      <c r="G34" s="302" t="s">
        <v>53</v>
      </c>
      <c r="H34" s="299">
        <f>H33*0.19</f>
        <v>62099.691199999994</v>
      </c>
      <c r="I34" s="258"/>
      <c r="J34" s="308"/>
      <c r="K34" s="246"/>
      <c r="L34" s="14">
        <v>1</v>
      </c>
      <c r="M34" s="246">
        <v>38500</v>
      </c>
      <c r="N34" s="12">
        <f t="shared" si="11"/>
        <v>38500</v>
      </c>
      <c r="O34" s="14" t="s">
        <v>143</v>
      </c>
      <c r="P34" s="17"/>
      <c r="R34" s="233"/>
      <c r="S34" s="252"/>
      <c r="V34" s="227"/>
    </row>
    <row r="35" spans="1:23" s="226" customFormat="1" ht="18" thickBot="1" x14ac:dyDescent="0.4">
      <c r="A35"/>
      <c r="B35" s="271"/>
      <c r="C35" s="277"/>
      <c r="D35" s="268"/>
      <c r="E35" s="268"/>
      <c r="F35" s="269"/>
      <c r="G35" s="276" t="s">
        <v>6</v>
      </c>
      <c r="H35" s="300">
        <f>H33+H34</f>
        <v>388940.17119999998</v>
      </c>
      <c r="I35" s="258"/>
      <c r="J35" s="308"/>
      <c r="K35" s="246"/>
      <c r="L35" s="245"/>
      <c r="M35" s="246">
        <v>900</v>
      </c>
      <c r="N35" s="12">
        <f t="shared" si="11"/>
        <v>0</v>
      </c>
      <c r="O35" s="14" t="s">
        <v>34</v>
      </c>
      <c r="P35" s="14"/>
      <c r="Q35" s="226">
        <v>1.52</v>
      </c>
      <c r="R35" s="233"/>
      <c r="S35" s="233"/>
    </row>
    <row r="36" spans="1:23" s="226" customFormat="1" ht="17.399999999999999" x14ac:dyDescent="0.35">
      <c r="A36"/>
      <c r="B36" s="271"/>
      <c r="C36" s="267"/>
      <c r="D36" s="268"/>
      <c r="E36" s="268"/>
      <c r="F36" s="269"/>
      <c r="G36"/>
      <c r="H36"/>
      <c r="I36" s="298"/>
      <c r="J36" s="44"/>
      <c r="K36" s="246"/>
      <c r="L36" s="262">
        <v>4.5999999999999996</v>
      </c>
      <c r="M36" s="12">
        <v>1500</v>
      </c>
      <c r="N36" s="12">
        <f t="shared" si="11"/>
        <v>6899.9999999999991</v>
      </c>
      <c r="O36" s="14" t="s">
        <v>24</v>
      </c>
      <c r="P36" s="14"/>
      <c r="Q36">
        <v>2.44</v>
      </c>
      <c r="R36"/>
      <c r="S36" s="233">
        <v>1500</v>
      </c>
      <c r="W36" s="227"/>
    </row>
    <row r="37" spans="1:23" s="226" customFormat="1" ht="17.399999999999999" x14ac:dyDescent="0.35">
      <c r="A37"/>
      <c r="B37" s="265"/>
      <c r="E37" s="228"/>
      <c r="F37" s="229"/>
      <c r="H37" s="270"/>
      <c r="J37" s="44"/>
      <c r="K37" s="246"/>
      <c r="L37" s="14"/>
      <c r="M37" s="12"/>
      <c r="N37" s="12">
        <f>SUM(N31:N36)</f>
        <v>69018.399999999994</v>
      </c>
      <c r="O37" s="36" t="s">
        <v>25</v>
      </c>
      <c r="P37" s="14"/>
      <c r="Q37">
        <f>Q35*Q36</f>
        <v>3.7088000000000001</v>
      </c>
      <c r="R37"/>
      <c r="S37" s="233">
        <f>R29*S36</f>
        <v>60000</v>
      </c>
      <c r="W37" s="227"/>
    </row>
    <row r="38" spans="1:23" s="226" customFormat="1" ht="17.399999999999999" x14ac:dyDescent="0.35">
      <c r="A38"/>
      <c r="B38" s="230"/>
      <c r="C38" s="231"/>
      <c r="D38" s="232"/>
      <c r="E38" s="230"/>
      <c r="H38"/>
      <c r="J38" s="44">
        <v>55110</v>
      </c>
      <c r="K38" s="246"/>
      <c r="L38" s="250" t="s">
        <v>35</v>
      </c>
      <c r="M38" s="12"/>
      <c r="N38" s="251">
        <f>N37*2.2</f>
        <v>151840.48000000001</v>
      </c>
      <c r="O38" s="14" t="s">
        <v>142</v>
      </c>
      <c r="P38" s="14"/>
      <c r="Q38" s="43">
        <f>O27/Q37</f>
        <v>0.55327868852459017</v>
      </c>
      <c r="R38"/>
      <c r="S38" s="253" t="e">
        <f>S37/#REF!</f>
        <v>#REF!</v>
      </c>
    </row>
    <row r="39" spans="1:23" s="226" customFormat="1" ht="17.399999999999999" x14ac:dyDescent="0.35">
      <c r="A39"/>
      <c r="H39"/>
      <c r="I39" s="256"/>
      <c r="J39" s="44">
        <f>J38/1.19</f>
        <v>46310.924369747903</v>
      </c>
      <c r="K39" s="246"/>
      <c r="L39" s="14"/>
      <c r="M39" s="12"/>
      <c r="N39" s="12">
        <f>N38/O27</f>
        <v>73996.335282651082</v>
      </c>
      <c r="O39" s="42" t="s">
        <v>26</v>
      </c>
      <c r="P39" s="14"/>
      <c r="Q39" s="14"/>
      <c r="R39"/>
      <c r="S39" s="233"/>
    </row>
    <row r="40" spans="1:23" s="226" customFormat="1" ht="17.399999999999999" x14ac:dyDescent="0.35">
      <c r="J40" s="44"/>
      <c r="K40" s="246"/>
      <c r="L40" s="13"/>
      <c r="M40" s="14"/>
      <c r="N40" s="17">
        <f>N38/N37</f>
        <v>2.2000000000000002</v>
      </c>
      <c r="O40" s="15"/>
      <c r="P40"/>
      <c r="Q40"/>
      <c r="R40"/>
      <c r="S40" s="233"/>
    </row>
    <row r="41" spans="1:23" s="226" customFormat="1" ht="17.399999999999999" x14ac:dyDescent="0.35">
      <c r="B41" s="21" t="s">
        <v>153</v>
      </c>
      <c r="J41" s="44"/>
      <c r="K41" s="12"/>
      <c r="S41" s="233"/>
    </row>
    <row r="42" spans="1:23" s="226" customFormat="1" ht="17.399999999999999" x14ac:dyDescent="0.35">
      <c r="B42" s="21" t="s">
        <v>146</v>
      </c>
      <c r="C42"/>
      <c r="D42"/>
      <c r="E42"/>
      <c r="F42"/>
      <c r="J42" s="44"/>
      <c r="K42" s="12"/>
      <c r="S42" s="233">
        <v>1.83</v>
      </c>
    </row>
    <row r="43" spans="1:23" ht="14.4" customHeight="1" x14ac:dyDescent="0.35">
      <c r="A43" s="226"/>
      <c r="B43" s="26" t="s">
        <v>127</v>
      </c>
      <c r="F43" s="225" t="s">
        <v>16</v>
      </c>
      <c r="G43" s="226"/>
      <c r="H43" s="226"/>
      <c r="J43" s="44"/>
      <c r="K43" s="12"/>
      <c r="S43">
        <v>2.5</v>
      </c>
    </row>
    <row r="44" spans="1:23" x14ac:dyDescent="0.3">
      <c r="J44" s="44"/>
      <c r="K44" s="246"/>
      <c r="S44">
        <f>S42*S43</f>
        <v>4.5750000000000002</v>
      </c>
    </row>
    <row r="45" spans="1:23" x14ac:dyDescent="0.3">
      <c r="K45" s="246"/>
      <c r="S45" s="266">
        <f>O29/S44</f>
        <v>0.53822950819672133</v>
      </c>
    </row>
    <row r="46" spans="1:23" x14ac:dyDescent="0.3">
      <c r="K46" s="246"/>
    </row>
    <row r="47" spans="1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1"/>
      <c r="O51" s="51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0"/>
    </row>
    <row r="64" spans="14:19" x14ac:dyDescent="0.3">
      <c r="N64" s="40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3">
    <mergeCell ref="F17:H17"/>
    <mergeCell ref="B19:H19"/>
    <mergeCell ref="C23:G23"/>
  </mergeCells>
  <phoneticPr fontId="33" type="noConversion"/>
  <hyperlinks>
    <hyperlink ref="F4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4" t="s">
        <v>107</v>
      </c>
      <c r="C2" s="45"/>
      <c r="D2" s="45"/>
      <c r="E2" s="143"/>
      <c r="F2" s="6"/>
    </row>
    <row r="3" spans="2:31" ht="18" x14ac:dyDescent="0.35">
      <c r="E3" s="142"/>
      <c r="F3" s="141"/>
    </row>
    <row r="5" spans="2:31" ht="15.6" x14ac:dyDescent="0.3">
      <c r="B5" s="137" t="s">
        <v>0</v>
      </c>
      <c r="C5" s="140">
        <f>'2229'!G10</f>
        <v>45833</v>
      </c>
    </row>
    <row r="6" spans="2:31" ht="16.2" thickBot="1" x14ac:dyDescent="0.35">
      <c r="B6" s="137" t="s">
        <v>2</v>
      </c>
      <c r="C6" s="136" t="str">
        <f>'2229'!C10</f>
        <v>DANIELA SEPULVEDA</v>
      </c>
      <c r="D6" s="135"/>
      <c r="E6" s="135"/>
      <c r="F6" s="135"/>
      <c r="N6" s="72" t="s">
        <v>106</v>
      </c>
      <c r="O6" s="72"/>
      <c r="P6" s="139" t="s">
        <v>105</v>
      </c>
      <c r="Q6" s="139"/>
    </row>
    <row r="7" spans="2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24" t="s">
        <v>100</v>
      </c>
      <c r="I7" s="325"/>
      <c r="J7" s="325"/>
      <c r="K7" s="326"/>
      <c r="N7" s="72"/>
      <c r="O7" s="323" t="s">
        <v>104</v>
      </c>
      <c r="P7" s="138" t="s">
        <v>103</v>
      </c>
      <c r="Q7" s="138"/>
    </row>
    <row r="8" spans="2:31" ht="16.2" thickBot="1" x14ac:dyDescent="0.35">
      <c r="B8" s="137" t="s">
        <v>102</v>
      </c>
      <c r="C8" s="136" t="str">
        <f>'2229'!D8</f>
        <v>N° 11489</v>
      </c>
      <c r="D8" s="135"/>
      <c r="E8" s="135"/>
      <c r="F8" s="135"/>
      <c r="H8" s="179" t="s">
        <v>119</v>
      </c>
      <c r="I8" s="151" t="s">
        <v>118</v>
      </c>
      <c r="J8" s="224" t="s">
        <v>97</v>
      </c>
      <c r="K8" s="132" t="s">
        <v>6</v>
      </c>
      <c r="L8" s="131" t="s">
        <v>6</v>
      </c>
      <c r="N8" s="72"/>
      <c r="O8" s="323"/>
      <c r="P8" s="72" t="s">
        <v>101</v>
      </c>
      <c r="Q8" s="72"/>
      <c r="X8">
        <f>SUM(Q11:Q16)</f>
        <v>6</v>
      </c>
    </row>
    <row r="9" spans="2:31" ht="15" thickBot="1" x14ac:dyDescent="0.35">
      <c r="H9" s="194" t="s">
        <v>98</v>
      </c>
      <c r="I9" s="195" t="s">
        <v>117</v>
      </c>
      <c r="J9" s="180" t="s">
        <v>94</v>
      </c>
      <c r="K9" s="153"/>
      <c r="L9" s="99">
        <f>SUM(K10:K23)</f>
        <v>2550</v>
      </c>
      <c r="S9" s="25" t="s">
        <v>9</v>
      </c>
      <c r="T9" s="25"/>
      <c r="W9" s="8"/>
      <c r="X9" s="173">
        <f>(E15-D11)/X8</f>
        <v>-39773.978366787436</v>
      </c>
    </row>
    <row r="10" spans="2:31" ht="16.2" thickBot="1" x14ac:dyDescent="0.35">
      <c r="D10" s="215" t="s">
        <v>30</v>
      </c>
      <c r="E10" s="216" t="s">
        <v>53</v>
      </c>
      <c r="F10" s="217" t="s">
        <v>6</v>
      </c>
      <c r="H10" s="187">
        <v>3</v>
      </c>
      <c r="I10" s="201">
        <v>350</v>
      </c>
      <c r="J10" s="198" t="s">
        <v>34</v>
      </c>
      <c r="K10" s="154">
        <f t="shared" ref="K10:K23" si="0">I10*H10</f>
        <v>1050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2:31" ht="16.2" thickBot="1" x14ac:dyDescent="0.35">
      <c r="C11" s="208" t="s">
        <v>95</v>
      </c>
      <c r="D11" s="130">
        <f>'2229'!H33</f>
        <v>326840.48</v>
      </c>
      <c r="E11" s="129">
        <f>D11*0.19</f>
        <v>62099.691199999994</v>
      </c>
      <c r="F11" s="128">
        <f>E11+D11</f>
        <v>388940.17119999998</v>
      </c>
      <c r="H11" s="188">
        <v>3</v>
      </c>
      <c r="I11" s="171">
        <v>500</v>
      </c>
      <c r="J11" s="145" t="s">
        <v>24</v>
      </c>
      <c r="K11" s="155">
        <f t="shared" si="0"/>
        <v>1500</v>
      </c>
      <c r="Q11" s="7">
        <v>1</v>
      </c>
      <c r="R11" s="7" t="s">
        <v>37</v>
      </c>
      <c r="S11" s="48">
        <v>2.8</v>
      </c>
      <c r="T11" s="48">
        <v>0.62</v>
      </c>
      <c r="U11" s="7" t="s">
        <v>40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66216.021633212571</v>
      </c>
      <c r="Y11" s="172">
        <v>108990</v>
      </c>
      <c r="AA11" s="6"/>
      <c r="AB11" s="6"/>
      <c r="AC11" s="222"/>
      <c r="AD11" s="50"/>
      <c r="AE11" s="219"/>
    </row>
    <row r="12" spans="2:31" ht="16.2" thickBot="1" x14ac:dyDescent="0.35">
      <c r="C12" s="134" t="s">
        <v>99</v>
      </c>
      <c r="D12" s="133">
        <f>SUM(M43:M45)</f>
        <v>53452.490787439616</v>
      </c>
      <c r="F12" s="58"/>
      <c r="H12" s="188">
        <v>0</v>
      </c>
      <c r="I12" s="171">
        <v>7500</v>
      </c>
      <c r="J12" s="147" t="s">
        <v>113</v>
      </c>
      <c r="K12" s="155">
        <f t="shared" si="0"/>
        <v>0</v>
      </c>
      <c r="L12" s="58"/>
      <c r="Q12" s="7">
        <v>1</v>
      </c>
      <c r="R12" s="7" t="s">
        <v>37</v>
      </c>
      <c r="S12" s="48">
        <v>2.2999999999999998</v>
      </c>
      <c r="T12" s="48">
        <v>0.62</v>
      </c>
      <c r="U12" s="7" t="s">
        <v>40</v>
      </c>
      <c r="V12" s="52">
        <v>87990</v>
      </c>
      <c r="W12" s="46">
        <f t="shared" si="1"/>
        <v>87990</v>
      </c>
      <c r="X12" s="173">
        <f t="shared" si="2"/>
        <v>48216.021633212564</v>
      </c>
      <c r="Y12" s="172">
        <v>89990</v>
      </c>
      <c r="Z12" s="2"/>
      <c r="AA12" s="220"/>
      <c r="AB12" s="221"/>
      <c r="AC12" s="222"/>
      <c r="AD12" s="50"/>
      <c r="AE12" s="219"/>
    </row>
    <row r="13" spans="2:31" ht="16.2" thickBot="1" x14ac:dyDescent="0.35">
      <c r="C13" s="209" t="s">
        <v>93</v>
      </c>
      <c r="D13" s="214">
        <f>D11-D12</f>
        <v>273387.98921256035</v>
      </c>
      <c r="E13" s="218">
        <f>(D11/D12)-1</f>
        <v>5.1145977518563397</v>
      </c>
      <c r="H13" s="188">
        <v>0</v>
      </c>
      <c r="I13" s="171">
        <v>50</v>
      </c>
      <c r="J13" s="147" t="s">
        <v>114</v>
      </c>
      <c r="K13" s="155">
        <f t="shared" si="0"/>
        <v>0</v>
      </c>
      <c r="L13" s="58"/>
      <c r="Q13" s="7">
        <v>1</v>
      </c>
      <c r="R13" s="7" t="s">
        <v>37</v>
      </c>
      <c r="S13" s="48">
        <v>2.0299999999999998</v>
      </c>
      <c r="T13" s="48">
        <v>0.62</v>
      </c>
      <c r="U13" s="7" t="s">
        <v>40</v>
      </c>
      <c r="V13" s="52">
        <v>78990</v>
      </c>
      <c r="W13" s="46">
        <f t="shared" si="1"/>
        <v>78990</v>
      </c>
      <c r="X13" s="173">
        <f t="shared" si="2"/>
        <v>39216.021633212564</v>
      </c>
      <c r="Y13" s="172">
        <v>81990</v>
      </c>
      <c r="Z13" s="2"/>
      <c r="AA13" s="220"/>
      <c r="AB13" s="221"/>
      <c r="AC13" s="222"/>
      <c r="AD13" s="50"/>
      <c r="AE13" s="219"/>
    </row>
    <row r="14" spans="2:31" ht="15" thickBot="1" x14ac:dyDescent="0.35">
      <c r="D14" s="143" t="s">
        <v>124</v>
      </c>
      <c r="E14" s="176" t="s">
        <v>30</v>
      </c>
      <c r="F14" s="175" t="s">
        <v>112</v>
      </c>
      <c r="H14" s="188">
        <v>0</v>
      </c>
      <c r="I14" s="171">
        <v>50</v>
      </c>
      <c r="J14" s="147" t="s">
        <v>115</v>
      </c>
      <c r="K14" s="155">
        <f t="shared" si="0"/>
        <v>0</v>
      </c>
      <c r="L14" s="58"/>
      <c r="P14" s="123"/>
      <c r="Q14" s="7">
        <v>1</v>
      </c>
      <c r="R14" s="7" t="s">
        <v>37</v>
      </c>
      <c r="S14" s="48">
        <v>1.08</v>
      </c>
      <c r="T14" s="48">
        <v>0.62</v>
      </c>
      <c r="U14" s="7" t="s">
        <v>40</v>
      </c>
      <c r="V14" s="52">
        <v>39990</v>
      </c>
      <c r="W14" s="46">
        <f t="shared" si="1"/>
        <v>39990</v>
      </c>
      <c r="X14" s="173">
        <f t="shared" si="2"/>
        <v>216.02163321256376</v>
      </c>
      <c r="Y14" s="172">
        <v>39990</v>
      </c>
      <c r="Z14" s="2"/>
      <c r="AA14" s="220"/>
      <c r="AB14" s="221"/>
      <c r="AC14" s="222"/>
      <c r="AD14" s="50"/>
      <c r="AE14" s="219"/>
    </row>
    <row r="15" spans="2:31" ht="15" thickBot="1" x14ac:dyDescent="0.35">
      <c r="C15" s="210" t="s">
        <v>123</v>
      </c>
      <c r="D15" s="211">
        <v>0.65</v>
      </c>
      <c r="E15" s="212">
        <f>(100%+D15)*D12</f>
        <v>88196.609799275364</v>
      </c>
      <c r="F15" s="213">
        <f>E15-D12</f>
        <v>34744.119011835748</v>
      </c>
      <c r="H15" s="188">
        <v>0</v>
      </c>
      <c r="I15" s="171">
        <v>10</v>
      </c>
      <c r="J15" s="147" t="s">
        <v>116</v>
      </c>
      <c r="K15" s="155">
        <f t="shared" si="0"/>
        <v>0</v>
      </c>
      <c r="L15" s="58"/>
      <c r="Q15" s="7">
        <v>1</v>
      </c>
      <c r="R15" s="7" t="s">
        <v>37</v>
      </c>
      <c r="S15" s="48">
        <v>1.08</v>
      </c>
      <c r="T15" s="48">
        <v>0.62</v>
      </c>
      <c r="U15" s="7" t="s">
        <v>40</v>
      </c>
      <c r="V15" s="52">
        <v>39990</v>
      </c>
      <c r="W15" s="46">
        <f t="shared" si="1"/>
        <v>39990</v>
      </c>
      <c r="X15" s="173">
        <f t="shared" si="2"/>
        <v>216.02163321256376</v>
      </c>
      <c r="Y15" s="172">
        <v>39990</v>
      </c>
      <c r="Z15" s="98"/>
      <c r="AA15" s="98"/>
      <c r="AB15" s="121"/>
      <c r="AD15" s="37"/>
      <c r="AE15" s="38"/>
    </row>
    <row r="16" spans="2:31" ht="15" thickBot="1" x14ac:dyDescent="0.35">
      <c r="H16" s="189">
        <v>1</v>
      </c>
      <c r="I16" s="199"/>
      <c r="J16" s="145" t="s">
        <v>92</v>
      </c>
      <c r="K16" s="155">
        <f t="shared" si="0"/>
        <v>0</v>
      </c>
      <c r="L16" s="58"/>
      <c r="Q16" s="7">
        <v>1</v>
      </c>
      <c r="R16" s="7" t="s">
        <v>37</v>
      </c>
      <c r="S16" s="48">
        <v>2.06</v>
      </c>
      <c r="T16" s="48">
        <v>0.62</v>
      </c>
      <c r="U16" s="7" t="s">
        <v>40</v>
      </c>
      <c r="V16" s="52">
        <v>79990</v>
      </c>
      <c r="W16" s="46">
        <f t="shared" si="1"/>
        <v>79990</v>
      </c>
      <c r="X16" s="173">
        <f t="shared" si="2"/>
        <v>40216.021633212564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90</v>
      </c>
      <c r="C17" s="126" t="s">
        <v>89</v>
      </c>
      <c r="D17" s="126" t="s">
        <v>30</v>
      </c>
      <c r="E17" s="125" t="s">
        <v>53</v>
      </c>
      <c r="F17" s="124" t="s">
        <v>6</v>
      </c>
      <c r="H17" s="190">
        <v>1</v>
      </c>
      <c r="I17" s="199"/>
      <c r="J17" s="185" t="s">
        <v>91</v>
      </c>
      <c r="K17" s="155">
        <f t="shared" si="0"/>
        <v>0</v>
      </c>
      <c r="L17" s="58"/>
      <c r="Q17" s="7">
        <v>6</v>
      </c>
      <c r="R17" s="7" t="s">
        <v>38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87</v>
      </c>
      <c r="D18" s="119">
        <f>'2229'!N33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88</v>
      </c>
      <c r="K18" s="155">
        <f t="shared" si="0"/>
        <v>0</v>
      </c>
      <c r="L18" s="58"/>
      <c r="Q18" s="7">
        <v>1</v>
      </c>
      <c r="R18" s="53" t="s">
        <v>39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33</v>
      </c>
      <c r="D19" s="119">
        <f>'2229'!N32</f>
        <v>15000</v>
      </c>
      <c r="E19" s="120">
        <f>D19*0.19</f>
        <v>2850</v>
      </c>
      <c r="F19" s="117">
        <f>SUM(D19:E19)</f>
        <v>17850</v>
      </c>
      <c r="H19" s="189">
        <v>1</v>
      </c>
      <c r="I19" s="199"/>
      <c r="J19" s="181" t="s">
        <v>86</v>
      </c>
      <c r="K19" s="155">
        <f t="shared" si="0"/>
        <v>0</v>
      </c>
      <c r="L19" s="58"/>
      <c r="Q19" s="16"/>
      <c r="T19" s="5"/>
      <c r="U19" s="6"/>
      <c r="V19" s="27" t="s">
        <v>30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22</v>
      </c>
      <c r="D20" s="119">
        <f>'2229'!N31</f>
        <v>8618.4</v>
      </c>
      <c r="E20" s="118">
        <f>D20*0.19</f>
        <v>1637.4959999999999</v>
      </c>
      <c r="F20" s="117">
        <f>SUM(D20:E20)</f>
        <v>10255.895999999999</v>
      </c>
      <c r="H20" s="189">
        <v>1</v>
      </c>
      <c r="I20" s="199"/>
      <c r="J20" s="181" t="s">
        <v>85</v>
      </c>
      <c r="K20" s="155">
        <f t="shared" si="0"/>
        <v>0</v>
      </c>
      <c r="V20" s="28" t="s">
        <v>31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23618.400000000001</v>
      </c>
      <c r="E21" s="113">
        <f>SUM(E18:E20)</f>
        <v>4487.4960000000001</v>
      </c>
      <c r="F21" s="112">
        <f>SUM(F18:F20)</f>
        <v>28105.896000000001</v>
      </c>
      <c r="H21" s="189">
        <v>1</v>
      </c>
      <c r="I21" s="199"/>
      <c r="J21" s="181" t="s">
        <v>84</v>
      </c>
      <c r="K21" s="155">
        <f t="shared" si="0"/>
        <v>0</v>
      </c>
      <c r="M21" s="150">
        <f>B32/9</f>
        <v>2318.840579710145</v>
      </c>
      <c r="Q21" s="47" t="s">
        <v>41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82</v>
      </c>
      <c r="C22" s="110" t="s">
        <v>81</v>
      </c>
      <c r="D22" s="109" t="s">
        <v>80</v>
      </c>
      <c r="E22" s="108" t="s">
        <v>79</v>
      </c>
      <c r="F22" s="107" t="s">
        <v>6</v>
      </c>
      <c r="H22" s="189">
        <v>1</v>
      </c>
      <c r="I22" s="199"/>
      <c r="J22" s="145" t="s">
        <v>83</v>
      </c>
      <c r="K22" s="155">
        <f t="shared" si="0"/>
        <v>0</v>
      </c>
      <c r="M22" s="102"/>
      <c r="N22" s="55"/>
      <c r="Q22" s="47" t="s">
        <v>36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27</v>
      </c>
      <c r="D23" s="106">
        <f t="shared" ref="D23:D29" si="3">B23/9</f>
        <v>2608.695652173913</v>
      </c>
      <c r="E23" s="105">
        <v>0.5</v>
      </c>
      <c r="F23" s="104">
        <f t="shared" ref="F23:F32" si="4">D23*E23</f>
        <v>1304.3478260869565</v>
      </c>
      <c r="H23" s="191">
        <v>1</v>
      </c>
      <c r="I23" s="200"/>
      <c r="J23" s="182" t="s">
        <v>78</v>
      </c>
      <c r="K23" s="155">
        <f t="shared" si="0"/>
        <v>0</v>
      </c>
      <c r="M23" s="102"/>
      <c r="N23" s="55"/>
      <c r="Q23" s="47" t="s">
        <v>29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76</v>
      </c>
      <c r="D24" s="97">
        <f t="shared" si="3"/>
        <v>2608.695652173913</v>
      </c>
      <c r="E24" s="96">
        <v>0.5</v>
      </c>
      <c r="F24" s="95">
        <f t="shared" si="4"/>
        <v>1304.3478260869565</v>
      </c>
      <c r="H24" s="148" t="s">
        <v>119</v>
      </c>
      <c r="I24" s="152" t="s">
        <v>117</v>
      </c>
      <c r="J24" s="178" t="s">
        <v>77</v>
      </c>
      <c r="K24" s="149" t="s">
        <v>96</v>
      </c>
      <c r="L24" s="99">
        <f>SUM(K25:K35)</f>
        <v>0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75</v>
      </c>
      <c r="D25" s="97">
        <f t="shared" si="3"/>
        <v>4637.68115942029</v>
      </c>
      <c r="E25" s="96"/>
      <c r="F25" s="95">
        <f t="shared" si="4"/>
        <v>0</v>
      </c>
      <c r="H25" s="206">
        <v>0</v>
      </c>
      <c r="I25" s="201">
        <f>((480000/23)/9)</f>
        <v>2318.840579710145</v>
      </c>
      <c r="J25" s="184" t="s">
        <v>110</v>
      </c>
      <c r="K25" s="146">
        <f t="shared" ref="K25:K35" si="5">H25*I25</f>
        <v>0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73</v>
      </c>
      <c r="D26" s="97">
        <f t="shared" si="3"/>
        <v>2173.913043478261</v>
      </c>
      <c r="E26" s="96">
        <v>0.5</v>
      </c>
      <c r="F26" s="95">
        <f t="shared" si="4"/>
        <v>1086.9565217391305</v>
      </c>
      <c r="H26" s="189">
        <v>0</v>
      </c>
      <c r="I26" s="171"/>
      <c r="J26" s="181" t="s">
        <v>74</v>
      </c>
      <c r="K26" s="94">
        <f t="shared" si="5"/>
        <v>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72</v>
      </c>
      <c r="D27" s="97">
        <f t="shared" si="3"/>
        <v>2173.913043478261</v>
      </c>
      <c r="E27" s="96">
        <v>0.5</v>
      </c>
      <c r="F27" s="95">
        <f t="shared" si="4"/>
        <v>1086.9565217391305</v>
      </c>
      <c r="H27" s="189">
        <v>0</v>
      </c>
      <c r="I27" s="171"/>
      <c r="J27" s="181" t="s">
        <v>71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70</v>
      </c>
      <c r="D28" s="97">
        <f t="shared" si="3"/>
        <v>1690.8212560386473</v>
      </c>
      <c r="E28" s="96">
        <v>0.7</v>
      </c>
      <c r="F28" s="95">
        <f t="shared" si="4"/>
        <v>1183.5748792270531</v>
      </c>
      <c r="H28" s="189">
        <v>0</v>
      </c>
      <c r="I28" s="171"/>
      <c r="J28" s="181" t="s">
        <v>108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69</v>
      </c>
      <c r="D29" s="97">
        <f t="shared" si="3"/>
        <v>2415.4589371980674</v>
      </c>
      <c r="E29" s="96">
        <v>0.7</v>
      </c>
      <c r="F29" s="95">
        <f t="shared" si="4"/>
        <v>1690.8212560386471</v>
      </c>
      <c r="H29" s="188">
        <v>0</v>
      </c>
      <c r="I29" s="171">
        <f>((550000*1.2)/23)/9</f>
        <v>3188.4057971014495</v>
      </c>
      <c r="J29" s="147" t="s">
        <v>120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24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121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67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122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66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43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3.9000000000000004</v>
      </c>
      <c r="F33" s="82">
        <f>SUM(F23:F32)</f>
        <v>8816.4251207729467</v>
      </c>
      <c r="H33" s="192">
        <v>0</v>
      </c>
      <c r="I33" s="171"/>
      <c r="J33" s="183" t="s">
        <v>42</v>
      </c>
      <c r="K33" s="94">
        <f t="shared" si="5"/>
        <v>0</v>
      </c>
    </row>
    <row r="34" spans="2:16" ht="15" thickBot="1" x14ac:dyDescent="0.35">
      <c r="B34" s="80" t="s">
        <v>65</v>
      </c>
      <c r="C34" s="79" t="s">
        <v>64</v>
      </c>
      <c r="D34" s="78">
        <f>L9</f>
        <v>2550</v>
      </c>
      <c r="H34" s="189">
        <v>1</v>
      </c>
      <c r="I34" s="171"/>
      <c r="J34" s="145" t="s">
        <v>109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63</v>
      </c>
      <c r="D35" s="75">
        <f>L24</f>
        <v>0</v>
      </c>
      <c r="H35" s="191">
        <v>6</v>
      </c>
      <c r="I35" s="203"/>
      <c r="J35" s="177" t="s">
        <v>111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61</v>
      </c>
      <c r="D36" s="75">
        <f>L36</f>
        <v>18467.665666666668</v>
      </c>
      <c r="E36" s="55"/>
      <c r="H36" s="148" t="s">
        <v>98</v>
      </c>
      <c r="I36" s="152" t="s">
        <v>117</v>
      </c>
      <c r="J36" s="186" t="s">
        <v>68</v>
      </c>
      <c r="K36" s="149" t="s">
        <v>96</v>
      </c>
      <c r="L36" s="205">
        <f>SUM(K37:K39)</f>
        <v>18467.665666666668</v>
      </c>
      <c r="N36" s="62"/>
    </row>
    <row r="37" spans="2:16" ht="15" thickBot="1" x14ac:dyDescent="0.35">
      <c r="B37" s="72"/>
      <c r="C37" s="71" t="s">
        <v>44</v>
      </c>
      <c r="D37" s="70"/>
      <c r="H37" s="196">
        <f>$E$33</f>
        <v>3.9000000000000004</v>
      </c>
      <c r="I37" s="201">
        <f>32609.69/9</f>
        <v>3623.2988888888885</v>
      </c>
      <c r="J37" s="184" t="s">
        <v>47</v>
      </c>
      <c r="K37" s="146">
        <f>I37*H37</f>
        <v>14130.865666666667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21017.665666666668</v>
      </c>
      <c r="H38" s="193">
        <f>$E$33</f>
        <v>3.9000000000000004</v>
      </c>
      <c r="I38" s="171">
        <v>967</v>
      </c>
      <c r="J38" s="181" t="s">
        <v>45</v>
      </c>
      <c r="K38" s="86">
        <f>I38*H38</f>
        <v>3771.3</v>
      </c>
    </row>
    <row r="39" spans="2:16" ht="15" thickBot="1" x14ac:dyDescent="0.35">
      <c r="H39" s="197">
        <f>$E$33</f>
        <v>3.9000000000000004</v>
      </c>
      <c r="I39" s="203">
        <v>145</v>
      </c>
      <c r="J39" s="182" t="s">
        <v>46</v>
      </c>
      <c r="K39" s="81">
        <f>I39*H39</f>
        <v>565.5</v>
      </c>
    </row>
    <row r="40" spans="2:16" ht="15" thickBot="1" x14ac:dyDescent="0.35">
      <c r="B40" s="65" t="s">
        <v>54</v>
      </c>
      <c r="C40" s="64" t="s">
        <v>53</v>
      </c>
      <c r="D40" s="63">
        <f>E11-E21</f>
        <v>57612.195199999995</v>
      </c>
    </row>
    <row r="41" spans="2:16" ht="15" thickBot="1" x14ac:dyDescent="0.35">
      <c r="H41" s="327" t="s">
        <v>62</v>
      </c>
      <c r="I41" s="328"/>
      <c r="J41" s="328"/>
      <c r="K41" s="328"/>
      <c r="L41" s="328"/>
      <c r="M41" s="329"/>
    </row>
    <row r="42" spans="2:16" ht="15" thickBot="1" x14ac:dyDescent="0.35">
      <c r="B42" s="72" t="s">
        <v>48</v>
      </c>
      <c r="C42" s="72"/>
      <c r="D42" s="204">
        <f>E33</f>
        <v>3.9000000000000004</v>
      </c>
      <c r="H42" s="74" t="s">
        <v>60</v>
      </c>
      <c r="I42" s="156" t="s">
        <v>59</v>
      </c>
      <c r="J42" s="157"/>
      <c r="K42" s="157"/>
      <c r="L42" s="158"/>
      <c r="M42" s="73">
        <f>D11</f>
        <v>326840.48</v>
      </c>
    </row>
    <row r="43" spans="2:16" ht="15" thickBot="1" x14ac:dyDescent="0.35">
      <c r="D43" s="54"/>
      <c r="H43" s="69" t="s">
        <v>58</v>
      </c>
      <c r="I43" s="159" t="s">
        <v>57</v>
      </c>
      <c r="J43" s="160"/>
      <c r="K43" s="160"/>
      <c r="L43" s="161"/>
      <c r="M43" s="61">
        <f>D21</f>
        <v>23618.400000000001</v>
      </c>
    </row>
    <row r="44" spans="2:16" x14ac:dyDescent="0.3">
      <c r="D44" s="54"/>
      <c r="I44" s="162" t="s">
        <v>56</v>
      </c>
      <c r="J44" s="163"/>
      <c r="K44" s="163"/>
      <c r="L44" s="164"/>
      <c r="M44" s="66">
        <f>F33</f>
        <v>8816.4251207729467</v>
      </c>
    </row>
    <row r="45" spans="2:16" ht="15" thickBot="1" x14ac:dyDescent="0.35">
      <c r="D45" s="57"/>
      <c r="I45" s="165" t="s">
        <v>55</v>
      </c>
      <c r="J45" s="166"/>
      <c r="K45" s="166"/>
      <c r="L45" s="167"/>
      <c r="M45" s="60">
        <f>D38</f>
        <v>21017.665666666668</v>
      </c>
    </row>
    <row r="46" spans="2:16" ht="15" thickBot="1" x14ac:dyDescent="0.35">
      <c r="D46" s="57"/>
      <c r="I46" s="168" t="s">
        <v>52</v>
      </c>
      <c r="J46" s="169"/>
      <c r="K46" s="169"/>
      <c r="L46" s="170"/>
      <c r="M46" s="59">
        <f>M42-(SUM(M43:M45))</f>
        <v>273387.98921256035</v>
      </c>
    </row>
    <row r="47" spans="2:16" x14ac:dyDescent="0.3">
      <c r="I47" s="159" t="s">
        <v>51</v>
      </c>
      <c r="J47" s="160"/>
      <c r="K47" s="160"/>
      <c r="L47" s="161"/>
      <c r="M47" s="61"/>
    </row>
    <row r="48" spans="2:16" ht="15" thickBot="1" x14ac:dyDescent="0.35">
      <c r="D48" s="57"/>
      <c r="I48" s="165" t="s">
        <v>50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49</v>
      </c>
      <c r="J49" s="169"/>
      <c r="K49" s="169"/>
      <c r="L49" s="170"/>
      <c r="M49" s="59">
        <f>M46-SUM(M47:M48)</f>
        <v>273387.98921256035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2025-06-25T20:25:32Z</cp:lastPrinted>
  <dcterms:created xsi:type="dcterms:W3CDTF">2013-03-18T13:35:42Z</dcterms:created>
  <dcterms:modified xsi:type="dcterms:W3CDTF">2025-06-25T21:00:03Z</dcterms:modified>
</cp:coreProperties>
</file>