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27D00742-3827-49CB-B778-396CC1F98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H21" i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<sst xmlns="http://schemas.openxmlformats.org/spreadsheetml/2006/main" count="218" uniqueCount="164">
  <si>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</si>
  <si>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</si>
  <si>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</si>
  <si>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</si>
  <si>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</si>
  <si>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</si>
  <si>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</si>
  <si>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</si>
  <si>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</si>
  <si>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</si>
  <si>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</si>
  <si>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</si>
  <si>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</si>
  <si>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</si>
  <si>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</si>
  <si>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</si>
  <si>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</si>
  <si>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</si>
  <si>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</si>
  <si>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</si>
  <si>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</si>
  <si>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</si>
  <si>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</si>
  <si>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</si>
  <si>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</si>
  <si>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</si>
  <si>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</si>
  <si>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</si>
  <si>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</si>
  <si>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</si>
  <si>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</si>
  <si>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</si>
  <si>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</si>
  <si>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</si>
  <si>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</si>
  <si>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</si>
  <si>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</si>
  <si>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</si>
  <si>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</si>
  <si>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</si>
  <si>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</si>
  <si>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</si>
  <si>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</si>
  <si>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</si>
  <si>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</si>
  <si>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</si>
  <si>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</si>
  <si>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</si>
  <si>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</si>
  <si>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</si>
  <si>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</si>
  <si>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</si>
  <si>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</si>
  <si>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</si>
  <si>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</si>
  <si>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</si>
  <si>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</si>
  <si>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</si>
  <si>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</si>
  <si>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</si>
  <si>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</si>
  <si>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</si>
  <si>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</si>
  <si>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</si>
  <si>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</si>
  <si>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</si>
  <si>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</si>
  <si>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</si>
  <si>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</si>
  <si>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</si>
  <si>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</si>
  <si>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</si>
  <si>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</si>
  <si>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</si>
  <si>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</si>
  <si>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</si>
  <si>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</si>
  <si>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</si>
  <si>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</si>
  <si>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</si>
  <si>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</si>
  <si>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</si>
  <si>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</si>
  <si>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</si>
  <si>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</si>
  <si>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</si>
  <si>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</si>
  <si>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</si>
  <si>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</si>
  <si>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</si>
  <si>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</si>
  <si>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</si>
  <si>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</si>
  <si>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</si>
  <si>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</si>
  <si>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</si>
  <si>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</si>
  <si>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</si>
  <si>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</si>
  <si>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</si>
  <si>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</si>
  <si>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</si>
  <si>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</si>
  <si>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</si>
  <si>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</si>
  <si>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</si>
  <si>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</si>
  <si>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</si>
  <si>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</si>
  <si>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</si>
  <si>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</si>
  <si>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</si>
  <si>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</si>
  <si>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</si>
  <si>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</si>
  <si>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</si>
  <si>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</si>
  <si>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</si>
  <si>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</si>
  <si>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</si>
  <si>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</si>
  <si>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</si>
  <si>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</si>
  <si>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</si>
  <si>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</si>
  <si>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</si>
  <si>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</si>
  <si>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</si>
  <si>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</si>
  <si>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</si>
  <si>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</si>
  <si>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</si>
  <si>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</si>
  <si>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</si>
  <si>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</si>
  <si>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</si>
  <si>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</si>
  <si>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</si>
  <si>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</si>
  <si>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</si>
  <si>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</si>
  <si>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</si>
  <si>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</si>
  <si>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</si>
  <si>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</si>
  <si>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</si>
  <si>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</si>
  <si>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</si>
  <si>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</si>
  <si>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</si>
  <si>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</si>
  <si>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</si>
  <si>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</si>
  <si>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</si>
  <si>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</si>
  <si>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</si>
  <si>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</si>
  <si>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</si>
  <si>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CUB S/R 180°</t>
  </si>
  <si>
    <t>COLOR MADERA</t>
  </si>
  <si>
    <t>MATIAS MAUREIRA</t>
  </si>
  <si>
    <t>+5698410 2639</t>
  </si>
  <si>
    <t>1 DIAS HABILES</t>
  </si>
  <si>
    <t>N° 11472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</si>
</sst>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baseline="0"/>
            <a:t>SUSTRATO: MDF 18MM</a:t>
          </a:r>
          <a:endParaRPr lang="es-CL" sz="1200" b="1"/>
        </a:p>
        <a:p>
          <a:pPr algn="l"/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45821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84240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2</v>
      </c>
      <c r="C21" s="318" t="s">
        <v>158</v>
      </c>
      <c r="D21" s="321">
        <v>3</v>
      </c>
      <c r="E21" s="321">
        <v>0.5</v>
      </c>
      <c r="F21" s="318" t="s">
        <v>159</v>
      </c>
      <c r="G21" s="322">
        <f>P21</f>
        <v>129729.60000000001</v>
      </c>
      <c r="H21" s="322">
        <f t="shared" ref="H21" si="1">G21*B21</f>
        <v>259459.20000000001</v>
      </c>
      <c r="I21" s="265"/>
      <c r="J21" s="47"/>
      <c r="K21" s="47">
        <f>B21</f>
        <v>2</v>
      </c>
      <c r="L21" s="39">
        <f t="shared" ref="L21:M21" si="2">D21+L$19</f>
        <v>3.08</v>
      </c>
      <c r="M21" s="39">
        <f t="shared" si="2"/>
        <v>0.5</v>
      </c>
      <c r="N21" s="261">
        <f>L21*M21</f>
        <v>1.54</v>
      </c>
      <c r="O21" s="259">
        <f>N21*K21</f>
        <v>3.08</v>
      </c>
      <c r="P21" s="252">
        <f>P$20*N21</f>
        <v>129729.60000000001</v>
      </c>
      <c r="Q21" s="258">
        <f>P21+Q$20</f>
        <v>134729.60000000001</v>
      </c>
      <c r="R21" s="308">
        <f>K21*L21</f>
        <v>6.16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3"/>
      <c r="H22" s="313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259459.20000000001</v>
      </c>
      <c r="I24" s="265"/>
      <c r="J24" s="47"/>
      <c r="K24" s="47"/>
      <c r="L24" s="39">
        <f>SUM(L21:L21)</f>
        <v>3.08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49297.248</v>
      </c>
      <c r="I25" s="265"/>
      <c r="J25" s="47"/>
      <c r="K25" s="47"/>
      <c r="L25" s="39"/>
      <c r="M25" s="12"/>
      <c r="N25" s="12"/>
      <c r="O25" s="253">
        <f>SUM(O21:O22)</f>
        <v>3.08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308756.44800000003</v>
      </c>
      <c r="I26" s="265"/>
      <c r="J26" s="47"/>
      <c r="K26" s="47"/>
      <c r="L26" s="39"/>
      <c r="M26" s="12"/>
      <c r="N26" s="12"/>
      <c r="O26" s="253">
        <f>O25</f>
        <v>3.08</v>
      </c>
      <c r="P26" s="14"/>
      <c r="Q26" s="12"/>
      <c r="R26" s="238">
        <f>SUM(R21:R25)</f>
        <v>6.16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0.6160000000000001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5"/>
      <c r="K28" s="47"/>
      <c r="L28" s="14"/>
      <c r="M28" s="12"/>
      <c r="N28" s="12"/>
      <c r="O28" s="46">
        <f>O26+O27</f>
        <v>3.6960000000000002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5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3.6960000000000002</v>
      </c>
      <c r="M30" s="12">
        <v>3500</v>
      </c>
      <c r="N30" s="12">
        <f t="shared" ref="N30:N35" si="3">L30*M30</f>
        <v>12936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3"/>
        <v>25000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4"/>
      <c r="K33" s="250"/>
      <c r="L33" s="14">
        <v>2</v>
      </c>
      <c r="M33" s="250">
        <v>40000</v>
      </c>
      <c r="N33" s="12">
        <f t="shared" si="3"/>
        <v>80000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4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117936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49480</v>
      </c>
      <c r="K37" s="250"/>
      <c r="L37" s="254" t="s">
        <v>35</v>
      </c>
      <c r="M37" s="12"/>
      <c r="N37" s="255">
        <f>N36*2.2</f>
        <v>259459.20000000001</v>
      </c>
      <c r="O37" s="14" t="s">
        <v>142</v>
      </c>
      <c r="P37" s="14"/>
      <c r="Q37" s="46">
        <f>O26/Q36</f>
        <v>0.83045729076790331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41579.831932773108</v>
      </c>
      <c r="K38" s="250"/>
      <c r="L38" s="14"/>
      <c r="M38" s="12"/>
      <c r="N38" s="12">
        <f>N37/O26</f>
        <v>84240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0.80786885245901641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45821</v>
      </c>
    </row>
    <row r="6" spans="2:31" ht="16.2" thickBot="1" x14ac:dyDescent="0.35">
      <c r="B6" s="140" t="s">
        <v>2</v>
      </c>
      <c r="C6" s="139" t="str">
        <f>'2229'!C10</f>
        <v>MATIAS MAUREIRA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-24606.425033454114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259459.20000000001</v>
      </c>
      <c r="E11" s="132">
        <f>D11*0.19</f>
        <v>49297.248</v>
      </c>
      <c r="F11" s="131">
        <f>E11+D11</f>
        <v>308756.44800000003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81383.574966545886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67770.090787439607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63383.574966545886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191689.1092125604</v>
      </c>
      <c r="E13" s="221">
        <f>(D11/D12)-1</f>
        <v>2.8285207675727024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54383.574966545886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15383.574966545886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111820.64979927534</v>
      </c>
      <c r="F15" s="216">
        <f>E15-D12</f>
        <v>44050.559011835736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15383.574966545886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55383.574966545886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12936</v>
      </c>
      <c r="E20" s="121">
        <f>D20*0.19</f>
        <v>2457.84</v>
      </c>
      <c r="F20" s="120">
        <f>SUM(D20:E20)</f>
        <v>15393.84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37936</v>
      </c>
      <c r="E21" s="116">
        <f>SUM(E18:E20)</f>
        <v>7207.84</v>
      </c>
      <c r="F21" s="115">
        <f>SUM(F18:F20)</f>
        <v>45143.839999999997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42089.407999999996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259459.20000000001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37936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191689.1092125604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191689.1092125604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2025-06-13T20:01:40Z</cp:lastPrinted>
  <dcterms:created xsi:type="dcterms:W3CDTF">2013-03-18T13:35:42Z</dcterms:created>
  <dcterms:modified xsi:type="dcterms:W3CDTF">2025-06-13T20:02:00Z</dcterms:modified>
</cp:coreProperties>
</file>