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6 JUNIO 2025\"/>
    </mc:Choice>
  </mc:AlternateContent>
  <xr:revisionPtr revIDLastSave="0" documentId="13_ncr:1_{438F2157-B89D-434F-B752-B149895FC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L25" i="1"/>
  <c r="P25" i="1" s="1"/>
  <c r="L24" i="1"/>
  <c r="P24" i="1" s="1"/>
  <c r="L22" i="1"/>
  <c r="L23" i="1"/>
  <c r="L21" i="1"/>
  <c r="P26" i="1"/>
  <c r="M23" i="1"/>
  <c r="N23" i="1"/>
  <c r="N22" i="1"/>
  <c r="M22" i="1"/>
  <c r="N21" i="1"/>
  <c r="O23" i="1" l="1"/>
  <c r="P23" i="1" s="1"/>
  <c r="S22" i="1"/>
  <c r="O22" i="1"/>
  <c r="P22" i="1" s="1"/>
  <c r="M21" i="1"/>
  <c r="M28" i="1" l="1"/>
  <c r="O21" i="1"/>
  <c r="P21" i="1" s="1"/>
  <c r="S21" i="1"/>
  <c r="S29" i="1" s="1"/>
  <c r="T21" i="1"/>
  <c r="T27" i="1" s="1"/>
  <c r="P28" i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Q23" i="1"/>
  <c r="O42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7" i="1" s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<sst xmlns="http://schemas.openxmlformats.org/spreadsheetml/2006/main" count="235" uniqueCount="175">
  <si>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</si>
  <si>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</si>
  <si>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</si>
  <si>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</si>
  <si>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</si>
  <si>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</si>
  <si>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</si>
  <si>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</si>
  <si>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</si>
  <si>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</si>
  <si>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</si>
  <si>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</si>
  <si>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</si>
  <si>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</si>
  <si>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</si>
  <si>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</si>
  <si>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</si>
  <si>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</si>
  <si>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</si>
  <si>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</si>
  <si>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</si>
  <si>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</si>
  <si>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</si>
  <si>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</si>
  <si>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</si>
  <si>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</si>
  <si>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</si>
  <si>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</si>
  <si>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</si>
  <si>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</si>
  <si>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</si>
  <si>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</si>
  <si>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</si>
  <si>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</si>
  <si>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</si>
  <si>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</si>
  <si>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</si>
  <si>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</si>
  <si>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</si>
  <si>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</si>
  <si>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</si>
  <si>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</si>
  <si>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</si>
  <si>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</si>
  <si>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</si>
  <si>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</si>
  <si>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</si>
  <si>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</si>
  <si>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</si>
  <si>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</si>
  <si>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</si>
  <si>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</si>
  <si>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</si>
  <si>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</si>
  <si>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</si>
  <si>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</si>
  <si>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</si>
  <si>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</si>
  <si>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</si>
  <si>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</si>
  <si>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</si>
  <si>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</si>
  <si>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</si>
  <si>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</si>
  <si>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</si>
  <si>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</si>
  <si>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</si>
  <si>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</si>
  <si>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</si>
  <si>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</si>
  <si>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</si>
  <si>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</si>
  <si>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</si>
  <si>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</si>
  <si>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</si>
  <si>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</si>
  <si>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</si>
  <si>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</si>
  <si>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</si>
  <si>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</si>
  <si>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</si>
  <si>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</si>
  <si>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</si>
  <si>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</si>
  <si>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</si>
  <si>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</si>
  <si>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</si>
  <si>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</si>
  <si>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</si>
  <si>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</si>
  <si>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</si>
  <si>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</si>
  <si>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</si>
  <si>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</si>
  <si>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</si>
  <si>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</si>
  <si>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</si>
  <si>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</si>
  <si>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</si>
  <si>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</si>
  <si>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</si>
  <si>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</si>
  <si>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</si>
  <si>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</si>
  <si>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</si>
  <si>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</si>
  <si>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</si>
  <si>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</si>
  <si>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</si>
  <si>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</si>
  <si>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</si>
  <si>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</si>
  <si>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</si>
  <si>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</si>
  <si>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</si>
  <si>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</si>
  <si>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</si>
  <si>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</si>
  <si>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</si>
  <si>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</si>
  <si>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</si>
  <si>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</si>
  <si>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</si>
  <si>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</si>
  <si>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</si>
  <si>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</si>
  <si>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</si>
  <si>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</si>
  <si>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</si>
  <si>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</si>
  <si>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</si>
  <si>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</si>
  <si>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</si>
  <si>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</si>
  <si>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</si>
  <si>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</si>
  <si>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</si>
  <si>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</si>
  <si>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</si>
  <si>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</si>
  <si>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</si>
  <si>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</si>
  <si>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</si>
  <si>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</si>
  <si>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</si>
  <si>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</si>
  <si>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</si>
  <si>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</si>
  <si>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</si>
  <si>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</si>
  <si>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</si>
  <si>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</si>
  <si>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</si>
  <si>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</si>
  <si>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</si>
  <si>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</si>
  <si>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</si>
  <si>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</si>
  <si>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</si>
  <si>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</si>
  <si>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</si>
  <si>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</si>
  <si>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</si>
  <si>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</si>
  <si>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</si>
  <si>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</si>
  <si>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</si>
  <si>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A CONVENIR</t>
  </si>
  <si>
    <t>LUIS SALGADO</t>
  </si>
  <si>
    <t>+569 987371219</t>
  </si>
  <si>
    <t>BELIZE TEAK</t>
  </si>
  <si>
    <t>SERVICIO DESFONDADO</t>
  </si>
  <si>
    <t>SERVICIO CORTE 45°</t>
  </si>
  <si>
    <t>CUB CON RESPALDO 5 CMS FRENTE 90°</t>
  </si>
  <si>
    <t>N° 11469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</si>
</sst>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8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1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168</v>
      </c>
      <c r="D10" s="243"/>
      <c r="E10" s="243"/>
      <c r="F10" s="244" t="s">
        <v>0</v>
      </c>
      <c r="G10" s="276">
        <v>45821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O41</f>
        <v>83630.929705215429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173</v>
      </c>
      <c r="D21" s="332">
        <v>1.6</v>
      </c>
      <c r="E21" s="332">
        <v>0.6</v>
      </c>
      <c r="F21" s="330" t="s">
        <v>170</v>
      </c>
      <c r="G21" s="331">
        <f>Q21</f>
        <v>84299.977142857155</v>
      </c>
      <c r="H21" s="331">
        <f>G21*B21</f>
        <v>84299.977142857155</v>
      </c>
      <c r="I21" s="320"/>
      <c r="J21" s="265"/>
      <c r="K21" s="47"/>
      <c r="L21" s="47">
        <f>B21</f>
        <v>1</v>
      </c>
      <c r="M21" s="39">
        <f>D21+M$19</f>
        <v>1.6800000000000002</v>
      </c>
      <c r="N21" s="39">
        <f>E21+$N$19</f>
        <v>0.6</v>
      </c>
      <c r="O21" s="261">
        <f>M21*N21</f>
        <v>1.008</v>
      </c>
      <c r="P21" s="259">
        <f>O21*L21</f>
        <v>1.008</v>
      </c>
      <c r="Q21" s="252">
        <f t="shared" ref="Q21" si="1">Q$20*O21</f>
        <v>84299.977142857155</v>
      </c>
      <c r="R21" s="319">
        <f t="shared" ref="R21" si="2">Q21+R$20</f>
        <v>87299.977142857155</v>
      </c>
      <c r="S21" s="297">
        <f t="shared" ref="S21" si="3">L21*M21*2</f>
        <v>3.3600000000000003</v>
      </c>
      <c r="T21" s="46">
        <f>N21*2*L21*2</f>
        <v>2.4</v>
      </c>
      <c r="U21" s="9"/>
      <c r="X21" s="4"/>
    </row>
    <row r="22" spans="2:25" ht="17.399999999999999" x14ac:dyDescent="0.3">
      <c r="B22" s="330">
        <v>1</v>
      </c>
      <c r="C22" s="330" t="s">
        <v>173</v>
      </c>
      <c r="D22" s="332">
        <v>1.41</v>
      </c>
      <c r="E22" s="332">
        <v>0.56999999999999995</v>
      </c>
      <c r="F22" s="330" t="s">
        <v>170</v>
      </c>
      <c r="G22" s="331">
        <f t="shared" ref="G22:G23" si="4">Q22</f>
        <v>71027.74859863946</v>
      </c>
      <c r="H22" s="331">
        <f>G22*B22</f>
        <v>71027.74859863946</v>
      </c>
      <c r="I22" s="320"/>
      <c r="J22" s="265"/>
      <c r="K22" s="47"/>
      <c r="L22" s="47">
        <f t="shared" ref="L22:L25" si="5">B22</f>
        <v>1</v>
      </c>
      <c r="M22" s="39">
        <f>D22+M$19</f>
        <v>1.49</v>
      </c>
      <c r="N22" s="39">
        <f>E22</f>
        <v>0.56999999999999995</v>
      </c>
      <c r="O22" s="261">
        <f t="shared" ref="O22" si="6">M22*N22</f>
        <v>0.84929999999999994</v>
      </c>
      <c r="P22" s="259">
        <f t="shared" ref="P22" si="7">O22*L22</f>
        <v>0.84929999999999994</v>
      </c>
      <c r="Q22" s="252">
        <f t="shared" ref="Q22" si="8">Q$20*O22</f>
        <v>71027.74859863946</v>
      </c>
      <c r="R22" s="319">
        <f t="shared" ref="R22" si="9">Q22+R$20</f>
        <v>74027.74859863946</v>
      </c>
      <c r="S22" s="297">
        <f t="shared" ref="S22" si="10">L22*M22*2</f>
        <v>2.98</v>
      </c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2">
        <v>0.53</v>
      </c>
      <c r="E23" s="332">
        <v>0.56999999999999995</v>
      </c>
      <c r="F23" s="330" t="s">
        <v>170</v>
      </c>
      <c r="G23" s="331">
        <f t="shared" si="4"/>
        <v>29078.4742585034</v>
      </c>
      <c r="H23" s="331">
        <f t="shared" ref="H23" si="11">G23*B23</f>
        <v>29078.4742585034</v>
      </c>
      <c r="I23" s="320"/>
      <c r="J23" s="265"/>
      <c r="K23" s="47"/>
      <c r="L23" s="47">
        <f t="shared" si="5"/>
        <v>1</v>
      </c>
      <c r="M23" s="39">
        <f t="shared" ref="M23" si="12">D23+M$19</f>
        <v>0.61</v>
      </c>
      <c r="N23" s="39">
        <f t="shared" ref="N23" si="13">E23</f>
        <v>0.56999999999999995</v>
      </c>
      <c r="O23" s="261">
        <f t="shared" ref="O23" si="14">M23*N23</f>
        <v>0.34769999999999995</v>
      </c>
      <c r="P23" s="259">
        <f t="shared" ref="P23" si="15">O23*L23</f>
        <v>0.34769999999999995</v>
      </c>
      <c r="Q23" s="252">
        <f t="shared" ref="Q23" si="16">Q$20*O23</f>
        <v>29078.4742585034</v>
      </c>
      <c r="R23" s="319">
        <f t="shared" ref="R23" si="17">Q23+R$20</f>
        <v>32078.4742585034</v>
      </c>
      <c r="S23" s="297"/>
      <c r="T23" s="46"/>
      <c r="U23" s="9"/>
      <c r="X23" s="4"/>
    </row>
    <row r="24" spans="2:25" ht="17.399999999999999" x14ac:dyDescent="0.3">
      <c r="B24" s="330">
        <v>2</v>
      </c>
      <c r="C24" s="330" t="s">
        <v>171</v>
      </c>
      <c r="D24" s="332"/>
      <c r="E24" s="332"/>
      <c r="F24" s="330"/>
      <c r="G24" s="331">
        <v>15000</v>
      </c>
      <c r="H24" s="331">
        <f>G24*B24</f>
        <v>30000</v>
      </c>
      <c r="I24" s="320"/>
      <c r="J24" s="265"/>
      <c r="K24" s="47"/>
      <c r="L24" s="47">
        <f t="shared" si="5"/>
        <v>2</v>
      </c>
      <c r="M24" s="39"/>
      <c r="N24" s="39"/>
      <c r="O24" s="261"/>
      <c r="P24" s="259">
        <f t="shared" ref="P24:P26" si="18">O24*L24</f>
        <v>0</v>
      </c>
      <c r="Q24" s="252"/>
      <c r="R24" s="319"/>
      <c r="S24" s="297"/>
      <c r="T24" s="46"/>
      <c r="U24" s="9"/>
      <c r="X24" s="4"/>
    </row>
    <row r="25" spans="2:25" ht="17.399999999999999" x14ac:dyDescent="0.3">
      <c r="B25" s="330">
        <v>2</v>
      </c>
      <c r="C25" s="330" t="s">
        <v>172</v>
      </c>
      <c r="D25" s="332"/>
      <c r="E25" s="332"/>
      <c r="F25" s="330"/>
      <c r="G25" s="331">
        <v>7500</v>
      </c>
      <c r="H25" s="331">
        <f>G25*B25</f>
        <v>15000</v>
      </c>
      <c r="I25" s="320"/>
      <c r="J25" s="265"/>
      <c r="K25" s="47"/>
      <c r="L25" s="47">
        <f t="shared" si="5"/>
        <v>2</v>
      </c>
      <c r="M25" s="39"/>
      <c r="N25" s="39"/>
      <c r="O25" s="261"/>
      <c r="P25" s="259">
        <f t="shared" si="18"/>
        <v>0</v>
      </c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>
        <f t="shared" si="18"/>
        <v>0</v>
      </c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229406.2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2.4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50</v>
      </c>
      <c r="H28" s="294">
        <f>H27*19%</f>
        <v>43587.178</v>
      </c>
      <c r="I28" s="322"/>
      <c r="J28" s="265"/>
      <c r="K28" s="47"/>
      <c r="L28" s="47"/>
      <c r="M28" s="39">
        <f>SUM(M21:M27)</f>
        <v>3.78</v>
      </c>
      <c r="N28" s="12"/>
      <c r="O28" s="12"/>
      <c r="P28" s="253">
        <f>SUM(P21:P26)</f>
        <v>2.2050000000000001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272993.37800000003</v>
      </c>
      <c r="I29" s="322"/>
      <c r="J29" s="265"/>
      <c r="K29" s="47"/>
      <c r="L29" s="47"/>
      <c r="M29" s="39"/>
      <c r="N29" s="12"/>
      <c r="O29" s="12"/>
      <c r="P29" s="253">
        <f>P28</f>
        <v>2.2050000000000001</v>
      </c>
      <c r="Q29" s="14"/>
      <c r="R29" s="12"/>
      <c r="S29" s="239">
        <f>SUM(S21:S28)</f>
        <v>6.34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0.44100000000000006</v>
      </c>
      <c r="Q30" s="39" t="s">
        <v>129</v>
      </c>
      <c r="R30" s="42"/>
      <c r="S30" s="240">
        <f>S29+T27</f>
        <v>8.74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2.6459999999999999</v>
      </c>
      <c r="Q31" s="14"/>
      <c r="R31" s="14"/>
      <c r="S31" s="238">
        <f>S30*20%</f>
        <v>1.7480000000000002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10.488</v>
      </c>
      <c r="T32" s="14"/>
      <c r="U32" s="302" t="s">
        <v>21</v>
      </c>
      <c r="V32" s="299" t="s">
        <v>150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P31*2</f>
        <v>5.2919999999999998</v>
      </c>
      <c r="N33" s="12">
        <v>3500</v>
      </c>
      <c r="O33" s="12">
        <f t="shared" ref="O33:O35" si="19">M33*N33</f>
        <v>18522</v>
      </c>
      <c r="P33" s="14" t="s">
        <v>21</v>
      </c>
      <c r="Q33" s="14"/>
      <c r="R33" s="14"/>
      <c r="S33" s="241"/>
      <c r="T33" s="14"/>
      <c r="U33" s="302" t="s">
        <v>151</v>
      </c>
      <c r="V33" s="299">
        <v>3625</v>
      </c>
      <c r="W33" s="59" t="s">
        <v>152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0.55000000000000004</v>
      </c>
      <c r="N34" s="12">
        <v>25000</v>
      </c>
      <c r="O34" s="12">
        <f t="shared" si="19"/>
        <v>13750.000000000002</v>
      </c>
      <c r="P34" s="39" t="s">
        <v>30</v>
      </c>
      <c r="Q34" s="42"/>
      <c r="R34" s="14"/>
      <c r="S34" s="240"/>
      <c r="T34" s="14"/>
      <c r="U34" s="302"/>
      <c r="V34" s="59">
        <v>906.25</v>
      </c>
      <c r="W34" s="59" t="s">
        <v>153</v>
      </c>
      <c r="X34" s="304"/>
    </row>
    <row r="35" spans="1:24" s="230" customFormat="1" ht="17.399999999999999" x14ac:dyDescent="0.35">
      <c r="B35" s="24" t="s">
        <v>149</v>
      </c>
      <c r="J35" s="262"/>
      <c r="K35" s="232"/>
      <c r="L35" s="250"/>
      <c r="M35" s="14"/>
      <c r="N35" s="250">
        <v>52033</v>
      </c>
      <c r="O35" s="12">
        <f t="shared" si="19"/>
        <v>0</v>
      </c>
      <c r="P35" s="14" t="s">
        <v>166</v>
      </c>
      <c r="Q35" s="42"/>
      <c r="S35" s="240"/>
      <c r="T35" s="256"/>
      <c r="U35" s="59"/>
      <c r="V35" s="59">
        <f>V34*20%</f>
        <v>181.25</v>
      </c>
      <c r="W35" s="304" t="s">
        <v>154</v>
      </c>
      <c r="X35" s="59"/>
    </row>
    <row r="36" spans="1:24" s="230" customFormat="1" ht="17.399999999999999" x14ac:dyDescent="0.35">
      <c r="B36" s="24" t="s">
        <v>142</v>
      </c>
      <c r="C36"/>
      <c r="D36"/>
      <c r="E36"/>
      <c r="F36"/>
      <c r="J36" s="262"/>
      <c r="K36" s="232"/>
      <c r="L36" s="250"/>
      <c r="M36" s="14">
        <v>1.5</v>
      </c>
      <c r="N36" s="250">
        <v>31286</v>
      </c>
      <c r="O36" s="12">
        <f>M36*N36</f>
        <v>46929</v>
      </c>
      <c r="P36" s="230" t="s">
        <v>165</v>
      </c>
      <c r="S36" s="238"/>
      <c r="T36" s="256"/>
      <c r="U36" s="59"/>
      <c r="V36" s="59">
        <f>V34+V35</f>
        <v>1087.5</v>
      </c>
      <c r="W36" s="304" t="s">
        <v>155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>M37*N37</f>
        <v>0</v>
      </c>
      <c r="P37" s="14" t="s">
        <v>31</v>
      </c>
      <c r="Q37" s="17"/>
      <c r="R37" s="230">
        <v>2.12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3.08</v>
      </c>
      <c r="N38" s="12">
        <v>1500</v>
      </c>
      <c r="O38" s="12">
        <f>M38*N38</f>
        <v>4620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83821</v>
      </c>
      <c r="P39" s="39" t="s">
        <v>23</v>
      </c>
      <c r="Q39" s="14"/>
      <c r="R39">
        <f>R37*R38</f>
        <v>5.1728000000000005</v>
      </c>
      <c r="S39"/>
      <c r="T39" s="238"/>
      <c r="X39" s="231"/>
    </row>
    <row r="40" spans="1:24" s="230" customFormat="1" ht="17.399999999999999" x14ac:dyDescent="0.35">
      <c r="L40" s="250"/>
      <c r="M40" s="254" t="s">
        <v>32</v>
      </c>
      <c r="N40" s="12"/>
      <c r="O40" s="255">
        <f>O39*2.2</f>
        <v>184406.2</v>
      </c>
      <c r="P40" s="14" t="s">
        <v>139</v>
      </c>
      <c r="Q40" s="14"/>
      <c r="R40" s="40">
        <f>P31/R39</f>
        <v>0.51152180637179079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61920</v>
      </c>
      <c r="L41" s="250"/>
      <c r="M41" s="14"/>
      <c r="N41" s="12"/>
      <c r="O41" s="12">
        <f>O40/P29</f>
        <v>83630.929705215429</v>
      </c>
      <c r="P41" s="45" t="s">
        <v>24</v>
      </c>
      <c r="Q41" s="14"/>
      <c r="R41" s="14"/>
      <c r="S41"/>
      <c r="T41" s="238"/>
      <c r="U41" s="59" t="s">
        <v>156</v>
      </c>
      <c r="V41" s="299">
        <v>43650</v>
      </c>
    </row>
    <row r="42" spans="1:24" s="230" customFormat="1" ht="17.399999999999999" x14ac:dyDescent="0.35">
      <c r="G42"/>
      <c r="K42" s="230">
        <f>K41/1.19</f>
        <v>52033.613445378156</v>
      </c>
      <c r="L42" s="250"/>
      <c r="M42" s="13"/>
      <c r="N42" s="14"/>
      <c r="O42" s="17">
        <f>O40/O39</f>
        <v>2.2000000000000002</v>
      </c>
      <c r="P42" s="15"/>
      <c r="Q42" s="14"/>
      <c r="R42"/>
      <c r="S42"/>
      <c r="T42" s="238"/>
      <c r="U42" s="59" t="s">
        <v>158</v>
      </c>
      <c r="V42" s="300" t="s">
        <v>157</v>
      </c>
      <c r="W42" s="59">
        <v>2.4</v>
      </c>
    </row>
    <row r="43" spans="1:24" s="230" customFormat="1" ht="17.399999999999999" x14ac:dyDescent="0.35">
      <c r="G43" s="23"/>
      <c r="L43" s="12"/>
      <c r="Q43"/>
      <c r="T43" s="238"/>
      <c r="U43" s="59" t="s">
        <v>159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154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146</v>
      </c>
    </row>
    <row r="77" spans="3:15" x14ac:dyDescent="0.3">
      <c r="C77" t="s">
        <v>145</v>
      </c>
    </row>
    <row r="80" spans="3:15" x14ac:dyDescent="0.3">
      <c r="C80" t="s">
        <v>145</v>
      </c>
    </row>
    <row r="157" spans="3:3" x14ac:dyDescent="0.3">
      <c r="C157" t="s">
        <v>145</v>
      </c>
    </row>
    <row r="158" spans="3:3" x14ac:dyDescent="0.3">
      <c r="C158" t="s">
        <v>147</v>
      </c>
    </row>
    <row r="159" spans="3:3" x14ac:dyDescent="0.3">
      <c r="C159" t="s">
        <v>148</v>
      </c>
    </row>
    <row r="584" spans="3:3" x14ac:dyDescent="0.3">
      <c r="C584" t="s">
        <v>145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45821</v>
      </c>
    </row>
    <row r="6" spans="2:31" ht="16.2" thickBot="1" x14ac:dyDescent="0.35">
      <c r="B6" s="140" t="s">
        <v>2</v>
      </c>
      <c r="C6" s="139" t="str">
        <f>'2229'!C10</f>
        <v>LUIS SALGADO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11469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-21155.191700120777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'2229'!H27</f>
        <v>229406.2</v>
      </c>
      <c r="E11" s="132">
        <f>D11*0.19</f>
        <v>43587.178</v>
      </c>
      <c r="F11" s="131">
        <f>E11+D11</f>
        <v>272993.37800000003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84834.808299879223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62106.090787439614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66834.808299879223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167300.1092125604</v>
      </c>
      <c r="E13" s="221">
        <f>(D11/D12)-1</f>
        <v>2.6937794198825231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57834.808299879223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18834.808299879223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102475.04979927535</v>
      </c>
      <c r="F15" s="216">
        <f>E15-D12</f>
        <v>40368.959011835737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18834.808299879223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58834.808299879223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'2229'!O34</f>
        <v>13750.000000000002</v>
      </c>
      <c r="E19" s="123">
        <f>D19*0.19</f>
        <v>2612.5000000000005</v>
      </c>
      <c r="F19" s="120">
        <f>SUM(D19:E19)</f>
        <v>16362.500000000002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18522</v>
      </c>
      <c r="E20" s="121">
        <f>D20*0.19</f>
        <v>3519.18</v>
      </c>
      <c r="F20" s="120">
        <f>SUM(D20:E20)</f>
        <v>22041.18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32272</v>
      </c>
      <c r="E21" s="116">
        <f>SUM(E18:E20)</f>
        <v>6131.68</v>
      </c>
      <c r="F21" s="115">
        <f>SUM(F18:F20)</f>
        <v>38403.68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37455.498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229406.2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32272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167300.1092125604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167300.1092125604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2025-06-13T16:48:41Z</cp:lastPrinted>
  <dcterms:created xsi:type="dcterms:W3CDTF">2013-03-18T13:35:42Z</dcterms:created>
  <dcterms:modified xsi:type="dcterms:W3CDTF">2025-06-13T16:49:30Z</dcterms:modified>
</cp:coreProperties>
</file>