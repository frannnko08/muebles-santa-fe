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008D5A63-171B-4562-9E59-7C8AAF6E70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M23" i="1"/>
  <c r="N23" i="1"/>
  <c r="O23" i="1"/>
  <c r="P23" i="1" s="1"/>
  <c r="M24" i="1"/>
  <c r="N24" i="1"/>
  <c r="O24" i="1"/>
  <c r="P24" i="1"/>
  <c r="M25" i="1"/>
  <c r="O25" i="1" s="1"/>
  <c r="P25" i="1" s="1"/>
  <c r="N25" i="1"/>
  <c r="H22" i="1"/>
  <c r="N22" i="1"/>
  <c r="M22" i="1"/>
  <c r="N21" i="1"/>
  <c r="S22" i="1" l="1"/>
  <c r="O22" i="1"/>
  <c r="P22" i="1" s="1"/>
  <c r="M21" i="1"/>
  <c r="M29" i="1" s="1"/>
  <c r="S21" i="1" l="1"/>
  <c r="S30" i="1" s="1"/>
  <c r="T21" i="1"/>
  <c r="T28" i="1" s="1"/>
  <c r="O21" i="1"/>
  <c r="P21" i="1" s="1"/>
  <c r="P29" i="1" s="1"/>
  <c r="K43" i="1"/>
  <c r="S31" i="1" l="1"/>
  <c r="S32" i="1" s="1"/>
  <c r="S33" i="1" s="1"/>
  <c r="V36" i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R22" i="1" s="1"/>
  <c r="Q24" i="1"/>
  <c r="R24" i="1" s="1"/>
  <c r="Q23" i="1"/>
  <c r="R23" i="1" s="1"/>
  <c r="Q25" i="1"/>
  <c r="R25" i="1" s="1"/>
  <c r="O43" i="1"/>
  <c r="E15" i="3"/>
  <c r="Q21" i="1" l="1"/>
  <c r="F15" i="3"/>
  <c r="R21" i="1" l="1"/>
  <c r="H21" i="1" l="1"/>
  <c r="H28" i="1" s="1"/>
  <c r="H29" i="1" s="1"/>
  <c r="H30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<sst xmlns="http://schemas.openxmlformats.org/spreadsheetml/2006/main" count="240" uniqueCount="176">
  <si>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</si>
  <si>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</si>
  <si>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</si>
  <si>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</si>
  <si>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</si>
  <si>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</si>
  <si>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</si>
  <si>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</si>
  <si>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</si>
  <si>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</si>
  <si>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</si>
  <si>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</si>
  <si>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</si>
  <si>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</si>
  <si>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</si>
  <si>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</si>
  <si>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</si>
  <si>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</si>
  <si>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</si>
  <si>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</si>
  <si>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</si>
  <si>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</si>
  <si>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</si>
  <si>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</si>
  <si>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</si>
  <si>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</si>
  <si>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</si>
  <si>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</si>
  <si>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</si>
  <si>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</si>
  <si>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</si>
  <si>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</si>
  <si>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</si>
  <si>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</si>
  <si>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</si>
  <si>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</si>
  <si>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</si>
  <si>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</si>
  <si>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</si>
  <si>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</si>
  <si>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</si>
  <si>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</si>
  <si>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</si>
  <si>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</si>
  <si>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</si>
  <si>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</si>
  <si>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</si>
  <si>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</si>
  <si>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</si>
  <si>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</si>
  <si>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</si>
  <si>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</si>
  <si>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</si>
  <si>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</si>
  <si>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</si>
  <si>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</si>
  <si>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</si>
  <si>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</si>
  <si>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</si>
  <si>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</si>
  <si>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</si>
  <si>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</si>
  <si>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</si>
  <si>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</si>
  <si>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</si>
  <si>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</si>
  <si>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</si>
  <si>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</si>
  <si>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</si>
  <si>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</si>
  <si>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</si>
  <si>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</si>
  <si>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</si>
  <si>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</si>
  <si>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</si>
  <si>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</si>
  <si>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</si>
  <si>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</si>
  <si>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</si>
  <si>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</si>
  <si>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</si>
  <si>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</si>
  <si>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</si>
  <si>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</si>
  <si>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</si>
  <si>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</si>
  <si>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</si>
  <si>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</si>
  <si>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</si>
  <si>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</si>
  <si>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</si>
  <si>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</si>
  <si>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</si>
  <si>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</si>
  <si>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</si>
  <si>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</si>
  <si>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</si>
  <si>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</si>
  <si>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</si>
  <si>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</si>
  <si>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</si>
  <si>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</si>
  <si>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</si>
  <si>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</si>
  <si>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</si>
  <si>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</si>
  <si>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</si>
  <si>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</si>
  <si>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</si>
  <si>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</si>
  <si>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</si>
  <si>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</si>
  <si>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</si>
  <si>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</si>
  <si>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</si>
  <si>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</si>
  <si>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</si>
  <si>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</si>
  <si>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</si>
  <si>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</si>
  <si>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</si>
  <si>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</si>
  <si>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</si>
  <si>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</si>
  <si>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</si>
  <si>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</si>
  <si>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</si>
  <si>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</si>
  <si>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</si>
  <si>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</si>
  <si>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</si>
  <si>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</si>
  <si>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</si>
  <si>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</si>
  <si>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</si>
  <si>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</si>
  <si>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</si>
  <si>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</si>
  <si>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</si>
  <si>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</si>
  <si>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</si>
  <si>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</si>
  <si>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</si>
  <si>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</si>
  <si>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</si>
  <si>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</si>
  <si>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</si>
  <si>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</si>
  <si>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</si>
  <si>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</si>
  <si>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</si>
  <si>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</si>
  <si>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</si>
  <si>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</si>
  <si>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</si>
  <si>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</si>
  <si>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</si>
  <si>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</si>
  <si>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</si>
  <si>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</si>
  <si>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</si>
  <si>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</si>
  <si>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</si>
  <si>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</si>
  <si>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</si>
  <si>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</si>
  <si>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BALANCE</t>
  </si>
  <si>
    <t>LAMINA 153X366</t>
  </si>
  <si>
    <t>alternativa 2</t>
  </si>
  <si>
    <t>19 de 153x366</t>
  </si>
  <si>
    <t>10 DIAS HABILES</t>
  </si>
  <si>
    <t>BARBARA</t>
  </si>
  <si>
    <t>+569 5767 0178</t>
  </si>
  <si>
    <t>CUB CON RESPALDO Y FRENTE 90° R8</t>
  </si>
  <si>
    <t>BLANCO OPACO</t>
  </si>
  <si>
    <t>N° 11461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</si>
</sst>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12" zoomScale="93" zoomScaleNormal="93" workbookViewId="0">
      <selection activeCell="D14" sqref="D1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>
        <v>0</v>
      </c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45817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171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O42</f>
        <v>85444.134366925078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1</v>
      </c>
      <c r="C21" s="330" t="s">
        <v>173</v>
      </c>
      <c r="D21" s="332">
        <v>1</v>
      </c>
      <c r="E21" s="332">
        <v>0.6</v>
      </c>
      <c r="F21" s="330" t="s">
        <v>174</v>
      </c>
      <c r="G21" s="331">
        <v>83623</v>
      </c>
      <c r="H21" s="331">
        <f>G21*B21</f>
        <v>83623</v>
      </c>
      <c r="I21" s="320"/>
      <c r="J21" s="265"/>
      <c r="K21" s="47"/>
      <c r="L21" s="47"/>
      <c r="M21" s="39">
        <f>D21+M$19</f>
        <v>1.08</v>
      </c>
      <c r="N21" s="39">
        <f>E21+$N$19</f>
        <v>0.6</v>
      </c>
      <c r="O21" s="261">
        <f t="shared" ref="O21" si="1">M21*N21</f>
        <v>0.64800000000000002</v>
      </c>
      <c r="P21" s="259">
        <f t="shared" ref="P21" si="2">O21*L21</f>
        <v>0</v>
      </c>
      <c r="Q21" s="252">
        <f t="shared" ref="Q21" si="3">Q$20*O21</f>
        <v>55367.799069767454</v>
      </c>
      <c r="R21" s="319">
        <f t="shared" ref="R21" si="4">Q21+R$20</f>
        <v>58367.799069767454</v>
      </c>
      <c r="S21" s="297">
        <f t="shared" ref="S21" si="5">L21*M21*2</f>
        <v>0</v>
      </c>
      <c r="T21" s="46">
        <f>N21*2*L21*2</f>
        <v>0</v>
      </c>
      <c r="U21" s="9"/>
      <c r="X21" s="4"/>
    </row>
    <row r="22" spans="2:25" ht="17.399999999999999" x14ac:dyDescent="0.3">
      <c r="B22" s="330">
        <v>1</v>
      </c>
      <c r="C22" s="330" t="s">
        <v>173</v>
      </c>
      <c r="D22" s="332">
        <v>1.5</v>
      </c>
      <c r="E22" s="332">
        <v>0.6</v>
      </c>
      <c r="F22" s="330" t="s">
        <v>174</v>
      </c>
      <c r="G22" s="331">
        <v>95668</v>
      </c>
      <c r="H22" s="331">
        <f>G22*B22</f>
        <v>95668</v>
      </c>
      <c r="I22" s="320"/>
      <c r="J22" s="265"/>
      <c r="K22" s="47"/>
      <c r="L22" s="47"/>
      <c r="M22" s="39">
        <f>D22+M$19</f>
        <v>1.58</v>
      </c>
      <c r="N22" s="39">
        <f>E22</f>
        <v>0.6</v>
      </c>
      <c r="O22" s="261">
        <f t="shared" ref="O22" si="6">M22*N22</f>
        <v>0.94799999999999995</v>
      </c>
      <c r="P22" s="259">
        <f t="shared" ref="P22" si="7">O22*L22</f>
        <v>0</v>
      </c>
      <c r="Q22" s="252">
        <f t="shared" ref="Q22" si="8">Q$20*O22</f>
        <v>81001.039379844966</v>
      </c>
      <c r="R22" s="319">
        <f t="shared" ref="R22" si="9">Q22+R$20</f>
        <v>84001.039379844966</v>
      </c>
      <c r="S22" s="297">
        <f t="shared" ref="S22" si="10">L22*M22*2</f>
        <v>0</v>
      </c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2">
        <v>2</v>
      </c>
      <c r="E23" s="332">
        <v>0.6</v>
      </c>
      <c r="F23" s="330" t="s">
        <v>174</v>
      </c>
      <c r="G23" s="331">
        <v>128932</v>
      </c>
      <c r="H23" s="331">
        <f t="shared" ref="H23:H25" si="11">G23*B23</f>
        <v>128932</v>
      </c>
      <c r="I23" s="320"/>
      <c r="J23" s="265"/>
      <c r="K23" s="47"/>
      <c r="L23" s="47"/>
      <c r="M23" s="39">
        <f t="shared" ref="M23:M25" si="12">D23+M$19</f>
        <v>2.08</v>
      </c>
      <c r="N23" s="39">
        <f t="shared" ref="N23:N25" si="13">E23</f>
        <v>0.6</v>
      </c>
      <c r="O23" s="261">
        <f t="shared" ref="O23:O25" si="14">M23*N23</f>
        <v>1.248</v>
      </c>
      <c r="P23" s="259">
        <f t="shared" ref="P23:P25" si="15">O23*L23</f>
        <v>0</v>
      </c>
      <c r="Q23" s="252">
        <f t="shared" ref="Q23:Q25" si="16">Q$20*O23</f>
        <v>106634.27968992249</v>
      </c>
      <c r="R23" s="319">
        <f t="shared" ref="R23:R25" si="17">Q23+R$20</f>
        <v>109634.27968992249</v>
      </c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173</v>
      </c>
      <c r="D24" s="332">
        <v>2.5</v>
      </c>
      <c r="E24" s="332">
        <v>0.6</v>
      </c>
      <c r="F24" s="330" t="s">
        <v>174</v>
      </c>
      <c r="G24" s="331">
        <v>135268</v>
      </c>
      <c r="H24" s="331">
        <f t="shared" si="11"/>
        <v>135268</v>
      </c>
      <c r="I24" s="320"/>
      <c r="J24" s="265"/>
      <c r="K24" s="47"/>
      <c r="L24" s="47">
        <v>1</v>
      </c>
      <c r="M24" s="39">
        <f t="shared" si="12"/>
        <v>2.58</v>
      </c>
      <c r="N24" s="39">
        <f t="shared" si="13"/>
        <v>0.6</v>
      </c>
      <c r="O24" s="261">
        <f t="shared" si="14"/>
        <v>1.548</v>
      </c>
      <c r="P24" s="259">
        <f t="shared" si="15"/>
        <v>1.548</v>
      </c>
      <c r="Q24" s="252">
        <f t="shared" si="16"/>
        <v>132267.52000000002</v>
      </c>
      <c r="R24" s="319">
        <f t="shared" si="17"/>
        <v>135267.52000000002</v>
      </c>
      <c r="S24" s="297"/>
      <c r="T24" s="46"/>
      <c r="U24" s="9"/>
      <c r="X24" s="4"/>
    </row>
    <row r="25" spans="2:25" ht="17.399999999999999" x14ac:dyDescent="0.3">
      <c r="B25" s="330">
        <v>1</v>
      </c>
      <c r="C25" s="330" t="s">
        <v>173</v>
      </c>
      <c r="D25" s="332">
        <v>3</v>
      </c>
      <c r="E25" s="332">
        <v>0.6</v>
      </c>
      <c r="F25" s="330" t="s">
        <v>174</v>
      </c>
      <c r="G25" s="331">
        <v>150316</v>
      </c>
      <c r="H25" s="331">
        <f t="shared" si="11"/>
        <v>150316</v>
      </c>
      <c r="I25" s="320"/>
      <c r="J25" s="265"/>
      <c r="K25" s="47"/>
      <c r="L25" s="47"/>
      <c r="M25" s="39">
        <f t="shared" si="12"/>
        <v>3.08</v>
      </c>
      <c r="N25" s="39">
        <f t="shared" si="13"/>
        <v>0.6</v>
      </c>
      <c r="O25" s="261">
        <f t="shared" si="14"/>
        <v>1.8479999999999999</v>
      </c>
      <c r="P25" s="259">
        <f t="shared" si="15"/>
        <v>0</v>
      </c>
      <c r="Q25" s="252">
        <f t="shared" si="16"/>
        <v>157900.76031007755</v>
      </c>
      <c r="R25" s="319">
        <f t="shared" si="17"/>
        <v>160900.76031007755</v>
      </c>
      <c r="S25" s="297"/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0"/>
      <c r="H26" s="320"/>
      <c r="I26" s="320"/>
      <c r="J26" s="265"/>
      <c r="K26" s="47"/>
      <c r="L26" s="47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593807</v>
      </c>
      <c r="I28" s="322"/>
      <c r="J28" s="265"/>
      <c r="K28" s="47">
        <v>2600000</v>
      </c>
      <c r="L28" s="47"/>
      <c r="M28" s="39"/>
      <c r="N28" s="39"/>
      <c r="O28" s="261"/>
      <c r="P28" s="259"/>
      <c r="Q28" s="252"/>
      <c r="R28" s="258"/>
      <c r="S28" s="297"/>
      <c r="T28" s="46">
        <f>SUM(T21:T27)</f>
        <v>0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50</v>
      </c>
      <c r="H29" s="294">
        <f>H28*19%</f>
        <v>112823.33</v>
      </c>
      <c r="I29" s="322"/>
      <c r="J29" s="265"/>
      <c r="K29" s="47"/>
      <c r="L29" s="47"/>
      <c r="M29" s="39">
        <f>SUM(M21:M28)</f>
        <v>10.4</v>
      </c>
      <c r="N29" s="12"/>
      <c r="O29" s="12"/>
      <c r="P29" s="253">
        <f>SUM(P21:P27)</f>
        <v>1.548</v>
      </c>
      <c r="Q29" s="14"/>
      <c r="R29" s="12"/>
      <c r="S29" s="239"/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706630.33</v>
      </c>
      <c r="I30" s="322"/>
      <c r="J30" s="265"/>
      <c r="K30" s="47"/>
      <c r="L30" s="47"/>
      <c r="M30" s="39"/>
      <c r="N30" s="12"/>
      <c r="O30" s="12"/>
      <c r="P30" s="253">
        <f>P29</f>
        <v>1.548</v>
      </c>
      <c r="Q30" s="14"/>
      <c r="R30" s="12"/>
      <c r="S30" s="239">
        <f>SUM(S21:S29)</f>
        <v>0</v>
      </c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0.30960000000000004</v>
      </c>
      <c r="Q31" s="39" t="s">
        <v>129</v>
      </c>
      <c r="R31" s="42"/>
      <c r="S31" s="240">
        <f>S30+T28</f>
        <v>0</v>
      </c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1.8576000000000001</v>
      </c>
      <c r="Q32" s="14"/>
      <c r="R32" s="14"/>
      <c r="S32" s="238">
        <f>S31*20%</f>
        <v>0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>
        <f>S31+S32</f>
        <v>0</v>
      </c>
      <c r="T33" s="14"/>
      <c r="U33" s="302" t="s">
        <v>21</v>
      </c>
      <c r="V33" s="299" t="s">
        <v>150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1.8576000000000001</v>
      </c>
      <c r="N34" s="12">
        <v>3500</v>
      </c>
      <c r="O34" s="12">
        <f t="shared" ref="O34:O36" si="18">M34*N34</f>
        <v>6501.6</v>
      </c>
      <c r="P34" s="14" t="s">
        <v>21</v>
      </c>
      <c r="Q34" s="14"/>
      <c r="R34" s="14"/>
      <c r="S34" s="241"/>
      <c r="T34" s="14"/>
      <c r="U34" s="302" t="s">
        <v>151</v>
      </c>
      <c r="V34" s="299">
        <v>3625</v>
      </c>
      <c r="W34" s="59" t="s">
        <v>152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0.5</v>
      </c>
      <c r="N35" s="12">
        <v>49500</v>
      </c>
      <c r="O35" s="12">
        <f t="shared" si="18"/>
        <v>24750</v>
      </c>
      <c r="P35" s="39" t="s">
        <v>30</v>
      </c>
      <c r="Q35" s="42"/>
      <c r="R35" s="14"/>
      <c r="S35" s="240"/>
      <c r="T35" s="14"/>
      <c r="U35" s="302"/>
      <c r="V35" s="59">
        <v>906.25</v>
      </c>
      <c r="W35" s="59" t="s">
        <v>153</v>
      </c>
      <c r="X35" s="304"/>
    </row>
    <row r="36" spans="1:24" s="230" customFormat="1" ht="17.399999999999999" x14ac:dyDescent="0.35">
      <c r="B36" s="24" t="s">
        <v>149</v>
      </c>
      <c r="J36" s="262"/>
      <c r="K36" s="232"/>
      <c r="L36" s="250"/>
      <c r="M36" s="14"/>
      <c r="N36" s="250">
        <v>15041</v>
      </c>
      <c r="O36" s="12">
        <f t="shared" si="18"/>
        <v>0</v>
      </c>
      <c r="P36" s="39" t="s">
        <v>166</v>
      </c>
      <c r="Q36" s="42"/>
      <c r="S36" s="240"/>
      <c r="T36" s="256"/>
      <c r="U36" s="59"/>
      <c r="V36" s="59">
        <f>V35*20%</f>
        <v>181.25</v>
      </c>
      <c r="W36" s="304" t="s">
        <v>154</v>
      </c>
      <c r="X36" s="59"/>
    </row>
    <row r="37" spans="1:24" s="230" customFormat="1" ht="17.399999999999999" x14ac:dyDescent="0.35">
      <c r="B37" s="24" t="s">
        <v>142</v>
      </c>
      <c r="C37"/>
      <c r="D37"/>
      <c r="E37"/>
      <c r="F37"/>
      <c r="J37" s="262"/>
      <c r="K37" s="232"/>
      <c r="L37" s="250"/>
      <c r="M37" s="14">
        <v>1</v>
      </c>
      <c r="N37" s="250">
        <v>25000</v>
      </c>
      <c r="O37" s="12">
        <f>M37*N37</f>
        <v>25000</v>
      </c>
      <c r="P37" s="14" t="s">
        <v>167</v>
      </c>
      <c r="S37" s="238"/>
      <c r="T37" s="256"/>
      <c r="U37" s="59"/>
      <c r="V37" s="59">
        <f>V35+V36</f>
        <v>1087.5</v>
      </c>
      <c r="W37" s="304" t="s">
        <v>155</v>
      </c>
      <c r="X37" s="59"/>
    </row>
    <row r="38" spans="1:24" s="230" customFormat="1" ht="17.399999999999999" x14ac:dyDescent="0.35">
      <c r="B38" s="29" t="s">
        <v>124</v>
      </c>
      <c r="C38"/>
      <c r="D38"/>
      <c r="E38"/>
      <c r="F38" s="229" t="s">
        <v>15</v>
      </c>
      <c r="I38" s="230" t="s">
        <v>168</v>
      </c>
      <c r="J38" s="262"/>
      <c r="K38" s="260"/>
      <c r="L38" s="250"/>
      <c r="M38" s="249"/>
      <c r="N38" s="250">
        <v>900</v>
      </c>
      <c r="O38" s="12">
        <f>M38*N38</f>
        <v>0</v>
      </c>
      <c r="P38" s="14" t="s">
        <v>31</v>
      </c>
      <c r="Q38" s="17"/>
      <c r="R38" s="230">
        <v>2.12</v>
      </c>
      <c r="S38" s="238"/>
      <c r="T38" s="238"/>
    </row>
    <row r="39" spans="1:24" s="230" customFormat="1" ht="17.399999999999999" x14ac:dyDescent="0.35">
      <c r="I39" s="230" t="s">
        <v>169</v>
      </c>
      <c r="J39" s="293"/>
      <c r="K39" s="260"/>
      <c r="L39" s="250"/>
      <c r="M39" s="266">
        <v>2.58</v>
      </c>
      <c r="N39" s="12">
        <v>1500</v>
      </c>
      <c r="O39" s="12">
        <f>M39*N39</f>
        <v>3870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60121.599999999999</v>
      </c>
      <c r="P40" s="39" t="s">
        <v>23</v>
      </c>
      <c r="Q40" s="14"/>
      <c r="R40">
        <f>R38*R39</f>
        <v>5.1728000000000005</v>
      </c>
      <c r="S40"/>
      <c r="T40" s="238"/>
      <c r="X40" s="231"/>
    </row>
    <row r="41" spans="1:24" s="230" customFormat="1" ht="17.399999999999999" x14ac:dyDescent="0.35">
      <c r="L41" s="250"/>
      <c r="M41" s="254" t="s">
        <v>32</v>
      </c>
      <c r="N41" s="12"/>
      <c r="O41" s="255">
        <f>O40*2.2</f>
        <v>132267.52000000002</v>
      </c>
      <c r="P41" s="14" t="s">
        <v>139</v>
      </c>
      <c r="Q41" s="14"/>
      <c r="R41" s="40">
        <f>P32/R40</f>
        <v>0.35910918651407359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74260</v>
      </c>
      <c r="L42" s="250"/>
      <c r="M42" s="14"/>
      <c r="N42" s="12"/>
      <c r="O42" s="12">
        <f>O41/P30</f>
        <v>85444.134366925078</v>
      </c>
      <c r="P42" s="45" t="s">
        <v>24</v>
      </c>
      <c r="Q42" s="14"/>
      <c r="R42" s="14"/>
      <c r="S42"/>
      <c r="T42" s="238"/>
      <c r="U42" s="59" t="s">
        <v>156</v>
      </c>
      <c r="V42" s="299">
        <v>43650</v>
      </c>
    </row>
    <row r="43" spans="1:24" s="230" customFormat="1" ht="17.399999999999999" x14ac:dyDescent="0.35">
      <c r="G43"/>
      <c r="K43" s="230">
        <f>K42/1.19</f>
        <v>62403.361344537821</v>
      </c>
      <c r="L43" s="250"/>
      <c r="M43" s="13"/>
      <c r="N43" s="14"/>
      <c r="O43" s="17">
        <f>O41/O40</f>
        <v>2.2000000000000002</v>
      </c>
      <c r="P43" s="15"/>
      <c r="Q43" s="14"/>
      <c r="R43"/>
      <c r="S43"/>
      <c r="T43" s="238"/>
      <c r="U43" s="59" t="s">
        <v>158</v>
      </c>
      <c r="V43" s="300" t="s">
        <v>157</v>
      </c>
      <c r="W43" s="59">
        <v>2.4</v>
      </c>
    </row>
    <row r="44" spans="1:24" s="230" customFormat="1" ht="17.399999999999999" x14ac:dyDescent="0.35">
      <c r="G44" s="23"/>
      <c r="L44" s="12"/>
      <c r="Q44"/>
      <c r="T44" s="238"/>
      <c r="U44" s="59" t="s">
        <v>159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154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146</v>
      </c>
    </row>
    <row r="78" spans="3:15" x14ac:dyDescent="0.3">
      <c r="C78" t="s">
        <v>145</v>
      </c>
    </row>
    <row r="81" spans="3:3" x14ac:dyDescent="0.3">
      <c r="C81" t="s">
        <v>145</v>
      </c>
    </row>
    <row r="158" spans="3:3" x14ac:dyDescent="0.3">
      <c r="C158" t="s">
        <v>145</v>
      </c>
    </row>
    <row r="159" spans="3:3" x14ac:dyDescent="0.3">
      <c r="C159" t="s">
        <v>147</v>
      </c>
    </row>
    <row r="160" spans="3:3" x14ac:dyDescent="0.3">
      <c r="C160" t="s">
        <v>148</v>
      </c>
    </row>
    <row r="585" spans="3:3" x14ac:dyDescent="0.3">
      <c r="C585" t="s">
        <v>145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45817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11461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-82169.268366787437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'2229'!H28</f>
        <v>593807</v>
      </c>
      <c r="E11" s="132">
        <f>D11*0.19</f>
        <v>112823.33</v>
      </c>
      <c r="F11" s="131">
        <f>E11+D11</f>
        <v>706630.33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23820.731633212563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61085.690787439613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5820.7316332125629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532721.30921256042</v>
      </c>
      <c r="E13" s="221">
        <f>(D11/D12)-1</f>
        <v>8.720885404509465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-3179.2683667874371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-42179.268366787437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100791.38979927536</v>
      </c>
      <c r="F15" s="216">
        <f>E15-D12</f>
        <v>39705.69901183575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-42179.268366787437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-2179.2683667874371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'2229'!O35</f>
        <v>24750</v>
      </c>
      <c r="E19" s="123">
        <f>D19*0.19</f>
        <v>4702.5</v>
      </c>
      <c r="F19" s="120">
        <f>SUM(D19:E19)</f>
        <v>29452.5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6501.6</v>
      </c>
      <c r="E20" s="121">
        <f>D20*0.19</f>
        <v>1235.3040000000001</v>
      </c>
      <c r="F20" s="120">
        <f>SUM(D20:E20)</f>
        <v>7736.9040000000005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31251.599999999999</v>
      </c>
      <c r="E21" s="116">
        <f>SUM(E18:E20)</f>
        <v>5937.8040000000001</v>
      </c>
      <c r="F21" s="115">
        <f>SUM(F18:F20)</f>
        <v>37189.404000000002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106885.526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593807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31251.599999999999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532721.30921256042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532721.30921256042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2025-06-09T20:50:35Z</dcterms:modified>
</cp:coreProperties>
</file>