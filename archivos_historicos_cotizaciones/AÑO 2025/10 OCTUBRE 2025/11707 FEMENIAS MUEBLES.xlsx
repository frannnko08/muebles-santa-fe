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5\"/>
    </mc:Choice>
  </mc:AlternateContent>
  <xr:revisionPtr revIDLastSave="0" documentId="13_ncr:1_{E1D1CCE2-550F-4131-BAD7-497D0533A0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P26" i="1"/>
  <c r="L23" i="1"/>
  <c r="M23" i="1"/>
  <c r="N23" i="1"/>
  <c r="O23" i="1"/>
  <c r="P23" i="1" s="1"/>
  <c r="S23" i="1"/>
  <c r="H22" i="1"/>
  <c r="L22" i="1"/>
  <c r="M22" i="1"/>
  <c r="S22" i="1" s="1"/>
  <c r="N22" i="1"/>
  <c r="O22" i="1" s="1"/>
  <c r="P22" i="1" s="1"/>
  <c r="L21" i="1"/>
  <c r="J39" i="1"/>
  <c r="J15" i="1"/>
  <c r="J10" i="1"/>
  <c r="N21" i="1" l="1"/>
  <c r="M21" i="1" l="1"/>
  <c r="S21" i="1" l="1"/>
  <c r="S27" i="1" s="1"/>
  <c r="M26" i="1"/>
  <c r="T21" i="1"/>
  <c r="T25" i="1" s="1"/>
  <c r="O21" i="1"/>
  <c r="P21" i="1" s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2" i="1" l="1"/>
  <c r="R22" i="1" s="1"/>
  <c r="Q23" i="1"/>
  <c r="R23" i="1" s="1"/>
  <c r="O40" i="1"/>
  <c r="E15" i="3"/>
  <c r="Q21" i="1" l="1"/>
  <c r="F15" i="3"/>
  <c r="R21" i="1" l="1"/>
  <c r="H21" i="1" l="1"/>
  <c r="H25" i="1" s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<sst xmlns="http://schemas.openxmlformats.org/spreadsheetml/2006/main" count="236" uniqueCount="177">
  <si>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</si>
  <si>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</si>
  <si>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</si>
  <si>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</si>
  <si>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</si>
  <si>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</si>
  <si>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</si>
  <si>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</si>
  <si>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</si>
  <si>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</si>
  <si>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</si>
  <si>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</si>
  <si>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</si>
  <si>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</si>
  <si>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</si>
  <si>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</si>
  <si>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</si>
  <si>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</si>
  <si>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</si>
  <si>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</si>
  <si>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</si>
  <si>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</si>
  <si>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</si>
  <si>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</si>
  <si>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</si>
  <si>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</si>
  <si>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</si>
  <si>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</si>
  <si>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</si>
  <si>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</si>
  <si>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</si>
  <si>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</si>
  <si>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</si>
  <si>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</si>
  <si>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</si>
  <si>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</si>
  <si>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</si>
  <si>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</si>
  <si>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</si>
  <si>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</si>
  <si>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</si>
  <si>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</si>
  <si>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</si>
  <si>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</si>
  <si>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</si>
  <si>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</si>
  <si>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</si>
  <si>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</si>
  <si>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</si>
  <si>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</si>
  <si>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</si>
  <si>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</si>
  <si>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</si>
  <si>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</si>
  <si>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</si>
  <si>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</si>
  <si>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</si>
  <si>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</si>
  <si>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</si>
  <si>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</si>
  <si>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</si>
  <si>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</si>
  <si>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</si>
  <si>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</si>
  <si>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</si>
  <si>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</si>
  <si>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</si>
  <si>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</si>
  <si>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</si>
  <si>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</si>
  <si>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</si>
  <si>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</si>
  <si>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</si>
  <si>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</si>
  <si>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</si>
  <si>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</si>
  <si>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</si>
  <si>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</si>
  <si>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</si>
  <si>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</si>
  <si>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</si>
  <si>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</si>
  <si>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</si>
  <si>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</si>
  <si>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</si>
  <si>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</si>
  <si>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</si>
  <si>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</si>
  <si>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</si>
  <si>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</si>
  <si>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</si>
  <si>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</si>
  <si>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</si>
  <si>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</si>
  <si>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</si>
  <si>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</si>
  <si>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</si>
  <si>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</si>
  <si>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</si>
  <si>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</si>
  <si>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</si>
  <si>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</si>
  <si>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</si>
  <si>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</si>
  <si>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</si>
  <si>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</si>
  <si>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</si>
  <si>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</si>
  <si>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</si>
  <si>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</si>
  <si>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</si>
  <si>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</si>
  <si>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</si>
  <si>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</si>
  <si>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</si>
  <si>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</si>
  <si>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</si>
  <si>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</si>
  <si>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</si>
  <si>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</si>
  <si>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</si>
  <si>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</si>
  <si>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</si>
  <si>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</si>
  <si>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</si>
  <si>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</si>
  <si>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</si>
  <si>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</si>
  <si>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</si>
  <si>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</si>
  <si>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</si>
  <si>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</si>
  <si>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</si>
  <si>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</si>
  <si>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</si>
  <si>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</si>
  <si>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</si>
  <si>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</si>
  <si>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</si>
  <si>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</si>
  <si>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</si>
  <si>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</si>
  <si>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</si>
  <si>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</si>
  <si>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</si>
  <si>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</si>
  <si>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</si>
  <si>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</si>
  <si>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</si>
  <si>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</si>
  <si>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</si>
  <si>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</si>
  <si>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</si>
  <si>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</si>
  <si>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</si>
  <si>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</si>
  <si>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</si>
  <si>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</si>
  <si>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</si>
  <si>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</si>
  <si>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</si>
  <si>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</si>
  <si>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</si>
  <si>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</si>
  <si>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</si>
  <si>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</si>
  <si>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NIEBLA</t>
  </si>
  <si>
    <t>WHITE OAK</t>
  </si>
  <si>
    <t>8 DIAS HABILES</t>
  </si>
  <si>
    <t xml:space="preserve">FEMENIAS MUEBLES    </t>
  </si>
  <si>
    <t>CHRISTIAN FEMENIAS</t>
  </si>
  <si>
    <t>5699727 8419</t>
  </si>
  <si>
    <t>VIÑA DEL MAR</t>
  </si>
  <si>
    <t>NEBULA STONE 1424 TX</t>
  </si>
  <si>
    <t>N° 11707</t>
  </si>
  <si>
    <t>CUB MESA FRENTE 90° 3 LADOS R12</t>
  </si>
  <si>
    <t>RESPALDO 90° 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</si>
</sst>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CON SOBRE MEDIDA</a:t>
          </a:r>
          <a:r>
            <a:rPr lang="es-CL" sz="1200" b="1" baseline="0"/>
            <a:t>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6" zoomScale="93" zoomScaleNormal="93" workbookViewId="0">
      <selection activeCell="C24" sqref="C24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174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45950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168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C13" t="s">
        <v>170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171</v>
      </c>
      <c r="D15" s="309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129</v>
      </c>
      <c r="G16" s="317" t="s">
        <v>163</v>
      </c>
      <c r="H16" s="248"/>
    </row>
    <row r="17" spans="1:25" ht="15" thickBot="1" x14ac:dyDescent="0.35">
      <c r="B17" s="310" t="s">
        <v>13</v>
      </c>
      <c r="C17" s="311" t="s">
        <v>172</v>
      </c>
      <c r="D17" s="312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78082.034805890231</v>
      </c>
      <c r="R20" s="258">
        <v>5000</v>
      </c>
      <c r="S20" s="38"/>
      <c r="T20" s="14" t="s">
        <v>128</v>
      </c>
      <c r="U20" s="9"/>
      <c r="X20" s="4"/>
    </row>
    <row r="21" spans="1:25" ht="17.399999999999999" x14ac:dyDescent="0.3">
      <c r="B21" s="329">
        <v>1</v>
      </c>
      <c r="C21" s="329" t="s">
        <v>175</v>
      </c>
      <c r="D21" s="332">
        <v>1.9</v>
      </c>
      <c r="E21" s="332">
        <v>0.6</v>
      </c>
      <c r="F21" s="329" t="s">
        <v>173</v>
      </c>
      <c r="G21" s="330">
        <v>92761</v>
      </c>
      <c r="H21" s="330">
        <f>G21*B21</f>
        <v>92761</v>
      </c>
      <c r="I21" s="319"/>
      <c r="J21" s="265"/>
      <c r="K21" s="47"/>
      <c r="L21" s="331">
        <f>B21</f>
        <v>1</v>
      </c>
      <c r="M21" s="39">
        <f>D21+M$19</f>
        <v>1.98</v>
      </c>
      <c r="N21" s="39">
        <f>E21+$N$19</f>
        <v>0.6</v>
      </c>
      <c r="O21" s="261">
        <f t="shared" ref="O21" si="1">M21*N21</f>
        <v>1.1879999999999999</v>
      </c>
      <c r="P21" s="259">
        <f t="shared" ref="P21" si="2">O21*L21</f>
        <v>1.1879999999999999</v>
      </c>
      <c r="Q21" s="252">
        <f t="shared" ref="Q21" si="3">Q$20*O21</f>
        <v>92761.457349397591</v>
      </c>
      <c r="R21" s="318">
        <f t="shared" ref="R21" si="4">Q21+R$20</f>
        <v>97761.457349397591</v>
      </c>
      <c r="S21" s="297">
        <f>M21*L21</f>
        <v>1.98</v>
      </c>
      <c r="T21" s="46">
        <f>M21*L21</f>
        <v>1.98</v>
      </c>
      <c r="U21" s="9"/>
      <c r="X21" s="4"/>
    </row>
    <row r="22" spans="1:25" ht="17.399999999999999" x14ac:dyDescent="0.3">
      <c r="B22" s="329">
        <v>1</v>
      </c>
      <c r="C22" s="329" t="s">
        <v>176</v>
      </c>
      <c r="D22" s="332">
        <v>1.9</v>
      </c>
      <c r="E22" s="332">
        <v>0.1</v>
      </c>
      <c r="F22" s="329" t="s">
        <v>173</v>
      </c>
      <c r="G22" s="330">
        <v>15460</v>
      </c>
      <c r="H22" s="330">
        <f>G22*B22</f>
        <v>15460</v>
      </c>
      <c r="I22" s="319"/>
      <c r="J22" s="265"/>
      <c r="K22" s="47"/>
      <c r="L22" s="331">
        <f>B22</f>
        <v>1</v>
      </c>
      <c r="M22" s="39">
        <f>D22+M$19</f>
        <v>1.98</v>
      </c>
      <c r="N22" s="39">
        <f>E22+$N$19</f>
        <v>0.1</v>
      </c>
      <c r="O22" s="261">
        <f t="shared" ref="O22" si="5">M22*N22</f>
        <v>0.19800000000000001</v>
      </c>
      <c r="P22" s="259">
        <f t="shared" ref="P22" si="6">O22*L22</f>
        <v>0.19800000000000001</v>
      </c>
      <c r="Q22" s="252">
        <f t="shared" ref="Q22" si="7">Q$20*O22</f>
        <v>15460.242891566266</v>
      </c>
      <c r="R22" s="318">
        <f t="shared" ref="R22" si="8">Q22+R$20</f>
        <v>20460.242891566268</v>
      </c>
      <c r="S22" s="297">
        <f>M22*L22</f>
        <v>1.98</v>
      </c>
      <c r="T22" s="46"/>
      <c r="U22" s="9"/>
      <c r="X22" s="4"/>
    </row>
    <row r="23" spans="1:25" ht="17.399999999999999" x14ac:dyDescent="0.3">
      <c r="B23" s="329">
        <v>1</v>
      </c>
      <c r="C23" s="329" t="s">
        <v>176</v>
      </c>
      <c r="D23" s="332">
        <v>1</v>
      </c>
      <c r="E23" s="332">
        <v>0.1</v>
      </c>
      <c r="F23" s="329" t="s">
        <v>173</v>
      </c>
      <c r="G23" s="330">
        <v>8433</v>
      </c>
      <c r="H23" s="330">
        <f>G23*B23</f>
        <v>8433</v>
      </c>
      <c r="I23" s="319"/>
      <c r="J23" s="265"/>
      <c r="K23" s="47"/>
      <c r="L23" s="331">
        <f>B23</f>
        <v>1</v>
      </c>
      <c r="M23" s="39">
        <f>D23+M$19</f>
        <v>1.08</v>
      </c>
      <c r="N23" s="39">
        <f>E23+$N$19</f>
        <v>0.1</v>
      </c>
      <c r="O23" s="261">
        <f t="shared" ref="O23" si="9">M23*N23</f>
        <v>0.10800000000000001</v>
      </c>
      <c r="P23" s="259">
        <f t="shared" ref="P23" si="10">O23*L23</f>
        <v>0.10800000000000001</v>
      </c>
      <c r="Q23" s="252">
        <f t="shared" ref="Q23" si="11">Q$20*O23</f>
        <v>8432.859759036146</v>
      </c>
      <c r="R23" s="318">
        <f t="shared" ref="R23" si="12">Q23+R$20</f>
        <v>13432.859759036146</v>
      </c>
      <c r="S23" s="297">
        <f>M23*L23</f>
        <v>1.08</v>
      </c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0"/>
      <c r="I24" s="322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3" t="s">
        <v>28</v>
      </c>
      <c r="H25" s="324">
        <f>SUM(H21:H24)</f>
        <v>116654</v>
      </c>
      <c r="I25" s="321"/>
      <c r="J25" s="265"/>
      <c r="K25" s="47"/>
      <c r="L25" s="47"/>
      <c r="M25" s="39"/>
      <c r="N25" s="39"/>
      <c r="O25" s="261"/>
      <c r="P25" s="259"/>
      <c r="Q25" s="252"/>
      <c r="R25" s="258"/>
      <c r="S25" s="297"/>
      <c r="T25" s="46">
        <f>SUM(T21:T24)</f>
        <v>1.98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22164.260000000002</v>
      </c>
      <c r="I26" s="321"/>
      <c r="J26" s="265"/>
      <c r="K26" s="47"/>
      <c r="L26" s="47"/>
      <c r="M26" s="39">
        <f>SUM(M21:M21)</f>
        <v>1.98</v>
      </c>
      <c r="N26" s="12"/>
      <c r="O26" s="12"/>
      <c r="P26" s="253">
        <f>SUM(P21:P24)</f>
        <v>1.494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138818.26</v>
      </c>
      <c r="I27" s="321"/>
      <c r="J27" s="265"/>
      <c r="K27" s="47"/>
      <c r="L27" s="47"/>
      <c r="M27" s="39"/>
      <c r="N27" s="12"/>
      <c r="O27" s="12"/>
      <c r="P27" s="253">
        <f>P26</f>
        <v>1.494</v>
      </c>
      <c r="Q27" s="14"/>
      <c r="R27" s="12"/>
      <c r="S27" s="239">
        <f>SUM(S21:S26)</f>
        <v>5.04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0.29880000000000001</v>
      </c>
      <c r="Q28" s="39" t="s">
        <v>130</v>
      </c>
      <c r="R28" s="42"/>
      <c r="S28" s="240">
        <f>S27+T25</f>
        <v>7.02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1.7927999999999999</v>
      </c>
      <c r="Q29" s="14"/>
      <c r="R29" s="14"/>
      <c r="S29" s="238">
        <f>S28*20%</f>
        <v>1.4039999999999999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8.4239999999999995</v>
      </c>
      <c r="T30" s="14"/>
      <c r="U30" s="302" t="s">
        <v>21</v>
      </c>
      <c r="V30" s="299" t="s">
        <v>152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1.7927999999999999</v>
      </c>
      <c r="N31" s="12">
        <v>3500</v>
      </c>
      <c r="O31" s="12">
        <f t="shared" ref="O31:O36" si="13">M31*N31</f>
        <v>6274.8</v>
      </c>
      <c r="P31" s="14" t="s">
        <v>21</v>
      </c>
      <c r="Q31" s="14"/>
      <c r="R31" s="14"/>
      <c r="S31" s="241"/>
      <c r="T31" s="14"/>
      <c r="U31" s="302" t="s">
        <v>153</v>
      </c>
      <c r="V31" s="299">
        <v>3625</v>
      </c>
      <c r="W31" s="59" t="s">
        <v>154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0.5</v>
      </c>
      <c r="N32" s="12">
        <v>23500</v>
      </c>
      <c r="O32" s="12">
        <f t="shared" si="13"/>
        <v>11750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155</v>
      </c>
      <c r="X32" s="304"/>
    </row>
    <row r="33" spans="2:24" s="230" customFormat="1" ht="17.399999999999999" x14ac:dyDescent="0.35">
      <c r="B33" s="24" t="s">
        <v>151</v>
      </c>
      <c r="J33" s="262"/>
      <c r="K33" s="232"/>
      <c r="L33" s="250"/>
      <c r="M33" s="14"/>
      <c r="N33" s="250">
        <v>35000</v>
      </c>
      <c r="O33" s="12">
        <f t="shared" si="13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156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K34" s="232"/>
      <c r="L34" s="250"/>
      <c r="M34" s="14">
        <v>1</v>
      </c>
      <c r="N34" s="250">
        <v>35000</v>
      </c>
      <c r="O34" s="12">
        <f t="shared" si="13"/>
        <v>35000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157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13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 t="s">
        <v>167</v>
      </c>
      <c r="K36" s="260">
        <v>38300</v>
      </c>
      <c r="L36" s="250"/>
      <c r="M36" s="266"/>
      <c r="N36" s="12">
        <v>1500</v>
      </c>
      <c r="O36" s="12">
        <f t="shared" si="13"/>
        <v>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J37" s="230" t="s">
        <v>166</v>
      </c>
      <c r="K37" s="260">
        <v>31000</v>
      </c>
      <c r="L37" s="250"/>
      <c r="M37" s="14"/>
      <c r="N37" s="12"/>
      <c r="O37" s="12">
        <f>SUM(O31:O36)</f>
        <v>53024.800000000003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J38" s="230">
        <v>49560</v>
      </c>
      <c r="L38" s="250"/>
      <c r="M38" s="254" t="s">
        <v>33</v>
      </c>
      <c r="N38" s="12"/>
      <c r="O38" s="255">
        <f>O37*2.2</f>
        <v>116654.56000000001</v>
      </c>
      <c r="P38" s="14" t="s">
        <v>140</v>
      </c>
      <c r="Q38" s="14"/>
      <c r="R38" s="40">
        <f>P29/R37</f>
        <v>0.48339085418464189</v>
      </c>
      <c r="S38"/>
      <c r="T38" s="257"/>
    </row>
    <row r="39" spans="2:24" s="230" customFormat="1" ht="17.399999999999999" x14ac:dyDescent="0.35">
      <c r="G39"/>
      <c r="H39" s="260"/>
      <c r="I39" s="260"/>
      <c r="J39" s="260">
        <f>J38/1.19</f>
        <v>41647.058823529413</v>
      </c>
      <c r="L39" s="250"/>
      <c r="M39" s="14"/>
      <c r="N39" s="12"/>
      <c r="O39" s="12">
        <f>O38/P27</f>
        <v>78082.034805890231</v>
      </c>
      <c r="P39" s="45" t="s">
        <v>24</v>
      </c>
      <c r="Q39" s="14"/>
      <c r="R39" s="14"/>
      <c r="S39"/>
      <c r="T39" s="238"/>
      <c r="U39" s="59" t="s">
        <v>158</v>
      </c>
      <c r="V39" s="299">
        <v>43650</v>
      </c>
    </row>
    <row r="40" spans="2:24" s="230" customFormat="1" ht="17.399999999999999" x14ac:dyDescent="0.35">
      <c r="G40"/>
      <c r="L40" s="250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160</v>
      </c>
      <c r="V40" s="300" t="s">
        <v>159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161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156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148</v>
      </c>
    </row>
    <row r="75" spans="3:15" x14ac:dyDescent="0.3">
      <c r="C75" t="s">
        <v>147</v>
      </c>
    </row>
    <row r="78" spans="3:15" x14ac:dyDescent="0.3">
      <c r="C78" t="s">
        <v>147</v>
      </c>
    </row>
    <row r="155" spans="3:3" x14ac:dyDescent="0.3">
      <c r="C155" t="s">
        <v>147</v>
      </c>
    </row>
    <row r="156" spans="3:3" x14ac:dyDescent="0.3">
      <c r="C156" t="s">
        <v>149</v>
      </c>
    </row>
    <row r="157" spans="3:3" x14ac:dyDescent="0.3">
      <c r="C157" t="s">
        <v>150</v>
      </c>
    </row>
    <row r="582" spans="3:3" x14ac:dyDescent="0.3">
      <c r="C582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45950</v>
      </c>
    </row>
    <row r="6" spans="2:31" ht="16.2" thickBot="1" x14ac:dyDescent="0.35">
      <c r="B6" s="140" t="s">
        <v>2</v>
      </c>
      <c r="C6" s="139" t="str">
        <f>'2229'!C10</f>
        <v xml:space="preserve">FEMENIAS MUEBLES    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11707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-6281.1383667874425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116654</v>
      </c>
      <c r="E11" s="132">
        <f>D11*0.19</f>
        <v>22164.260000000002</v>
      </c>
      <c r="F11" s="131">
        <f>E11+D11</f>
        <v>138818.26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99708.861633212553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47858.89078743961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81708.861633212553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68795.10921256039</v>
      </c>
      <c r="E13" s="221">
        <f>(D11/D12)-1</f>
        <v>1.4374572431715325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72708.861633212553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33708.86163321256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78967.169799275347</v>
      </c>
      <c r="F15" s="216">
        <f>E15-D12</f>
        <v>31108.279011835737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33708.86163321256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73708.861633212553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6274.8</v>
      </c>
      <c r="E20" s="121">
        <f>D20*0.19</f>
        <v>1192.212</v>
      </c>
      <c r="F20" s="120">
        <f>SUM(D20:E20)</f>
        <v>7467.0120000000006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18024.8</v>
      </c>
      <c r="E21" s="116">
        <f>SUM(E18:E20)</f>
        <v>3424.712</v>
      </c>
      <c r="F21" s="115">
        <f>SUM(F18:F20)</f>
        <v>21449.512000000002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18739.548000000003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116654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18024.8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68795.10921256039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68795.10921256039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2025-04-03T19:02:46Z</cp:lastPrinted>
  <dcterms:created xsi:type="dcterms:W3CDTF">2013-03-18T13:35:42Z</dcterms:created>
  <dcterms:modified xsi:type="dcterms:W3CDTF">2025-10-29T23:07:37Z</dcterms:modified>
</cp:coreProperties>
</file>