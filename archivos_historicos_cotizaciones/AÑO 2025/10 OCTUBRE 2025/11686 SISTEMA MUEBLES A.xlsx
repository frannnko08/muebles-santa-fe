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0 OCTUBRE 2025\"/>
    </mc:Choice>
  </mc:AlternateContent>
  <xr:revisionPtr revIDLastSave="0" documentId="13_ncr:1_{0FA73595-C271-4913-A99B-569C7150A3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'2229'!$B$1:$I$104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1" i="1" l="1"/>
  <c r="I90" i="1"/>
  <c r="I89" i="1"/>
  <c r="I88" i="1"/>
  <c r="I41" i="1"/>
  <c r="I40" i="1"/>
  <c r="I87" i="1"/>
  <c r="I86" i="1"/>
  <c r="I85" i="1"/>
  <c r="I84" i="1"/>
  <c r="I83" i="1"/>
  <c r="I82" i="1"/>
  <c r="I39" i="1"/>
  <c r="I38" i="1"/>
  <c r="I37" i="1"/>
  <c r="I36" i="1"/>
  <c r="I35" i="1"/>
  <c r="I34" i="1"/>
  <c r="I33" i="1"/>
  <c r="I3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53" i="1"/>
  <c r="I52" i="1"/>
  <c r="I51" i="1"/>
  <c r="I50" i="1"/>
  <c r="I47" i="1"/>
  <c r="I44" i="1"/>
  <c r="I23" i="1"/>
  <c r="I24" i="1"/>
  <c r="I25" i="1"/>
  <c r="I26" i="1"/>
  <c r="I27" i="1"/>
  <c r="I28" i="1"/>
  <c r="I29" i="1"/>
  <c r="I30" i="1"/>
  <c r="I43" i="1"/>
  <c r="I45" i="1"/>
  <c r="I49" i="1"/>
  <c r="I48" i="1"/>
  <c r="I46" i="1"/>
  <c r="I60" i="1"/>
  <c r="I59" i="1"/>
  <c r="I58" i="1"/>
  <c r="I57" i="1"/>
  <c r="I55" i="1"/>
  <c r="I56" i="1"/>
  <c r="I54" i="1"/>
  <c r="I42" i="1"/>
  <c r="W101" i="1" l="1"/>
  <c r="W102" i="1" s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F18" i="3" l="1"/>
  <c r="D20" i="3" l="1"/>
  <c r="E20" i="3" s="1"/>
  <c r="E21" i="3" s="1"/>
  <c r="D21" i="3" l="1"/>
  <c r="M43" i="3" s="1"/>
  <c r="D12" i="3" s="1"/>
  <c r="E15" i="3" s="1"/>
  <c r="A15" i="3" s="1"/>
  <c r="F20" i="3"/>
  <c r="F21" i="3" s="1"/>
  <c r="I22" i="1" l="1"/>
  <c r="I31" i="1"/>
  <c r="I21" i="1"/>
  <c r="F15" i="3"/>
  <c r="I93" i="1" l="1"/>
  <c r="I94" i="1" s="1"/>
  <c r="D11" i="3" l="1"/>
  <c r="X9" i="3" s="1"/>
  <c r="X15" i="3" s="1"/>
  <c r="I95" i="1"/>
  <c r="E11" i="3" l="1"/>
  <c r="D40" i="3" s="1"/>
  <c r="X12" i="3"/>
  <c r="M42" i="3"/>
  <c r="M46" i="3" s="1"/>
  <c r="M49" i="3" s="1"/>
  <c r="E13" i="3"/>
  <c r="X11" i="3"/>
  <c r="X14" i="3"/>
  <c r="D13" i="3"/>
  <c r="X13" i="3"/>
  <c r="X16" i="3"/>
  <c r="F11" i="3" l="1"/>
</calcChain>
</file>

<file path=xl/sharedStrings.xml><?xml version="1.0" encoding="utf-8"?>
<sst xmlns="http://schemas.openxmlformats.org/spreadsheetml/2006/main" count="413" uniqueCount="190">
  <si>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</si>
  <si>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</si>
  <si>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</si>
  <si>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</si>
  <si>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</si>
  <si>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</si>
  <si>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</si>
  <si>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</si>
  <si>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</si>
  <si>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</si>
  <si>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</si>
  <si>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</si>
  <si>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</si>
  <si>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</si>
  <si>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</si>
  <si>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</si>
  <si>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ADHESIVO</t>
  </si>
  <si>
    <t>MEDIA CAÑA</t>
  </si>
  <si>
    <t>CORTE</t>
  </si>
  <si>
    <t>VALIDEZ COTIZACIÓN: 5 DIAS</t>
  </si>
  <si>
    <t>NETO</t>
  </si>
  <si>
    <t>I.V.A.</t>
  </si>
  <si>
    <t>MDF 18MM</t>
  </si>
  <si>
    <t>RESPALDO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</si>
  <si>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</si>
  <si>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</si>
  <si>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</si>
  <si>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</si>
  <si>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</si>
  <si>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</si>
  <si>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</si>
  <si>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</si>
  <si>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</si>
  <si>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</si>
  <si>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</si>
  <si>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</si>
  <si>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</si>
  <si>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</si>
  <si>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</si>
  <si>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</si>
  <si>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</si>
  <si>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</si>
  <si>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</si>
  <si>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</si>
  <si>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</si>
  <si>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</si>
  <si>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</si>
  <si>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</si>
  <si>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</si>
  <si>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</si>
  <si>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</si>
  <si>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</si>
  <si>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</si>
  <si>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</si>
  <si>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</si>
  <si>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</si>
  <si>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</si>
  <si>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</si>
  <si>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</si>
  <si>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</si>
  <si>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</si>
  <si>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</si>
  <si>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</si>
  <si>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</si>
  <si>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</si>
  <si>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</si>
  <si>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</si>
  <si>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</si>
  <si>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</si>
  <si>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</si>
  <si>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</si>
  <si>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</si>
  <si>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</si>
  <si>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</si>
  <si>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</si>
  <si>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</si>
  <si>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</si>
  <si>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</si>
  <si>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</si>
  <si>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</si>
  <si>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</si>
  <si>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</si>
  <si>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</si>
  <si>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</si>
  <si>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</si>
  <si>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</si>
  <si>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</si>
  <si>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</si>
  <si>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</si>
  <si>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</si>
  <si>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</si>
  <si>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</si>
  <si>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</si>
  <si>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</si>
  <si>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</si>
  <si>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</si>
  <si>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</si>
  <si>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</si>
  <si>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</si>
  <si>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</si>
  <si>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</si>
  <si>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</si>
  <si>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</si>
  <si>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</si>
  <si>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</si>
  <si>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</si>
  <si>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</si>
  <si>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</si>
  <si>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</si>
  <si>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</si>
  <si>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</si>
  <si>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</si>
  <si>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</si>
  <si>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</si>
  <si>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</si>
  <si>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</si>
  <si>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</si>
  <si>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FORMA DE PAGO:</t>
  </si>
  <si>
    <t>ALTO</t>
  </si>
  <si>
    <t>NO</t>
  </si>
  <si>
    <t>CORTADA A LA MEDIDA</t>
  </si>
  <si>
    <t>VENTAS POR MENOR DE MUEBLES</t>
  </si>
  <si>
    <t>CORREO:</t>
  </si>
  <si>
    <t>MUEBLES SANTA FE SPA</t>
  </si>
  <si>
    <t>RUT: 77.054.606-0</t>
  </si>
  <si>
    <t>GIRO:</t>
  </si>
  <si>
    <t>CONTACTO:</t>
  </si>
  <si>
    <t>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</si>
  <si>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</si>
  <si>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</si>
  <si>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</si>
  <si>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</si>
  <si>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</si>
  <si>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</si>
  <si>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</si>
  <si>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</si>
  <si>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</si>
  <si>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</si>
  <si>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</si>
  <si>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</si>
  <si>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</si>
  <si>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</si>
  <si>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</si>
  <si>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</si>
  <si>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</si>
  <si>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</si>
  <si>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</si>
  <si>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EMBALAJE</t>
  </si>
  <si>
    <t>PLAZO ENTREGA</t>
  </si>
  <si>
    <t>FECHA</t>
  </si>
  <si>
    <t>DESPACHO</t>
  </si>
  <si>
    <t>SISTEMA MUEBLES</t>
  </si>
  <si>
    <t>N° 11686</t>
  </si>
  <si>
    <t>MARIOLI CONCHA</t>
  </si>
  <si>
    <t>+56 9 9408 2633</t>
  </si>
  <si>
    <t>PUMIC GREY 21321 SF TRASCARA BLANCA</t>
  </si>
  <si>
    <t xml:space="preserve">CUBIERTA CON RESPALDO FRENTE 180° MDF 18MM </t>
  </si>
  <si>
    <t>M09</t>
  </si>
  <si>
    <t>CUBIERTA SIN RESPALDO FRENTE 180° MDF 18MM</t>
  </si>
  <si>
    <t>M13</t>
  </si>
  <si>
    <t>LAMINAS</t>
  </si>
  <si>
    <t>M18</t>
  </si>
  <si>
    <t>CUBIERTA FRONTON</t>
  </si>
  <si>
    <t>GLACIAL WHITE 22191 SF TRASCARA BLANCA</t>
  </si>
  <si>
    <t>CUB SIN RESPALDO FRENTE 180° MDF 25MM</t>
  </si>
  <si>
    <t xml:space="preserve">FRENTE 2 LADOS R6 </t>
  </si>
  <si>
    <t>M06</t>
  </si>
  <si>
    <t>CUB SIN RESPALDO FRENTE 180° MDF 18MM</t>
  </si>
  <si>
    <t>KITCHENETTE M21</t>
  </si>
  <si>
    <t>KITCHENETTE M22</t>
  </si>
  <si>
    <t xml:space="preserve">M13 </t>
  </si>
  <si>
    <t>M13 "L" D</t>
  </si>
  <si>
    <t>M13 "L" I</t>
  </si>
  <si>
    <t xml:space="preserve">CUBIERTA SIN RESPALDO FRENTE 180° MDF 18MM </t>
  </si>
  <si>
    <t>M07</t>
  </si>
  <si>
    <t>M07 "L" I</t>
  </si>
  <si>
    <t>M07 "L" D</t>
  </si>
  <si>
    <t xml:space="preserve">M07 </t>
  </si>
  <si>
    <t>M14 "L" D</t>
  </si>
  <si>
    <t>M14 "L" I</t>
  </si>
  <si>
    <t>CUB SIN RESPALDO FRENTE 180° MDF 18MM UNION DE LAMINA</t>
  </si>
  <si>
    <t>20 DIAS HABILES POR PISO</t>
  </si>
  <si>
    <t>M09 "L" I</t>
  </si>
  <si>
    <t>M09 "L" D</t>
  </si>
  <si>
    <t xml:space="preserve">CUB SIN RESPALDO FRENTE 180° MDF 18MM </t>
  </si>
  <si>
    <t>M14</t>
  </si>
  <si>
    <t xml:space="preserve">PUMIC GREY 21321 SF </t>
  </si>
  <si>
    <t>GLACIAL WHITE 22191 SF</t>
  </si>
  <si>
    <t>SHELL WHITE 20011 SF</t>
  </si>
  <si>
    <t>LAMINAS TRASCARA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</si>
</sst>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4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  <font>
      <sz val="10"/>
      <name val="Calibri"/>
      <family val="2"/>
      <scheme val="minor"/>
    </font>
    <font>
      <sz val="10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64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0" fontId="4" fillId="0" borderId="0" xfId="0" applyFont="1" applyAlignment="1">
      <alignment horizontal="left" vertical="center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7" borderId="7" xfId="6" applyFont="1" applyFill="1" applyBorder="1" applyAlignment="1">
      <alignment horizontal="right"/>
    </xf>
    <xf numFmtId="42" fontId="0" fillId="8" borderId="10" xfId="6" applyFont="1" applyFill="1" applyBorder="1" applyAlignment="1">
      <alignment horizontal="right"/>
    </xf>
    <xf numFmtId="42" fontId="0" fillId="8" borderId="14" xfId="6" applyFont="1" applyFill="1" applyBorder="1" applyAlignment="1">
      <alignment horizontal="right"/>
    </xf>
    <xf numFmtId="9" fontId="0" fillId="0" borderId="0" xfId="1" applyFont="1"/>
    <xf numFmtId="42" fontId="8" fillId="7" borderId="7" xfId="6" applyFont="1" applyFill="1" applyBorder="1"/>
    <xf numFmtId="0" fontId="14" fillId="7" borderId="18" xfId="0" applyFont="1" applyFill="1" applyBorder="1" applyAlignment="1">
      <alignment horizontal="center"/>
    </xf>
    <xf numFmtId="41" fontId="15" fillId="7" borderId="19" xfId="4" applyFont="1" applyFill="1" applyBorder="1"/>
    <xf numFmtId="42" fontId="0" fillId="8" borderId="20" xfId="6" applyFont="1" applyFill="1" applyBorder="1" applyAlignment="1">
      <alignment horizontal="right"/>
    </xf>
    <xf numFmtId="42" fontId="8" fillId="9" borderId="7" xfId="0" applyNumberFormat="1" applyFont="1" applyFill="1" applyBorder="1"/>
    <xf numFmtId="0" fontId="8" fillId="9" borderId="19" xfId="0" applyFont="1" applyFill="1" applyBorder="1" applyAlignment="1">
      <alignment horizontal="center"/>
    </xf>
    <xf numFmtId="0" fontId="8" fillId="8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9" borderId="7" xfId="6" applyFont="1" applyFill="1" applyBorder="1" applyAlignment="1">
      <alignment horizontal="right"/>
    </xf>
    <xf numFmtId="0" fontId="8" fillId="9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9" borderId="2" xfId="0" applyFont="1" applyFill="1" applyBorder="1"/>
    <xf numFmtId="42" fontId="0" fillId="0" borderId="29" xfId="6" applyFont="1" applyBorder="1" applyAlignment="1">
      <alignment horizontal="center"/>
    </xf>
    <xf numFmtId="42" fontId="8" fillId="10" borderId="7" xfId="6" applyFont="1" applyFill="1" applyBorder="1"/>
    <xf numFmtId="41" fontId="8" fillId="10" borderId="18" xfId="0" applyNumberFormat="1" applyFont="1" applyFill="1" applyBorder="1" applyAlignment="1">
      <alignment horizontal="left" indent="1"/>
    </xf>
    <xf numFmtId="42" fontId="8" fillId="10" borderId="18" xfId="0" applyNumberFormat="1" applyFont="1" applyFill="1" applyBorder="1"/>
    <xf numFmtId="0" fontId="8" fillId="10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0" borderId="7" xfId="0" applyFont="1" applyFill="1" applyBorder="1" applyAlignment="1">
      <alignment horizontal="center" vertical="center"/>
    </xf>
    <xf numFmtId="0" fontId="8" fillId="10" borderId="18" xfId="0" applyFont="1" applyFill="1" applyBorder="1" applyAlignment="1">
      <alignment horizontal="center" vertical="center"/>
    </xf>
    <xf numFmtId="41" fontId="8" fillId="10" borderId="18" xfId="4" applyFont="1" applyFill="1" applyBorder="1" applyAlignment="1">
      <alignment horizontal="center" vertical="center"/>
    </xf>
    <xf numFmtId="0" fontId="8" fillId="10" borderId="18" xfId="0" applyFont="1" applyFill="1" applyBorder="1" applyAlignment="1">
      <alignment horizontal="center"/>
    </xf>
    <xf numFmtId="0" fontId="8" fillId="10" borderId="19" xfId="0" applyFont="1" applyFill="1" applyBorder="1"/>
    <xf numFmtId="42" fontId="8" fillId="11" borderId="7" xfId="6" applyFont="1" applyFill="1" applyBorder="1"/>
    <xf numFmtId="42" fontId="8" fillId="11" borderId="18" xfId="6" applyFont="1" applyFill="1" applyBorder="1"/>
    <xf numFmtId="42" fontId="0" fillId="11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3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7" borderId="2" xfId="0" applyFont="1" applyFill="1" applyBorder="1" applyAlignment="1">
      <alignment horizontal="center"/>
    </xf>
    <xf numFmtId="42" fontId="8" fillId="7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7" borderId="18" xfId="0" applyFont="1" applyFill="1" applyBorder="1" applyAlignment="1">
      <alignment horizontal="center"/>
    </xf>
    <xf numFmtId="42" fontId="2" fillId="7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9" borderId="2" xfId="0" quotePrefix="1" applyFill="1" applyBorder="1" applyAlignment="1">
      <alignment horizontal="left"/>
    </xf>
    <xf numFmtId="0" fontId="0" fillId="9" borderId="9" xfId="0" quotePrefix="1" applyFill="1" applyBorder="1" applyAlignment="1">
      <alignment horizontal="left"/>
    </xf>
    <xf numFmtId="0" fontId="0" fillId="9" borderId="8" xfId="0" quotePrefix="1" applyFill="1" applyBorder="1" applyAlignment="1">
      <alignment horizontal="left"/>
    </xf>
    <xf numFmtId="0" fontId="0" fillId="8" borderId="17" xfId="0" quotePrefix="1" applyFill="1" applyBorder="1" applyAlignment="1">
      <alignment horizontal="left"/>
    </xf>
    <xf numFmtId="0" fontId="0" fillId="8" borderId="16" xfId="0" quotePrefix="1" applyFill="1" applyBorder="1" applyAlignment="1">
      <alignment horizontal="left"/>
    </xf>
    <xf numFmtId="0" fontId="0" fillId="8" borderId="15" xfId="0" quotePrefix="1" applyFill="1" applyBorder="1" applyAlignment="1">
      <alignment horizontal="left"/>
    </xf>
    <xf numFmtId="0" fontId="0" fillId="8" borderId="23" xfId="0" quotePrefix="1" applyFill="1" applyBorder="1" applyAlignment="1">
      <alignment horizontal="left"/>
    </xf>
    <xf numFmtId="0" fontId="0" fillId="8" borderId="22" xfId="0" quotePrefix="1" applyFill="1" applyBorder="1" applyAlignment="1">
      <alignment horizontal="left"/>
    </xf>
    <xf numFmtId="0" fontId="0" fillId="8" borderId="21" xfId="0" quotePrefix="1" applyFill="1" applyBorder="1" applyAlignment="1">
      <alignment horizontal="left"/>
    </xf>
    <xf numFmtId="0" fontId="0" fillId="8" borderId="13" xfId="0" quotePrefix="1" applyFill="1" applyBorder="1" applyAlignment="1">
      <alignment horizontal="left"/>
    </xf>
    <xf numFmtId="0" fontId="0" fillId="8" borderId="12" xfId="0" quotePrefix="1" applyFill="1" applyBorder="1" applyAlignment="1">
      <alignment horizontal="left"/>
    </xf>
    <xf numFmtId="0" fontId="0" fillId="8" borderId="11" xfId="0" quotePrefix="1" applyFill="1" applyBorder="1" applyAlignment="1">
      <alignment horizontal="left"/>
    </xf>
    <xf numFmtId="0" fontId="8" fillId="7" borderId="2" xfId="0" quotePrefix="1" applyFont="1" applyFill="1" applyBorder="1" applyAlignment="1">
      <alignment horizontal="left"/>
    </xf>
    <xf numFmtId="0" fontId="8" fillId="7" borderId="9" xfId="0" quotePrefix="1" applyFont="1" applyFill="1" applyBorder="1" applyAlignment="1">
      <alignment horizontal="left"/>
    </xf>
    <xf numFmtId="0" fontId="8" fillId="7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7" borderId="9" xfId="0" applyFont="1" applyFill="1" applyBorder="1"/>
    <xf numFmtId="0" fontId="8" fillId="0" borderId="13" xfId="0" applyFont="1" applyBorder="1" applyAlignment="1">
      <alignment horizontal="center"/>
    </xf>
    <xf numFmtId="0" fontId="8" fillId="7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7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7" borderId="47" xfId="0" applyFont="1" applyFill="1" applyBorder="1" applyAlignment="1">
      <alignment horizontal="center"/>
    </xf>
    <xf numFmtId="0" fontId="8" fillId="7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5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5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5" borderId="9" xfId="0" applyNumberFormat="1" applyFont="1" applyFill="1" applyBorder="1"/>
    <xf numFmtId="0" fontId="6" fillId="12" borderId="19" xfId="0" applyFont="1" applyFill="1" applyBorder="1" applyAlignment="1">
      <alignment horizontal="center"/>
    </xf>
    <xf numFmtId="0" fontId="6" fillId="12" borderId="18" xfId="0" applyFont="1" applyFill="1" applyBorder="1" applyAlignment="1">
      <alignment horizontal="center"/>
    </xf>
    <xf numFmtId="0" fontId="6" fillId="12" borderId="7" xfId="0" applyFont="1" applyFill="1" applyBorder="1" applyAlignment="1">
      <alignment horizontal="center"/>
    </xf>
    <xf numFmtId="9" fontId="6" fillId="5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6" fillId="0" borderId="0" xfId="0" applyFont="1"/>
    <xf numFmtId="0" fontId="0" fillId="6" borderId="46" xfId="0" applyFill="1" applyBorder="1"/>
    <xf numFmtId="0" fontId="0" fillId="6" borderId="46" xfId="0" applyFill="1" applyBorder="1" applyAlignment="1">
      <alignment horizontal="left"/>
    </xf>
    <xf numFmtId="0" fontId="0" fillId="6" borderId="54" xfId="0" applyFill="1" applyBorder="1"/>
    <xf numFmtId="0" fontId="0" fillId="6" borderId="55" xfId="0" applyFill="1" applyBorder="1"/>
    <xf numFmtId="169" fontId="3" fillId="0" borderId="0" xfId="2" applyNumberFormat="1" applyFont="1" applyFill="1" applyBorder="1"/>
    <xf numFmtId="167" fontId="22" fillId="0" borderId="0" xfId="0" applyNumberFormat="1" applyFont="1"/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0" fontId="22" fillId="0" borderId="0" xfId="0" applyFont="1" applyAlignment="1">
      <alignment horizontal="left" vertical="center"/>
    </xf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6" borderId="46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3" fontId="11" fillId="16" borderId="26" xfId="0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6" borderId="47" xfId="0" applyFill="1" applyBorder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6" borderId="54" xfId="0" applyFont="1" applyFill="1" applyBorder="1"/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0" fontId="0" fillId="0" borderId="46" xfId="0" applyBorder="1"/>
    <xf numFmtId="0" fontId="35" fillId="0" borderId="0" xfId="0" applyFont="1"/>
    <xf numFmtId="14" fontId="29" fillId="0" borderId="0" xfId="0" applyNumberFormat="1" applyFont="1" applyAlignment="1">
      <alignment horizontal="left"/>
    </xf>
    <xf numFmtId="0" fontId="37" fillId="6" borderId="0" xfId="0" applyFont="1" applyFill="1"/>
    <xf numFmtId="0" fontId="0" fillId="6" borderId="0" xfId="0" applyFill="1"/>
    <xf numFmtId="0" fontId="29" fillId="6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9" fillId="6" borderId="0" xfId="3" applyFill="1" applyBorder="1"/>
    <xf numFmtId="0" fontId="29" fillId="6" borderId="0" xfId="0" applyFont="1" applyFill="1"/>
    <xf numFmtId="0" fontId="36" fillId="0" borderId="0" xfId="0" quotePrefix="1" applyFont="1"/>
    <xf numFmtId="0" fontId="25" fillId="0" borderId="0" xfId="0" applyFont="1"/>
    <xf numFmtId="0" fontId="29" fillId="0" borderId="0" xfId="0" applyFont="1"/>
    <xf numFmtId="0" fontId="35" fillId="6" borderId="0" xfId="0" applyFont="1" applyFill="1"/>
    <xf numFmtId="0" fontId="14" fillId="6" borderId="0" xfId="0" applyFont="1" applyFill="1"/>
    <xf numFmtId="0" fontId="30" fillId="6" borderId="0" xfId="0" applyFont="1" applyFill="1"/>
    <xf numFmtId="166" fontId="22" fillId="0" borderId="0" xfId="0" applyNumberFormat="1" applyFont="1"/>
    <xf numFmtId="169" fontId="0" fillId="0" borderId="0" xfId="2" applyNumberFormat="1" applyFont="1" applyFill="1" applyBorder="1" applyAlignment="1">
      <alignment horizontal="center" vertical="center"/>
    </xf>
    <xf numFmtId="0" fontId="24" fillId="16" borderId="2" xfId="0" applyFont="1" applyFill="1" applyBorder="1" applyAlignment="1">
      <alignment horizontal="left" indent="1"/>
    </xf>
    <xf numFmtId="0" fontId="23" fillId="16" borderId="9" xfId="0" applyFont="1" applyFill="1" applyBorder="1"/>
    <xf numFmtId="0" fontId="24" fillId="16" borderId="3" xfId="0" applyFont="1" applyFill="1" applyBorder="1" applyAlignment="1">
      <alignment horizontal="center"/>
    </xf>
    <xf numFmtId="0" fontId="21" fillId="16" borderId="40" xfId="0" applyFont="1" applyFill="1" applyBorder="1" applyAlignment="1">
      <alignment horizontal="center" vertical="center"/>
    </xf>
    <xf numFmtId="0" fontId="21" fillId="16" borderId="39" xfId="0" applyFont="1" applyFill="1" applyBorder="1" applyAlignment="1">
      <alignment horizontal="center" vertical="center"/>
    </xf>
    <xf numFmtId="0" fontId="21" fillId="16" borderId="43" xfId="0" applyFont="1" applyFill="1" applyBorder="1" applyAlignment="1">
      <alignment horizontal="center" vertical="center"/>
    </xf>
    <xf numFmtId="17" fontId="0" fillId="6" borderId="53" xfId="0" applyNumberFormat="1" applyFill="1" applyBorder="1"/>
    <xf numFmtId="0" fontId="32" fillId="0" borderId="1" xfId="0" applyFont="1" applyBorder="1" applyAlignment="1">
      <alignment horizontal="center" vertical="center"/>
    </xf>
    <xf numFmtId="0" fontId="32" fillId="0" borderId="4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166" fontId="38" fillId="0" borderId="1" xfId="0" applyNumberFormat="1" applyFont="1" applyBorder="1" applyAlignment="1">
      <alignment horizontal="center" vertical="center"/>
    </xf>
    <xf numFmtId="166" fontId="38" fillId="0" borderId="4" xfId="0" applyNumberFormat="1" applyFont="1" applyBorder="1" applyAlignment="1">
      <alignment horizontal="center" vertical="center"/>
    </xf>
    <xf numFmtId="42" fontId="39" fillId="0" borderId="27" xfId="8" applyFont="1" applyFill="1" applyBorder="1"/>
    <xf numFmtId="42" fontId="39" fillId="16" borderId="20" xfId="8" applyFont="1" applyFill="1" applyBorder="1"/>
    <xf numFmtId="42" fontId="39" fillId="0" borderId="29" xfId="8" applyFont="1" applyFill="1" applyBorder="1"/>
    <xf numFmtId="167" fontId="5" fillId="0" borderId="1" xfId="2" applyNumberFormat="1" applyFont="1" applyFill="1" applyBorder="1" applyAlignment="1">
      <alignment horizontal="center" vertical="center"/>
    </xf>
    <xf numFmtId="167" fontId="5" fillId="0" borderId="4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6" borderId="40" xfId="0" applyFont="1" applyFill="1" applyBorder="1" applyAlignment="1">
      <alignment horizontal="center" vertical="center"/>
    </xf>
    <xf numFmtId="0" fontId="5" fillId="16" borderId="39" xfId="0" applyFont="1" applyFill="1" applyBorder="1" applyAlignment="1">
      <alignment horizontal="center" vertical="center"/>
    </xf>
    <xf numFmtId="0" fontId="5" fillId="16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9" borderId="48" xfId="0" applyFont="1" applyFill="1" applyBorder="1" applyAlignment="1">
      <alignment horizontal="center"/>
    </xf>
    <xf numFmtId="0" fontId="8" fillId="9" borderId="51" xfId="0" applyFont="1" applyFill="1" applyBorder="1" applyAlignment="1">
      <alignment horizontal="center"/>
    </xf>
    <xf numFmtId="0" fontId="8" fillId="9" borderId="52" xfId="0" applyFont="1" applyFill="1" applyBorder="1" applyAlignment="1">
      <alignment horizontal="center"/>
    </xf>
    <xf numFmtId="0" fontId="8" fillId="14" borderId="2" xfId="0" applyFont="1" applyFill="1" applyBorder="1" applyAlignment="1">
      <alignment horizontal="center"/>
    </xf>
    <xf numFmtId="0" fontId="8" fillId="14" borderId="9" xfId="0" applyFont="1" applyFill="1" applyBorder="1" applyAlignment="1">
      <alignment horizontal="center"/>
    </xf>
    <xf numFmtId="0" fontId="8" fillId="14" borderId="3" xfId="0" applyFont="1" applyFill="1" applyBorder="1" applyAlignment="1">
      <alignment horizontal="center"/>
    </xf>
    <xf numFmtId="0" fontId="5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Fill="1"/>
    <xf numFmtId="0" fontId="0" fillId="0" borderId="0" xfId="0" applyFill="1"/>
    <xf numFmtId="0" fontId="21" fillId="0" borderId="0" xfId="0" applyFont="1" applyFill="1" applyAlignment="1">
      <alignment horizontal="center" vertical="center"/>
    </xf>
    <xf numFmtId="167" fontId="0" fillId="0" borderId="0" xfId="0" applyNumberFormat="1" applyFill="1"/>
    <xf numFmtId="167" fontId="3" fillId="0" borderId="0" xfId="2" applyNumberFormat="1" applyFont="1" applyFill="1" applyAlignment="1">
      <alignment horizontal="center"/>
    </xf>
    <xf numFmtId="166" fontId="3" fillId="0" borderId="0" xfId="0" applyNumberFormat="1" applyFont="1" applyFill="1" applyAlignment="1">
      <alignment horizontal="center"/>
    </xf>
    <xf numFmtId="166" fontId="3" fillId="0" borderId="0" xfId="0" applyNumberFormat="1" applyFont="1" applyFill="1"/>
    <xf numFmtId="169" fontId="3" fillId="0" borderId="0" xfId="0" applyNumberFormat="1" applyFont="1" applyFill="1" applyAlignment="1">
      <alignment horizontal="center"/>
    </xf>
    <xf numFmtId="41" fontId="3" fillId="0" borderId="0" xfId="4" applyFont="1" applyFill="1" applyBorder="1" applyAlignment="1">
      <alignment horizontal="right"/>
    </xf>
    <xf numFmtId="41" fontId="3" fillId="0" borderId="0" xfId="4" applyFont="1" applyFill="1" applyBorder="1" applyAlignment="1">
      <alignment horizontal="center"/>
    </xf>
    <xf numFmtId="167" fontId="3" fillId="0" borderId="0" xfId="2" applyNumberFormat="1" applyFont="1" applyFill="1" applyBorder="1" applyAlignment="1">
      <alignment horizontal="center"/>
    </xf>
    <xf numFmtId="41" fontId="11" fillId="0" borderId="0" xfId="4" applyFont="1" applyFill="1" applyBorder="1" applyAlignment="1">
      <alignment horizontal="center"/>
    </xf>
    <xf numFmtId="169" fontId="3" fillId="0" borderId="0" xfId="2" applyNumberFormat="1" applyFont="1" applyFill="1" applyBorder="1" applyAlignment="1">
      <alignment horizontal="center"/>
    </xf>
    <xf numFmtId="171" fontId="3" fillId="0" borderId="0" xfId="0" applyNumberFormat="1" applyFont="1" applyFill="1"/>
    <xf numFmtId="0" fontId="22" fillId="0" borderId="0" xfId="0" applyFont="1" applyFill="1" applyAlignment="1">
      <alignment horizontal="center" vertical="center"/>
    </xf>
    <xf numFmtId="168" fontId="2" fillId="0" borderId="0" xfId="0" applyNumberFormat="1" applyFont="1" applyFill="1"/>
    <xf numFmtId="1" fontId="3" fillId="0" borderId="0" xfId="0" applyNumberFormat="1" applyFont="1" applyFill="1"/>
    <xf numFmtId="1" fontId="2" fillId="0" borderId="0" xfId="0" applyNumberFormat="1" applyFont="1" applyFill="1"/>
    <xf numFmtId="167" fontId="28" fillId="0" borderId="0" xfId="0" applyNumberFormat="1" applyFont="1" applyFill="1" applyAlignment="1">
      <alignment horizontal="center" vertical="center"/>
    </xf>
    <xf numFmtId="0" fontId="2" fillId="0" borderId="0" xfId="0" applyFont="1" applyFill="1"/>
    <xf numFmtId="3" fontId="2" fillId="0" borderId="0" xfId="0" applyNumberFormat="1" applyFont="1" applyFill="1"/>
    <xf numFmtId="2" fontId="3" fillId="0" borderId="0" xfId="0" applyNumberFormat="1" applyFont="1" applyFill="1"/>
    <xf numFmtId="0" fontId="22" fillId="0" borderId="0" xfId="0" applyFont="1" applyFill="1"/>
    <xf numFmtId="3" fontId="22" fillId="0" borderId="0" xfId="0" applyNumberFormat="1" applyFont="1" applyFill="1"/>
    <xf numFmtId="169" fontId="2" fillId="0" borderId="0" xfId="2" applyNumberFormat="1" applyFont="1" applyFill="1" applyBorder="1"/>
    <xf numFmtId="167" fontId="22" fillId="0" borderId="0" xfId="0" applyNumberFormat="1" applyFont="1" applyFill="1"/>
    <xf numFmtId="42" fontId="22" fillId="0" borderId="0" xfId="0" applyNumberFormat="1" applyFont="1" applyFill="1"/>
    <xf numFmtId="0" fontId="3" fillId="0" borderId="0" xfId="0" applyFont="1" applyFill="1" applyAlignment="1">
      <alignment shrinkToFit="1"/>
    </xf>
    <xf numFmtId="170" fontId="3" fillId="0" borderId="0" xfId="0" applyNumberFormat="1" applyFont="1" applyFill="1"/>
    <xf numFmtId="167" fontId="2" fillId="0" borderId="0" xfId="0" applyNumberFormat="1" applyFont="1" applyFill="1"/>
    <xf numFmtId="4" fontId="3" fillId="0" borderId="0" xfId="0" applyNumberFormat="1" applyFont="1" applyFill="1"/>
    <xf numFmtId="3" fontId="3" fillId="0" borderId="0" xfId="0" applyNumberFormat="1" applyFont="1" applyFill="1"/>
    <xf numFmtId="171" fontId="0" fillId="0" borderId="0" xfId="0" applyNumberFormat="1" applyFill="1"/>
    <xf numFmtId="167" fontId="0" fillId="0" borderId="0" xfId="2" applyNumberFormat="1" applyFont="1" applyFill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167" fontId="3" fillId="0" borderId="0" xfId="0" applyNumberFormat="1" applyFont="1" applyFill="1" applyBorder="1" applyAlignment="1">
      <alignment horizontal="center"/>
    </xf>
    <xf numFmtId="3" fontId="0" fillId="0" borderId="0" xfId="0" applyNumberFormat="1" applyFill="1" applyBorder="1" applyAlignment="1">
      <alignment horizontal="center"/>
    </xf>
    <xf numFmtId="0" fontId="0" fillId="0" borderId="0" xfId="0" applyFill="1" applyBorder="1"/>
    <xf numFmtId="166" fontId="0" fillId="0" borderId="0" xfId="0" applyNumberFormat="1" applyFill="1" applyBorder="1"/>
    <xf numFmtId="3" fontId="0" fillId="0" borderId="0" xfId="0" applyNumberFormat="1" applyFill="1" applyBorder="1"/>
    <xf numFmtId="0" fontId="12" fillId="0" borderId="0" xfId="0" applyFont="1" applyFill="1" applyBorder="1" applyAlignment="1">
      <alignment vertical="center"/>
    </xf>
    <xf numFmtId="1" fontId="0" fillId="0" borderId="0" xfId="0" applyNumberFormat="1" applyFill="1" applyBorder="1"/>
    <xf numFmtId="1" fontId="8" fillId="0" borderId="0" xfId="0" applyNumberFormat="1" applyFont="1" applyFill="1" applyBorder="1" applyAlignment="1">
      <alignment horizontal="left"/>
    </xf>
    <xf numFmtId="0" fontId="8" fillId="0" borderId="0" xfId="0" applyFont="1" applyFill="1" applyBorder="1" applyAlignment="1">
      <alignment horizontal="left"/>
    </xf>
    <xf numFmtId="0" fontId="0" fillId="0" borderId="0" xfId="0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96</xdr:row>
      <xdr:rowOff>8194</xdr:rowOff>
    </xdr:from>
    <xdr:to>
      <xdr:col>9</xdr:col>
      <xdr:colOff>8193</xdr:colOff>
      <xdr:row>99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7</xdr:col>
      <xdr:colOff>222885</xdr:colOff>
      <xdr:row>98</xdr:row>
      <xdr:rowOff>154305</xdr:rowOff>
    </xdr:from>
    <xdr:to>
      <xdr:col>8</xdr:col>
      <xdr:colOff>853440</xdr:colOff>
      <xdr:row>98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96</xdr:row>
      <xdr:rowOff>9525</xdr:rowOff>
    </xdr:from>
    <xdr:to>
      <xdr:col>6</xdr:col>
      <xdr:colOff>1745226</xdr:colOff>
      <xdr:row>99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92</xdr:row>
      <xdr:rowOff>9525</xdr:rowOff>
    </xdr:from>
    <xdr:to>
      <xdr:col>6</xdr:col>
      <xdr:colOff>1728839</xdr:colOff>
      <xdr:row>95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LAS CUBIERTAS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 SEGUN LO INDICADO</a:t>
          </a:r>
        </a:p>
        <a:p>
          <a:pPr algn="l"/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Z650"/>
  <sheetViews>
    <sheetView tabSelected="1" zoomScale="93" zoomScaleNormal="93" workbookViewId="0">
      <selection activeCell="A13" sqref="A13"/>
    </sheetView>
  </sheetViews>
  <sheetFormatPr baseColWidth="10" defaultRowHeight="14.4" x14ac:dyDescent="0.3"/>
  <cols>
    <col min="1" max="1" width="6" customWidth="1"/>
    <col min="2" max="2" width="10.5546875" customWidth="1"/>
    <col min="3" max="3" width="53.21875" customWidth="1"/>
    <col min="4" max="4" width="10.6640625" customWidth="1"/>
    <col min="5" max="5" width="10.88671875" customWidth="1"/>
    <col min="6" max="6" width="15.6640625" customWidth="1"/>
    <col min="7" max="7" width="39.6640625" customWidth="1"/>
    <col min="8" max="8" width="11.44140625" customWidth="1"/>
    <col min="9" max="9" width="15.21875" customWidth="1"/>
    <col min="10" max="10" width="15.44140625" customWidth="1"/>
    <col min="11" max="11" width="13.44140625" customWidth="1"/>
    <col min="13" max="13" width="9.5546875" style="18" customWidth="1"/>
    <col min="14" max="14" width="8.88671875" customWidth="1"/>
    <col min="15" max="15" width="8.33203125" customWidth="1"/>
    <col min="16" max="16" width="9.44140625" customWidth="1"/>
    <col min="17" max="17" width="7.6640625" customWidth="1"/>
    <col min="18" max="18" width="9.44140625" customWidth="1"/>
    <col min="19" max="19" width="10.109375" customWidth="1"/>
    <col min="20" max="20" width="8.88671875" customWidth="1"/>
    <col min="21" max="21" width="9.6640625" customWidth="1"/>
    <col min="22" max="22" width="9.33203125" customWidth="1"/>
    <col min="23" max="23" width="9.6640625" customWidth="1"/>
    <col min="24" max="24" width="10.88671875" customWidth="1"/>
    <col min="25" max="25" width="10.44140625" customWidth="1"/>
    <col min="26" max="26" width="9" customWidth="1"/>
  </cols>
  <sheetData>
    <row r="2" spans="2:25" ht="15.6" x14ac:dyDescent="0.3">
      <c r="G2" s="225" t="s">
        <v>123</v>
      </c>
      <c r="R2" s="2"/>
      <c r="S2" s="2"/>
      <c r="T2" s="3"/>
      <c r="U2" s="3"/>
      <c r="V2" s="2"/>
      <c r="W2" s="2"/>
      <c r="X2" s="3"/>
      <c r="Y2" s="4"/>
    </row>
    <row r="3" spans="2:25" x14ac:dyDescent="0.3">
      <c r="G3" s="47" t="s">
        <v>121</v>
      </c>
      <c r="R3" s="2"/>
      <c r="S3" s="2"/>
      <c r="T3" s="3"/>
      <c r="U3" s="3"/>
      <c r="V3" s="2"/>
      <c r="W3" s="2"/>
      <c r="X3" s="3"/>
      <c r="Y3" s="4"/>
    </row>
    <row r="4" spans="2:25" x14ac:dyDescent="0.3">
      <c r="G4" s="47" t="s">
        <v>124</v>
      </c>
      <c r="R4" s="2"/>
      <c r="S4" s="2"/>
      <c r="T4" s="3"/>
      <c r="U4" s="3"/>
      <c r="V4" s="2"/>
      <c r="W4" s="2"/>
      <c r="X4" s="3"/>
      <c r="Y4" s="4"/>
    </row>
    <row r="5" spans="2:25" x14ac:dyDescent="0.3">
      <c r="G5" s="47" t="s">
        <v>14</v>
      </c>
      <c r="O5" s="356"/>
      <c r="P5" s="356"/>
      <c r="Q5" s="356"/>
      <c r="R5" s="357"/>
      <c r="S5" s="357"/>
      <c r="T5" s="358"/>
      <c r="U5" s="358"/>
      <c r="V5" s="2"/>
      <c r="W5" s="2"/>
      <c r="X5" s="3"/>
      <c r="Y5" s="4"/>
    </row>
    <row r="6" spans="2:25" ht="15.6" x14ac:dyDescent="0.3">
      <c r="G6" s="47" t="s">
        <v>143</v>
      </c>
      <c r="O6" s="356"/>
      <c r="P6" s="359"/>
      <c r="Q6" s="356"/>
      <c r="R6" s="357"/>
      <c r="S6" s="357"/>
      <c r="T6" s="358"/>
      <c r="U6" s="358"/>
      <c r="V6" s="2"/>
      <c r="W6" s="2"/>
      <c r="X6" s="3"/>
    </row>
    <row r="7" spans="2:25" ht="15" thickBot="1" x14ac:dyDescent="0.35">
      <c r="G7" s="47" t="s">
        <v>113</v>
      </c>
      <c r="O7" s="356"/>
      <c r="P7" s="356"/>
      <c r="Q7" s="356"/>
      <c r="R7" s="357"/>
      <c r="S7" s="357"/>
      <c r="T7" s="358"/>
      <c r="U7" s="358"/>
      <c r="V7" s="2"/>
      <c r="W7" s="2"/>
      <c r="X7" s="3"/>
    </row>
    <row r="8" spans="2:25" ht="21.6" thickBot="1" x14ac:dyDescent="0.45">
      <c r="B8" s="287" t="s">
        <v>115</v>
      </c>
      <c r="C8" s="288"/>
      <c r="D8" s="289" t="s">
        <v>152</v>
      </c>
      <c r="G8" s="47"/>
      <c r="L8" s="41"/>
      <c r="O8" s="356"/>
      <c r="P8" s="356"/>
      <c r="Q8" s="356"/>
      <c r="R8" s="356"/>
      <c r="S8" s="357"/>
      <c r="T8" s="358"/>
      <c r="U8" s="358"/>
      <c r="V8" s="2"/>
      <c r="W8" s="2"/>
      <c r="X8" s="3"/>
    </row>
    <row r="9" spans="2:25" ht="15" thickBot="1" x14ac:dyDescent="0.35">
      <c r="O9" s="356"/>
      <c r="P9" s="356"/>
      <c r="Q9" s="356"/>
      <c r="R9" s="356"/>
      <c r="S9" s="357"/>
      <c r="T9" s="358"/>
      <c r="U9" s="358"/>
      <c r="V9" s="4"/>
      <c r="W9" s="2"/>
      <c r="X9" s="3"/>
    </row>
    <row r="10" spans="2:25" x14ac:dyDescent="0.3">
      <c r="B10" s="260" t="s">
        <v>141</v>
      </c>
      <c r="C10" s="270" t="s">
        <v>151</v>
      </c>
      <c r="D10" s="226"/>
      <c r="E10" s="226"/>
      <c r="F10" s="226"/>
      <c r="G10" s="227" t="s">
        <v>149</v>
      </c>
      <c r="H10" s="242">
        <v>45966</v>
      </c>
      <c r="I10" s="293"/>
      <c r="L10" s="1"/>
      <c r="O10" s="356"/>
      <c r="P10" s="356"/>
      <c r="Q10" s="356"/>
      <c r="R10" s="356"/>
      <c r="S10" s="357"/>
      <c r="T10" s="358"/>
      <c r="U10" s="358"/>
      <c r="V10" s="4"/>
      <c r="W10" s="2"/>
      <c r="X10" s="3"/>
    </row>
    <row r="11" spans="2:25" ht="16.8" x14ac:dyDescent="0.4">
      <c r="B11" s="251" t="s">
        <v>12</v>
      </c>
      <c r="C11" s="271"/>
      <c r="G11" t="s">
        <v>148</v>
      </c>
      <c r="H11" s="272" t="s">
        <v>181</v>
      </c>
      <c r="I11" s="252"/>
      <c r="O11" s="356"/>
      <c r="P11" s="356"/>
      <c r="Q11" s="356"/>
      <c r="R11" s="360"/>
      <c r="S11" s="361"/>
      <c r="T11" s="360"/>
      <c r="U11" s="356"/>
    </row>
    <row r="12" spans="2:25" x14ac:dyDescent="0.3">
      <c r="B12" s="228" t="s">
        <v>125</v>
      </c>
      <c r="C12" s="273"/>
      <c r="D12" s="274"/>
      <c r="E12" s="274"/>
      <c r="F12" s="274"/>
      <c r="G12" s="274" t="s">
        <v>116</v>
      </c>
      <c r="H12" s="275" t="s">
        <v>119</v>
      </c>
      <c r="I12" s="229"/>
      <c r="O12" s="356"/>
      <c r="P12" s="356"/>
      <c r="Q12" s="356"/>
      <c r="R12" s="360"/>
      <c r="S12" s="361"/>
      <c r="T12" s="360"/>
      <c r="U12" s="356"/>
    </row>
    <row r="13" spans="2:25" x14ac:dyDescent="0.3">
      <c r="B13" s="251" t="s">
        <v>126</v>
      </c>
      <c r="C13" t="s">
        <v>153</v>
      </c>
      <c r="G13" t="s">
        <v>147</v>
      </c>
      <c r="H13" s="276" t="s">
        <v>119</v>
      </c>
      <c r="I13" s="252"/>
      <c r="O13" s="356"/>
      <c r="P13" s="356"/>
      <c r="Q13" s="356"/>
      <c r="R13" s="360"/>
      <c r="S13" s="361"/>
      <c r="T13" s="360"/>
      <c r="U13" s="356"/>
    </row>
    <row r="14" spans="2:25" x14ac:dyDescent="0.3">
      <c r="B14" s="228" t="s">
        <v>122</v>
      </c>
      <c r="C14" s="277"/>
      <c r="D14" s="274"/>
      <c r="E14" s="274"/>
      <c r="F14" s="274"/>
      <c r="G14" s="274" t="s">
        <v>120</v>
      </c>
      <c r="H14" s="278" t="s">
        <v>119</v>
      </c>
      <c r="I14" s="229"/>
      <c r="L14" s="22"/>
      <c r="O14" s="356"/>
      <c r="P14" s="356"/>
      <c r="Q14" s="356"/>
      <c r="R14" s="356"/>
      <c r="S14" s="362"/>
      <c r="T14" s="356"/>
      <c r="U14" s="356"/>
    </row>
    <row r="15" spans="2:25" ht="15.6" x14ac:dyDescent="0.3">
      <c r="B15" s="251" t="s">
        <v>4</v>
      </c>
      <c r="C15" s="279" t="s">
        <v>154</v>
      </c>
      <c r="D15" s="280"/>
      <c r="G15" t="s">
        <v>150</v>
      </c>
      <c r="H15" s="281" t="s">
        <v>119</v>
      </c>
      <c r="I15" s="252"/>
      <c r="O15" s="356"/>
      <c r="P15" s="356"/>
      <c r="Q15" s="356"/>
      <c r="R15" s="356"/>
      <c r="S15" s="356"/>
      <c r="T15" s="356"/>
      <c r="U15" s="356"/>
    </row>
    <row r="16" spans="2:25" ht="16.8" x14ac:dyDescent="0.4">
      <c r="B16" s="264" t="s">
        <v>3</v>
      </c>
      <c r="C16" s="282"/>
      <c r="D16" s="274"/>
      <c r="E16" s="274"/>
      <c r="F16" s="274"/>
      <c r="G16" s="283" t="s">
        <v>117</v>
      </c>
      <c r="H16" s="284" t="s">
        <v>142</v>
      </c>
      <c r="I16" s="229"/>
      <c r="O16" s="356"/>
      <c r="P16" s="356"/>
      <c r="Q16" s="356"/>
      <c r="R16" s="356"/>
      <c r="S16" s="356"/>
      <c r="T16" s="356"/>
      <c r="U16" s="356"/>
    </row>
    <row r="17" spans="2:26" ht="15" thickBot="1" x14ac:dyDescent="0.35">
      <c r="B17" s="261" t="s">
        <v>13</v>
      </c>
      <c r="C17" s="262" t="s">
        <v>145</v>
      </c>
      <c r="D17" s="263"/>
      <c r="E17" s="107"/>
      <c r="F17" s="107"/>
      <c r="G17" s="304" t="s">
        <v>144</v>
      </c>
      <c r="H17" s="304"/>
      <c r="I17" s="305"/>
      <c r="J17" s="233"/>
      <c r="K17" s="233"/>
      <c r="O17" s="356"/>
      <c r="P17" s="356"/>
      <c r="Q17" s="356"/>
      <c r="R17" s="356"/>
      <c r="S17" s="356"/>
      <c r="T17" s="356"/>
      <c r="U17" s="363"/>
      <c r="V17" s="6"/>
    </row>
    <row r="18" spans="2:26" ht="15.75" customHeight="1" thickBot="1" x14ac:dyDescent="0.35">
      <c r="K18" s="36"/>
      <c r="L18" s="5"/>
      <c r="O18" s="356"/>
      <c r="P18" s="356"/>
      <c r="Q18" s="356"/>
      <c r="R18" s="356"/>
      <c r="S18" s="356"/>
      <c r="T18" s="356"/>
      <c r="U18" s="356"/>
      <c r="W18" s="9"/>
      <c r="Y18" s="6"/>
      <c r="Z18" s="6"/>
    </row>
    <row r="19" spans="2:26" ht="13.5" customHeight="1" thickBot="1" x14ac:dyDescent="0.35">
      <c r="B19" s="306" t="s">
        <v>85</v>
      </c>
      <c r="C19" s="307"/>
      <c r="D19" s="307"/>
      <c r="E19" s="307"/>
      <c r="F19" s="307"/>
      <c r="G19" s="307"/>
      <c r="H19" s="307"/>
      <c r="I19" s="308"/>
      <c r="J19" s="316"/>
      <c r="K19" s="316"/>
      <c r="L19" s="317"/>
      <c r="M19" s="15"/>
      <c r="N19" s="318"/>
      <c r="O19" s="352"/>
      <c r="P19" s="352"/>
      <c r="Q19" s="353"/>
      <c r="R19" s="352"/>
      <c r="S19" s="354"/>
      <c r="T19" s="355"/>
      <c r="U19" s="356"/>
      <c r="V19" s="9"/>
      <c r="W19" s="9"/>
      <c r="Y19" s="6"/>
      <c r="Z19" s="6"/>
    </row>
    <row r="20" spans="2:26" ht="17.399999999999999" x14ac:dyDescent="0.3">
      <c r="B20" s="290" t="s">
        <v>7</v>
      </c>
      <c r="C20" s="291" t="s">
        <v>1</v>
      </c>
      <c r="D20" s="291" t="s">
        <v>118</v>
      </c>
      <c r="E20" s="291" t="s">
        <v>11</v>
      </c>
      <c r="F20" s="291" t="s">
        <v>1</v>
      </c>
      <c r="G20" s="291" t="s">
        <v>8</v>
      </c>
      <c r="H20" s="291" t="s">
        <v>5</v>
      </c>
      <c r="I20" s="292" t="s">
        <v>6</v>
      </c>
      <c r="J20" s="320"/>
      <c r="K20" s="320"/>
      <c r="L20" s="321"/>
      <c r="M20" s="322"/>
      <c r="N20" s="323"/>
      <c r="O20" s="324"/>
      <c r="P20" s="323"/>
      <c r="Q20" s="325"/>
      <c r="R20" s="326"/>
      <c r="S20" s="327"/>
      <c r="T20" s="328"/>
      <c r="U20" s="318"/>
      <c r="V20" s="9"/>
      <c r="Y20" s="4"/>
    </row>
    <row r="21" spans="2:26" ht="17.399999999999999" x14ac:dyDescent="0.3">
      <c r="B21" s="294">
        <v>1</v>
      </c>
      <c r="C21" s="296" t="s">
        <v>156</v>
      </c>
      <c r="D21" s="297">
        <v>2.734</v>
      </c>
      <c r="E21" s="297">
        <v>0.6</v>
      </c>
      <c r="F21" s="297" t="s">
        <v>168</v>
      </c>
      <c r="G21" s="296" t="s">
        <v>155</v>
      </c>
      <c r="H21" s="302">
        <v>190576</v>
      </c>
      <c r="I21" s="302">
        <f t="shared" ref="I21:I45" si="0">H21*B21</f>
        <v>190576</v>
      </c>
      <c r="J21" s="265"/>
      <c r="K21" s="320"/>
      <c r="L21" s="321"/>
      <c r="M21" s="321"/>
      <c r="N21" s="324"/>
      <c r="O21" s="324"/>
      <c r="P21" s="323"/>
      <c r="Q21" s="325"/>
      <c r="R21" s="326"/>
      <c r="S21" s="329"/>
      <c r="T21" s="330"/>
      <c r="U21" s="331"/>
      <c r="V21" s="9"/>
      <c r="Y21" s="4"/>
    </row>
    <row r="22" spans="2:26" ht="17.399999999999999" x14ac:dyDescent="0.3">
      <c r="B22" s="294">
        <v>1</v>
      </c>
      <c r="C22" s="296" t="s">
        <v>156</v>
      </c>
      <c r="D22" s="297">
        <v>1.546</v>
      </c>
      <c r="E22" s="297">
        <v>0.6</v>
      </c>
      <c r="F22" s="297" t="s">
        <v>168</v>
      </c>
      <c r="G22" s="296" t="s">
        <v>155</v>
      </c>
      <c r="H22" s="302">
        <v>107765</v>
      </c>
      <c r="I22" s="302">
        <f t="shared" si="0"/>
        <v>107765</v>
      </c>
      <c r="J22" s="265"/>
      <c r="K22" s="320"/>
      <c r="L22" s="321"/>
      <c r="M22" s="321"/>
      <c r="N22" s="324"/>
      <c r="O22" s="324"/>
      <c r="P22" s="323"/>
      <c r="Q22" s="325"/>
      <c r="R22" s="326"/>
      <c r="S22" s="329"/>
      <c r="T22" s="330"/>
      <c r="U22" s="331"/>
      <c r="V22" s="9"/>
      <c r="Y22" s="4"/>
    </row>
    <row r="23" spans="2:26" ht="17.399999999999999" x14ac:dyDescent="0.3">
      <c r="B23" s="294">
        <v>1</v>
      </c>
      <c r="C23" s="296" t="s">
        <v>156</v>
      </c>
      <c r="D23" s="297">
        <v>2.4500000000000002</v>
      </c>
      <c r="E23" s="297">
        <v>0.6</v>
      </c>
      <c r="F23" s="297" t="s">
        <v>168</v>
      </c>
      <c r="G23" s="296" t="s">
        <v>155</v>
      </c>
      <c r="H23" s="302">
        <v>170780</v>
      </c>
      <c r="I23" s="302">
        <f t="shared" si="0"/>
        <v>170780</v>
      </c>
      <c r="J23" s="265"/>
      <c r="K23" s="320"/>
      <c r="L23" s="321"/>
      <c r="M23" s="321"/>
      <c r="N23" s="324"/>
      <c r="O23" s="324"/>
      <c r="P23" s="323"/>
      <c r="Q23" s="325"/>
      <c r="R23" s="326"/>
      <c r="S23" s="329"/>
      <c r="T23" s="330"/>
      <c r="U23" s="331"/>
      <c r="V23" s="9"/>
      <c r="Y23" s="4"/>
    </row>
    <row r="24" spans="2:26" ht="17.399999999999999" x14ac:dyDescent="0.3">
      <c r="B24" s="294">
        <v>1</v>
      </c>
      <c r="C24" s="296" t="s">
        <v>156</v>
      </c>
      <c r="D24" s="297">
        <v>2.57</v>
      </c>
      <c r="E24" s="297">
        <v>0.6</v>
      </c>
      <c r="F24" s="297" t="s">
        <v>168</v>
      </c>
      <c r="G24" s="296" t="s">
        <v>155</v>
      </c>
      <c r="H24" s="302">
        <v>179144</v>
      </c>
      <c r="I24" s="302">
        <f t="shared" si="0"/>
        <v>179144</v>
      </c>
      <c r="J24" s="265"/>
      <c r="K24" s="320"/>
      <c r="L24" s="321"/>
      <c r="M24" s="321"/>
      <c r="N24" s="324"/>
      <c r="O24" s="324"/>
      <c r="P24" s="323"/>
      <c r="Q24" s="325"/>
      <c r="R24" s="326"/>
      <c r="S24" s="329"/>
      <c r="T24" s="330"/>
      <c r="U24" s="331"/>
      <c r="V24" s="9"/>
      <c r="Y24" s="4"/>
    </row>
    <row r="25" spans="2:26" ht="17.399999999999999" x14ac:dyDescent="0.3">
      <c r="B25" s="294">
        <v>1</v>
      </c>
      <c r="C25" s="296" t="s">
        <v>156</v>
      </c>
      <c r="D25" s="297">
        <v>2.5099999999999998</v>
      </c>
      <c r="E25" s="297">
        <v>0.6</v>
      </c>
      <c r="F25" s="297" t="s">
        <v>168</v>
      </c>
      <c r="G25" s="296" t="s">
        <v>155</v>
      </c>
      <c r="H25" s="302">
        <v>174962</v>
      </c>
      <c r="I25" s="302">
        <f t="shared" si="0"/>
        <v>174962</v>
      </c>
      <c r="J25" s="265"/>
      <c r="K25" s="320"/>
      <c r="L25" s="321"/>
      <c r="M25" s="321"/>
      <c r="N25" s="324"/>
      <c r="O25" s="324"/>
      <c r="P25" s="323"/>
      <c r="Q25" s="325"/>
      <c r="R25" s="326"/>
      <c r="S25" s="329"/>
      <c r="T25" s="330"/>
      <c r="U25" s="331"/>
      <c r="V25" s="9"/>
      <c r="Y25" s="4"/>
    </row>
    <row r="26" spans="2:26" ht="17.399999999999999" x14ac:dyDescent="0.3">
      <c r="B26" s="294">
        <v>1</v>
      </c>
      <c r="C26" s="296" t="s">
        <v>156</v>
      </c>
      <c r="D26" s="297">
        <v>2.5960000000000001</v>
      </c>
      <c r="E26" s="297">
        <v>0.6</v>
      </c>
      <c r="F26" s="297" t="s">
        <v>168</v>
      </c>
      <c r="G26" s="296" t="s">
        <v>155</v>
      </c>
      <c r="H26" s="302">
        <v>180957</v>
      </c>
      <c r="I26" s="302">
        <f t="shared" si="0"/>
        <v>180957</v>
      </c>
      <c r="J26" s="265"/>
      <c r="K26" s="320"/>
      <c r="L26" s="321"/>
      <c r="M26" s="321"/>
      <c r="N26" s="324"/>
      <c r="O26" s="324"/>
      <c r="P26" s="323"/>
      <c r="Q26" s="325"/>
      <c r="R26" s="326"/>
      <c r="S26" s="329"/>
      <c r="T26" s="330"/>
      <c r="U26" s="331"/>
      <c r="V26" s="9"/>
      <c r="Y26" s="4"/>
    </row>
    <row r="27" spans="2:26" ht="17.399999999999999" x14ac:dyDescent="0.3">
      <c r="B27" s="294">
        <v>1</v>
      </c>
      <c r="C27" s="296" t="s">
        <v>156</v>
      </c>
      <c r="D27" s="297">
        <v>2.2599999999999998</v>
      </c>
      <c r="E27" s="297">
        <v>0.6</v>
      </c>
      <c r="F27" s="297" t="s">
        <v>168</v>
      </c>
      <c r="G27" s="296" t="s">
        <v>155</v>
      </c>
      <c r="H27" s="302">
        <v>157536</v>
      </c>
      <c r="I27" s="302">
        <f t="shared" si="0"/>
        <v>157536</v>
      </c>
      <c r="J27" s="265"/>
      <c r="K27" s="320"/>
      <c r="L27" s="321"/>
      <c r="M27" s="321"/>
      <c r="N27" s="324"/>
      <c r="O27" s="324"/>
      <c r="P27" s="323"/>
      <c r="Q27" s="325"/>
      <c r="R27" s="326"/>
      <c r="S27" s="329"/>
      <c r="T27" s="330"/>
      <c r="U27" s="331"/>
      <c r="V27" s="9"/>
      <c r="Y27" s="4"/>
    </row>
    <row r="28" spans="2:26" ht="17.399999999999999" x14ac:dyDescent="0.3">
      <c r="B28" s="294">
        <v>1</v>
      </c>
      <c r="C28" s="296" t="s">
        <v>156</v>
      </c>
      <c r="D28" s="297">
        <v>2.4</v>
      </c>
      <c r="E28" s="297">
        <v>0.6</v>
      </c>
      <c r="F28" s="297" t="s">
        <v>168</v>
      </c>
      <c r="G28" s="296" t="s">
        <v>155</v>
      </c>
      <c r="H28" s="302">
        <v>167294</v>
      </c>
      <c r="I28" s="302">
        <f t="shared" si="0"/>
        <v>167294</v>
      </c>
      <c r="J28" s="265"/>
      <c r="K28" s="320"/>
      <c r="L28" s="321"/>
      <c r="M28" s="321"/>
      <c r="N28" s="324"/>
      <c r="O28" s="324"/>
      <c r="P28" s="323"/>
      <c r="Q28" s="325"/>
      <c r="R28" s="326"/>
      <c r="S28" s="329"/>
      <c r="T28" s="330"/>
      <c r="U28" s="331"/>
      <c r="V28" s="9"/>
      <c r="Y28" s="4"/>
    </row>
    <row r="29" spans="2:26" ht="17.399999999999999" x14ac:dyDescent="0.3">
      <c r="B29" s="294">
        <v>1</v>
      </c>
      <c r="C29" s="296" t="s">
        <v>156</v>
      </c>
      <c r="D29" s="297">
        <v>1.893</v>
      </c>
      <c r="E29" s="297">
        <v>0.6</v>
      </c>
      <c r="F29" s="297" t="s">
        <v>169</v>
      </c>
      <c r="G29" s="296" t="s">
        <v>155</v>
      </c>
      <c r="H29" s="302">
        <v>131954</v>
      </c>
      <c r="I29" s="302">
        <f t="shared" si="0"/>
        <v>131954</v>
      </c>
      <c r="J29" s="265"/>
      <c r="K29" s="320"/>
      <c r="L29" s="321"/>
      <c r="M29" s="321"/>
      <c r="N29" s="324"/>
      <c r="O29" s="324"/>
      <c r="P29" s="323"/>
      <c r="Q29" s="325"/>
      <c r="R29" s="326"/>
      <c r="S29" s="329"/>
      <c r="T29" s="330"/>
      <c r="U29" s="331"/>
      <c r="V29" s="9"/>
      <c r="Y29" s="4"/>
    </row>
    <row r="30" spans="2:26" ht="17.399999999999999" x14ac:dyDescent="0.3">
      <c r="B30" s="294">
        <v>1</v>
      </c>
      <c r="C30" s="296" t="s">
        <v>156</v>
      </c>
      <c r="D30" s="297">
        <v>1.61</v>
      </c>
      <c r="E30" s="297">
        <v>0.6</v>
      </c>
      <c r="F30" s="297" t="s">
        <v>169</v>
      </c>
      <c r="G30" s="296" t="s">
        <v>155</v>
      </c>
      <c r="H30" s="302">
        <v>114775</v>
      </c>
      <c r="I30" s="302">
        <f t="shared" si="0"/>
        <v>114775</v>
      </c>
      <c r="J30" s="265"/>
      <c r="K30" s="320"/>
      <c r="L30" s="321"/>
      <c r="M30" s="321"/>
      <c r="N30" s="324"/>
      <c r="O30" s="324"/>
      <c r="P30" s="323"/>
      <c r="Q30" s="325"/>
      <c r="R30" s="326"/>
      <c r="S30" s="329"/>
      <c r="T30" s="330"/>
      <c r="U30" s="331"/>
      <c r="V30" s="9"/>
      <c r="Y30" s="4"/>
    </row>
    <row r="31" spans="2:26" ht="17.399999999999999" x14ac:dyDescent="0.3">
      <c r="B31" s="294">
        <v>3</v>
      </c>
      <c r="C31" s="296" t="s">
        <v>158</v>
      </c>
      <c r="D31" s="297">
        <v>0.9</v>
      </c>
      <c r="E31" s="297">
        <v>0.6</v>
      </c>
      <c r="F31" s="297" t="s">
        <v>157</v>
      </c>
      <c r="G31" s="296" t="s">
        <v>155</v>
      </c>
      <c r="H31" s="302">
        <v>55759</v>
      </c>
      <c r="I31" s="302">
        <f t="shared" si="0"/>
        <v>167277</v>
      </c>
      <c r="J31" s="265"/>
      <c r="K31" s="320"/>
      <c r="L31" s="321"/>
      <c r="M31" s="321"/>
      <c r="N31" s="324"/>
      <c r="O31" s="324"/>
      <c r="P31" s="323"/>
      <c r="Q31" s="325"/>
      <c r="R31" s="326"/>
      <c r="S31" s="329"/>
      <c r="T31" s="330"/>
      <c r="U31" s="331"/>
      <c r="V31" s="9"/>
      <c r="Y31" s="4"/>
    </row>
    <row r="32" spans="2:26" ht="17.399999999999999" x14ac:dyDescent="0.3">
      <c r="B32" s="294">
        <v>1</v>
      </c>
      <c r="C32" s="296" t="s">
        <v>158</v>
      </c>
      <c r="D32" s="297">
        <v>2.16</v>
      </c>
      <c r="E32" s="297">
        <v>0.6</v>
      </c>
      <c r="F32" s="297" t="s">
        <v>157</v>
      </c>
      <c r="G32" s="296" t="s">
        <v>155</v>
      </c>
      <c r="H32" s="302">
        <v>108395</v>
      </c>
      <c r="I32" s="302">
        <f t="shared" si="0"/>
        <v>108395</v>
      </c>
      <c r="J32" s="265"/>
      <c r="K32" s="320"/>
      <c r="L32" s="321"/>
      <c r="M32" s="321"/>
      <c r="N32" s="324"/>
      <c r="O32" s="324"/>
      <c r="P32" s="323"/>
      <c r="Q32" s="325"/>
      <c r="R32" s="326"/>
      <c r="S32" s="329"/>
      <c r="T32" s="330"/>
      <c r="U32" s="331"/>
      <c r="V32" s="9"/>
      <c r="Y32" s="4"/>
    </row>
    <row r="33" spans="2:25" ht="17.399999999999999" x14ac:dyDescent="0.3">
      <c r="B33" s="294">
        <v>1</v>
      </c>
      <c r="C33" s="296" t="s">
        <v>158</v>
      </c>
      <c r="D33" s="297">
        <v>2.62</v>
      </c>
      <c r="E33" s="297">
        <v>0.6</v>
      </c>
      <c r="F33" s="297" t="s">
        <v>157</v>
      </c>
      <c r="G33" s="296" t="s">
        <v>155</v>
      </c>
      <c r="H33" s="302">
        <v>131479</v>
      </c>
      <c r="I33" s="302">
        <f t="shared" si="0"/>
        <v>131479</v>
      </c>
      <c r="J33" s="265"/>
      <c r="K33" s="320"/>
      <c r="L33" s="321"/>
      <c r="M33" s="321"/>
      <c r="N33" s="324"/>
      <c r="O33" s="324"/>
      <c r="P33" s="323"/>
      <c r="Q33" s="325"/>
      <c r="R33" s="326"/>
      <c r="S33" s="329"/>
      <c r="T33" s="330"/>
      <c r="U33" s="331"/>
      <c r="V33" s="9"/>
      <c r="Y33" s="4"/>
    </row>
    <row r="34" spans="2:25" ht="17.399999999999999" x14ac:dyDescent="0.3">
      <c r="B34" s="294">
        <v>1</v>
      </c>
      <c r="C34" s="296" t="s">
        <v>158</v>
      </c>
      <c r="D34" s="297">
        <v>1.92</v>
      </c>
      <c r="E34" s="297">
        <v>0.6</v>
      </c>
      <c r="F34" s="297" t="s">
        <v>157</v>
      </c>
      <c r="G34" s="296" t="s">
        <v>155</v>
      </c>
      <c r="H34" s="302">
        <v>96351</v>
      </c>
      <c r="I34" s="302">
        <f t="shared" si="0"/>
        <v>96351</v>
      </c>
      <c r="J34" s="265"/>
      <c r="K34" s="320"/>
      <c r="L34" s="321"/>
      <c r="M34" s="321"/>
      <c r="N34" s="324"/>
      <c r="O34" s="324"/>
      <c r="P34" s="323"/>
      <c r="Q34" s="325"/>
      <c r="R34" s="326"/>
      <c r="S34" s="329"/>
      <c r="T34" s="330"/>
      <c r="U34" s="331"/>
      <c r="V34" s="9"/>
      <c r="Y34" s="4"/>
    </row>
    <row r="35" spans="2:25" ht="17.399999999999999" x14ac:dyDescent="0.3">
      <c r="B35" s="294">
        <v>1</v>
      </c>
      <c r="C35" s="296" t="s">
        <v>158</v>
      </c>
      <c r="D35" s="297">
        <v>1.0289999999999999</v>
      </c>
      <c r="E35" s="297">
        <v>0.6</v>
      </c>
      <c r="F35" s="297" t="s">
        <v>157</v>
      </c>
      <c r="G35" s="296" t="s">
        <v>155</v>
      </c>
      <c r="H35" s="302">
        <v>51638</v>
      </c>
      <c r="I35" s="302">
        <f t="shared" si="0"/>
        <v>51638</v>
      </c>
      <c r="J35" s="265"/>
      <c r="K35" s="320"/>
      <c r="L35" s="321"/>
      <c r="M35" s="321"/>
      <c r="N35" s="324"/>
      <c r="O35" s="324"/>
      <c r="P35" s="323"/>
      <c r="Q35" s="325"/>
      <c r="R35" s="326"/>
      <c r="S35" s="329"/>
      <c r="T35" s="330"/>
      <c r="U35" s="331"/>
      <c r="V35" s="9"/>
      <c r="Y35" s="4"/>
    </row>
    <row r="36" spans="2:25" ht="17.399999999999999" x14ac:dyDescent="0.3">
      <c r="B36" s="294">
        <v>1</v>
      </c>
      <c r="C36" s="296" t="s">
        <v>158</v>
      </c>
      <c r="D36" s="297">
        <v>1.925</v>
      </c>
      <c r="E36" s="297">
        <v>0.6</v>
      </c>
      <c r="F36" s="297" t="s">
        <v>182</v>
      </c>
      <c r="G36" s="296" t="s">
        <v>155</v>
      </c>
      <c r="H36" s="302">
        <v>96602</v>
      </c>
      <c r="I36" s="302">
        <f t="shared" si="0"/>
        <v>96602</v>
      </c>
      <c r="J36" s="265"/>
      <c r="K36" s="320"/>
      <c r="L36" s="321"/>
      <c r="M36" s="321"/>
      <c r="N36" s="324"/>
      <c r="O36" s="324"/>
      <c r="P36" s="323"/>
      <c r="Q36" s="325"/>
      <c r="R36" s="326"/>
      <c r="S36" s="329"/>
      <c r="T36" s="330"/>
      <c r="U36" s="331"/>
      <c r="V36" s="9"/>
      <c r="Y36" s="4"/>
    </row>
    <row r="37" spans="2:25" ht="17.399999999999999" x14ac:dyDescent="0.3">
      <c r="B37" s="294">
        <v>1</v>
      </c>
      <c r="C37" s="296" t="s">
        <v>158</v>
      </c>
      <c r="D37" s="297">
        <v>1.5529999999999999</v>
      </c>
      <c r="E37" s="297">
        <v>0.6</v>
      </c>
      <c r="F37" s="297" t="s">
        <v>183</v>
      </c>
      <c r="G37" s="296" t="s">
        <v>155</v>
      </c>
      <c r="H37" s="302">
        <v>77934</v>
      </c>
      <c r="I37" s="302">
        <f t="shared" si="0"/>
        <v>77934</v>
      </c>
      <c r="J37" s="265"/>
      <c r="K37" s="320"/>
      <c r="L37" s="321"/>
      <c r="M37" s="321"/>
      <c r="N37" s="324"/>
      <c r="O37" s="324"/>
      <c r="P37" s="323"/>
      <c r="Q37" s="325"/>
      <c r="R37" s="326"/>
      <c r="S37" s="329"/>
      <c r="T37" s="330"/>
      <c r="U37" s="331"/>
      <c r="V37" s="9"/>
      <c r="Y37" s="4"/>
    </row>
    <row r="38" spans="2:25" ht="17.399999999999999" x14ac:dyDescent="0.3">
      <c r="B38" s="294">
        <v>1</v>
      </c>
      <c r="C38" s="296" t="s">
        <v>158</v>
      </c>
      <c r="D38" s="297">
        <v>1.966</v>
      </c>
      <c r="E38" s="297">
        <v>0.6</v>
      </c>
      <c r="F38" s="297" t="s">
        <v>157</v>
      </c>
      <c r="G38" s="296" t="s">
        <v>155</v>
      </c>
      <c r="H38" s="302">
        <v>98660</v>
      </c>
      <c r="I38" s="302">
        <f t="shared" si="0"/>
        <v>98660</v>
      </c>
      <c r="J38" s="265"/>
      <c r="K38" s="320"/>
      <c r="L38" s="321"/>
      <c r="M38" s="321"/>
      <c r="N38" s="324"/>
      <c r="O38" s="324"/>
      <c r="P38" s="323"/>
      <c r="Q38" s="325"/>
      <c r="R38" s="326"/>
      <c r="S38" s="329"/>
      <c r="T38" s="330"/>
      <c r="U38" s="331"/>
      <c r="V38" s="9"/>
      <c r="Y38" s="4"/>
    </row>
    <row r="39" spans="2:25" ht="17.399999999999999" x14ac:dyDescent="0.3">
      <c r="B39" s="294">
        <v>1</v>
      </c>
      <c r="C39" s="296" t="s">
        <v>158</v>
      </c>
      <c r="D39" s="297">
        <v>1.032</v>
      </c>
      <c r="E39" s="297">
        <v>0.6</v>
      </c>
      <c r="F39" s="297" t="s">
        <v>157</v>
      </c>
      <c r="G39" s="296" t="s">
        <v>155</v>
      </c>
      <c r="H39" s="302">
        <v>51789</v>
      </c>
      <c r="I39" s="302">
        <f t="shared" si="0"/>
        <v>51789</v>
      </c>
      <c r="J39" s="265"/>
      <c r="K39" s="320"/>
      <c r="L39" s="321"/>
      <c r="M39" s="321"/>
      <c r="N39" s="324"/>
      <c r="O39" s="324"/>
      <c r="P39" s="323"/>
      <c r="Q39" s="325"/>
      <c r="R39" s="326"/>
      <c r="S39" s="329"/>
      <c r="T39" s="330"/>
      <c r="U39" s="331"/>
      <c r="V39" s="9"/>
      <c r="Y39" s="4"/>
    </row>
    <row r="40" spans="2:25" ht="17.399999999999999" x14ac:dyDescent="0.3">
      <c r="B40" s="294">
        <v>1</v>
      </c>
      <c r="C40" s="296" t="s">
        <v>158</v>
      </c>
      <c r="D40" s="297">
        <v>2.7090000000000001</v>
      </c>
      <c r="E40" s="297">
        <v>0.6</v>
      </c>
      <c r="F40" s="297" t="s">
        <v>157</v>
      </c>
      <c r="G40" s="296" t="s">
        <v>155</v>
      </c>
      <c r="H40" s="302">
        <v>168085</v>
      </c>
      <c r="I40" s="302">
        <f t="shared" si="0"/>
        <v>168085</v>
      </c>
      <c r="J40" s="265"/>
      <c r="K40" s="320"/>
      <c r="L40" s="321"/>
      <c r="M40" s="321"/>
      <c r="N40" s="324"/>
      <c r="O40" s="324"/>
      <c r="P40" s="323"/>
      <c r="Q40" s="325"/>
      <c r="R40" s="326"/>
      <c r="S40" s="329"/>
      <c r="T40" s="330"/>
      <c r="U40" s="331"/>
      <c r="V40" s="9"/>
      <c r="Y40" s="4"/>
    </row>
    <row r="41" spans="2:25" ht="17.399999999999999" x14ac:dyDescent="0.3">
      <c r="B41" s="294">
        <v>1</v>
      </c>
      <c r="C41" s="296" t="s">
        <v>158</v>
      </c>
      <c r="D41" s="297">
        <v>1.121</v>
      </c>
      <c r="E41" s="297">
        <v>0.6</v>
      </c>
      <c r="F41" s="297" t="s">
        <v>157</v>
      </c>
      <c r="G41" s="296" t="s">
        <v>155</v>
      </c>
      <c r="H41" s="302">
        <v>69555</v>
      </c>
      <c r="I41" s="302">
        <f t="shared" si="0"/>
        <v>69555</v>
      </c>
      <c r="J41" s="265"/>
      <c r="K41" s="320"/>
      <c r="L41" s="321"/>
      <c r="M41" s="321"/>
      <c r="N41" s="324"/>
      <c r="O41" s="324"/>
      <c r="P41" s="323"/>
      <c r="Q41" s="325"/>
      <c r="R41" s="326"/>
      <c r="S41" s="329"/>
      <c r="T41" s="330"/>
      <c r="U41" s="331"/>
      <c r="V41" s="9"/>
      <c r="Y41" s="4"/>
    </row>
    <row r="42" spans="2:25" ht="17.399999999999999" x14ac:dyDescent="0.3">
      <c r="B42" s="294">
        <v>1</v>
      </c>
      <c r="C42" s="296" t="s">
        <v>158</v>
      </c>
      <c r="D42" s="297">
        <v>1.2969999999999999</v>
      </c>
      <c r="E42" s="297">
        <v>0.6</v>
      </c>
      <c r="F42" s="297" t="s">
        <v>170</v>
      </c>
      <c r="G42" s="296" t="s">
        <v>155</v>
      </c>
      <c r="H42" s="302">
        <v>77537</v>
      </c>
      <c r="I42" s="302">
        <f t="shared" si="0"/>
        <v>77537</v>
      </c>
      <c r="J42" s="265"/>
      <c r="K42" s="320"/>
      <c r="L42" s="321"/>
      <c r="M42" s="321"/>
      <c r="N42" s="324"/>
      <c r="O42" s="324"/>
      <c r="P42" s="323"/>
      <c r="Q42" s="325"/>
      <c r="R42" s="326"/>
      <c r="S42" s="329"/>
      <c r="T42" s="330"/>
      <c r="U42" s="331"/>
      <c r="V42" s="9"/>
      <c r="Y42" s="4"/>
    </row>
    <row r="43" spans="2:25" ht="17.399999999999999" x14ac:dyDescent="0.3">
      <c r="B43" s="294">
        <v>1</v>
      </c>
      <c r="C43" s="296" t="s">
        <v>173</v>
      </c>
      <c r="D43" s="297">
        <v>2.0329999999999999</v>
      </c>
      <c r="E43" s="297">
        <v>0.6</v>
      </c>
      <c r="F43" s="297" t="s">
        <v>171</v>
      </c>
      <c r="G43" s="296" t="s">
        <v>155</v>
      </c>
      <c r="H43" s="302">
        <v>125953</v>
      </c>
      <c r="I43" s="302">
        <f>H43*B43</f>
        <v>125953</v>
      </c>
      <c r="J43" s="265"/>
      <c r="K43" s="320"/>
      <c r="L43" s="321"/>
      <c r="M43" s="321"/>
      <c r="N43" s="324"/>
      <c r="O43" s="324"/>
      <c r="P43" s="323"/>
      <c r="Q43" s="325"/>
      <c r="R43" s="326"/>
      <c r="S43" s="329"/>
      <c r="T43" s="330"/>
      <c r="U43" s="331"/>
      <c r="V43" s="9"/>
      <c r="Y43" s="4"/>
    </row>
    <row r="44" spans="2:25" ht="17.399999999999999" x14ac:dyDescent="0.3">
      <c r="B44" s="294">
        <v>1</v>
      </c>
      <c r="C44" s="296" t="s">
        <v>173</v>
      </c>
      <c r="D44" s="297">
        <v>1.7</v>
      </c>
      <c r="E44" s="297">
        <v>0.6</v>
      </c>
      <c r="F44" s="297" t="s">
        <v>172</v>
      </c>
      <c r="G44" s="296" t="s">
        <v>155</v>
      </c>
      <c r="H44" s="302">
        <v>99645</v>
      </c>
      <c r="I44" s="302">
        <f t="shared" ref="I44" si="1">H44*B44</f>
        <v>99645</v>
      </c>
      <c r="J44" s="265"/>
      <c r="K44" s="320"/>
      <c r="L44" s="321"/>
      <c r="M44" s="321"/>
      <c r="N44" s="324"/>
      <c r="O44" s="324"/>
      <c r="P44" s="323"/>
      <c r="Q44" s="325"/>
      <c r="R44" s="326"/>
      <c r="S44" s="329"/>
      <c r="T44" s="330"/>
      <c r="U44" s="331"/>
      <c r="V44" s="9"/>
      <c r="Y44" s="4"/>
    </row>
    <row r="45" spans="2:25" ht="17.399999999999999" x14ac:dyDescent="0.3">
      <c r="B45" s="294">
        <v>2</v>
      </c>
      <c r="C45" s="296" t="s">
        <v>158</v>
      </c>
      <c r="D45" s="297">
        <v>1.83</v>
      </c>
      <c r="E45" s="297">
        <v>0.6</v>
      </c>
      <c r="F45" s="297" t="s">
        <v>159</v>
      </c>
      <c r="G45" s="296" t="s">
        <v>155</v>
      </c>
      <c r="H45" s="302">
        <v>113377</v>
      </c>
      <c r="I45" s="302">
        <f t="shared" si="0"/>
        <v>226754</v>
      </c>
      <c r="J45" s="265"/>
      <c r="K45" s="320"/>
      <c r="L45" s="321"/>
      <c r="M45" s="321"/>
      <c r="N45" s="324"/>
      <c r="O45" s="324"/>
      <c r="P45" s="323"/>
      <c r="Q45" s="325"/>
      <c r="R45" s="326"/>
      <c r="S45" s="329"/>
      <c r="T45" s="330"/>
      <c r="U45" s="331"/>
      <c r="V45" s="9"/>
      <c r="Y45" s="4"/>
    </row>
    <row r="46" spans="2:25" ht="17.399999999999999" x14ac:dyDescent="0.3">
      <c r="B46" s="294">
        <v>2</v>
      </c>
      <c r="C46" s="296" t="s">
        <v>167</v>
      </c>
      <c r="D46" s="297">
        <v>1.5</v>
      </c>
      <c r="E46" s="297">
        <v>0.6</v>
      </c>
      <c r="F46" s="297" t="s">
        <v>159</v>
      </c>
      <c r="G46" s="296" t="s">
        <v>155</v>
      </c>
      <c r="H46" s="302">
        <v>88433</v>
      </c>
      <c r="I46" s="302">
        <f t="shared" ref="I46:I57" si="2">H46*B46</f>
        <v>176866</v>
      </c>
      <c r="J46" s="265"/>
      <c r="K46" s="320"/>
      <c r="L46" s="321"/>
      <c r="M46" s="321"/>
      <c r="N46" s="324"/>
      <c r="O46" s="324"/>
      <c r="P46" s="323"/>
      <c r="Q46" s="325"/>
      <c r="R46" s="326"/>
      <c r="S46" s="329"/>
      <c r="T46" s="330"/>
      <c r="U46" s="331"/>
      <c r="V46" s="9"/>
      <c r="Y46" s="4"/>
    </row>
    <row r="47" spans="2:25" ht="17.399999999999999" x14ac:dyDescent="0.3">
      <c r="B47" s="294">
        <v>1</v>
      </c>
      <c r="C47" s="296" t="s">
        <v>167</v>
      </c>
      <c r="D47" s="297">
        <v>1.45</v>
      </c>
      <c r="E47" s="297">
        <v>0.6</v>
      </c>
      <c r="F47" s="297" t="s">
        <v>159</v>
      </c>
      <c r="G47" s="296" t="s">
        <v>155</v>
      </c>
      <c r="H47" s="302">
        <v>85485</v>
      </c>
      <c r="I47" s="302">
        <f t="shared" si="2"/>
        <v>85485</v>
      </c>
      <c r="J47" s="265"/>
      <c r="K47" s="320"/>
      <c r="L47" s="321"/>
      <c r="M47" s="321"/>
      <c r="N47" s="324"/>
      <c r="O47" s="324"/>
      <c r="P47" s="323"/>
      <c r="Q47" s="325"/>
      <c r="R47" s="326"/>
      <c r="S47" s="329"/>
      <c r="T47" s="330"/>
      <c r="U47" s="331"/>
      <c r="V47" s="9"/>
      <c r="Y47" s="4"/>
    </row>
    <row r="48" spans="2:25" ht="17.399999999999999" x14ac:dyDescent="0.3">
      <c r="B48" s="294">
        <v>1</v>
      </c>
      <c r="C48" s="296" t="s">
        <v>167</v>
      </c>
      <c r="D48" s="297">
        <v>2.1120000000000001</v>
      </c>
      <c r="E48" s="297">
        <v>0.6</v>
      </c>
      <c r="F48" s="297" t="s">
        <v>159</v>
      </c>
      <c r="G48" s="296" t="s">
        <v>155</v>
      </c>
      <c r="H48" s="302">
        <v>124514</v>
      </c>
      <c r="I48" s="302">
        <f t="shared" si="2"/>
        <v>124514</v>
      </c>
      <c r="J48" s="265"/>
      <c r="K48" s="320"/>
      <c r="L48" s="321"/>
      <c r="M48" s="321"/>
      <c r="N48" s="324"/>
      <c r="O48" s="324"/>
      <c r="P48" s="323"/>
      <c r="Q48" s="325"/>
      <c r="R48" s="326"/>
      <c r="S48" s="329"/>
      <c r="T48" s="330"/>
      <c r="U48" s="331"/>
      <c r="V48" s="9"/>
      <c r="Y48" s="4"/>
    </row>
    <row r="49" spans="2:25" ht="17.399999999999999" x14ac:dyDescent="0.3">
      <c r="B49" s="294">
        <v>1</v>
      </c>
      <c r="C49" s="296" t="s">
        <v>167</v>
      </c>
      <c r="D49" s="297">
        <v>1.0549999999999999</v>
      </c>
      <c r="E49" s="297">
        <v>0.6</v>
      </c>
      <c r="F49" s="297" t="s">
        <v>159</v>
      </c>
      <c r="G49" s="296" t="s">
        <v>155</v>
      </c>
      <c r="H49" s="302">
        <v>65146</v>
      </c>
      <c r="I49" s="302">
        <f t="shared" si="2"/>
        <v>65146</v>
      </c>
      <c r="J49" s="265"/>
      <c r="K49" s="320"/>
      <c r="L49" s="321"/>
      <c r="M49" s="321"/>
      <c r="N49" s="324"/>
      <c r="O49" s="324"/>
      <c r="P49" s="323"/>
      <c r="Q49" s="325"/>
      <c r="R49" s="326"/>
      <c r="S49" s="329"/>
      <c r="T49" s="330"/>
      <c r="U49" s="331"/>
      <c r="V49" s="9"/>
      <c r="Y49" s="4"/>
    </row>
    <row r="50" spans="2:25" ht="17.399999999999999" x14ac:dyDescent="0.3">
      <c r="B50" s="295">
        <v>1</v>
      </c>
      <c r="C50" s="296" t="s">
        <v>167</v>
      </c>
      <c r="D50" s="298">
        <v>2.62</v>
      </c>
      <c r="E50" s="297">
        <v>0.6</v>
      </c>
      <c r="F50" s="298" t="s">
        <v>159</v>
      </c>
      <c r="G50" s="296" t="s">
        <v>155</v>
      </c>
      <c r="H50" s="303">
        <v>154462</v>
      </c>
      <c r="I50" s="303">
        <f t="shared" si="2"/>
        <v>154462</v>
      </c>
      <c r="J50" s="265"/>
      <c r="K50" s="320"/>
      <c r="L50" s="321"/>
      <c r="M50" s="321"/>
      <c r="N50" s="324"/>
      <c r="O50" s="324"/>
      <c r="P50" s="323"/>
      <c r="Q50" s="325"/>
      <c r="R50" s="326"/>
      <c r="S50" s="329"/>
      <c r="T50" s="330"/>
      <c r="U50" s="331"/>
      <c r="V50" s="9"/>
      <c r="Y50" s="4"/>
    </row>
    <row r="51" spans="2:25" ht="17.399999999999999" x14ac:dyDescent="0.3">
      <c r="B51" s="295">
        <v>1</v>
      </c>
      <c r="C51" s="296" t="s">
        <v>167</v>
      </c>
      <c r="D51" s="298">
        <v>2.294</v>
      </c>
      <c r="E51" s="297">
        <v>0.6</v>
      </c>
      <c r="F51" s="298" t="s">
        <v>159</v>
      </c>
      <c r="G51" s="296" t="s">
        <v>155</v>
      </c>
      <c r="H51" s="303">
        <v>135243</v>
      </c>
      <c r="I51" s="303">
        <f t="shared" si="2"/>
        <v>135243</v>
      </c>
      <c r="J51" s="265"/>
      <c r="K51" s="320"/>
      <c r="L51" s="321"/>
      <c r="M51" s="321"/>
      <c r="N51" s="324"/>
      <c r="O51" s="324"/>
      <c r="P51" s="323"/>
      <c r="Q51" s="325"/>
      <c r="R51" s="326"/>
      <c r="S51" s="329"/>
      <c r="T51" s="330"/>
      <c r="U51" s="331"/>
      <c r="V51" s="9"/>
      <c r="Y51" s="4"/>
    </row>
    <row r="52" spans="2:25" ht="17.399999999999999" x14ac:dyDescent="0.3">
      <c r="B52" s="295">
        <v>1</v>
      </c>
      <c r="C52" s="296" t="s">
        <v>167</v>
      </c>
      <c r="D52" s="298">
        <v>1.1459999999999999</v>
      </c>
      <c r="E52" s="297">
        <v>0.6</v>
      </c>
      <c r="F52" s="298" t="s">
        <v>159</v>
      </c>
      <c r="G52" s="296" t="s">
        <v>155</v>
      </c>
      <c r="H52" s="303">
        <v>69332</v>
      </c>
      <c r="I52" s="303">
        <f t="shared" si="2"/>
        <v>69332</v>
      </c>
      <c r="J52" s="265"/>
      <c r="K52" s="320"/>
      <c r="L52" s="321"/>
      <c r="M52" s="321"/>
      <c r="N52" s="324"/>
      <c r="O52" s="324"/>
      <c r="P52" s="323"/>
      <c r="Q52" s="325"/>
      <c r="R52" s="326"/>
      <c r="S52" s="329"/>
      <c r="T52" s="330"/>
      <c r="U52" s="331"/>
      <c r="V52" s="9"/>
      <c r="Y52" s="4"/>
    </row>
    <row r="53" spans="2:25" ht="17.399999999999999" x14ac:dyDescent="0.3">
      <c r="B53" s="295">
        <v>1</v>
      </c>
      <c r="C53" s="296" t="s">
        <v>167</v>
      </c>
      <c r="D53" s="298">
        <v>2.1</v>
      </c>
      <c r="E53" s="297">
        <v>0.6</v>
      </c>
      <c r="F53" s="298" t="s">
        <v>159</v>
      </c>
      <c r="G53" s="296" t="s">
        <v>155</v>
      </c>
      <c r="H53" s="303">
        <v>123806</v>
      </c>
      <c r="I53" s="303">
        <f t="shared" si="2"/>
        <v>123806</v>
      </c>
      <c r="J53" s="265"/>
      <c r="K53" s="320"/>
      <c r="L53" s="321"/>
      <c r="M53" s="321"/>
      <c r="N53" s="324"/>
      <c r="O53" s="324"/>
      <c r="P53" s="323"/>
      <c r="Q53" s="325"/>
      <c r="R53" s="326"/>
      <c r="S53" s="329"/>
      <c r="T53" s="330"/>
      <c r="U53" s="331"/>
      <c r="V53" s="9"/>
      <c r="Y53" s="4"/>
    </row>
    <row r="54" spans="2:25" ht="17.399999999999999" x14ac:dyDescent="0.3">
      <c r="B54" s="294">
        <v>1</v>
      </c>
      <c r="C54" s="296" t="s">
        <v>162</v>
      </c>
      <c r="D54" s="297">
        <v>2.968</v>
      </c>
      <c r="E54" s="297">
        <v>0.46</v>
      </c>
      <c r="F54" s="297" t="s">
        <v>161</v>
      </c>
      <c r="G54" s="296" t="s">
        <v>163</v>
      </c>
      <c r="H54" s="302">
        <v>227836</v>
      </c>
      <c r="I54" s="302">
        <f t="shared" si="2"/>
        <v>227836</v>
      </c>
      <c r="J54" s="265"/>
      <c r="K54" s="320"/>
      <c r="L54" s="321"/>
      <c r="M54" s="321"/>
      <c r="N54" s="324"/>
      <c r="O54" s="324"/>
      <c r="P54" s="323"/>
      <c r="Q54" s="325"/>
      <c r="R54" s="326"/>
      <c r="S54" s="329"/>
      <c r="T54" s="330"/>
      <c r="U54" s="331"/>
      <c r="V54" s="9"/>
      <c r="Y54" s="4"/>
    </row>
    <row r="55" spans="2:25" ht="17.399999999999999" x14ac:dyDescent="0.3">
      <c r="B55" s="294">
        <v>1</v>
      </c>
      <c r="C55" s="296" t="s">
        <v>164</v>
      </c>
      <c r="D55" s="297">
        <v>1.611</v>
      </c>
      <c r="E55" s="297">
        <v>0.68</v>
      </c>
      <c r="F55" s="297" t="s">
        <v>161</v>
      </c>
      <c r="G55" s="296" t="s">
        <v>163</v>
      </c>
      <c r="H55" s="302">
        <v>147640</v>
      </c>
      <c r="I55" s="302">
        <f t="shared" si="2"/>
        <v>147640</v>
      </c>
      <c r="J55" s="265"/>
      <c r="K55" s="320"/>
      <c r="L55" s="321"/>
      <c r="M55" s="321"/>
      <c r="N55" s="324"/>
      <c r="O55" s="324"/>
      <c r="P55" s="323"/>
      <c r="Q55" s="325"/>
      <c r="R55" s="326"/>
      <c r="S55" s="329"/>
      <c r="T55" s="330"/>
      <c r="U55" s="331"/>
      <c r="V55" s="9"/>
      <c r="Y55" s="4"/>
    </row>
    <row r="56" spans="2:25" ht="17.399999999999999" x14ac:dyDescent="0.3">
      <c r="B56" s="294">
        <v>1</v>
      </c>
      <c r="C56" s="296" t="s">
        <v>164</v>
      </c>
      <c r="D56" s="297">
        <v>1.77</v>
      </c>
      <c r="E56" s="297">
        <v>0.68</v>
      </c>
      <c r="F56" s="297" t="s">
        <v>161</v>
      </c>
      <c r="G56" s="296" t="s">
        <v>163</v>
      </c>
      <c r="H56" s="302">
        <v>161335</v>
      </c>
      <c r="I56" s="302">
        <f t="shared" si="2"/>
        <v>161335</v>
      </c>
      <c r="J56" s="265"/>
      <c r="K56" s="320"/>
      <c r="L56" s="321"/>
      <c r="M56" s="321"/>
      <c r="N56" s="324"/>
      <c r="O56" s="324"/>
      <c r="P56" s="323"/>
      <c r="Q56" s="325"/>
      <c r="R56" s="326"/>
      <c r="S56" s="329"/>
      <c r="T56" s="330"/>
      <c r="U56" s="331"/>
      <c r="V56" s="9"/>
      <c r="Y56" s="4"/>
    </row>
    <row r="57" spans="2:25" ht="17.399999999999999" x14ac:dyDescent="0.3">
      <c r="B57" s="294">
        <v>2</v>
      </c>
      <c r="C57" s="296" t="s">
        <v>165</v>
      </c>
      <c r="D57" s="297">
        <v>2.968</v>
      </c>
      <c r="E57" s="297">
        <v>0.26500000000000001</v>
      </c>
      <c r="F57" s="297" t="s">
        <v>161</v>
      </c>
      <c r="G57" s="296" t="s">
        <v>155</v>
      </c>
      <c r="H57" s="302">
        <v>55459</v>
      </c>
      <c r="I57" s="302">
        <f t="shared" si="2"/>
        <v>110918</v>
      </c>
      <c r="J57" s="265"/>
      <c r="K57" s="320"/>
      <c r="L57" s="321"/>
      <c r="M57" s="321"/>
      <c r="N57" s="324"/>
      <c r="O57" s="324"/>
      <c r="P57" s="323"/>
      <c r="Q57" s="325"/>
      <c r="R57" s="326"/>
      <c r="S57" s="329"/>
      <c r="T57" s="330"/>
      <c r="U57" s="331"/>
      <c r="V57" s="9"/>
      <c r="Y57" s="4"/>
    </row>
    <row r="58" spans="2:25" ht="17.399999999999999" x14ac:dyDescent="0.3">
      <c r="B58" s="294">
        <v>1</v>
      </c>
      <c r="C58" s="296" t="s">
        <v>162</v>
      </c>
      <c r="D58" s="297">
        <v>1.9359999999999999</v>
      </c>
      <c r="E58" s="297">
        <v>0.46</v>
      </c>
      <c r="F58" s="297" t="s">
        <v>166</v>
      </c>
      <c r="G58" s="296" t="s">
        <v>163</v>
      </c>
      <c r="H58" s="302">
        <v>151891</v>
      </c>
      <c r="I58" s="302">
        <f t="shared" ref="I58:I87" si="3">H58*B58</f>
        <v>151891</v>
      </c>
      <c r="J58" s="265"/>
      <c r="K58" s="320"/>
      <c r="L58" s="321"/>
      <c r="M58" s="321"/>
      <c r="N58" s="324"/>
      <c r="O58" s="324"/>
      <c r="P58" s="323"/>
      <c r="Q58" s="325"/>
      <c r="R58" s="326"/>
      <c r="S58" s="329"/>
      <c r="T58" s="330"/>
      <c r="U58" s="331"/>
      <c r="V58" s="9"/>
      <c r="Y58" s="4"/>
    </row>
    <row r="59" spans="2:25" ht="17.399999999999999" x14ac:dyDescent="0.3">
      <c r="B59" s="294">
        <v>1</v>
      </c>
      <c r="C59" s="296" t="s">
        <v>164</v>
      </c>
      <c r="D59" s="297">
        <v>1.9359999999999999</v>
      </c>
      <c r="E59" s="297">
        <v>0.68</v>
      </c>
      <c r="F59" s="297" t="s">
        <v>166</v>
      </c>
      <c r="G59" s="296" t="s">
        <v>163</v>
      </c>
      <c r="H59" s="302">
        <v>177535</v>
      </c>
      <c r="I59" s="302">
        <f t="shared" si="3"/>
        <v>177535</v>
      </c>
      <c r="J59" s="265"/>
      <c r="K59" s="320"/>
      <c r="L59" s="321"/>
      <c r="M59" s="321"/>
      <c r="N59" s="324"/>
      <c r="O59" s="324"/>
      <c r="P59" s="323"/>
      <c r="Q59" s="325"/>
      <c r="R59" s="326"/>
      <c r="S59" s="329"/>
      <c r="T59" s="330"/>
      <c r="U59" s="331"/>
      <c r="V59" s="9"/>
      <c r="Y59" s="4"/>
    </row>
    <row r="60" spans="2:25" ht="17.399999999999999" x14ac:dyDescent="0.3">
      <c r="B60" s="294">
        <v>2</v>
      </c>
      <c r="C60" s="296" t="s">
        <v>165</v>
      </c>
      <c r="D60" s="297">
        <v>1.9359999999999999</v>
      </c>
      <c r="E60" s="297">
        <v>0.26500000000000001</v>
      </c>
      <c r="F60" s="297" t="s">
        <v>166</v>
      </c>
      <c r="G60" s="296" t="s">
        <v>155</v>
      </c>
      <c r="H60" s="302">
        <v>36973</v>
      </c>
      <c r="I60" s="302">
        <f t="shared" si="3"/>
        <v>73946</v>
      </c>
      <c r="J60" s="265"/>
      <c r="K60" s="320"/>
      <c r="L60" s="321"/>
      <c r="M60" s="321"/>
      <c r="N60" s="324"/>
      <c r="O60" s="324"/>
      <c r="P60" s="323"/>
      <c r="Q60" s="325"/>
      <c r="R60" s="326"/>
      <c r="S60" s="329"/>
      <c r="T60" s="330"/>
      <c r="U60" s="331"/>
      <c r="V60" s="9"/>
      <c r="Y60" s="4"/>
    </row>
    <row r="61" spans="2:25" ht="17.399999999999999" x14ac:dyDescent="0.3">
      <c r="B61" s="294">
        <v>1</v>
      </c>
      <c r="C61" s="296" t="s">
        <v>162</v>
      </c>
      <c r="D61" s="297">
        <v>1.4359999999999999</v>
      </c>
      <c r="E61" s="297">
        <v>0.46</v>
      </c>
      <c r="F61" s="297" t="s">
        <v>166</v>
      </c>
      <c r="G61" s="296" t="s">
        <v>163</v>
      </c>
      <c r="H61" s="302">
        <v>110233</v>
      </c>
      <c r="I61" s="302">
        <f t="shared" si="3"/>
        <v>110233</v>
      </c>
      <c r="J61" s="265"/>
      <c r="K61" s="320"/>
      <c r="L61" s="321"/>
      <c r="M61" s="321"/>
      <c r="N61" s="324"/>
      <c r="O61" s="324"/>
      <c r="P61" s="323"/>
      <c r="Q61" s="325"/>
      <c r="R61" s="326"/>
      <c r="S61" s="329"/>
      <c r="T61" s="330"/>
      <c r="U61" s="331"/>
      <c r="V61" s="9"/>
      <c r="Y61" s="4"/>
    </row>
    <row r="62" spans="2:25" ht="17.399999999999999" x14ac:dyDescent="0.3">
      <c r="B62" s="294">
        <v>1</v>
      </c>
      <c r="C62" s="296" t="s">
        <v>164</v>
      </c>
      <c r="D62" s="297">
        <v>1.4359999999999999</v>
      </c>
      <c r="E62" s="297">
        <v>0.68</v>
      </c>
      <c r="F62" s="297" t="s">
        <v>166</v>
      </c>
      <c r="G62" s="296" t="s">
        <v>163</v>
      </c>
      <c r="H62" s="302">
        <v>131684</v>
      </c>
      <c r="I62" s="302">
        <f t="shared" si="3"/>
        <v>131684</v>
      </c>
      <c r="J62" s="265"/>
      <c r="K62" s="320"/>
      <c r="L62" s="321"/>
      <c r="M62" s="321"/>
      <c r="N62" s="324"/>
      <c r="O62" s="324"/>
      <c r="P62" s="323"/>
      <c r="Q62" s="325"/>
      <c r="R62" s="326"/>
      <c r="S62" s="329"/>
      <c r="T62" s="330"/>
      <c r="U62" s="331"/>
      <c r="V62" s="9"/>
      <c r="Y62" s="4"/>
    </row>
    <row r="63" spans="2:25" ht="17.399999999999999" x14ac:dyDescent="0.3">
      <c r="B63" s="294">
        <v>2</v>
      </c>
      <c r="C63" s="296" t="s">
        <v>165</v>
      </c>
      <c r="D63" s="297">
        <v>1.4359999999999999</v>
      </c>
      <c r="E63" s="297">
        <v>0.26500000000000001</v>
      </c>
      <c r="F63" s="297" t="s">
        <v>166</v>
      </c>
      <c r="G63" s="296" t="s">
        <v>155</v>
      </c>
      <c r="H63" s="302">
        <v>27425</v>
      </c>
      <c r="I63" s="302">
        <f t="shared" si="3"/>
        <v>54850</v>
      </c>
      <c r="J63" s="265"/>
      <c r="K63" s="320"/>
      <c r="L63" s="321"/>
      <c r="M63" s="321"/>
      <c r="N63" s="324"/>
      <c r="O63" s="324"/>
      <c r="P63" s="323"/>
      <c r="Q63" s="325"/>
      <c r="R63" s="326"/>
      <c r="S63" s="329"/>
      <c r="T63" s="330"/>
      <c r="U63" s="331"/>
      <c r="V63" s="9"/>
      <c r="Y63" s="4"/>
    </row>
    <row r="64" spans="2:25" ht="17.399999999999999" x14ac:dyDescent="0.3">
      <c r="B64" s="294">
        <v>1</v>
      </c>
      <c r="C64" s="296" t="s">
        <v>162</v>
      </c>
      <c r="D64" s="297">
        <v>3.3679999999999999</v>
      </c>
      <c r="E64" s="297">
        <v>0.46</v>
      </c>
      <c r="F64" s="298" t="s">
        <v>176</v>
      </c>
      <c r="G64" s="296" t="s">
        <v>163</v>
      </c>
      <c r="H64" s="302">
        <v>258541</v>
      </c>
      <c r="I64" s="302">
        <f t="shared" si="3"/>
        <v>258541</v>
      </c>
      <c r="J64" s="265"/>
      <c r="K64" s="320"/>
      <c r="L64" s="321"/>
      <c r="M64" s="321"/>
      <c r="N64" s="324"/>
      <c r="O64" s="324"/>
      <c r="P64" s="323"/>
      <c r="Q64" s="325"/>
      <c r="R64" s="326"/>
      <c r="S64" s="329"/>
      <c r="T64" s="330"/>
      <c r="U64" s="331"/>
      <c r="V64" s="9"/>
      <c r="Y64" s="4"/>
    </row>
    <row r="65" spans="2:25" ht="17.399999999999999" x14ac:dyDescent="0.3">
      <c r="B65" s="294">
        <v>1</v>
      </c>
      <c r="C65" s="296" t="s">
        <v>164</v>
      </c>
      <c r="D65" s="297">
        <v>3.3479999999999999</v>
      </c>
      <c r="E65" s="297">
        <v>0.68</v>
      </c>
      <c r="F65" s="298" t="s">
        <v>176</v>
      </c>
      <c r="G65" s="296" t="s">
        <v>163</v>
      </c>
      <c r="H65" s="302">
        <v>308852</v>
      </c>
      <c r="I65" s="302">
        <f t="shared" si="3"/>
        <v>308852</v>
      </c>
      <c r="J65" s="265"/>
      <c r="K65" s="320"/>
      <c r="L65" s="321"/>
      <c r="M65" s="321"/>
      <c r="N65" s="324"/>
      <c r="O65" s="324"/>
      <c r="P65" s="323"/>
      <c r="Q65" s="325"/>
      <c r="R65" s="326"/>
      <c r="S65" s="329"/>
      <c r="T65" s="330"/>
      <c r="U65" s="331"/>
      <c r="V65" s="9"/>
      <c r="Y65" s="4"/>
    </row>
    <row r="66" spans="2:25" ht="17.399999999999999" x14ac:dyDescent="0.3">
      <c r="B66" s="294">
        <v>2</v>
      </c>
      <c r="C66" s="296" t="s">
        <v>165</v>
      </c>
      <c r="D66" s="297">
        <v>3.2679999999999998</v>
      </c>
      <c r="E66" s="297">
        <v>0.26500000000000001</v>
      </c>
      <c r="F66" s="298" t="s">
        <v>177</v>
      </c>
      <c r="G66" s="296" t="s">
        <v>155</v>
      </c>
      <c r="H66" s="302">
        <v>64322</v>
      </c>
      <c r="I66" s="302">
        <f t="shared" si="3"/>
        <v>128644</v>
      </c>
      <c r="J66" s="265"/>
      <c r="K66" s="320"/>
      <c r="L66" s="321"/>
      <c r="M66" s="321"/>
      <c r="N66" s="324"/>
      <c r="O66" s="324"/>
      <c r="P66" s="323"/>
      <c r="Q66" s="325"/>
      <c r="R66" s="326"/>
      <c r="S66" s="329"/>
      <c r="T66" s="330"/>
      <c r="U66" s="331"/>
      <c r="V66" s="9"/>
      <c r="Y66" s="4"/>
    </row>
    <row r="67" spans="2:25" ht="17.399999999999999" x14ac:dyDescent="0.3">
      <c r="B67" s="294">
        <v>1</v>
      </c>
      <c r="C67" s="296" t="s">
        <v>162</v>
      </c>
      <c r="D67" s="297">
        <v>1.8680000000000001</v>
      </c>
      <c r="E67" s="297">
        <v>0.46</v>
      </c>
      <c r="F67" s="297" t="s">
        <v>175</v>
      </c>
      <c r="G67" s="296" t="s">
        <v>163</v>
      </c>
      <c r="H67" s="302">
        <v>143395</v>
      </c>
      <c r="I67" s="302">
        <f t="shared" si="3"/>
        <v>143395</v>
      </c>
      <c r="J67" s="265"/>
      <c r="K67" s="320"/>
      <c r="L67" s="321"/>
      <c r="M67" s="321"/>
      <c r="N67" s="324"/>
      <c r="O67" s="324"/>
      <c r="P67" s="323"/>
      <c r="Q67" s="325"/>
      <c r="R67" s="326"/>
      <c r="S67" s="329"/>
      <c r="T67" s="330"/>
      <c r="U67" s="331"/>
      <c r="V67" s="9"/>
      <c r="Y67" s="4"/>
    </row>
    <row r="68" spans="2:25" ht="17.399999999999999" x14ac:dyDescent="0.3">
      <c r="B68" s="294">
        <v>1</v>
      </c>
      <c r="C68" s="296" t="s">
        <v>164</v>
      </c>
      <c r="D68" s="297">
        <v>1.8480000000000001</v>
      </c>
      <c r="E68" s="297">
        <v>0.68</v>
      </c>
      <c r="F68" s="297" t="s">
        <v>175</v>
      </c>
      <c r="G68" s="296" t="s">
        <v>163</v>
      </c>
      <c r="H68" s="302">
        <v>169465</v>
      </c>
      <c r="I68" s="302">
        <f t="shared" si="3"/>
        <v>169465</v>
      </c>
      <c r="J68" s="265"/>
      <c r="K68" s="320"/>
      <c r="L68" s="321"/>
      <c r="M68" s="321"/>
      <c r="N68" s="324"/>
      <c r="O68" s="324"/>
      <c r="P68" s="323"/>
      <c r="Q68" s="325"/>
      <c r="R68" s="326"/>
      <c r="S68" s="329"/>
      <c r="T68" s="330"/>
      <c r="U68" s="331"/>
      <c r="V68" s="9"/>
      <c r="Y68" s="4"/>
    </row>
    <row r="69" spans="2:25" ht="17.399999999999999" x14ac:dyDescent="0.3">
      <c r="B69" s="294">
        <v>2</v>
      </c>
      <c r="C69" s="296" t="s">
        <v>165</v>
      </c>
      <c r="D69" s="297">
        <v>1.768</v>
      </c>
      <c r="E69" s="297">
        <v>0.26500000000000001</v>
      </c>
      <c r="F69" s="298" t="s">
        <v>174</v>
      </c>
      <c r="G69" s="296" t="s">
        <v>155</v>
      </c>
      <c r="H69" s="302">
        <v>33765</v>
      </c>
      <c r="I69" s="302">
        <f t="shared" si="3"/>
        <v>67530</v>
      </c>
      <c r="J69" s="265"/>
      <c r="K69" s="320"/>
      <c r="L69" s="321"/>
      <c r="M69" s="321"/>
      <c r="N69" s="324"/>
      <c r="O69" s="324"/>
      <c r="P69" s="323"/>
      <c r="Q69" s="325"/>
      <c r="R69" s="326"/>
      <c r="S69" s="329"/>
      <c r="T69" s="330"/>
      <c r="U69" s="331"/>
      <c r="V69" s="9"/>
      <c r="Y69" s="4"/>
    </row>
    <row r="70" spans="2:25" ht="17.399999999999999" x14ac:dyDescent="0.3">
      <c r="B70" s="294">
        <v>1</v>
      </c>
      <c r="C70" s="296" t="s">
        <v>162</v>
      </c>
      <c r="D70" s="297">
        <v>3.3679999999999999</v>
      </c>
      <c r="E70" s="297">
        <v>0.46</v>
      </c>
      <c r="F70" s="297" t="s">
        <v>175</v>
      </c>
      <c r="G70" s="296" t="s">
        <v>163</v>
      </c>
      <c r="H70" s="302">
        <v>258541</v>
      </c>
      <c r="I70" s="302">
        <f t="shared" si="3"/>
        <v>258541</v>
      </c>
      <c r="J70" s="265"/>
      <c r="K70" s="320"/>
      <c r="L70" s="321"/>
      <c r="M70" s="321"/>
      <c r="N70" s="324"/>
      <c r="O70" s="324"/>
      <c r="P70" s="323"/>
      <c r="Q70" s="325"/>
      <c r="R70" s="326"/>
      <c r="S70" s="329"/>
      <c r="T70" s="330"/>
      <c r="U70" s="331"/>
      <c r="V70" s="9"/>
      <c r="Y70" s="4"/>
    </row>
    <row r="71" spans="2:25" ht="17.399999999999999" x14ac:dyDescent="0.3">
      <c r="B71" s="294">
        <v>1</v>
      </c>
      <c r="C71" s="296" t="s">
        <v>164</v>
      </c>
      <c r="D71" s="297">
        <v>3.48</v>
      </c>
      <c r="E71" s="297">
        <v>0.68</v>
      </c>
      <c r="F71" s="297" t="s">
        <v>175</v>
      </c>
      <c r="G71" s="296" t="s">
        <v>163</v>
      </c>
      <c r="H71" s="302">
        <v>121885</v>
      </c>
      <c r="I71" s="302">
        <f t="shared" si="3"/>
        <v>121885</v>
      </c>
      <c r="J71" s="265"/>
      <c r="K71" s="320"/>
      <c r="L71" s="321"/>
      <c r="M71" s="321"/>
      <c r="N71" s="324"/>
      <c r="O71" s="324"/>
      <c r="P71" s="323"/>
      <c r="Q71" s="325"/>
      <c r="R71" s="326"/>
      <c r="S71" s="329"/>
      <c r="T71" s="330"/>
      <c r="U71" s="331"/>
      <c r="V71" s="9"/>
      <c r="Y71" s="4"/>
    </row>
    <row r="72" spans="2:25" ht="17.399999999999999" x14ac:dyDescent="0.3">
      <c r="B72" s="294">
        <v>2</v>
      </c>
      <c r="C72" s="296" t="s">
        <v>165</v>
      </c>
      <c r="D72" s="297">
        <v>3.2679999999999998</v>
      </c>
      <c r="E72" s="297">
        <v>0.26500000000000001</v>
      </c>
      <c r="F72" s="297" t="s">
        <v>177</v>
      </c>
      <c r="G72" s="296" t="s">
        <v>155</v>
      </c>
      <c r="H72" s="302">
        <v>62412</v>
      </c>
      <c r="I72" s="302">
        <f t="shared" si="3"/>
        <v>124824</v>
      </c>
      <c r="J72" s="265"/>
      <c r="K72" s="320"/>
      <c r="L72" s="321"/>
      <c r="M72" s="321"/>
      <c r="N72" s="324"/>
      <c r="O72" s="324"/>
      <c r="P72" s="323"/>
      <c r="Q72" s="325"/>
      <c r="R72" s="326"/>
      <c r="S72" s="329"/>
      <c r="T72" s="330"/>
      <c r="U72" s="331"/>
      <c r="V72" s="9"/>
      <c r="Y72" s="4"/>
    </row>
    <row r="73" spans="2:25" ht="17.399999999999999" x14ac:dyDescent="0.3">
      <c r="B73" s="294">
        <v>1</v>
      </c>
      <c r="C73" s="296" t="s">
        <v>162</v>
      </c>
      <c r="D73" s="297">
        <v>1.8680000000000001</v>
      </c>
      <c r="E73" s="297">
        <v>0.46</v>
      </c>
      <c r="F73" s="297" t="s">
        <v>176</v>
      </c>
      <c r="G73" s="296" t="s">
        <v>163</v>
      </c>
      <c r="H73" s="302">
        <v>143395</v>
      </c>
      <c r="I73" s="302">
        <f t="shared" si="3"/>
        <v>143395</v>
      </c>
      <c r="J73" s="265"/>
      <c r="K73" s="320"/>
      <c r="L73" s="321"/>
      <c r="M73" s="321"/>
      <c r="N73" s="324"/>
      <c r="O73" s="324"/>
      <c r="P73" s="323"/>
      <c r="Q73" s="325"/>
      <c r="R73" s="326"/>
      <c r="S73" s="329"/>
      <c r="T73" s="330"/>
      <c r="U73" s="331"/>
      <c r="V73" s="9"/>
      <c r="Y73" s="4"/>
    </row>
    <row r="74" spans="2:25" ht="17.399999999999999" x14ac:dyDescent="0.3">
      <c r="B74" s="294">
        <v>1</v>
      </c>
      <c r="C74" s="296" t="s">
        <v>164</v>
      </c>
      <c r="D74" s="297">
        <v>1.8480000000000001</v>
      </c>
      <c r="E74" s="297">
        <v>0.68</v>
      </c>
      <c r="F74" s="297" t="s">
        <v>176</v>
      </c>
      <c r="G74" s="296" t="s">
        <v>163</v>
      </c>
      <c r="H74" s="302">
        <v>169465</v>
      </c>
      <c r="I74" s="302">
        <f t="shared" si="3"/>
        <v>169465</v>
      </c>
      <c r="J74" s="265"/>
      <c r="K74" s="320"/>
      <c r="L74" s="321"/>
      <c r="M74" s="321"/>
      <c r="N74" s="324"/>
      <c r="O74" s="324"/>
      <c r="P74" s="323"/>
      <c r="Q74" s="325"/>
      <c r="R74" s="326"/>
      <c r="S74" s="329"/>
      <c r="T74" s="330"/>
      <c r="U74" s="331"/>
      <c r="V74" s="9"/>
      <c r="Y74" s="4"/>
    </row>
    <row r="75" spans="2:25" ht="17.399999999999999" x14ac:dyDescent="0.3">
      <c r="B75" s="294">
        <v>2</v>
      </c>
      <c r="C75" s="296" t="s">
        <v>165</v>
      </c>
      <c r="D75" s="297">
        <v>1.768</v>
      </c>
      <c r="E75" s="297">
        <v>0.26500000000000001</v>
      </c>
      <c r="F75" s="297" t="s">
        <v>177</v>
      </c>
      <c r="G75" s="296" t="s">
        <v>155</v>
      </c>
      <c r="H75" s="302">
        <v>33765</v>
      </c>
      <c r="I75" s="302">
        <f t="shared" si="3"/>
        <v>67530</v>
      </c>
      <c r="J75" s="265"/>
      <c r="K75" s="320"/>
      <c r="L75" s="321"/>
      <c r="M75" s="321"/>
      <c r="N75" s="324"/>
      <c r="O75" s="324"/>
      <c r="P75" s="323"/>
      <c r="Q75" s="325"/>
      <c r="R75" s="326"/>
      <c r="S75" s="329"/>
      <c r="T75" s="330"/>
      <c r="U75" s="331"/>
      <c r="V75" s="9"/>
      <c r="Y75" s="4"/>
    </row>
    <row r="76" spans="2:25" ht="17.399999999999999" x14ac:dyDescent="0.3">
      <c r="B76" s="294">
        <v>1</v>
      </c>
      <c r="C76" s="296" t="s">
        <v>162</v>
      </c>
      <c r="D76" s="297">
        <v>2.968</v>
      </c>
      <c r="E76" s="297">
        <v>0.6</v>
      </c>
      <c r="F76" s="297" t="s">
        <v>161</v>
      </c>
      <c r="G76" s="296" t="s">
        <v>163</v>
      </c>
      <c r="H76" s="302">
        <v>227836</v>
      </c>
      <c r="I76" s="302">
        <f t="shared" si="3"/>
        <v>227836</v>
      </c>
      <c r="J76" s="265"/>
      <c r="K76" s="320"/>
      <c r="L76" s="321"/>
      <c r="M76" s="321"/>
      <c r="N76" s="324"/>
      <c r="O76" s="324"/>
      <c r="P76" s="323"/>
      <c r="Q76" s="325"/>
      <c r="R76" s="326"/>
      <c r="S76" s="329"/>
      <c r="T76" s="330"/>
      <c r="U76" s="331"/>
      <c r="V76" s="9"/>
      <c r="Y76" s="4"/>
    </row>
    <row r="77" spans="2:25" ht="17.399999999999999" x14ac:dyDescent="0.3">
      <c r="B77" s="294">
        <v>1</v>
      </c>
      <c r="C77" s="296" t="s">
        <v>164</v>
      </c>
      <c r="D77" s="297">
        <v>1.611</v>
      </c>
      <c r="E77" s="297">
        <v>0.68</v>
      </c>
      <c r="F77" s="297" t="s">
        <v>161</v>
      </c>
      <c r="G77" s="296" t="s">
        <v>163</v>
      </c>
      <c r="H77" s="302">
        <v>147732</v>
      </c>
      <c r="I77" s="302">
        <f t="shared" si="3"/>
        <v>147732</v>
      </c>
      <c r="J77" s="265"/>
      <c r="K77" s="320"/>
      <c r="L77" s="321"/>
      <c r="M77" s="321"/>
      <c r="N77" s="324"/>
      <c r="O77" s="324"/>
      <c r="P77" s="323"/>
      <c r="Q77" s="325"/>
      <c r="R77" s="326"/>
      <c r="S77" s="329"/>
      <c r="T77" s="330"/>
      <c r="U77" s="331"/>
      <c r="V77" s="9"/>
      <c r="Y77" s="4"/>
    </row>
    <row r="78" spans="2:25" ht="17.399999999999999" x14ac:dyDescent="0.3">
      <c r="B78" s="294">
        <v>1</v>
      </c>
      <c r="C78" s="296" t="s">
        <v>164</v>
      </c>
      <c r="D78" s="297">
        <v>1.77</v>
      </c>
      <c r="E78" s="297">
        <v>0.68</v>
      </c>
      <c r="F78" s="297" t="s">
        <v>161</v>
      </c>
      <c r="G78" s="296" t="s">
        <v>163</v>
      </c>
      <c r="H78" s="302">
        <v>162313</v>
      </c>
      <c r="I78" s="302">
        <f t="shared" si="3"/>
        <v>162313</v>
      </c>
      <c r="J78" s="265"/>
      <c r="K78" s="320"/>
      <c r="L78" s="321"/>
      <c r="M78" s="321"/>
      <c r="N78" s="324"/>
      <c r="O78" s="324"/>
      <c r="P78" s="323"/>
      <c r="Q78" s="325"/>
      <c r="R78" s="326"/>
      <c r="S78" s="329"/>
      <c r="T78" s="330"/>
      <c r="U78" s="331"/>
      <c r="V78" s="9"/>
      <c r="Y78" s="4"/>
    </row>
    <row r="79" spans="2:25" ht="17.399999999999999" x14ac:dyDescent="0.3">
      <c r="B79" s="294">
        <v>2</v>
      </c>
      <c r="C79" s="296" t="s">
        <v>165</v>
      </c>
      <c r="D79" s="297">
        <v>2.968</v>
      </c>
      <c r="E79" s="297">
        <v>0.26500000000000001</v>
      </c>
      <c r="F79" s="297" t="s">
        <v>161</v>
      </c>
      <c r="G79" s="296" t="s">
        <v>155</v>
      </c>
      <c r="H79" s="302">
        <v>56683</v>
      </c>
      <c r="I79" s="302">
        <f t="shared" si="3"/>
        <v>113366</v>
      </c>
      <c r="J79" s="265"/>
      <c r="K79" s="320"/>
      <c r="L79" s="321"/>
      <c r="M79" s="321"/>
      <c r="N79" s="324"/>
      <c r="O79" s="324"/>
      <c r="P79" s="323"/>
      <c r="Q79" s="325"/>
      <c r="R79" s="326"/>
      <c r="S79" s="329"/>
      <c r="T79" s="330"/>
      <c r="U79" s="331"/>
      <c r="V79" s="9"/>
      <c r="Y79" s="4"/>
    </row>
    <row r="80" spans="2:25" ht="17.399999999999999" x14ac:dyDescent="0.3">
      <c r="B80" s="294">
        <v>1</v>
      </c>
      <c r="C80" s="296" t="s">
        <v>180</v>
      </c>
      <c r="D80" s="297">
        <v>3.13</v>
      </c>
      <c r="E80" s="297">
        <v>0.6</v>
      </c>
      <c r="F80" s="297" t="s">
        <v>178</v>
      </c>
      <c r="G80" s="296" t="s">
        <v>155</v>
      </c>
      <c r="H80" s="302">
        <v>218180</v>
      </c>
      <c r="I80" s="302">
        <f t="shared" si="3"/>
        <v>218180</v>
      </c>
      <c r="J80" s="265"/>
      <c r="K80" s="320"/>
      <c r="L80" s="321"/>
      <c r="M80" s="321"/>
      <c r="N80" s="324"/>
      <c r="O80" s="324"/>
      <c r="P80" s="323"/>
      <c r="Q80" s="325"/>
      <c r="R80" s="326"/>
      <c r="S80" s="329"/>
      <c r="T80" s="330"/>
      <c r="U80" s="331"/>
      <c r="V80" s="9"/>
      <c r="Y80" s="4"/>
    </row>
    <row r="81" spans="2:25" ht="17.399999999999999" x14ac:dyDescent="0.3">
      <c r="B81" s="294">
        <v>1</v>
      </c>
      <c r="C81" s="296" t="s">
        <v>180</v>
      </c>
      <c r="D81" s="297">
        <v>3.1</v>
      </c>
      <c r="E81" s="297">
        <v>0.6</v>
      </c>
      <c r="F81" s="297" t="s">
        <v>179</v>
      </c>
      <c r="G81" s="296" t="s">
        <v>155</v>
      </c>
      <c r="H81" s="302">
        <v>216089</v>
      </c>
      <c r="I81" s="302">
        <f t="shared" si="3"/>
        <v>216089</v>
      </c>
      <c r="J81" s="265"/>
      <c r="K81" s="320"/>
      <c r="L81" s="321"/>
      <c r="M81" s="321"/>
      <c r="N81" s="324"/>
      <c r="O81" s="324"/>
      <c r="P81" s="323"/>
      <c r="Q81" s="325"/>
      <c r="R81" s="326"/>
      <c r="S81" s="329"/>
      <c r="T81" s="330"/>
      <c r="U81" s="331"/>
      <c r="V81" s="9"/>
      <c r="Y81" s="4"/>
    </row>
    <row r="82" spans="2:25" ht="17.399999999999999" x14ac:dyDescent="0.3">
      <c r="B82" s="294">
        <v>1</v>
      </c>
      <c r="C82" s="296" t="s">
        <v>184</v>
      </c>
      <c r="D82" s="297">
        <v>1.85</v>
      </c>
      <c r="E82" s="297">
        <v>0.6</v>
      </c>
      <c r="F82" s="297" t="s">
        <v>179</v>
      </c>
      <c r="G82" s="296" t="s">
        <v>155</v>
      </c>
      <c r="H82" s="302">
        <v>128956</v>
      </c>
      <c r="I82" s="302">
        <f t="shared" si="3"/>
        <v>128956</v>
      </c>
      <c r="J82" s="265"/>
      <c r="K82" s="320"/>
      <c r="L82" s="321"/>
      <c r="M82" s="321"/>
      <c r="N82" s="324"/>
      <c r="O82" s="324"/>
      <c r="P82" s="323"/>
      <c r="Q82" s="325"/>
      <c r="R82" s="326"/>
      <c r="S82" s="329"/>
      <c r="T82" s="330"/>
      <c r="U82" s="331"/>
      <c r="V82" s="9"/>
      <c r="Y82" s="4"/>
    </row>
    <row r="83" spans="2:25" ht="17.399999999999999" x14ac:dyDescent="0.3">
      <c r="B83" s="294">
        <v>1</v>
      </c>
      <c r="C83" s="296" t="s">
        <v>184</v>
      </c>
      <c r="D83" s="297">
        <v>1.8</v>
      </c>
      <c r="E83" s="297">
        <v>0.6</v>
      </c>
      <c r="F83" s="297" t="s">
        <v>178</v>
      </c>
      <c r="G83" s="296" t="s">
        <v>155</v>
      </c>
      <c r="H83" s="302">
        <v>125471</v>
      </c>
      <c r="I83" s="302">
        <f t="shared" si="3"/>
        <v>125471</v>
      </c>
      <c r="J83" s="265"/>
      <c r="K83" s="320"/>
      <c r="L83" s="321"/>
      <c r="M83" s="321"/>
      <c r="N83" s="324"/>
      <c r="O83" s="324"/>
      <c r="P83" s="323"/>
      <c r="Q83" s="325"/>
      <c r="R83" s="326"/>
      <c r="S83" s="329"/>
      <c r="T83" s="330"/>
      <c r="U83" s="331"/>
      <c r="V83" s="9"/>
      <c r="Y83" s="4"/>
    </row>
    <row r="84" spans="2:25" ht="17.399999999999999" x14ac:dyDescent="0.3">
      <c r="B84" s="294">
        <v>1</v>
      </c>
      <c r="C84" s="296" t="s">
        <v>184</v>
      </c>
      <c r="D84" s="297">
        <v>1.25</v>
      </c>
      <c r="E84" s="297">
        <v>0.6</v>
      </c>
      <c r="F84" s="297" t="s">
        <v>185</v>
      </c>
      <c r="G84" s="296" t="s">
        <v>155</v>
      </c>
      <c r="H84" s="302">
        <v>87133</v>
      </c>
      <c r="I84" s="302">
        <f t="shared" si="3"/>
        <v>87133</v>
      </c>
      <c r="J84" s="265"/>
      <c r="K84" s="320"/>
      <c r="L84" s="321"/>
      <c r="M84" s="321"/>
      <c r="N84" s="324"/>
      <c r="O84" s="324"/>
      <c r="P84" s="323"/>
      <c r="Q84" s="325"/>
      <c r="R84" s="326"/>
      <c r="S84" s="329"/>
      <c r="T84" s="330"/>
      <c r="U84" s="331"/>
      <c r="V84" s="9"/>
      <c r="Y84" s="4"/>
    </row>
    <row r="85" spans="2:25" ht="17.399999999999999" x14ac:dyDescent="0.3">
      <c r="B85" s="294">
        <v>1</v>
      </c>
      <c r="C85" s="296" t="s">
        <v>184</v>
      </c>
      <c r="D85" s="297">
        <v>1.2450000000000001</v>
      </c>
      <c r="E85" s="297">
        <v>0.6</v>
      </c>
      <c r="F85" s="297" t="s">
        <v>185</v>
      </c>
      <c r="G85" s="296" t="s">
        <v>155</v>
      </c>
      <c r="H85" s="302">
        <v>86784</v>
      </c>
      <c r="I85" s="302">
        <f t="shared" si="3"/>
        <v>86784</v>
      </c>
      <c r="J85" s="265"/>
      <c r="K85" s="320"/>
      <c r="L85" s="321"/>
      <c r="M85" s="321"/>
      <c r="N85" s="324"/>
      <c r="O85" s="324"/>
      <c r="P85" s="323"/>
      <c r="Q85" s="325"/>
      <c r="R85" s="326"/>
      <c r="S85" s="329"/>
      <c r="T85" s="330"/>
      <c r="U85" s="331"/>
      <c r="V85" s="9"/>
      <c r="Y85" s="4"/>
    </row>
    <row r="86" spans="2:25" ht="17.399999999999999" x14ac:dyDescent="0.3">
      <c r="B86" s="294">
        <v>1</v>
      </c>
      <c r="C86" s="296" t="s">
        <v>184</v>
      </c>
      <c r="D86" s="297">
        <v>3</v>
      </c>
      <c r="E86" s="297">
        <v>0.6</v>
      </c>
      <c r="F86" s="297" t="s">
        <v>179</v>
      </c>
      <c r="G86" s="296" t="s">
        <v>155</v>
      </c>
      <c r="H86" s="302">
        <v>209118</v>
      </c>
      <c r="I86" s="302">
        <f t="shared" si="3"/>
        <v>209118</v>
      </c>
      <c r="J86" s="265"/>
      <c r="K86" s="320"/>
      <c r="L86" s="321"/>
      <c r="M86" s="321"/>
      <c r="N86" s="324"/>
      <c r="O86" s="324"/>
      <c r="P86" s="323"/>
      <c r="Q86" s="325"/>
      <c r="R86" s="326"/>
      <c r="S86" s="329"/>
      <c r="T86" s="330"/>
      <c r="U86" s="331"/>
      <c r="V86" s="9"/>
      <c r="Y86" s="4"/>
    </row>
    <row r="87" spans="2:25" ht="17.399999999999999" x14ac:dyDescent="0.3">
      <c r="B87" s="294">
        <v>1</v>
      </c>
      <c r="C87" s="296" t="s">
        <v>184</v>
      </c>
      <c r="D87" s="297">
        <v>2.25</v>
      </c>
      <c r="E87" s="297">
        <v>0.6</v>
      </c>
      <c r="F87" s="297" t="s">
        <v>178</v>
      </c>
      <c r="G87" s="296" t="s">
        <v>155</v>
      </c>
      <c r="H87" s="302">
        <v>156839</v>
      </c>
      <c r="I87" s="302">
        <f t="shared" si="3"/>
        <v>156839</v>
      </c>
      <c r="J87" s="265"/>
      <c r="K87" s="320"/>
      <c r="L87" s="321"/>
      <c r="M87" s="321"/>
      <c r="N87" s="324"/>
      <c r="O87" s="324"/>
      <c r="P87" s="323"/>
      <c r="Q87" s="325"/>
      <c r="R87" s="326"/>
      <c r="S87" s="329"/>
      <c r="T87" s="330"/>
      <c r="U87" s="331"/>
      <c r="V87" s="9"/>
      <c r="Y87" s="4"/>
    </row>
    <row r="88" spans="2:25" ht="17.399999999999999" x14ac:dyDescent="0.3">
      <c r="B88" s="294">
        <v>35</v>
      </c>
      <c r="C88" s="296" t="s">
        <v>160</v>
      </c>
      <c r="D88" s="297">
        <v>1.22</v>
      </c>
      <c r="E88" s="297">
        <v>3.05</v>
      </c>
      <c r="F88" s="297"/>
      <c r="G88" s="296" t="s">
        <v>186</v>
      </c>
      <c r="H88" s="302">
        <v>29700</v>
      </c>
      <c r="I88" s="302">
        <f>-H88*B88</f>
        <v>-1039500</v>
      </c>
      <c r="J88" s="265"/>
      <c r="K88" s="320"/>
      <c r="L88" s="321"/>
      <c r="M88" s="321"/>
      <c r="N88" s="324"/>
      <c r="O88" s="324"/>
      <c r="P88" s="323"/>
      <c r="Q88" s="325"/>
      <c r="R88" s="326"/>
      <c r="S88" s="329"/>
      <c r="T88" s="330"/>
      <c r="U88" s="331"/>
      <c r="V88" s="9"/>
      <c r="Y88" s="4"/>
    </row>
    <row r="89" spans="2:25" ht="17.399999999999999" x14ac:dyDescent="0.3">
      <c r="B89" s="294">
        <v>11</v>
      </c>
      <c r="C89" s="296" t="s">
        <v>160</v>
      </c>
      <c r="D89" s="297">
        <v>1.22</v>
      </c>
      <c r="E89" s="297">
        <v>3.05</v>
      </c>
      <c r="F89" s="297"/>
      <c r="G89" s="296" t="s">
        <v>187</v>
      </c>
      <c r="H89" s="302">
        <v>22475</v>
      </c>
      <c r="I89" s="302">
        <f>-H89*B89</f>
        <v>-247225</v>
      </c>
      <c r="J89" s="265"/>
      <c r="K89" s="320"/>
      <c r="L89" s="321"/>
      <c r="M89" s="321"/>
      <c r="N89" s="324"/>
      <c r="O89" s="324"/>
      <c r="P89" s="323"/>
      <c r="Q89" s="325"/>
      <c r="R89" s="326"/>
      <c r="S89" s="329"/>
      <c r="T89" s="330"/>
      <c r="U89" s="331"/>
      <c r="V89" s="9"/>
      <c r="Y89" s="4"/>
    </row>
    <row r="90" spans="2:25" ht="17.399999999999999" x14ac:dyDescent="0.3">
      <c r="B90" s="294">
        <v>4</v>
      </c>
      <c r="C90" s="296" t="s">
        <v>160</v>
      </c>
      <c r="D90" s="297">
        <v>1.55</v>
      </c>
      <c r="E90" s="297">
        <v>3.66</v>
      </c>
      <c r="F90" s="297"/>
      <c r="G90" s="296" t="s">
        <v>187</v>
      </c>
      <c r="H90" s="302">
        <v>36831</v>
      </c>
      <c r="I90" s="302">
        <f>-H90*B90</f>
        <v>-147324</v>
      </c>
      <c r="J90" s="265"/>
      <c r="K90" s="320"/>
      <c r="L90" s="321"/>
      <c r="M90" s="321"/>
      <c r="N90" s="324"/>
      <c r="O90" s="324"/>
      <c r="P90" s="323"/>
      <c r="Q90" s="325"/>
      <c r="R90" s="326"/>
      <c r="S90" s="329"/>
      <c r="T90" s="330"/>
      <c r="U90" s="331"/>
      <c r="V90" s="9"/>
      <c r="Y90" s="4"/>
    </row>
    <row r="91" spans="2:25" ht="17.399999999999999" x14ac:dyDescent="0.3">
      <c r="B91" s="294">
        <v>9</v>
      </c>
      <c r="C91" s="296" t="s">
        <v>189</v>
      </c>
      <c r="D91" s="297"/>
      <c r="E91" s="297"/>
      <c r="F91" s="297"/>
      <c r="G91" s="296" t="s">
        <v>188</v>
      </c>
      <c r="H91" s="302">
        <v>15700</v>
      </c>
      <c r="I91" s="302">
        <f>-H91*B91</f>
        <v>-141300</v>
      </c>
      <c r="J91" s="265"/>
      <c r="K91" s="320"/>
      <c r="L91" s="321"/>
      <c r="M91" s="321"/>
      <c r="N91" s="324"/>
      <c r="O91" s="324"/>
      <c r="P91" s="323"/>
      <c r="Q91" s="325"/>
      <c r="R91" s="326"/>
      <c r="S91" s="329"/>
      <c r="T91" s="330"/>
      <c r="U91" s="331"/>
      <c r="V91" s="9"/>
      <c r="Y91" s="4"/>
    </row>
    <row r="92" spans="2:25" ht="18" thickBot="1" x14ac:dyDescent="0.35">
      <c r="B92" s="249"/>
      <c r="C92" s="249"/>
      <c r="D92" s="250"/>
      <c r="E92" s="250"/>
      <c r="F92" s="250"/>
      <c r="G92" s="249"/>
      <c r="H92" s="234"/>
      <c r="I92" s="266"/>
      <c r="J92" s="268"/>
      <c r="K92" s="332"/>
      <c r="L92" s="321"/>
      <c r="M92" s="321"/>
      <c r="N92" s="324"/>
      <c r="O92" s="324"/>
      <c r="P92" s="323"/>
      <c r="Q92" s="325"/>
      <c r="R92" s="326"/>
      <c r="S92" s="327"/>
      <c r="T92" s="330"/>
      <c r="U92" s="318"/>
      <c r="V92" s="9"/>
      <c r="Y92" s="4"/>
    </row>
    <row r="93" spans="2:25" ht="17.399999999999999" x14ac:dyDescent="0.3">
      <c r="B93" s="249"/>
      <c r="C93" s="249"/>
      <c r="D93" s="250"/>
      <c r="E93" s="250"/>
      <c r="F93" s="250"/>
      <c r="G93" s="249"/>
      <c r="H93" s="269" t="s">
        <v>20</v>
      </c>
      <c r="I93" s="299">
        <f>SUM(I21:I92)</f>
        <v>7772654</v>
      </c>
      <c r="J93" s="267"/>
      <c r="K93" s="320"/>
      <c r="L93" s="321"/>
      <c r="M93" s="321"/>
      <c r="N93" s="324"/>
      <c r="O93" s="324"/>
      <c r="P93" s="323"/>
      <c r="Q93" s="325"/>
      <c r="R93" s="326"/>
      <c r="S93" s="327"/>
      <c r="T93" s="330"/>
      <c r="U93" s="331"/>
      <c r="V93" s="9"/>
      <c r="Y93" s="4"/>
    </row>
    <row r="94" spans="2:25" ht="17.399999999999999" x14ac:dyDescent="0.3">
      <c r="B94" s="243"/>
      <c r="C94" s="246"/>
      <c r="D94" s="247"/>
      <c r="E94" s="247"/>
      <c r="F94" s="247"/>
      <c r="G94" s="248"/>
      <c r="H94" s="253" t="s">
        <v>41</v>
      </c>
      <c r="I94" s="300">
        <f>I93*0.19</f>
        <v>1476804.26</v>
      </c>
      <c r="J94" s="267"/>
      <c r="K94" s="320"/>
      <c r="L94" s="321"/>
      <c r="M94" s="321"/>
      <c r="N94" s="324"/>
      <c r="O94" s="12"/>
      <c r="P94" s="12"/>
      <c r="Q94" s="230"/>
      <c r="R94" s="318"/>
      <c r="S94" s="12"/>
      <c r="T94" s="333"/>
      <c r="U94" s="331"/>
      <c r="V94" s="9"/>
      <c r="Y94" s="4"/>
    </row>
    <row r="95" spans="2:25" ht="18" thickBot="1" x14ac:dyDescent="0.35">
      <c r="B95" s="241"/>
      <c r="C95" s="245"/>
      <c r="D95" s="238"/>
      <c r="E95" s="238"/>
      <c r="F95" s="238"/>
      <c r="G95" s="239"/>
      <c r="H95" s="244" t="s">
        <v>6</v>
      </c>
      <c r="I95" s="301">
        <f>I93+I94</f>
        <v>9249458.2599999998</v>
      </c>
      <c r="J95" s="267"/>
      <c r="K95" s="320"/>
      <c r="L95" s="321"/>
      <c r="M95" s="321"/>
      <c r="N95" s="324"/>
      <c r="O95" s="12"/>
      <c r="P95" s="12"/>
      <c r="Q95" s="230"/>
      <c r="R95" s="318"/>
      <c r="S95" s="12"/>
      <c r="T95" s="333"/>
      <c r="U95" s="331"/>
      <c r="V95" s="9"/>
      <c r="Y95" s="4"/>
    </row>
    <row r="96" spans="2:25" ht="17.399999999999999" x14ac:dyDescent="0.3">
      <c r="B96" s="241"/>
      <c r="C96" s="237"/>
      <c r="D96" s="238"/>
      <c r="E96" s="238"/>
      <c r="F96" s="238"/>
      <c r="G96" s="239"/>
      <c r="J96" s="319"/>
      <c r="K96" s="320"/>
      <c r="L96" s="321"/>
      <c r="M96" s="321"/>
      <c r="N96" s="318"/>
      <c r="O96" s="12"/>
      <c r="P96" s="12"/>
      <c r="Q96" s="324"/>
      <c r="R96" s="324"/>
      <c r="S96" s="334"/>
      <c r="T96" s="335"/>
      <c r="U96" s="318"/>
      <c r="V96" s="9"/>
      <c r="Y96" s="4"/>
    </row>
    <row r="97" spans="1:25" ht="17.399999999999999" x14ac:dyDescent="0.35">
      <c r="B97" s="236"/>
      <c r="C97" s="218"/>
      <c r="D97" s="218"/>
      <c r="E97" s="220"/>
      <c r="F97" s="220"/>
      <c r="G97" s="221"/>
      <c r="H97" s="218"/>
      <c r="I97" s="240"/>
      <c r="J97" s="336"/>
      <c r="K97" s="320"/>
      <c r="L97" s="321"/>
      <c r="M97" s="321"/>
      <c r="N97" s="318"/>
      <c r="O97" s="12"/>
      <c r="P97" s="12"/>
      <c r="Q97" s="331"/>
      <c r="R97" s="318"/>
      <c r="S97" s="318"/>
      <c r="T97" s="337"/>
      <c r="U97" s="318"/>
      <c r="V97" s="9"/>
      <c r="Y97" s="4"/>
    </row>
    <row r="98" spans="1:25" ht="17.399999999999999" x14ac:dyDescent="0.35">
      <c r="B98" s="222"/>
      <c r="C98" s="223"/>
      <c r="D98" s="224"/>
      <c r="E98" s="222"/>
      <c r="F98" s="222"/>
      <c r="G98" s="218"/>
      <c r="H98" s="218"/>
      <c r="J98" s="336"/>
      <c r="K98" s="320"/>
      <c r="L98" s="321"/>
      <c r="M98" s="321"/>
      <c r="N98" s="318"/>
      <c r="O98" s="318"/>
      <c r="P98" s="318"/>
      <c r="Q98" s="318"/>
      <c r="R98" s="318"/>
      <c r="S98" s="318"/>
      <c r="T98" s="335"/>
      <c r="U98" s="318"/>
      <c r="V98" s="257" t="s">
        <v>16</v>
      </c>
      <c r="W98" s="254" t="s">
        <v>131</v>
      </c>
      <c r="X98" s="258">
        <v>44971</v>
      </c>
      <c r="Y98" s="259"/>
    </row>
    <row r="99" spans="1:25" ht="17.399999999999999" x14ac:dyDescent="0.35">
      <c r="B99" s="218"/>
      <c r="C99" s="218"/>
      <c r="D99" s="218"/>
      <c r="E99" s="218"/>
      <c r="F99" s="218"/>
      <c r="G99" s="218"/>
      <c r="H99" s="218"/>
      <c r="J99" s="319"/>
      <c r="K99" s="320"/>
      <c r="L99" s="321"/>
      <c r="M99" s="321"/>
      <c r="N99" s="324"/>
      <c r="O99" s="12"/>
      <c r="P99" s="12"/>
      <c r="Q99" s="318"/>
      <c r="R99" s="318"/>
      <c r="S99" s="318"/>
      <c r="T99" s="338"/>
      <c r="U99" s="318"/>
      <c r="V99" s="257" t="s">
        <v>132</v>
      </c>
      <c r="W99" s="254">
        <v>3625</v>
      </c>
      <c r="X99" s="47" t="s">
        <v>133</v>
      </c>
      <c r="Y99" s="259"/>
    </row>
    <row r="100" spans="1:25" ht="17.399999999999999" x14ac:dyDescent="0.35">
      <c r="A100" s="218"/>
      <c r="B100" s="218"/>
      <c r="C100" s="218"/>
      <c r="D100" s="218"/>
      <c r="E100" s="218"/>
      <c r="F100" s="218"/>
      <c r="G100" s="218"/>
      <c r="H100" s="218"/>
      <c r="I100" s="218"/>
      <c r="J100" s="319"/>
      <c r="K100" s="320"/>
      <c r="L100" s="321"/>
      <c r="M100" s="321"/>
      <c r="N100" s="339"/>
      <c r="O100" s="12"/>
      <c r="P100" s="12"/>
      <c r="Q100" s="324"/>
      <c r="R100" s="334"/>
      <c r="S100" s="318"/>
      <c r="T100" s="335"/>
      <c r="U100" s="318"/>
      <c r="V100" s="257"/>
      <c r="W100" s="47">
        <v>906.25</v>
      </c>
      <c r="X100" s="47" t="s">
        <v>134</v>
      </c>
      <c r="Y100" s="259"/>
    </row>
    <row r="101" spans="1:25" s="218" customFormat="1" ht="17.399999999999999" x14ac:dyDescent="0.35">
      <c r="B101" s="19" t="s">
        <v>130</v>
      </c>
      <c r="J101" s="340"/>
      <c r="K101" s="232"/>
      <c r="L101" s="341"/>
      <c r="M101" s="15"/>
      <c r="N101" s="318"/>
      <c r="O101" s="15"/>
      <c r="P101" s="12"/>
      <c r="Q101" s="324"/>
      <c r="R101" s="334"/>
      <c r="S101" s="340"/>
      <c r="T101" s="335"/>
      <c r="U101" s="342"/>
      <c r="V101" s="47"/>
      <c r="W101" s="47">
        <f>W100*20%</f>
        <v>181.25</v>
      </c>
      <c r="X101" s="259" t="s">
        <v>135</v>
      </c>
      <c r="Y101" s="47"/>
    </row>
    <row r="102" spans="1:25" s="218" customFormat="1" ht="17.399999999999999" x14ac:dyDescent="0.35">
      <c r="B102" s="19" t="s">
        <v>146</v>
      </c>
      <c r="C102"/>
      <c r="D102"/>
      <c r="E102"/>
      <c r="F102"/>
      <c r="G102"/>
      <c r="J102" s="340"/>
      <c r="K102" s="232"/>
      <c r="L102" s="341"/>
      <c r="M102" s="15"/>
      <c r="N102" s="318"/>
      <c r="O102" s="15"/>
      <c r="P102" s="12"/>
      <c r="Q102" s="318"/>
      <c r="R102" s="17"/>
      <c r="S102" s="340"/>
      <c r="T102" s="337"/>
      <c r="U102" s="342"/>
      <c r="V102" s="47"/>
      <c r="W102" s="47">
        <f>W100+W101</f>
        <v>1087.5</v>
      </c>
      <c r="X102" s="259" t="s">
        <v>136</v>
      </c>
      <c r="Y102" s="47"/>
    </row>
    <row r="103" spans="1:25" s="218" customFormat="1" ht="17.399999999999999" x14ac:dyDescent="0.35">
      <c r="B103" s="22" t="s">
        <v>114</v>
      </c>
      <c r="C103"/>
      <c r="D103"/>
      <c r="E103"/>
      <c r="F103"/>
      <c r="G103" s="217" t="s">
        <v>15</v>
      </c>
      <c r="J103" s="340"/>
      <c r="K103" s="232"/>
      <c r="L103" s="343"/>
      <c r="M103" s="15"/>
      <c r="N103" s="339"/>
      <c r="O103" s="15"/>
      <c r="P103" s="12"/>
      <c r="Q103" s="318"/>
      <c r="R103" s="318"/>
      <c r="S103" s="340"/>
      <c r="T103" s="337"/>
      <c r="U103" s="337"/>
    </row>
    <row r="104" spans="1:25" s="218" customFormat="1" ht="17.399999999999999" x14ac:dyDescent="0.35">
      <c r="J104" s="340"/>
      <c r="K104" s="344"/>
      <c r="L104" s="343"/>
      <c r="M104" s="15"/>
      <c r="N104" s="235"/>
      <c r="O104" s="12"/>
      <c r="P104" s="12"/>
      <c r="Q104" s="318"/>
      <c r="R104" s="318"/>
      <c r="S104" s="319"/>
      <c r="T104" s="319"/>
      <c r="U104" s="337"/>
      <c r="Y104" s="219"/>
    </row>
    <row r="105" spans="1:25" s="218" customFormat="1" ht="17.399999999999999" x14ac:dyDescent="0.35">
      <c r="J105" s="340"/>
      <c r="K105" s="340"/>
      <c r="L105" s="343"/>
      <c r="M105" s="15"/>
      <c r="N105" s="318"/>
      <c r="O105" s="12"/>
      <c r="P105" s="12"/>
      <c r="Q105" s="324"/>
      <c r="R105" s="318"/>
      <c r="S105" s="319"/>
      <c r="T105" s="319"/>
      <c r="U105" s="337"/>
      <c r="Y105" s="219"/>
    </row>
    <row r="106" spans="1:25" s="218" customFormat="1" ht="17.399999999999999" x14ac:dyDescent="0.35">
      <c r="J106" s="340"/>
      <c r="K106" s="340"/>
      <c r="L106" s="340"/>
      <c r="M106" s="15"/>
      <c r="N106" s="345"/>
      <c r="O106" s="12"/>
      <c r="P106" s="12"/>
      <c r="Q106" s="318"/>
      <c r="R106" s="318"/>
      <c r="S106" s="346"/>
      <c r="T106" s="319"/>
      <c r="U106" s="347"/>
    </row>
    <row r="107" spans="1:25" s="218" customFormat="1" ht="17.399999999999999" x14ac:dyDescent="0.35">
      <c r="H107"/>
      <c r="I107" s="231"/>
      <c r="J107" s="343"/>
      <c r="K107" s="343"/>
      <c r="L107" s="340"/>
      <c r="M107" s="15"/>
      <c r="N107" s="318"/>
      <c r="O107" s="12"/>
      <c r="P107" s="12"/>
      <c r="Q107" s="348"/>
      <c r="R107" s="318"/>
      <c r="S107" s="318"/>
      <c r="T107" s="319"/>
      <c r="U107" s="337"/>
      <c r="V107" s="47" t="s">
        <v>137</v>
      </c>
      <c r="W107" s="254">
        <v>43650</v>
      </c>
    </row>
    <row r="108" spans="1:25" s="218" customFormat="1" ht="17.399999999999999" x14ac:dyDescent="0.35">
      <c r="H108"/>
      <c r="J108" s="340"/>
      <c r="K108" s="340"/>
      <c r="L108" s="340"/>
      <c r="M108" s="15"/>
      <c r="N108" s="349"/>
      <c r="O108" s="318"/>
      <c r="P108" s="17"/>
      <c r="Q108" s="15"/>
      <c r="R108" s="319"/>
      <c r="S108" s="319"/>
      <c r="T108" s="319"/>
      <c r="U108" s="337"/>
      <c r="V108" s="47" t="s">
        <v>139</v>
      </c>
      <c r="W108" s="255" t="s">
        <v>138</v>
      </c>
      <c r="X108" s="47">
        <v>2.4</v>
      </c>
    </row>
    <row r="109" spans="1:25" s="218" customFormat="1" ht="17.399999999999999" x14ac:dyDescent="0.35">
      <c r="D109" s="250"/>
      <c r="E109" s="250"/>
      <c r="F109" s="250"/>
      <c r="G109" s="249"/>
      <c r="H109" s="286"/>
      <c r="I109" s="285"/>
      <c r="J109" s="340"/>
      <c r="K109" s="340"/>
      <c r="L109" s="340"/>
      <c r="M109" s="12"/>
      <c r="N109" s="340"/>
      <c r="O109" s="340"/>
      <c r="P109" s="340"/>
      <c r="Q109" s="340"/>
      <c r="R109" s="340"/>
      <c r="S109" s="340"/>
      <c r="T109" s="340"/>
      <c r="U109" s="337"/>
      <c r="V109" s="47" t="s">
        <v>140</v>
      </c>
      <c r="W109" s="256">
        <v>395.37</v>
      </c>
    </row>
    <row r="110" spans="1:25" s="218" customFormat="1" ht="17.399999999999999" x14ac:dyDescent="0.35">
      <c r="B110"/>
      <c r="C110" s="216"/>
      <c r="D110" s="250"/>
      <c r="E110" s="250"/>
      <c r="F110" s="250"/>
      <c r="G110" s="249"/>
      <c r="H110" s="286"/>
      <c r="I110" s="285"/>
      <c r="J110" s="340"/>
      <c r="K110" s="340"/>
      <c r="L110" s="340"/>
      <c r="M110" s="12"/>
      <c r="N110" s="340"/>
      <c r="O110" s="340"/>
      <c r="P110" s="340"/>
      <c r="Q110" s="340"/>
      <c r="R110" s="340"/>
      <c r="S110" s="340"/>
      <c r="T110" s="340"/>
      <c r="U110" s="337"/>
      <c r="V110" s="47" t="s">
        <v>135</v>
      </c>
      <c r="W110" s="47">
        <v>474.45</v>
      </c>
    </row>
    <row r="111" spans="1:25" ht="14.4" customHeight="1" x14ac:dyDescent="0.35">
      <c r="D111" s="250"/>
      <c r="E111" s="250"/>
      <c r="F111" s="250"/>
      <c r="G111" s="249"/>
      <c r="H111" s="286"/>
      <c r="I111" s="285"/>
      <c r="J111" s="319"/>
      <c r="K111" s="319"/>
      <c r="L111" s="319"/>
      <c r="M111" s="12"/>
      <c r="N111" s="319"/>
      <c r="O111" s="319"/>
      <c r="P111" s="319"/>
      <c r="Q111" s="319"/>
      <c r="R111" s="319"/>
      <c r="S111" s="319"/>
      <c r="T111" s="319"/>
      <c r="U111" s="319"/>
      <c r="V111" s="47"/>
      <c r="W111" s="47"/>
    </row>
    <row r="112" spans="1:25" ht="17.399999999999999" x14ac:dyDescent="0.35">
      <c r="D112" s="250"/>
      <c r="E112" s="250"/>
      <c r="F112" s="250"/>
      <c r="G112" s="249"/>
      <c r="H112" s="286"/>
      <c r="I112" s="285"/>
      <c r="J112" s="319"/>
      <c r="K112" s="319"/>
      <c r="L112" s="319"/>
      <c r="M112" s="15"/>
      <c r="N112" s="319"/>
      <c r="O112" s="319"/>
      <c r="P112" s="319"/>
      <c r="Q112" s="319"/>
      <c r="R112" s="319"/>
      <c r="S112" s="319"/>
      <c r="T112" s="319"/>
      <c r="U112" s="319"/>
    </row>
    <row r="113" spans="4:21" ht="17.399999999999999" x14ac:dyDescent="0.35">
      <c r="D113" s="250"/>
      <c r="E113" s="250"/>
      <c r="F113" s="250"/>
      <c r="G113" s="249"/>
      <c r="H113" s="286"/>
      <c r="I113" s="285"/>
      <c r="J113" s="319"/>
      <c r="K113" s="319"/>
      <c r="L113" s="319"/>
      <c r="M113" s="15"/>
      <c r="N113" s="319"/>
      <c r="O113" s="319"/>
      <c r="P113" s="319"/>
      <c r="Q113" s="319"/>
      <c r="R113" s="319"/>
      <c r="S113" s="319"/>
      <c r="T113" s="319"/>
      <c r="U113" s="350"/>
    </row>
    <row r="114" spans="4:21" ht="17.399999999999999" x14ac:dyDescent="0.35">
      <c r="D114" s="250"/>
      <c r="E114" s="250"/>
      <c r="F114" s="250"/>
      <c r="G114" s="249"/>
      <c r="H114" s="286"/>
      <c r="I114" s="285"/>
      <c r="J114" s="319"/>
      <c r="K114" s="319"/>
      <c r="L114" s="319"/>
      <c r="M114" s="15"/>
      <c r="N114" s="319"/>
      <c r="O114" s="319"/>
      <c r="P114" s="319"/>
      <c r="Q114" s="319"/>
      <c r="R114" s="319"/>
      <c r="S114" s="319"/>
      <c r="T114" s="319"/>
      <c r="U114" s="319"/>
    </row>
    <row r="115" spans="4:21" ht="15" customHeight="1" x14ac:dyDescent="0.35">
      <c r="D115" s="250"/>
      <c r="E115" s="250"/>
      <c r="F115" s="250"/>
      <c r="G115" s="249"/>
      <c r="H115" s="286"/>
      <c r="I115" s="285"/>
      <c r="J115" s="319"/>
      <c r="K115" s="319"/>
      <c r="L115" s="319"/>
      <c r="M115" s="351"/>
      <c r="N115" s="319"/>
      <c r="O115" s="319"/>
      <c r="P115" s="319"/>
      <c r="Q115" s="319"/>
      <c r="R115" s="319"/>
      <c r="S115" s="319"/>
      <c r="T115" s="319"/>
      <c r="U115" s="319"/>
    </row>
    <row r="116" spans="4:21" ht="17.399999999999999" x14ac:dyDescent="0.35">
      <c r="D116" s="250"/>
      <c r="E116" s="250"/>
      <c r="F116" s="250"/>
      <c r="G116" s="249"/>
      <c r="H116" s="286"/>
      <c r="I116" s="285"/>
      <c r="J116" s="319"/>
      <c r="K116" s="319"/>
      <c r="L116" s="319"/>
      <c r="M116" s="351"/>
      <c r="N116" s="319"/>
      <c r="O116" s="319"/>
      <c r="P116" s="319"/>
      <c r="Q116" s="319"/>
      <c r="R116" s="319"/>
      <c r="S116" s="319"/>
      <c r="T116" s="319"/>
      <c r="U116" s="319"/>
    </row>
    <row r="117" spans="4:21" ht="17.399999999999999" x14ac:dyDescent="0.35">
      <c r="D117" s="250"/>
      <c r="E117" s="250"/>
      <c r="F117" s="250"/>
      <c r="G117" s="249"/>
      <c r="H117" s="286"/>
      <c r="I117" s="285"/>
      <c r="J117" s="319"/>
      <c r="K117" s="319"/>
      <c r="L117" s="319"/>
      <c r="M117" s="351"/>
      <c r="N117" s="319"/>
      <c r="O117" s="319"/>
      <c r="P117" s="319"/>
      <c r="Q117" s="319"/>
      <c r="R117" s="319"/>
      <c r="S117" s="319"/>
      <c r="T117" s="319"/>
      <c r="U117" s="319"/>
    </row>
    <row r="118" spans="4:21" ht="17.399999999999999" x14ac:dyDescent="0.35">
      <c r="D118" s="250"/>
      <c r="E118" s="250"/>
      <c r="F118" s="250"/>
      <c r="G118" s="249"/>
      <c r="H118" s="286"/>
      <c r="I118" s="285"/>
      <c r="J118" s="319"/>
      <c r="K118" s="319"/>
      <c r="L118" s="319"/>
      <c r="M118" s="351"/>
      <c r="N118" s="319"/>
      <c r="O118" s="319"/>
      <c r="P118" s="319"/>
      <c r="Q118" s="319"/>
      <c r="R118" s="319"/>
      <c r="S118" s="319"/>
      <c r="T118" s="319"/>
      <c r="U118" s="319"/>
    </row>
    <row r="119" spans="4:21" ht="17.399999999999999" x14ac:dyDescent="0.35">
      <c r="D119" s="250"/>
      <c r="E119" s="250"/>
      <c r="F119" s="250"/>
      <c r="G119" s="249"/>
      <c r="H119" s="286"/>
      <c r="I119" s="285"/>
      <c r="J119" s="319"/>
      <c r="K119" s="319"/>
      <c r="L119" s="319"/>
      <c r="M119" s="351"/>
      <c r="N119" s="319"/>
      <c r="O119" s="319"/>
      <c r="P119" s="319"/>
      <c r="Q119" s="319"/>
      <c r="R119" s="319"/>
      <c r="S119" s="319"/>
      <c r="T119" s="319"/>
      <c r="U119" s="319"/>
    </row>
    <row r="120" spans="4:21" ht="17.399999999999999" x14ac:dyDescent="0.35">
      <c r="D120" s="250"/>
      <c r="E120" s="250"/>
      <c r="F120" s="250"/>
      <c r="G120" s="249"/>
      <c r="H120" s="286"/>
      <c r="I120" s="285"/>
      <c r="J120" s="319"/>
      <c r="K120" s="319"/>
      <c r="L120" s="319"/>
      <c r="M120" s="351"/>
      <c r="N120" s="319"/>
      <c r="O120" s="319"/>
      <c r="P120" s="319"/>
      <c r="Q120" s="319"/>
      <c r="R120" s="319"/>
      <c r="S120" s="319"/>
      <c r="T120" s="351"/>
      <c r="U120" s="351"/>
    </row>
    <row r="121" spans="4:21" ht="17.399999999999999" x14ac:dyDescent="0.35">
      <c r="D121" s="250"/>
      <c r="E121" s="250"/>
      <c r="F121" s="250"/>
      <c r="G121" s="249"/>
      <c r="H121" s="286"/>
      <c r="I121" s="285"/>
      <c r="J121" s="319"/>
      <c r="K121" s="319"/>
      <c r="L121" s="319"/>
      <c r="M121" s="351"/>
      <c r="N121" s="319"/>
      <c r="O121" s="319"/>
      <c r="P121" s="319"/>
      <c r="Q121" s="319"/>
      <c r="R121" s="319"/>
      <c r="S121" s="319"/>
      <c r="T121" s="351"/>
      <c r="U121" s="351"/>
    </row>
    <row r="122" spans="4:21" ht="17.399999999999999" x14ac:dyDescent="0.35">
      <c r="D122" s="250"/>
      <c r="E122" s="250"/>
      <c r="F122" s="250"/>
      <c r="G122" s="249"/>
      <c r="H122" s="286"/>
      <c r="I122" s="285"/>
      <c r="T122" s="18"/>
      <c r="U122" s="18"/>
    </row>
    <row r="123" spans="4:21" x14ac:dyDescent="0.3">
      <c r="T123" s="18"/>
      <c r="U123" s="18"/>
    </row>
    <row r="124" spans="4:21" x14ac:dyDescent="0.3">
      <c r="T124" s="18"/>
      <c r="U124" s="18"/>
    </row>
    <row r="125" spans="4:21" x14ac:dyDescent="0.3">
      <c r="T125" s="18"/>
      <c r="U125" s="18"/>
    </row>
    <row r="126" spans="4:21" x14ac:dyDescent="0.3">
      <c r="T126" s="18"/>
      <c r="U126" s="18"/>
    </row>
    <row r="127" spans="4:21" x14ac:dyDescent="0.3">
      <c r="T127" s="18"/>
      <c r="U127" s="18"/>
    </row>
    <row r="128" spans="4:21" x14ac:dyDescent="0.3">
      <c r="T128" s="18"/>
      <c r="U128" s="18"/>
    </row>
    <row r="131" spans="16:16" x14ac:dyDescent="0.3">
      <c r="P131" s="32"/>
    </row>
    <row r="132" spans="16:16" x14ac:dyDescent="0.3">
      <c r="P132" s="32"/>
    </row>
    <row r="133" spans="16:16" x14ac:dyDescent="0.3">
      <c r="P133" s="6"/>
    </row>
    <row r="134" spans="16:16" x14ac:dyDescent="0.3">
      <c r="P134" s="6"/>
    </row>
    <row r="223" spans="3:3" x14ac:dyDescent="0.3">
      <c r="C223" t="s">
        <v>127</v>
      </c>
    </row>
    <row r="224" spans="3:3" x14ac:dyDescent="0.3">
      <c r="C224" t="s">
        <v>128</v>
      </c>
    </row>
    <row r="225" spans="3:3" x14ac:dyDescent="0.3">
      <c r="C225" t="s">
        <v>129</v>
      </c>
    </row>
    <row r="650" spans="3:3" x14ac:dyDescent="0.3">
      <c r="C650" t="s">
        <v>127</v>
      </c>
    </row>
  </sheetData>
  <mergeCells count="2">
    <mergeCell ref="G17:I17"/>
    <mergeCell ref="B19:I19"/>
  </mergeCells>
  <phoneticPr fontId="34" type="noConversion"/>
  <hyperlinks>
    <hyperlink ref="G10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6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7" workbookViewId="0">
      <selection activeCell="A15" sqref="A15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35" t="s">
        <v>95</v>
      </c>
      <c r="C2" s="37"/>
      <c r="D2" s="37"/>
      <c r="E2" s="134"/>
      <c r="F2" s="6"/>
    </row>
    <row r="3" spans="1:31" ht="18" x14ac:dyDescent="0.35">
      <c r="E3" s="133"/>
      <c r="F3" s="132"/>
    </row>
    <row r="5" spans="1:31" ht="15.6" x14ac:dyDescent="0.3">
      <c r="B5" s="128" t="s">
        <v>0</v>
      </c>
      <c r="C5" s="131">
        <f>'2229'!H10</f>
        <v>45966</v>
      </c>
    </row>
    <row r="6" spans="1:31" ht="16.2" thickBot="1" x14ac:dyDescent="0.35">
      <c r="B6" s="128" t="s">
        <v>2</v>
      </c>
      <c r="C6" s="127" t="str">
        <f>'2229'!C10</f>
        <v>SISTEMA MUEBLES</v>
      </c>
      <c r="D6" s="126"/>
      <c r="E6" s="126"/>
      <c r="F6" s="126"/>
      <c r="N6" s="63" t="s">
        <v>94</v>
      </c>
      <c r="O6" s="63"/>
      <c r="P6" s="130" t="s">
        <v>93</v>
      </c>
      <c r="Q6" s="130"/>
    </row>
    <row r="7" spans="1:31" ht="16.2" thickBot="1" x14ac:dyDescent="0.35">
      <c r="B7" s="128" t="s">
        <v>3</v>
      </c>
      <c r="C7" s="127" t="e">
        <f>'2229'!#REF!</f>
        <v>#REF!</v>
      </c>
      <c r="D7" s="126"/>
      <c r="E7" s="126"/>
      <c r="F7" s="126"/>
      <c r="H7" s="310" t="s">
        <v>88</v>
      </c>
      <c r="I7" s="311"/>
      <c r="J7" s="311"/>
      <c r="K7" s="312"/>
      <c r="N7" s="63"/>
      <c r="O7" s="309" t="s">
        <v>92</v>
      </c>
      <c r="P7" s="129" t="s">
        <v>91</v>
      </c>
      <c r="Q7" s="129"/>
    </row>
    <row r="8" spans="1:31" ht="16.2" thickBot="1" x14ac:dyDescent="0.35">
      <c r="B8" s="128" t="s">
        <v>90</v>
      </c>
      <c r="C8" s="127" t="str">
        <f>'2229'!D8</f>
        <v>N° 11686</v>
      </c>
      <c r="D8" s="126"/>
      <c r="E8" s="126"/>
      <c r="F8" s="126"/>
      <c r="H8" s="170" t="s">
        <v>107</v>
      </c>
      <c r="I8" s="142" t="s">
        <v>106</v>
      </c>
      <c r="J8" s="215" t="s">
        <v>85</v>
      </c>
      <c r="K8" s="123" t="s">
        <v>6</v>
      </c>
      <c r="L8" s="122" t="s">
        <v>6</v>
      </c>
      <c r="N8" s="63"/>
      <c r="O8" s="309"/>
      <c r="P8" s="63" t="s">
        <v>89</v>
      </c>
      <c r="Q8" s="63"/>
      <c r="X8">
        <f>SUM(Q11:Q16)</f>
        <v>6</v>
      </c>
    </row>
    <row r="9" spans="1:31" ht="15" thickBot="1" x14ac:dyDescent="0.35">
      <c r="H9" s="185" t="s">
        <v>86</v>
      </c>
      <c r="I9" s="186" t="s">
        <v>105</v>
      </c>
      <c r="J9" s="171" t="s">
        <v>82</v>
      </c>
      <c r="K9" s="144"/>
      <c r="L9" s="90">
        <f>SUM(K10:K23)</f>
        <v>0</v>
      </c>
      <c r="S9" s="21" t="s">
        <v>9</v>
      </c>
      <c r="T9" s="21"/>
      <c r="W9" s="8"/>
      <c r="X9" s="164">
        <f>(E15-D11)/X8</f>
        <v>-1277287.4943973429</v>
      </c>
    </row>
    <row r="10" spans="1:31" ht="16.2" thickBot="1" x14ac:dyDescent="0.35">
      <c r="D10" s="206" t="s">
        <v>20</v>
      </c>
      <c r="E10" s="207" t="s">
        <v>41</v>
      </c>
      <c r="F10" s="208" t="s">
        <v>6</v>
      </c>
      <c r="H10" s="178">
        <v>0</v>
      </c>
      <c r="I10" s="192">
        <v>350</v>
      </c>
      <c r="J10" s="189" t="s">
        <v>23</v>
      </c>
      <c r="K10" s="145">
        <f t="shared" ref="K10:K23" si="0">I10*H10</f>
        <v>0</v>
      </c>
      <c r="Q10" s="21" t="s">
        <v>7</v>
      </c>
      <c r="R10" s="21" t="s">
        <v>1</v>
      </c>
      <c r="S10" s="21" t="s">
        <v>10</v>
      </c>
      <c r="T10" s="21" t="s">
        <v>11</v>
      </c>
      <c r="U10" s="21" t="s">
        <v>8</v>
      </c>
      <c r="V10" s="21" t="s">
        <v>5</v>
      </c>
      <c r="W10" s="21" t="s">
        <v>6</v>
      </c>
      <c r="X10" s="84"/>
      <c r="AB10" s="6"/>
      <c r="AC10" s="14"/>
      <c r="AD10" s="214"/>
      <c r="AE10" s="10"/>
    </row>
    <row r="11" spans="1:31" ht="16.2" thickBot="1" x14ac:dyDescent="0.35">
      <c r="C11" s="199" t="s">
        <v>83</v>
      </c>
      <c r="D11" s="121">
        <f>'2229'!I93</f>
        <v>7772654</v>
      </c>
      <c r="E11" s="120">
        <f>D11*0.19</f>
        <v>1476804.26</v>
      </c>
      <c r="F11" s="119">
        <f>E11+D11</f>
        <v>9249458.2599999998</v>
      </c>
      <c r="H11" s="179">
        <v>0</v>
      </c>
      <c r="I11" s="162">
        <v>500</v>
      </c>
      <c r="J11" s="136" t="s">
        <v>17</v>
      </c>
      <c r="K11" s="146">
        <f t="shared" si="0"/>
        <v>0</v>
      </c>
      <c r="Q11" s="7">
        <v>1</v>
      </c>
      <c r="R11" s="7" t="s">
        <v>25</v>
      </c>
      <c r="S11" s="40">
        <v>2.8</v>
      </c>
      <c r="T11" s="40">
        <v>0.62</v>
      </c>
      <c r="U11" s="7" t="s">
        <v>28</v>
      </c>
      <c r="V11" s="43">
        <v>105990</v>
      </c>
      <c r="W11" s="38">
        <f t="shared" ref="W11:W18" si="1">V11*Q11</f>
        <v>105990</v>
      </c>
      <c r="X11" s="164">
        <f t="shared" ref="X11:X16" si="2">V11+$X$9</f>
        <v>-1171297.4943973429</v>
      </c>
      <c r="Y11" s="163">
        <v>108990</v>
      </c>
      <c r="AA11" s="6"/>
      <c r="AB11" s="6"/>
      <c r="AC11" s="213"/>
      <c r="AD11" s="42"/>
      <c r="AE11" s="210"/>
    </row>
    <row r="12" spans="1:31" ht="16.2" thickBot="1" x14ac:dyDescent="0.35">
      <c r="C12" s="125" t="s">
        <v>87</v>
      </c>
      <c r="D12" s="124">
        <f>SUM(M43:M45)</f>
        <v>72619.355743961351</v>
      </c>
      <c r="F12" s="49"/>
      <c r="H12" s="179">
        <v>0</v>
      </c>
      <c r="I12" s="162">
        <v>7500</v>
      </c>
      <c r="J12" s="138" t="s">
        <v>101</v>
      </c>
      <c r="K12" s="146">
        <f t="shared" si="0"/>
        <v>0</v>
      </c>
      <c r="L12" s="49"/>
      <c r="Q12" s="7">
        <v>1</v>
      </c>
      <c r="R12" s="7" t="s">
        <v>25</v>
      </c>
      <c r="S12" s="40">
        <v>2.2999999999999998</v>
      </c>
      <c r="T12" s="40">
        <v>0.62</v>
      </c>
      <c r="U12" s="7" t="s">
        <v>28</v>
      </c>
      <c r="V12" s="43">
        <v>87990</v>
      </c>
      <c r="W12" s="38">
        <f t="shared" si="1"/>
        <v>87990</v>
      </c>
      <c r="X12" s="164">
        <f t="shared" si="2"/>
        <v>-1189297.4943973429</v>
      </c>
      <c r="Y12" s="163">
        <v>89990</v>
      </c>
      <c r="Z12" s="2"/>
      <c r="AA12" s="211"/>
      <c r="AB12" s="212"/>
      <c r="AC12" s="213"/>
      <c r="AD12" s="42"/>
      <c r="AE12" s="210"/>
    </row>
    <row r="13" spans="1:31" ht="16.2" thickBot="1" x14ac:dyDescent="0.35">
      <c r="C13" s="200" t="s">
        <v>81</v>
      </c>
      <c r="D13" s="205">
        <f>D11-D12</f>
        <v>7700034.6442560386</v>
      </c>
      <c r="E13" s="209">
        <f>(D11/D12)-1</f>
        <v>106.03281405310916</v>
      </c>
      <c r="H13" s="179">
        <v>0</v>
      </c>
      <c r="I13" s="162">
        <v>50</v>
      </c>
      <c r="J13" s="138" t="s">
        <v>102</v>
      </c>
      <c r="K13" s="146">
        <f t="shared" si="0"/>
        <v>0</v>
      </c>
      <c r="L13" s="49"/>
      <c r="Q13" s="7">
        <v>1</v>
      </c>
      <c r="R13" s="7" t="s">
        <v>25</v>
      </c>
      <c r="S13" s="40">
        <v>2.0299999999999998</v>
      </c>
      <c r="T13" s="40">
        <v>0.62</v>
      </c>
      <c r="U13" s="7" t="s">
        <v>28</v>
      </c>
      <c r="V13" s="43">
        <v>78990</v>
      </c>
      <c r="W13" s="38">
        <f t="shared" si="1"/>
        <v>78990</v>
      </c>
      <c r="X13" s="164">
        <f t="shared" si="2"/>
        <v>-1198297.4943973429</v>
      </c>
      <c r="Y13" s="163">
        <v>81990</v>
      </c>
      <c r="Z13" s="2"/>
      <c r="AA13" s="211"/>
      <c r="AB13" s="212"/>
      <c r="AC13" s="213"/>
      <c r="AD13" s="42"/>
      <c r="AE13" s="210"/>
    </row>
    <row r="14" spans="1:31" ht="15" thickBot="1" x14ac:dyDescent="0.35">
      <c r="D14" s="134" t="s">
        <v>112</v>
      </c>
      <c r="E14" s="167" t="s">
        <v>20</v>
      </c>
      <c r="F14" s="166" t="s">
        <v>100</v>
      </c>
      <c r="H14" s="179">
        <v>0</v>
      </c>
      <c r="I14" s="162">
        <v>50</v>
      </c>
      <c r="J14" s="138" t="s">
        <v>103</v>
      </c>
      <c r="K14" s="146">
        <f t="shared" si="0"/>
        <v>0</v>
      </c>
      <c r="L14" s="49"/>
      <c r="P14" s="114"/>
      <c r="Q14" s="7">
        <v>1</v>
      </c>
      <c r="R14" s="7" t="s">
        <v>25</v>
      </c>
      <c r="S14" s="40">
        <v>1.08</v>
      </c>
      <c r="T14" s="40">
        <v>0.62</v>
      </c>
      <c r="U14" s="7" t="s">
        <v>28</v>
      </c>
      <c r="V14" s="43">
        <v>39990</v>
      </c>
      <c r="W14" s="38">
        <f t="shared" si="1"/>
        <v>39990</v>
      </c>
      <c r="X14" s="164">
        <f t="shared" si="2"/>
        <v>-1237297.4943973429</v>
      </c>
      <c r="Y14" s="163">
        <v>39990</v>
      </c>
      <c r="Z14" s="2"/>
      <c r="AA14" s="211"/>
      <c r="AB14" s="212"/>
      <c r="AC14" s="213"/>
      <c r="AD14" s="42"/>
      <c r="AE14" s="210"/>
    </row>
    <row r="15" spans="1:31" ht="15" thickBot="1" x14ac:dyDescent="0.35">
      <c r="A15" s="49">
        <f>E15*1.19</f>
        <v>129625.55000297101</v>
      </c>
      <c r="C15" s="201" t="s">
        <v>111</v>
      </c>
      <c r="D15" s="202">
        <v>0.5</v>
      </c>
      <c r="E15" s="203">
        <f>(100%+D15)*D12</f>
        <v>108929.03361594203</v>
      </c>
      <c r="F15" s="204">
        <f>E15-D12</f>
        <v>36309.677871980675</v>
      </c>
      <c r="H15" s="179">
        <v>0</v>
      </c>
      <c r="I15" s="162">
        <v>10</v>
      </c>
      <c r="J15" s="138" t="s">
        <v>104</v>
      </c>
      <c r="K15" s="146">
        <f t="shared" si="0"/>
        <v>0</v>
      </c>
      <c r="L15" s="49"/>
      <c r="Q15" s="7">
        <v>1</v>
      </c>
      <c r="R15" s="7" t="s">
        <v>25</v>
      </c>
      <c r="S15" s="40">
        <v>1.08</v>
      </c>
      <c r="T15" s="40">
        <v>0.62</v>
      </c>
      <c r="U15" s="7" t="s">
        <v>28</v>
      </c>
      <c r="V15" s="43">
        <v>39990</v>
      </c>
      <c r="W15" s="38">
        <f t="shared" si="1"/>
        <v>39990</v>
      </c>
      <c r="X15" s="164">
        <f t="shared" si="2"/>
        <v>-1237297.4943973429</v>
      </c>
      <c r="Y15" s="163">
        <v>39990</v>
      </c>
      <c r="Z15" s="89"/>
      <c r="AA15" s="89"/>
      <c r="AB15" s="112"/>
      <c r="AD15" s="29"/>
      <c r="AE15" s="30"/>
    </row>
    <row r="16" spans="1:31" ht="15" thickBot="1" x14ac:dyDescent="0.35">
      <c r="H16" s="180">
        <v>1</v>
      </c>
      <c r="I16" s="190"/>
      <c r="J16" s="136" t="s">
        <v>80</v>
      </c>
      <c r="K16" s="146">
        <f t="shared" si="0"/>
        <v>0</v>
      </c>
      <c r="L16" s="49"/>
      <c r="Q16" s="7">
        <v>1</v>
      </c>
      <c r="R16" s="7" t="s">
        <v>25</v>
      </c>
      <c r="S16" s="40">
        <v>2.06</v>
      </c>
      <c r="T16" s="40">
        <v>0.62</v>
      </c>
      <c r="U16" s="7" t="s">
        <v>28</v>
      </c>
      <c r="V16" s="43">
        <v>79990</v>
      </c>
      <c r="W16" s="38">
        <f t="shared" si="1"/>
        <v>79990</v>
      </c>
      <c r="X16" s="164">
        <f t="shared" si="2"/>
        <v>-1197297.4943973429</v>
      </c>
      <c r="Y16" s="163">
        <v>83990</v>
      </c>
      <c r="Z16" s="89"/>
      <c r="AA16" s="89"/>
      <c r="AB16" s="28"/>
      <c r="AC16" s="28"/>
      <c r="AD16" s="31"/>
      <c r="AE16" s="31"/>
    </row>
    <row r="17" spans="1:31" ht="15" thickBot="1" x14ac:dyDescent="0.35">
      <c r="B17" s="118" t="s">
        <v>78</v>
      </c>
      <c r="C17" s="117" t="s">
        <v>77</v>
      </c>
      <c r="D17" s="117" t="s">
        <v>20</v>
      </c>
      <c r="E17" s="116" t="s">
        <v>41</v>
      </c>
      <c r="F17" s="115" t="s">
        <v>6</v>
      </c>
      <c r="H17" s="181">
        <v>1</v>
      </c>
      <c r="I17" s="190"/>
      <c r="J17" s="176" t="s">
        <v>79</v>
      </c>
      <c r="K17" s="146">
        <f t="shared" si="0"/>
        <v>0</v>
      </c>
      <c r="L17" s="49"/>
      <c r="Q17" s="7">
        <v>6</v>
      </c>
      <c r="R17" s="7" t="s">
        <v>26</v>
      </c>
      <c r="S17" s="40"/>
      <c r="T17" s="40"/>
      <c r="U17" s="7"/>
      <c r="V17" s="43">
        <v>5000</v>
      </c>
      <c r="W17" s="38">
        <f t="shared" si="1"/>
        <v>30000</v>
      </c>
      <c r="X17" s="94"/>
      <c r="Y17" s="14"/>
      <c r="Z17" s="89"/>
      <c r="AA17" s="89"/>
      <c r="AB17" s="35"/>
    </row>
    <row r="18" spans="1:31" x14ac:dyDescent="0.3">
      <c r="C18" s="113" t="s">
        <v>75</v>
      </c>
      <c r="D18" s="110">
        <f>'2229'!P101</f>
        <v>0</v>
      </c>
      <c r="E18" s="111">
        <f>D18*0.19</f>
        <v>0</v>
      </c>
      <c r="F18" s="108">
        <f>SUM(D18:E18)</f>
        <v>0</v>
      </c>
      <c r="H18" s="180">
        <v>1</v>
      </c>
      <c r="I18" s="190"/>
      <c r="J18" s="172" t="s">
        <v>76</v>
      </c>
      <c r="K18" s="146">
        <f t="shared" si="0"/>
        <v>0</v>
      </c>
      <c r="L18" s="49"/>
      <c r="Q18" s="7">
        <v>1</v>
      </c>
      <c r="R18" s="44" t="s">
        <v>27</v>
      </c>
      <c r="S18" s="40"/>
      <c r="T18" s="40"/>
      <c r="U18" s="7"/>
      <c r="V18" s="38">
        <v>10000</v>
      </c>
      <c r="W18" s="38">
        <f t="shared" si="1"/>
        <v>10000</v>
      </c>
      <c r="X18" s="94"/>
    </row>
    <row r="19" spans="1:31" x14ac:dyDescent="0.3">
      <c r="C19" s="67" t="s">
        <v>22</v>
      </c>
      <c r="D19" s="110">
        <f>'2229'!P100</f>
        <v>0</v>
      </c>
      <c r="E19" s="111">
        <f>D19*0.19</f>
        <v>0</v>
      </c>
      <c r="F19" s="108">
        <f>SUM(D19:E19)</f>
        <v>0</v>
      </c>
      <c r="H19" s="180">
        <v>1</v>
      </c>
      <c r="I19" s="190"/>
      <c r="J19" s="172" t="s">
        <v>74</v>
      </c>
      <c r="K19" s="146">
        <f t="shared" si="0"/>
        <v>0</v>
      </c>
      <c r="L19" s="49"/>
      <c r="Q19" s="16"/>
      <c r="T19" s="5"/>
      <c r="U19" s="6"/>
      <c r="V19" s="23" t="s">
        <v>20</v>
      </c>
      <c r="W19" s="26">
        <f>SUM(W11:W18)</f>
        <v>472940</v>
      </c>
      <c r="X19" s="94"/>
      <c r="Y19" s="164">
        <f>SUM(Y11:Y16)+SUM(W17:W18)</f>
        <v>484940</v>
      </c>
    </row>
    <row r="20" spans="1:31" ht="15" thickBot="1" x14ac:dyDescent="0.35">
      <c r="C20" s="62" t="s">
        <v>16</v>
      </c>
      <c r="D20" s="110">
        <f>'2229'!P99</f>
        <v>0</v>
      </c>
      <c r="E20" s="109">
        <f>D20*0.19</f>
        <v>0</v>
      </c>
      <c r="F20" s="108">
        <f>SUM(D20:E20)</f>
        <v>0</v>
      </c>
      <c r="H20" s="180">
        <v>1</v>
      </c>
      <c r="I20" s="190"/>
      <c r="J20" s="172" t="s">
        <v>73</v>
      </c>
      <c r="K20" s="146">
        <f t="shared" si="0"/>
        <v>0</v>
      </c>
      <c r="V20" s="24" t="s">
        <v>21</v>
      </c>
      <c r="W20" s="27">
        <f>W19*19%</f>
        <v>89858.6</v>
      </c>
      <c r="X20" s="94"/>
      <c r="Y20" s="165">
        <f>Y19*0.19</f>
        <v>92138.6</v>
      </c>
      <c r="Z20" s="89"/>
      <c r="AA20" s="89"/>
      <c r="AB20" s="14"/>
      <c r="AC20" s="14"/>
      <c r="AE20" s="3"/>
    </row>
    <row r="21" spans="1:31" ht="15" thickBot="1" x14ac:dyDescent="0.35">
      <c r="A21" s="68">
        <f>450000*1.2</f>
        <v>540000</v>
      </c>
      <c r="B21" s="107"/>
      <c r="C21" s="106" t="s">
        <v>6</v>
      </c>
      <c r="D21" s="105">
        <f>SUM(D18:D20)</f>
        <v>0</v>
      </c>
      <c r="E21" s="104">
        <f>SUM(E18:E20)</f>
        <v>0</v>
      </c>
      <c r="F21" s="103">
        <f>SUM(F18:F20)</f>
        <v>0</v>
      </c>
      <c r="H21" s="180">
        <v>1</v>
      </c>
      <c r="I21" s="190"/>
      <c r="J21" s="172" t="s">
        <v>72</v>
      </c>
      <c r="K21" s="146">
        <f t="shared" si="0"/>
        <v>0</v>
      </c>
      <c r="M21" s="141">
        <f>B32/9</f>
        <v>2318.840579710145</v>
      </c>
      <c r="Q21" s="39" t="s">
        <v>29</v>
      </c>
      <c r="R21" s="39"/>
      <c r="S21" s="39"/>
      <c r="V21" s="25" t="s">
        <v>6</v>
      </c>
      <c r="W21" s="27">
        <f>W19+W20</f>
        <v>562798.6</v>
      </c>
      <c r="X21" s="94"/>
      <c r="Y21" s="165">
        <f>SUM(Y19:Y20)</f>
        <v>577078.6</v>
      </c>
      <c r="Z21" s="89"/>
      <c r="AA21" s="89"/>
      <c r="AB21" s="28"/>
      <c r="AC21" s="4"/>
      <c r="AE21" s="4"/>
    </row>
    <row r="22" spans="1:31" ht="15" thickBot="1" x14ac:dyDescent="0.35">
      <c r="A22" s="68">
        <f>450000*1.2</f>
        <v>540000</v>
      </c>
      <c r="B22" s="102" t="s">
        <v>70</v>
      </c>
      <c r="C22" s="101" t="s">
        <v>69</v>
      </c>
      <c r="D22" s="100" t="s">
        <v>68</v>
      </c>
      <c r="E22" s="99" t="s">
        <v>67</v>
      </c>
      <c r="F22" s="98" t="s">
        <v>6</v>
      </c>
      <c r="H22" s="180">
        <v>1</v>
      </c>
      <c r="I22" s="190"/>
      <c r="J22" s="136" t="s">
        <v>71</v>
      </c>
      <c r="K22" s="146">
        <f t="shared" si="0"/>
        <v>0</v>
      </c>
      <c r="M22" s="93"/>
      <c r="N22" s="46"/>
      <c r="Q22" s="39" t="s">
        <v>24</v>
      </c>
      <c r="R22" s="39"/>
      <c r="S22" s="39"/>
      <c r="T22" s="39"/>
      <c r="X22" s="84"/>
      <c r="Y22" s="14"/>
      <c r="Z22" s="89"/>
      <c r="AA22" s="89"/>
      <c r="AB22" s="28"/>
      <c r="AC22" s="4"/>
      <c r="AD22" s="14"/>
      <c r="AE22" s="4"/>
    </row>
    <row r="23" spans="1:31" ht="15" thickBot="1" x14ac:dyDescent="0.35">
      <c r="A23" s="68">
        <f>800000*1.2</f>
        <v>960000</v>
      </c>
      <c r="B23" s="91">
        <f>A21/23</f>
        <v>23478.260869565216</v>
      </c>
      <c r="C23" s="70" t="s">
        <v>18</v>
      </c>
      <c r="D23" s="97">
        <f t="shared" ref="D23:D29" si="3">B23/9</f>
        <v>2608.695652173913</v>
      </c>
      <c r="E23" s="96">
        <v>0.7</v>
      </c>
      <c r="F23" s="95">
        <f t="shared" ref="F23:F32" si="4">D23*E23</f>
        <v>1826.086956521739</v>
      </c>
      <c r="H23" s="182">
        <v>1</v>
      </c>
      <c r="I23" s="191"/>
      <c r="J23" s="173" t="s">
        <v>66</v>
      </c>
      <c r="K23" s="146">
        <f t="shared" si="0"/>
        <v>0</v>
      </c>
      <c r="M23" s="93"/>
      <c r="N23" s="46"/>
      <c r="Q23" s="39" t="s">
        <v>19</v>
      </c>
      <c r="R23" s="39"/>
      <c r="X23" s="92"/>
      <c r="Y23" s="20"/>
      <c r="Z23" s="89"/>
      <c r="AA23" s="89"/>
      <c r="AB23" s="14"/>
      <c r="AC23" s="11"/>
      <c r="AD23" s="32"/>
    </row>
    <row r="24" spans="1:31" ht="15" thickBot="1" x14ac:dyDescent="0.35">
      <c r="A24" s="68">
        <v>450000</v>
      </c>
      <c r="B24" s="91">
        <f>A22/23</f>
        <v>23478.260869565216</v>
      </c>
      <c r="C24" s="67" t="s">
        <v>64</v>
      </c>
      <c r="D24" s="88">
        <f t="shared" si="3"/>
        <v>2608.695652173913</v>
      </c>
      <c r="E24" s="87">
        <v>0.7</v>
      </c>
      <c r="F24" s="86">
        <f t="shared" si="4"/>
        <v>1826.086956521739</v>
      </c>
      <c r="H24" s="139" t="s">
        <v>107</v>
      </c>
      <c r="I24" s="143" t="s">
        <v>105</v>
      </c>
      <c r="J24" s="169" t="s">
        <v>65</v>
      </c>
      <c r="K24" s="140" t="s">
        <v>84</v>
      </c>
      <c r="L24" s="90">
        <f>SUM(K25:K35)</f>
        <v>4918.840579710145</v>
      </c>
      <c r="X24" s="89"/>
      <c r="Y24" s="89"/>
      <c r="Z24" s="89"/>
      <c r="AA24" s="89"/>
      <c r="AB24" s="14"/>
      <c r="AD24" s="32"/>
    </row>
    <row r="25" spans="1:31" x14ac:dyDescent="0.3">
      <c r="A25" s="68">
        <v>450000</v>
      </c>
      <c r="B25" s="91">
        <f>A23/23</f>
        <v>41739.130434782608</v>
      </c>
      <c r="C25" s="67" t="s">
        <v>63</v>
      </c>
      <c r="D25" s="88">
        <f t="shared" si="3"/>
        <v>4637.68115942029</v>
      </c>
      <c r="E25" s="87"/>
      <c r="F25" s="86">
        <f t="shared" si="4"/>
        <v>0</v>
      </c>
      <c r="H25" s="197">
        <v>1</v>
      </c>
      <c r="I25" s="192">
        <f>((480000/23)/9)</f>
        <v>2318.840579710145</v>
      </c>
      <c r="J25" s="175" t="s">
        <v>98</v>
      </c>
      <c r="K25" s="137">
        <f t="shared" ref="K25:K35" si="5">H25*I25</f>
        <v>2318.840579710145</v>
      </c>
      <c r="X25" s="89"/>
      <c r="Z25" s="89"/>
      <c r="AA25" s="89"/>
      <c r="AB25" s="28"/>
      <c r="AD25" s="32"/>
    </row>
    <row r="26" spans="1:31" x14ac:dyDescent="0.3">
      <c r="A26" s="68"/>
      <c r="B26" s="91">
        <f>A24/23</f>
        <v>19565.217391304348</v>
      </c>
      <c r="C26" s="67" t="s">
        <v>61</v>
      </c>
      <c r="D26" s="88">
        <f t="shared" si="3"/>
        <v>2173.913043478261</v>
      </c>
      <c r="E26" s="87">
        <v>0.3</v>
      </c>
      <c r="F26" s="86">
        <f t="shared" si="4"/>
        <v>652.17391304347825</v>
      </c>
      <c r="H26" s="180">
        <v>2</v>
      </c>
      <c r="I26" s="162">
        <v>1300</v>
      </c>
      <c r="J26" s="172" t="s">
        <v>62</v>
      </c>
      <c r="K26" s="85">
        <f t="shared" si="5"/>
        <v>2600</v>
      </c>
      <c r="L26" s="49"/>
      <c r="X26" s="84"/>
      <c r="Z26" s="89"/>
      <c r="AA26" s="89"/>
      <c r="AB26" s="14"/>
      <c r="AD26" s="33"/>
    </row>
    <row r="27" spans="1:31" x14ac:dyDescent="0.3">
      <c r="A27" s="68">
        <v>350000</v>
      </c>
      <c r="B27" s="91">
        <f>A25/23</f>
        <v>19565.217391304348</v>
      </c>
      <c r="C27" s="67" t="s">
        <v>60</v>
      </c>
      <c r="D27" s="88">
        <f t="shared" si="3"/>
        <v>2173.913043478261</v>
      </c>
      <c r="E27" s="87"/>
      <c r="F27" s="86">
        <f t="shared" si="4"/>
        <v>0</v>
      </c>
      <c r="H27" s="180">
        <v>0</v>
      </c>
      <c r="I27" s="162"/>
      <c r="J27" s="172" t="s">
        <v>59</v>
      </c>
      <c r="K27" s="85">
        <f t="shared" si="5"/>
        <v>0</v>
      </c>
      <c r="L27" s="49"/>
      <c r="X27" s="84"/>
      <c r="Z27" s="89"/>
      <c r="AA27" s="89"/>
      <c r="AB27" s="34"/>
    </row>
    <row r="28" spans="1:31" x14ac:dyDescent="0.3">
      <c r="A28" s="68">
        <v>500000</v>
      </c>
      <c r="B28" s="91">
        <f>A27/23</f>
        <v>15217.391304347826</v>
      </c>
      <c r="C28" s="67" t="s">
        <v>58</v>
      </c>
      <c r="D28" s="88">
        <f t="shared" si="3"/>
        <v>1690.8212560386473</v>
      </c>
      <c r="E28" s="87">
        <v>1.5</v>
      </c>
      <c r="F28" s="86">
        <f t="shared" si="4"/>
        <v>2536.231884057971</v>
      </c>
      <c r="H28" s="180">
        <v>0</v>
      </c>
      <c r="I28" s="162"/>
      <c r="J28" s="172" t="s">
        <v>96</v>
      </c>
      <c r="K28" s="85">
        <f t="shared" si="5"/>
        <v>0</v>
      </c>
      <c r="L28" s="49"/>
      <c r="X28" s="84"/>
      <c r="Y28" s="13"/>
      <c r="Z28" s="14"/>
      <c r="AA28" s="17"/>
      <c r="AB28" s="83"/>
    </row>
    <row r="29" spans="1:31" x14ac:dyDescent="0.3">
      <c r="A29" s="68"/>
      <c r="B29" s="91">
        <f>A28/23</f>
        <v>21739.130434782608</v>
      </c>
      <c r="C29" s="67" t="s">
        <v>57</v>
      </c>
      <c r="D29" s="88">
        <f t="shared" si="3"/>
        <v>2415.4589371980674</v>
      </c>
      <c r="E29" s="87">
        <v>3</v>
      </c>
      <c r="F29" s="86">
        <f t="shared" si="4"/>
        <v>7246.3768115942021</v>
      </c>
      <c r="H29" s="179">
        <v>0</v>
      </c>
      <c r="I29" s="162">
        <f>((550000*1.2)/23)/9</f>
        <v>3188.4057971014495</v>
      </c>
      <c r="J29" s="138" t="s">
        <v>108</v>
      </c>
      <c r="K29" s="85">
        <f t="shared" si="5"/>
        <v>0</v>
      </c>
      <c r="L29" s="49"/>
    </row>
    <row r="30" spans="1:31" x14ac:dyDescent="0.3">
      <c r="A30" s="68">
        <v>450000</v>
      </c>
      <c r="B30" s="82"/>
      <c r="C30" s="67" t="s">
        <v>17</v>
      </c>
      <c r="D30" s="88">
        <v>2415</v>
      </c>
      <c r="E30" s="87"/>
      <c r="F30" s="86">
        <f t="shared" si="4"/>
        <v>0</v>
      </c>
      <c r="H30" s="179">
        <v>0</v>
      </c>
      <c r="I30" s="162">
        <f>((450000*1.2)/23)/9</f>
        <v>2608.695652173913</v>
      </c>
      <c r="J30" s="138" t="s">
        <v>109</v>
      </c>
      <c r="K30" s="85">
        <f t="shared" si="5"/>
        <v>0</v>
      </c>
      <c r="L30" s="49"/>
    </row>
    <row r="31" spans="1:31" x14ac:dyDescent="0.3">
      <c r="A31" s="68">
        <v>350000</v>
      </c>
      <c r="B31" s="82">
        <f>A30/23</f>
        <v>19565.217391304348</v>
      </c>
      <c r="C31" s="67" t="s">
        <v>55</v>
      </c>
      <c r="D31" s="88">
        <f>B31/9</f>
        <v>2173.913043478261</v>
      </c>
      <c r="E31" s="87">
        <v>3</v>
      </c>
      <c r="F31" s="86">
        <f t="shared" si="4"/>
        <v>6521.739130434783</v>
      </c>
      <c r="H31" s="179">
        <v>0</v>
      </c>
      <c r="I31" s="162">
        <f>((450000*1.2)/23)/9</f>
        <v>2608.695652173913</v>
      </c>
      <c r="J31" s="138" t="s">
        <v>110</v>
      </c>
      <c r="K31" s="85">
        <f t="shared" si="5"/>
        <v>0</v>
      </c>
    </row>
    <row r="32" spans="1:31" ht="15" thickBot="1" x14ac:dyDescent="0.35">
      <c r="A32" s="68">
        <f>A21+A24+A27+A28+A30</f>
        <v>2290000</v>
      </c>
      <c r="B32" s="82">
        <f>480000/23</f>
        <v>20869.565217391304</v>
      </c>
      <c r="C32" s="81" t="s">
        <v>54</v>
      </c>
      <c r="D32" s="80">
        <f>B32/9</f>
        <v>2318.840579710145</v>
      </c>
      <c r="E32" s="79">
        <v>0.5</v>
      </c>
      <c r="F32" s="78">
        <f t="shared" si="4"/>
        <v>1159.4202898550725</v>
      </c>
      <c r="H32" s="181">
        <v>0</v>
      </c>
      <c r="I32" s="193"/>
      <c r="J32" s="176" t="s">
        <v>31</v>
      </c>
      <c r="K32" s="85">
        <f t="shared" si="5"/>
        <v>0</v>
      </c>
    </row>
    <row r="33" spans="2:16" ht="15" thickBot="1" x14ac:dyDescent="0.35">
      <c r="B33" s="68"/>
      <c r="C33" s="76" t="s">
        <v>6</v>
      </c>
      <c r="D33" s="75">
        <f>SUM(D23:D32)</f>
        <v>25216.932367149755</v>
      </c>
      <c r="E33" s="74">
        <f>SUM(E23:E32)</f>
        <v>9.6999999999999993</v>
      </c>
      <c r="F33" s="73">
        <f>SUM(F23:F32)</f>
        <v>21768.115942028984</v>
      </c>
      <c r="H33" s="183">
        <v>0</v>
      </c>
      <c r="I33" s="162"/>
      <c r="J33" s="174" t="s">
        <v>30</v>
      </c>
      <c r="K33" s="85">
        <f t="shared" si="5"/>
        <v>0</v>
      </c>
    </row>
    <row r="34" spans="2:16" ht="15" thickBot="1" x14ac:dyDescent="0.35">
      <c r="B34" s="71" t="s">
        <v>53</v>
      </c>
      <c r="C34" s="70" t="s">
        <v>52</v>
      </c>
      <c r="D34" s="69">
        <f>L9</f>
        <v>0</v>
      </c>
      <c r="H34" s="180">
        <v>1</v>
      </c>
      <c r="I34" s="162"/>
      <c r="J34" s="136" t="s">
        <v>97</v>
      </c>
      <c r="K34" s="85">
        <f t="shared" si="5"/>
        <v>0</v>
      </c>
      <c r="N34" s="53"/>
      <c r="P34" s="49"/>
    </row>
    <row r="35" spans="2:16" ht="15" thickBot="1" x14ac:dyDescent="0.35">
      <c r="B35" s="63"/>
      <c r="C35" s="67" t="s">
        <v>51</v>
      </c>
      <c r="D35" s="66">
        <f>L24</f>
        <v>4918.840579710145</v>
      </c>
      <c r="H35" s="182">
        <v>6</v>
      </c>
      <c r="I35" s="194"/>
      <c r="J35" s="168" t="s">
        <v>99</v>
      </c>
      <c r="K35" s="198">
        <f t="shared" si="5"/>
        <v>0</v>
      </c>
      <c r="N35" s="53"/>
    </row>
    <row r="36" spans="2:16" ht="15" thickBot="1" x14ac:dyDescent="0.35">
      <c r="B36" s="63"/>
      <c r="C36" s="67" t="s">
        <v>49</v>
      </c>
      <c r="D36" s="66">
        <f>L36</f>
        <v>45932.399222222215</v>
      </c>
      <c r="E36" s="46"/>
      <c r="H36" s="139" t="s">
        <v>86</v>
      </c>
      <c r="I36" s="143" t="s">
        <v>105</v>
      </c>
      <c r="J36" s="177" t="s">
        <v>56</v>
      </c>
      <c r="K36" s="140" t="s">
        <v>84</v>
      </c>
      <c r="L36" s="196">
        <f>SUM(K37:K39)</f>
        <v>45932.399222222215</v>
      </c>
      <c r="N36" s="53"/>
    </row>
    <row r="37" spans="2:16" ht="15" thickBot="1" x14ac:dyDescent="0.35">
      <c r="B37" s="63"/>
      <c r="C37" s="62" t="s">
        <v>32</v>
      </c>
      <c r="D37" s="61"/>
      <c r="H37" s="187">
        <f>$E$33</f>
        <v>9.6999999999999993</v>
      </c>
      <c r="I37" s="192">
        <f>32609.69/9</f>
        <v>3623.2988888888885</v>
      </c>
      <c r="J37" s="175" t="s">
        <v>35</v>
      </c>
      <c r="K37" s="137">
        <f>I37*H37</f>
        <v>35145.999222222214</v>
      </c>
      <c r="N37" s="53"/>
      <c r="O37" s="53"/>
      <c r="P37" s="49"/>
    </row>
    <row r="38" spans="2:16" ht="15" thickBot="1" x14ac:dyDescent="0.35">
      <c r="C38" s="59" t="s">
        <v>6</v>
      </c>
      <c r="D38" s="58">
        <f>SUM(D34:D37)</f>
        <v>50851.239801932359</v>
      </c>
      <c r="H38" s="184">
        <f>$E$33</f>
        <v>9.6999999999999993</v>
      </c>
      <c r="I38" s="162">
        <v>967</v>
      </c>
      <c r="J38" s="172" t="s">
        <v>33</v>
      </c>
      <c r="K38" s="77">
        <f>I38*H38</f>
        <v>9379.9</v>
      </c>
    </row>
    <row r="39" spans="2:16" ht="15" thickBot="1" x14ac:dyDescent="0.35">
      <c r="H39" s="188">
        <f>$E$33</f>
        <v>9.6999999999999993</v>
      </c>
      <c r="I39" s="194">
        <v>145</v>
      </c>
      <c r="J39" s="173" t="s">
        <v>34</v>
      </c>
      <c r="K39" s="72">
        <f>I39*H39</f>
        <v>1406.5</v>
      </c>
    </row>
    <row r="40" spans="2:16" ht="15" thickBot="1" x14ac:dyDescent="0.35">
      <c r="B40" s="56" t="s">
        <v>42</v>
      </c>
      <c r="C40" s="55" t="s">
        <v>41</v>
      </c>
      <c r="D40" s="54">
        <f>E11-E21</f>
        <v>1476804.26</v>
      </c>
    </row>
    <row r="41" spans="2:16" ht="15" thickBot="1" x14ac:dyDescent="0.35">
      <c r="H41" s="313" t="s">
        <v>50</v>
      </c>
      <c r="I41" s="314"/>
      <c r="J41" s="314"/>
      <c r="K41" s="314"/>
      <c r="L41" s="314"/>
      <c r="M41" s="315"/>
    </row>
    <row r="42" spans="2:16" ht="15" thickBot="1" x14ac:dyDescent="0.35">
      <c r="B42" s="63" t="s">
        <v>36</v>
      </c>
      <c r="C42" s="63"/>
      <c r="D42" s="195">
        <f>E33</f>
        <v>9.6999999999999993</v>
      </c>
      <c r="H42" s="65" t="s">
        <v>48</v>
      </c>
      <c r="I42" s="147" t="s">
        <v>47</v>
      </c>
      <c r="J42" s="148"/>
      <c r="K42" s="148"/>
      <c r="L42" s="149"/>
      <c r="M42" s="64">
        <f>D11</f>
        <v>7772654</v>
      </c>
    </row>
    <row r="43" spans="2:16" ht="15" thickBot="1" x14ac:dyDescent="0.35">
      <c r="D43" s="45"/>
      <c r="H43" s="60" t="s">
        <v>46</v>
      </c>
      <c r="I43" s="150" t="s">
        <v>45</v>
      </c>
      <c r="J43" s="151"/>
      <c r="K43" s="151"/>
      <c r="L43" s="152"/>
      <c r="M43" s="52">
        <f>D21</f>
        <v>0</v>
      </c>
    </row>
    <row r="44" spans="2:16" x14ac:dyDescent="0.3">
      <c r="D44" s="45"/>
      <c r="I44" s="153" t="s">
        <v>44</v>
      </c>
      <c r="J44" s="154"/>
      <c r="K44" s="154"/>
      <c r="L44" s="155"/>
      <c r="M44" s="57">
        <f>F33</f>
        <v>21768.115942028984</v>
      </c>
    </row>
    <row r="45" spans="2:16" ht="15" thickBot="1" x14ac:dyDescent="0.35">
      <c r="D45" s="48"/>
      <c r="I45" s="156" t="s">
        <v>43</v>
      </c>
      <c r="J45" s="157"/>
      <c r="K45" s="157"/>
      <c r="L45" s="158"/>
      <c r="M45" s="51">
        <f>D38</f>
        <v>50851.239801932359</v>
      </c>
    </row>
    <row r="46" spans="2:16" ht="15" thickBot="1" x14ac:dyDescent="0.35">
      <c r="D46" s="48"/>
      <c r="I46" s="159" t="s">
        <v>40</v>
      </c>
      <c r="J46" s="160"/>
      <c r="K46" s="160"/>
      <c r="L46" s="161"/>
      <c r="M46" s="50">
        <f>M42-(SUM(M43:M45))</f>
        <v>7700034.6442560386</v>
      </c>
    </row>
    <row r="47" spans="2:16" x14ac:dyDescent="0.3">
      <c r="I47" s="150" t="s">
        <v>39</v>
      </c>
      <c r="J47" s="151"/>
      <c r="K47" s="151"/>
      <c r="L47" s="152"/>
      <c r="M47" s="52"/>
    </row>
    <row r="48" spans="2:16" ht="15" thickBot="1" x14ac:dyDescent="0.35">
      <c r="D48" s="48"/>
      <c r="I48" s="156" t="s">
        <v>38</v>
      </c>
      <c r="J48" s="157"/>
      <c r="K48" s="157"/>
      <c r="L48" s="158"/>
      <c r="M48" s="51"/>
    </row>
    <row r="49" spans="3:13" ht="15" thickBot="1" x14ac:dyDescent="0.35">
      <c r="C49" s="47"/>
      <c r="D49" s="46"/>
      <c r="I49" s="159" t="s">
        <v>37</v>
      </c>
      <c r="J49" s="160"/>
      <c r="K49" s="160"/>
      <c r="L49" s="161"/>
      <c r="M49" s="50">
        <f>M46-SUM(M47:M48)</f>
        <v>7700034.6442560386</v>
      </c>
    </row>
    <row r="52" spans="3:13" x14ac:dyDescent="0.3">
      <c r="D52" s="45"/>
    </row>
    <row r="54" spans="3:13" x14ac:dyDescent="0.3">
      <c r="D54" s="45"/>
    </row>
    <row r="56" spans="3:13" x14ac:dyDescent="0.3">
      <c r="D56" s="45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2025-10-07T00:37:18Z</cp:lastPrinted>
  <dcterms:created xsi:type="dcterms:W3CDTF">2013-03-18T13:35:42Z</dcterms:created>
  <dcterms:modified xsi:type="dcterms:W3CDTF">2025-11-06T13:35:30Z</dcterms:modified>
</cp:coreProperties>
</file>