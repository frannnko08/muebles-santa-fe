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9 SEPTIEMBRE 2025\"/>
    </mc:Choice>
  </mc:AlternateContent>
  <xr:revisionPtr revIDLastSave="0" documentId="13_ncr:1_{8E80ED5C-0961-4EB5-9405-74C73CB04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P21" i="1" s="1"/>
  <c r="L22" i="1"/>
  <c r="M22" i="1"/>
  <c r="N22" i="1"/>
  <c r="L23" i="1"/>
  <c r="M23" i="1"/>
  <c r="N23" i="1"/>
  <c r="L24" i="1"/>
  <c r="S24" i="1" s="1"/>
  <c r="M24" i="1"/>
  <c r="N24" i="1"/>
  <c r="L25" i="1"/>
  <c r="M25" i="1"/>
  <c r="S25" i="1" s="1"/>
  <c r="N25" i="1"/>
  <c r="L26" i="1"/>
  <c r="M26" i="1"/>
  <c r="N26" i="1"/>
  <c r="L27" i="1"/>
  <c r="M27" i="1"/>
  <c r="N27" i="1"/>
  <c r="O27" i="1"/>
  <c r="P27" i="1" s="1"/>
  <c r="S27" i="1"/>
  <c r="M21" i="1"/>
  <c r="M30" i="1" s="1"/>
  <c r="N21" i="1"/>
  <c r="O22" i="1" l="1"/>
  <c r="P22" i="1" s="1"/>
  <c r="O24" i="1"/>
  <c r="P24" i="1" s="1"/>
  <c r="S22" i="1"/>
  <c r="O26" i="1"/>
  <c r="P26" i="1" s="1"/>
  <c r="P30" i="1" s="1"/>
  <c r="S23" i="1"/>
  <c r="S26" i="1"/>
  <c r="O25" i="1"/>
  <c r="P25" i="1" s="1"/>
  <c r="O23" i="1"/>
  <c r="P23" i="1" s="1"/>
  <c r="O21" i="1"/>
  <c r="S21" i="1"/>
  <c r="S30" i="1" l="1"/>
  <c r="T29" i="1"/>
  <c r="V37" i="1" l="1"/>
  <c r="V38" i="1" s="1"/>
  <c r="O36" i="1" l="1"/>
  <c r="P31" i="1" l="1"/>
  <c r="N20" i="1"/>
  <c r="L20" i="1"/>
  <c r="P32" i="1" l="1"/>
  <c r="O37" i="1"/>
  <c r="R41" i="1"/>
  <c r="P33" i="1" l="1"/>
  <c r="M35" i="1" s="1"/>
  <c r="O38" i="1"/>
  <c r="R42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l="1"/>
  <c r="O43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Q23" i="1"/>
  <c r="Q24" i="1"/>
  <c r="Q25" i="1"/>
  <c r="Q26" i="1"/>
  <c r="Q27" i="1"/>
  <c r="R27" i="1" s="1"/>
  <c r="Q21" i="1"/>
  <c r="G21" i="1" s="1"/>
  <c r="O44" i="1"/>
  <c r="R26" i="1" l="1"/>
  <c r="G26" i="1"/>
  <c r="H26" i="1" s="1"/>
  <c r="R22" i="1"/>
  <c r="G22" i="1"/>
  <c r="H22" i="1" s="1"/>
  <c r="R25" i="1"/>
  <c r="G25" i="1"/>
  <c r="H25" i="1" s="1"/>
  <c r="R24" i="1"/>
  <c r="G24" i="1"/>
  <c r="H24" i="1" s="1"/>
  <c r="R23" i="1"/>
  <c r="G23" i="1"/>
  <c r="H23" i="1" s="1"/>
  <c r="R21" i="1"/>
  <c r="H21" i="1" s="1"/>
  <c r="H29" i="1" s="1"/>
  <c r="H30" i="1" s="1"/>
  <c r="F15" i="3"/>
  <c r="H31" i="1" l="1"/>
  <c r="D11" i="3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<sst xmlns="http://schemas.openxmlformats.org/spreadsheetml/2006/main" count="238" uniqueCount="175">
  <si>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</si>
  <si>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</si>
  <si>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</si>
  <si>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</si>
  <si>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</si>
  <si>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</si>
  <si>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</si>
  <si>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</si>
  <si>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</si>
  <si>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</si>
  <si>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</si>
  <si>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</si>
  <si>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</si>
  <si>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</si>
  <si>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</si>
  <si>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</si>
  <si>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</si>
  <si>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</si>
  <si>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</si>
  <si>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</si>
  <si>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</si>
  <si>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</si>
  <si>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</si>
  <si>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</si>
  <si>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</si>
  <si>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</si>
  <si>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</si>
  <si>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</si>
  <si>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</si>
  <si>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</si>
  <si>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</si>
  <si>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</si>
  <si>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</si>
  <si>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</si>
  <si>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</si>
  <si>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</si>
  <si>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</si>
  <si>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</si>
  <si>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</si>
  <si>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</si>
  <si>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</si>
  <si>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</si>
  <si>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</si>
  <si>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</si>
  <si>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</si>
  <si>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</si>
  <si>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</si>
  <si>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</si>
  <si>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</si>
  <si>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</si>
  <si>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</si>
  <si>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</si>
  <si>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</si>
  <si>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</si>
  <si>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</si>
  <si>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</si>
  <si>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</si>
  <si>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</si>
  <si>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</si>
  <si>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</si>
  <si>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</si>
  <si>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</si>
  <si>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</si>
  <si>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</si>
  <si>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</si>
  <si>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</si>
  <si>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</si>
  <si>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</si>
  <si>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</si>
  <si>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</si>
  <si>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</si>
  <si>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</si>
  <si>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</si>
  <si>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</si>
  <si>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</si>
  <si>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</si>
  <si>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</si>
  <si>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</si>
  <si>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</si>
  <si>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</si>
  <si>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</si>
  <si>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</si>
  <si>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</si>
  <si>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</si>
  <si>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</si>
  <si>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</si>
  <si>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</si>
  <si>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</si>
  <si>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</si>
  <si>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</si>
  <si>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</si>
  <si>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</si>
  <si>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</si>
  <si>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</si>
  <si>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</si>
  <si>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</si>
  <si>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</si>
  <si>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</si>
  <si>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</si>
  <si>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</si>
  <si>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</si>
  <si>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</si>
  <si>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</si>
  <si>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</si>
  <si>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</si>
  <si>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</si>
  <si>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</si>
  <si>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</si>
  <si>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</si>
  <si>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</si>
  <si>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</si>
  <si>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</si>
  <si>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</si>
  <si>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</si>
  <si>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</si>
  <si>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</si>
  <si>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</si>
  <si>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</si>
  <si>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</si>
  <si>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</si>
  <si>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</si>
  <si>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</si>
  <si>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</si>
  <si>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</si>
  <si>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</si>
  <si>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</si>
  <si>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</si>
  <si>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</si>
  <si>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</si>
  <si>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</si>
  <si>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</si>
  <si>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</si>
  <si>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</si>
  <si>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</si>
  <si>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</si>
  <si>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</si>
  <si>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</si>
  <si>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</si>
  <si>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</si>
  <si>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</si>
  <si>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</si>
  <si>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</si>
  <si>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</si>
  <si>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</si>
  <si>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</si>
  <si>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</si>
  <si>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</si>
  <si>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</si>
  <si>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</si>
  <si>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</si>
  <si>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</si>
  <si>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</si>
  <si>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</si>
  <si>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</si>
  <si>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</si>
  <si>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</si>
  <si>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</si>
  <si>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</si>
  <si>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</si>
  <si>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</si>
  <si>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</si>
  <si>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</si>
  <si>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</si>
  <si>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</si>
  <si>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</si>
  <si>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</si>
  <si>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</si>
  <si>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</si>
  <si>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</si>
  <si>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</si>
  <si>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CUBIERTA CON RESPALDO FRENTE 90° R6</t>
  </si>
  <si>
    <t>CECILIA VELAZQUEZ</t>
  </si>
  <si>
    <t>+56 9 8228 4128</t>
  </si>
  <si>
    <t>N° 11675</t>
  </si>
  <si>
    <t>BLANCO 22191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</si>
</sst>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0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MDF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zoomScale="93" zoomScaleNormal="93" workbookViewId="0">
      <selection activeCell="F25" sqref="F25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3" t="s">
        <v>125</v>
      </c>
      <c r="C8" s="324"/>
      <c r="D8" s="325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158</v>
      </c>
      <c r="C10" s="305" t="s">
        <v>171</v>
      </c>
      <c r="D10" s="240"/>
      <c r="E10" s="240"/>
      <c r="F10" s="241" t="s">
        <v>166</v>
      </c>
      <c r="G10" s="271">
        <v>45931</v>
      </c>
      <c r="H10" s="329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165</v>
      </c>
      <c r="G11" s="307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8"/>
      <c r="D12" s="309"/>
      <c r="E12" s="309"/>
      <c r="F12" s="309" t="s">
        <v>126</v>
      </c>
      <c r="G12" s="310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11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2"/>
      <c r="D14" s="309"/>
      <c r="E14" s="309"/>
      <c r="F14" s="309" t="s">
        <v>134</v>
      </c>
      <c r="G14" s="313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172</v>
      </c>
      <c r="D15" s="315"/>
      <c r="F15" t="s">
        <v>167</v>
      </c>
      <c r="G15" s="316" t="s">
        <v>133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128</v>
      </c>
      <c r="G16" s="319" t="s">
        <v>159</v>
      </c>
      <c r="H16" s="243"/>
    </row>
    <row r="17" spans="2:25" ht="15" thickBot="1" x14ac:dyDescent="0.35">
      <c r="B17" s="294" t="s">
        <v>13</v>
      </c>
      <c r="C17" s="295" t="s">
        <v>162</v>
      </c>
      <c r="D17" s="296"/>
      <c r="E17" s="116"/>
      <c r="F17" s="333" t="s">
        <v>161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130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O43</f>
        <v>54754.300341296926</v>
      </c>
      <c r="R20" s="253">
        <v>5000</v>
      </c>
      <c r="S20" s="35"/>
      <c r="T20" s="14" t="s">
        <v>127</v>
      </c>
      <c r="U20" s="9"/>
      <c r="X20" s="4"/>
    </row>
    <row r="21" spans="2:25" ht="17.399999999999999" x14ac:dyDescent="0.3">
      <c r="B21" s="345">
        <v>1</v>
      </c>
      <c r="C21" s="346" t="s">
        <v>170</v>
      </c>
      <c r="D21" s="347">
        <v>1.73</v>
      </c>
      <c r="E21" s="347">
        <v>0.5</v>
      </c>
      <c r="F21" s="346" t="s">
        <v>174</v>
      </c>
      <c r="G21" s="348">
        <f>Q21</f>
        <v>48731.327303754268</v>
      </c>
      <c r="H21" s="349">
        <f t="shared" ref="H21:H26" si="1">G21*B21</f>
        <v>48731.327303754268</v>
      </c>
      <c r="I21" s="299"/>
      <c r="J21" s="260"/>
      <c r="K21" s="44"/>
      <c r="L21" s="44">
        <f t="shared" ref="L21:L27" si="2">B21</f>
        <v>1</v>
      </c>
      <c r="M21" s="36">
        <f t="shared" ref="M21" si="3">D21+M$19</f>
        <v>1.78</v>
      </c>
      <c r="N21" s="36">
        <f t="shared" ref="N21" si="4">E21+$N$19</f>
        <v>0.5</v>
      </c>
      <c r="O21" s="256">
        <f t="shared" ref="O21" si="5">M21*N21</f>
        <v>0.89</v>
      </c>
      <c r="P21" s="254">
        <f>O21*L21</f>
        <v>0.89</v>
      </c>
      <c r="Q21" s="247">
        <f t="shared" ref="Q21" si="6">Q$20*O21</f>
        <v>48731.327303754268</v>
      </c>
      <c r="R21" s="298">
        <f t="shared" ref="R21" si="7">Q21+R$20</f>
        <v>53731.327303754268</v>
      </c>
      <c r="S21" s="286">
        <f t="shared" ref="S21" si="8">M21*L21</f>
        <v>1.78</v>
      </c>
      <c r="T21" s="43"/>
      <c r="U21" s="9"/>
      <c r="X21" s="4"/>
    </row>
    <row r="22" spans="2:25" ht="17.399999999999999" x14ac:dyDescent="0.3">
      <c r="B22" s="350">
        <v>1</v>
      </c>
      <c r="C22" s="330" t="s">
        <v>170</v>
      </c>
      <c r="D22" s="331">
        <v>2.0299999999999998</v>
      </c>
      <c r="E22" s="331">
        <v>0.5</v>
      </c>
      <c r="F22" s="330" t="s">
        <v>174</v>
      </c>
      <c r="G22" s="332">
        <f>Q22</f>
        <v>56944.47235494879</v>
      </c>
      <c r="H22" s="351">
        <f t="shared" si="1"/>
        <v>56944.47235494879</v>
      </c>
      <c r="I22" s="299"/>
      <c r="J22" s="260"/>
      <c r="K22" s="44"/>
      <c r="L22" s="44">
        <f t="shared" si="2"/>
        <v>1</v>
      </c>
      <c r="M22" s="36">
        <f t="shared" ref="M22:M27" si="9">D22+M$19</f>
        <v>2.0799999999999996</v>
      </c>
      <c r="N22" s="36">
        <f t="shared" ref="N22:N27" si="10">E22+$N$19</f>
        <v>0.5</v>
      </c>
      <c r="O22" s="256">
        <f t="shared" ref="O22:O27" si="11">M22*N22</f>
        <v>1.0399999999999998</v>
      </c>
      <c r="P22" s="254">
        <f t="shared" ref="P21:P27" si="12">O22*L22</f>
        <v>1.0399999999999998</v>
      </c>
      <c r="Q22" s="247">
        <f t="shared" ref="Q22:Q27" si="13">Q$20*O22</f>
        <v>56944.47235494879</v>
      </c>
      <c r="R22" s="298">
        <f t="shared" ref="R22:R27" si="14">Q22+R$20</f>
        <v>61944.47235494879</v>
      </c>
      <c r="S22" s="286">
        <f t="shared" ref="S22:S27" si="15">M22*L22</f>
        <v>2.0799999999999996</v>
      </c>
      <c r="T22" s="43"/>
      <c r="U22" s="9"/>
      <c r="X22" s="4"/>
    </row>
    <row r="23" spans="2:25" ht="17.399999999999999" x14ac:dyDescent="0.3">
      <c r="B23" s="350">
        <v>1</v>
      </c>
      <c r="C23" s="330" t="s">
        <v>170</v>
      </c>
      <c r="D23" s="331">
        <v>1.06</v>
      </c>
      <c r="E23" s="331">
        <v>0.5</v>
      </c>
      <c r="F23" s="330" t="s">
        <v>174</v>
      </c>
      <c r="G23" s="332">
        <f>Q23</f>
        <v>30388.636689419796</v>
      </c>
      <c r="H23" s="351">
        <f t="shared" si="1"/>
        <v>30388.636689419796</v>
      </c>
      <c r="I23" s="299"/>
      <c r="J23" s="260"/>
      <c r="K23" s="44"/>
      <c r="L23" s="44">
        <f t="shared" si="2"/>
        <v>1</v>
      </c>
      <c r="M23" s="36">
        <f t="shared" si="9"/>
        <v>1.1100000000000001</v>
      </c>
      <c r="N23" s="36">
        <f t="shared" si="10"/>
        <v>0.5</v>
      </c>
      <c r="O23" s="256">
        <f t="shared" si="11"/>
        <v>0.55500000000000005</v>
      </c>
      <c r="P23" s="254">
        <f t="shared" si="12"/>
        <v>0.55500000000000005</v>
      </c>
      <c r="Q23" s="247">
        <f t="shared" si="13"/>
        <v>30388.636689419796</v>
      </c>
      <c r="R23" s="298">
        <f t="shared" si="14"/>
        <v>35388.6366894198</v>
      </c>
      <c r="S23" s="286">
        <f t="shared" si="15"/>
        <v>1.1100000000000001</v>
      </c>
      <c r="T23" s="43"/>
      <c r="U23" s="9"/>
      <c r="X23" s="4"/>
    </row>
    <row r="24" spans="2:25" ht="17.399999999999999" x14ac:dyDescent="0.3">
      <c r="B24" s="350">
        <v>1</v>
      </c>
      <c r="C24" s="330" t="s">
        <v>170</v>
      </c>
      <c r="D24" s="331">
        <v>0.94</v>
      </c>
      <c r="E24" s="331">
        <v>0.5</v>
      </c>
      <c r="F24" s="330" t="s">
        <v>174</v>
      </c>
      <c r="G24" s="332">
        <f>Q24</f>
        <v>27103.378668941979</v>
      </c>
      <c r="H24" s="351">
        <f t="shared" si="1"/>
        <v>27103.378668941979</v>
      </c>
      <c r="I24" s="299"/>
      <c r="J24" s="260"/>
      <c r="K24" s="44"/>
      <c r="L24" s="44">
        <f t="shared" si="2"/>
        <v>1</v>
      </c>
      <c r="M24" s="36">
        <f t="shared" si="9"/>
        <v>0.99</v>
      </c>
      <c r="N24" s="36">
        <f t="shared" si="10"/>
        <v>0.5</v>
      </c>
      <c r="O24" s="256">
        <f t="shared" si="11"/>
        <v>0.495</v>
      </c>
      <c r="P24" s="254">
        <f t="shared" si="12"/>
        <v>0.495</v>
      </c>
      <c r="Q24" s="247">
        <f t="shared" si="13"/>
        <v>27103.378668941979</v>
      </c>
      <c r="R24" s="298">
        <f t="shared" si="14"/>
        <v>32103.378668941979</v>
      </c>
      <c r="S24" s="286">
        <f t="shared" si="15"/>
        <v>0.99</v>
      </c>
      <c r="T24" s="43"/>
      <c r="U24" s="9"/>
      <c r="X24" s="4"/>
    </row>
    <row r="25" spans="2:25" ht="17.399999999999999" x14ac:dyDescent="0.3">
      <c r="B25" s="350">
        <v>1</v>
      </c>
      <c r="C25" s="330" t="s">
        <v>170</v>
      </c>
      <c r="D25" s="331">
        <v>0.75</v>
      </c>
      <c r="E25" s="331">
        <v>0.6</v>
      </c>
      <c r="F25" s="330" t="s">
        <v>174</v>
      </c>
      <c r="G25" s="332">
        <f>Q25</f>
        <v>26282.064163822524</v>
      </c>
      <c r="H25" s="351">
        <f t="shared" si="1"/>
        <v>26282.064163822524</v>
      </c>
      <c r="I25" s="299"/>
      <c r="J25" s="260"/>
      <c r="K25" s="44"/>
      <c r="L25" s="44">
        <f t="shared" si="2"/>
        <v>1</v>
      </c>
      <c r="M25" s="36">
        <f t="shared" si="9"/>
        <v>0.8</v>
      </c>
      <c r="N25" s="36">
        <f t="shared" si="10"/>
        <v>0.6</v>
      </c>
      <c r="O25" s="256">
        <f t="shared" si="11"/>
        <v>0.48</v>
      </c>
      <c r="P25" s="254">
        <f t="shared" si="12"/>
        <v>0.48</v>
      </c>
      <c r="Q25" s="247">
        <f t="shared" si="13"/>
        <v>26282.064163822524</v>
      </c>
      <c r="R25" s="298">
        <f t="shared" si="14"/>
        <v>31282.064163822524</v>
      </c>
      <c r="S25" s="286">
        <f t="shared" si="15"/>
        <v>0.8</v>
      </c>
      <c r="T25" s="43"/>
      <c r="U25" s="9"/>
      <c r="X25" s="4"/>
    </row>
    <row r="26" spans="2:25" ht="18" thickBot="1" x14ac:dyDescent="0.35">
      <c r="B26" s="352">
        <v>1</v>
      </c>
      <c r="C26" s="353" t="s">
        <v>170</v>
      </c>
      <c r="D26" s="354">
        <v>1.02</v>
      </c>
      <c r="E26" s="354">
        <v>0.6</v>
      </c>
      <c r="F26" s="353" t="s">
        <v>174</v>
      </c>
      <c r="G26" s="355">
        <f>Q26</f>
        <v>35152.260819112627</v>
      </c>
      <c r="H26" s="356">
        <f t="shared" si="1"/>
        <v>35152.260819112627</v>
      </c>
      <c r="I26" s="299"/>
      <c r="J26" s="260"/>
      <c r="K26" s="44"/>
      <c r="L26" s="44">
        <f t="shared" si="2"/>
        <v>1</v>
      </c>
      <c r="M26" s="36">
        <f t="shared" si="9"/>
        <v>1.07</v>
      </c>
      <c r="N26" s="36">
        <f t="shared" si="10"/>
        <v>0.6</v>
      </c>
      <c r="O26" s="256">
        <f t="shared" si="11"/>
        <v>0.64200000000000002</v>
      </c>
      <c r="P26" s="254">
        <f t="shared" si="12"/>
        <v>0.64200000000000002</v>
      </c>
      <c r="Q26" s="247">
        <f t="shared" si="13"/>
        <v>35152.260819112627</v>
      </c>
      <c r="R26" s="298">
        <f t="shared" si="14"/>
        <v>40152.260819112627</v>
      </c>
      <c r="S26" s="286">
        <f t="shared" si="15"/>
        <v>1.07</v>
      </c>
      <c r="T26" s="43"/>
      <c r="U26" s="9"/>
      <c r="X26" s="4"/>
    </row>
    <row r="27" spans="2:25" ht="17.399999999999999" x14ac:dyDescent="0.3">
      <c r="B27" s="278"/>
      <c r="D27" s="279"/>
      <c r="E27" s="279"/>
      <c r="F27" s="278"/>
      <c r="G27" s="299"/>
      <c r="H27" s="299"/>
      <c r="I27" s="299"/>
      <c r="J27" s="260"/>
      <c r="K27" s="44"/>
      <c r="L27" s="44">
        <f t="shared" si="2"/>
        <v>0</v>
      </c>
      <c r="M27" s="36">
        <f t="shared" si="9"/>
        <v>0.05</v>
      </c>
      <c r="N27" s="36">
        <f t="shared" si="10"/>
        <v>0</v>
      </c>
      <c r="O27" s="256">
        <f t="shared" si="11"/>
        <v>0</v>
      </c>
      <c r="P27" s="254">
        <f t="shared" si="12"/>
        <v>0</v>
      </c>
      <c r="Q27" s="247">
        <f t="shared" si="13"/>
        <v>0</v>
      </c>
      <c r="R27" s="298">
        <f t="shared" si="14"/>
        <v>5000</v>
      </c>
      <c r="S27" s="286">
        <f t="shared" si="15"/>
        <v>0</v>
      </c>
      <c r="T27" s="43"/>
      <c r="U27" s="9"/>
      <c r="X27" s="4"/>
    </row>
    <row r="28" spans="2:25" ht="18" thickBot="1" x14ac:dyDescent="0.35">
      <c r="B28" s="278"/>
      <c r="C28" s="278"/>
      <c r="D28" s="279"/>
      <c r="E28" s="279"/>
      <c r="F28" s="278"/>
      <c r="G28" s="260"/>
      <c r="H28" s="300"/>
      <c r="I28" s="302"/>
      <c r="J28" s="230"/>
      <c r="K28" s="44"/>
      <c r="L28" s="44"/>
      <c r="M28" s="36"/>
      <c r="N28" s="36"/>
      <c r="O28" s="256"/>
      <c r="P28" s="254"/>
      <c r="Q28" s="247"/>
      <c r="R28" s="253"/>
      <c r="S28" s="286"/>
      <c r="T28" s="14"/>
      <c r="U28" s="9"/>
      <c r="X28" s="4"/>
    </row>
    <row r="29" spans="2:25" ht="17.399999999999999" x14ac:dyDescent="0.3">
      <c r="B29" s="278"/>
      <c r="C29" s="278"/>
      <c r="D29" s="279"/>
      <c r="E29" s="279"/>
      <c r="F29" s="278"/>
      <c r="G29" s="303" t="s">
        <v>28</v>
      </c>
      <c r="H29" s="304">
        <f>SUM(H21:H28)</f>
        <v>224602.14</v>
      </c>
      <c r="I29" s="301"/>
      <c r="J29" s="260"/>
      <c r="K29" s="320"/>
      <c r="L29" s="44"/>
      <c r="M29" s="36"/>
      <c r="N29" s="36"/>
      <c r="O29" s="256"/>
      <c r="P29" s="254"/>
      <c r="Q29" s="247"/>
      <c r="R29" s="253"/>
      <c r="S29" s="286"/>
      <c r="T29" s="43">
        <f>SUM(T21:T28)</f>
        <v>0</v>
      </c>
      <c r="U29" s="9"/>
      <c r="X29" s="4"/>
    </row>
    <row r="30" spans="2:25" ht="17.399999999999999" x14ac:dyDescent="0.3">
      <c r="B30" s="272"/>
      <c r="C30" s="275"/>
      <c r="D30" s="276"/>
      <c r="E30" s="276"/>
      <c r="F30" s="277"/>
      <c r="G30" s="285" t="s">
        <v>51</v>
      </c>
      <c r="H30" s="283">
        <f>H29*0.19</f>
        <v>42674.406600000002</v>
      </c>
      <c r="I30" s="301"/>
      <c r="J30" s="260"/>
      <c r="K30" s="320"/>
      <c r="L30" s="44"/>
      <c r="M30" s="36">
        <f>SUM(M21:M21)</f>
        <v>1.78</v>
      </c>
      <c r="N30" s="12"/>
      <c r="O30" s="12"/>
      <c r="P30" s="248">
        <f>SUM(P21:P28)</f>
        <v>4.1020000000000003</v>
      </c>
      <c r="Q30" s="14"/>
      <c r="R30" s="12"/>
      <c r="S30" s="236">
        <f>SUM(S21:S29)</f>
        <v>7.83</v>
      </c>
      <c r="T30" s="43"/>
      <c r="U30" s="9"/>
      <c r="X30" s="4"/>
    </row>
    <row r="31" spans="2:25" ht="18" thickBot="1" x14ac:dyDescent="0.35">
      <c r="B31" s="270"/>
      <c r="C31" s="274"/>
      <c r="D31" s="267"/>
      <c r="E31" s="267"/>
      <c r="F31" s="268"/>
      <c r="G31" s="273" t="s">
        <v>6</v>
      </c>
      <c r="H31" s="284">
        <f>H29+H30</f>
        <v>267276.5466</v>
      </c>
      <c r="I31" s="301"/>
      <c r="J31" s="260"/>
      <c r="K31" s="320"/>
      <c r="L31" s="44"/>
      <c r="M31" s="36"/>
      <c r="N31" s="12"/>
      <c r="O31" s="12"/>
      <c r="P31" s="248">
        <f>P30</f>
        <v>4.1020000000000003</v>
      </c>
      <c r="Q31" s="14"/>
      <c r="R31" s="12"/>
      <c r="S31" s="236"/>
      <c r="T31" s="43"/>
      <c r="U31" s="9"/>
      <c r="X31" s="4"/>
    </row>
    <row r="32" spans="2:25" ht="17.399999999999999" x14ac:dyDescent="0.3">
      <c r="B32" s="270"/>
      <c r="C32" s="266"/>
      <c r="D32" s="267"/>
      <c r="E32" s="267"/>
      <c r="F32" s="268"/>
      <c r="J32" s="260"/>
      <c r="K32" s="320"/>
      <c r="L32" s="44"/>
      <c r="M32" s="14"/>
      <c r="N32" s="12"/>
      <c r="O32" s="12"/>
      <c r="P32" s="36">
        <f>P31*20%</f>
        <v>0.82040000000000013</v>
      </c>
      <c r="Q32" s="36" t="s">
        <v>129</v>
      </c>
      <c r="R32" s="39"/>
      <c r="S32" s="237"/>
      <c r="T32" s="14"/>
      <c r="U32" s="9"/>
      <c r="X32" s="4"/>
    </row>
    <row r="33" spans="1:24" ht="17.399999999999999" x14ac:dyDescent="0.35">
      <c r="B33" s="264"/>
      <c r="C33" s="227"/>
      <c r="D33" s="227"/>
      <c r="E33" s="230"/>
      <c r="F33" s="231"/>
      <c r="G33" s="227"/>
      <c r="H33" s="269"/>
      <c r="I33" s="269"/>
      <c r="J33" s="260"/>
      <c r="K33" s="44"/>
      <c r="L33" s="44"/>
      <c r="M33" s="14"/>
      <c r="N33" s="12"/>
      <c r="O33" s="12"/>
      <c r="P33" s="43">
        <f>P31+P32</f>
        <v>4.9224000000000006</v>
      </c>
      <c r="Q33" s="14"/>
      <c r="R33" s="14"/>
      <c r="S33" s="235"/>
      <c r="T33" s="14"/>
      <c r="U33" s="9"/>
      <c r="X33" s="4"/>
    </row>
    <row r="34" spans="1:24" ht="17.399999999999999" x14ac:dyDescent="0.35">
      <c r="B34" s="232"/>
      <c r="C34" s="233"/>
      <c r="D34" s="234"/>
      <c r="E34" s="232"/>
      <c r="F34" s="227"/>
      <c r="G34" s="227"/>
      <c r="I34" s="269"/>
      <c r="J34" s="260"/>
      <c r="K34" s="44"/>
      <c r="L34" s="44"/>
      <c r="M34" s="14"/>
      <c r="N34" s="14"/>
      <c r="O34" s="14"/>
      <c r="P34" s="14"/>
      <c r="Q34" s="14"/>
      <c r="R34" s="14"/>
      <c r="S34" s="237"/>
      <c r="T34" s="14"/>
      <c r="U34" s="290" t="s">
        <v>21</v>
      </c>
      <c r="V34" s="287" t="s">
        <v>148</v>
      </c>
      <c r="W34" s="291">
        <v>44971</v>
      </c>
      <c r="X34" s="292"/>
    </row>
    <row r="35" spans="1:24" ht="17.399999999999999" x14ac:dyDescent="0.35">
      <c r="B35" s="227"/>
      <c r="C35" s="227"/>
      <c r="D35" s="227"/>
      <c r="E35" s="227"/>
      <c r="F35" s="227"/>
      <c r="G35" s="227"/>
      <c r="J35" s="260"/>
      <c r="K35" s="44"/>
      <c r="L35" s="44"/>
      <c r="M35" s="36">
        <f>P33</f>
        <v>4.9224000000000006</v>
      </c>
      <c r="N35" s="12">
        <v>3500</v>
      </c>
      <c r="O35" s="12">
        <f t="shared" ref="O35:O40" si="16">M35*N35</f>
        <v>17228.400000000001</v>
      </c>
      <c r="P35" s="14" t="s">
        <v>21</v>
      </c>
      <c r="Q35" s="14"/>
      <c r="R35" s="14"/>
      <c r="S35" s="238"/>
      <c r="T35" s="14"/>
      <c r="U35" s="290" t="s">
        <v>149</v>
      </c>
      <c r="V35" s="287">
        <v>3625</v>
      </c>
      <c r="W35" s="56" t="s">
        <v>150</v>
      </c>
      <c r="X35" s="292"/>
    </row>
    <row r="36" spans="1:24" ht="17.399999999999999" x14ac:dyDescent="0.35">
      <c r="A36" s="227"/>
      <c r="B36" s="227"/>
      <c r="C36" s="227"/>
      <c r="D36" s="227"/>
      <c r="E36" s="227"/>
      <c r="F36" s="227"/>
      <c r="G36" s="227"/>
      <c r="H36" s="227"/>
      <c r="J36" s="260"/>
      <c r="K36" s="44"/>
      <c r="L36" s="44"/>
      <c r="M36" s="244">
        <v>1.35</v>
      </c>
      <c r="N36" s="12">
        <v>23500</v>
      </c>
      <c r="O36" s="12">
        <f t="shared" si="16"/>
        <v>31725.000000000004</v>
      </c>
      <c r="P36" s="36" t="s">
        <v>168</v>
      </c>
      <c r="Q36" s="39"/>
      <c r="R36" s="14"/>
      <c r="S36" s="237"/>
      <c r="T36" s="14"/>
      <c r="U36" s="290"/>
      <c r="V36" s="56">
        <v>906.25</v>
      </c>
      <c r="W36" s="56" t="s">
        <v>151</v>
      </c>
      <c r="X36" s="292"/>
    </row>
    <row r="37" spans="1:24" s="227" customFormat="1" ht="17.399999999999999" x14ac:dyDescent="0.35">
      <c r="B37" s="21" t="s">
        <v>147</v>
      </c>
      <c r="J37" s="257"/>
      <c r="K37" s="229"/>
      <c r="L37" s="245"/>
      <c r="M37" s="14"/>
      <c r="N37" s="245">
        <v>30637</v>
      </c>
      <c r="O37" s="12">
        <f t="shared" si="16"/>
        <v>0</v>
      </c>
      <c r="P37" s="36" t="s">
        <v>30</v>
      </c>
      <c r="Q37" s="39"/>
      <c r="S37" s="237"/>
      <c r="T37" s="251"/>
      <c r="U37" s="56"/>
      <c r="V37" s="56">
        <f>V36*20%</f>
        <v>181.25</v>
      </c>
      <c r="W37" s="292" t="s">
        <v>152</v>
      </c>
      <c r="X37" s="56"/>
    </row>
    <row r="38" spans="1:24" s="227" customFormat="1" ht="17.399999999999999" x14ac:dyDescent="0.35">
      <c r="B38" s="21" t="s">
        <v>163</v>
      </c>
      <c r="C38"/>
      <c r="D38"/>
      <c r="E38"/>
      <c r="F38"/>
      <c r="J38" s="257"/>
      <c r="K38" s="229"/>
      <c r="L38" s="245"/>
      <c r="M38" s="14">
        <v>2</v>
      </c>
      <c r="N38" s="245">
        <v>23000</v>
      </c>
      <c r="O38" s="12">
        <f t="shared" si="16"/>
        <v>46000</v>
      </c>
      <c r="P38" s="14" t="s">
        <v>139</v>
      </c>
      <c r="Q38" s="17"/>
      <c r="S38" s="235"/>
      <c r="T38" s="251"/>
      <c r="U38" s="56"/>
      <c r="V38" s="56">
        <f>V36+V37</f>
        <v>1087.5</v>
      </c>
      <c r="W38" s="292" t="s">
        <v>153</v>
      </c>
      <c r="X38" s="56"/>
    </row>
    <row r="39" spans="1:24" s="227" customFormat="1" ht="17.399999999999999" x14ac:dyDescent="0.35">
      <c r="B39" s="26" t="s">
        <v>124</v>
      </c>
      <c r="C39"/>
      <c r="D39"/>
      <c r="E39"/>
      <c r="F39" s="226" t="s">
        <v>15</v>
      </c>
      <c r="J39" s="257"/>
      <c r="K39" s="255"/>
      <c r="L39" s="245"/>
      <c r="M39" s="244"/>
      <c r="N39" s="245">
        <v>900</v>
      </c>
      <c r="O39" s="12">
        <f t="shared" si="16"/>
        <v>0</v>
      </c>
      <c r="P39" s="14" t="s">
        <v>32</v>
      </c>
      <c r="Q39" s="14"/>
      <c r="R39" s="227">
        <v>1.52</v>
      </c>
      <c r="S39" s="235"/>
      <c r="T39" s="235"/>
    </row>
    <row r="40" spans="1:24" s="227" customFormat="1" ht="17.399999999999999" x14ac:dyDescent="0.35">
      <c r="J40" s="282"/>
      <c r="K40" s="255"/>
      <c r="L40" s="245"/>
      <c r="M40" s="261">
        <v>8</v>
      </c>
      <c r="N40" s="12">
        <v>1500</v>
      </c>
      <c r="O40" s="12">
        <f t="shared" si="16"/>
        <v>12000</v>
      </c>
      <c r="P40" s="14" t="s">
        <v>22</v>
      </c>
      <c r="Q40" s="14"/>
      <c r="R40">
        <v>2.44</v>
      </c>
      <c r="S40"/>
      <c r="T40" s="235"/>
      <c r="X40" s="228"/>
    </row>
    <row r="41" spans="1:24" s="227" customFormat="1" ht="17.399999999999999" x14ac:dyDescent="0.35">
      <c r="K41" s="255"/>
      <c r="L41" s="245"/>
      <c r="M41" s="14"/>
      <c r="N41" s="12"/>
      <c r="O41" s="12">
        <f>SUM(O35:O40)</f>
        <v>106953.40000000001</v>
      </c>
      <c r="P41" s="36" t="s">
        <v>23</v>
      </c>
      <c r="Q41" s="14"/>
      <c r="R41">
        <f>R39*R40</f>
        <v>3.7088000000000001</v>
      </c>
      <c r="S41"/>
      <c r="T41" s="235"/>
      <c r="X41" s="228"/>
    </row>
    <row r="42" spans="1:24" s="227" customFormat="1" ht="17.399999999999999" x14ac:dyDescent="0.35">
      <c r="L42" s="245"/>
      <c r="M42" s="249" t="s">
        <v>33</v>
      </c>
      <c r="N42" s="12"/>
      <c r="O42" s="250">
        <f>O41*2.1</f>
        <v>224602.14</v>
      </c>
      <c r="P42" s="14" t="s">
        <v>138</v>
      </c>
      <c r="Q42" s="14"/>
      <c r="R42" s="37">
        <f>P33/R41</f>
        <v>1.3272217428817947</v>
      </c>
      <c r="S42"/>
      <c r="T42" s="252"/>
    </row>
    <row r="43" spans="1:24" s="227" customFormat="1" ht="17.399999999999999" x14ac:dyDescent="0.35">
      <c r="G43"/>
      <c r="H43" s="255"/>
      <c r="I43" s="255"/>
      <c r="J43" s="255"/>
      <c r="L43" s="245"/>
      <c r="M43" s="14"/>
      <c r="N43" s="12"/>
      <c r="O43" s="12">
        <f>O42/P31</f>
        <v>54754.300341296926</v>
      </c>
      <c r="P43" s="42" t="s">
        <v>24</v>
      </c>
      <c r="Q43" s="14"/>
      <c r="R43" s="14"/>
      <c r="S43"/>
      <c r="T43" s="235"/>
      <c r="U43" s="56" t="s">
        <v>154</v>
      </c>
      <c r="V43" s="287">
        <v>43650</v>
      </c>
    </row>
    <row r="44" spans="1:24" s="227" customFormat="1" ht="17.399999999999999" x14ac:dyDescent="0.35">
      <c r="G44"/>
      <c r="L44" s="245"/>
      <c r="M44" s="13"/>
      <c r="N44" s="14"/>
      <c r="O44" s="17">
        <f>O42/O41</f>
        <v>2.1</v>
      </c>
      <c r="P44" s="15"/>
      <c r="Q44"/>
      <c r="R44"/>
      <c r="S44"/>
      <c r="T44" s="235"/>
      <c r="U44" s="56" t="s">
        <v>156</v>
      </c>
      <c r="V44" s="288" t="s">
        <v>155</v>
      </c>
      <c r="W44" s="56">
        <v>2.4</v>
      </c>
    </row>
    <row r="45" spans="1:24" s="227" customFormat="1" ht="17.399999999999999" x14ac:dyDescent="0.35">
      <c r="D45" s="279"/>
      <c r="E45" s="279"/>
      <c r="F45" s="278"/>
      <c r="G45" s="322"/>
      <c r="H45" s="321"/>
      <c r="L45" s="12"/>
      <c r="T45" s="235"/>
      <c r="U45" s="56" t="s">
        <v>157</v>
      </c>
      <c r="V45" s="289">
        <v>395.37</v>
      </c>
    </row>
    <row r="46" spans="1:24" s="227" customFormat="1" ht="17.399999999999999" x14ac:dyDescent="0.35">
      <c r="B46"/>
      <c r="C46" s="225"/>
      <c r="D46" s="279"/>
      <c r="E46" s="279"/>
      <c r="F46" s="278"/>
      <c r="G46" s="322"/>
      <c r="H46" s="321"/>
      <c r="L46" s="12"/>
      <c r="T46" s="235"/>
      <c r="U46" s="56" t="s">
        <v>152</v>
      </c>
      <c r="V46" s="56">
        <v>474.45</v>
      </c>
    </row>
    <row r="47" spans="1:24" ht="14.4" customHeight="1" x14ac:dyDescent="0.35">
      <c r="D47" s="279"/>
      <c r="E47" s="279"/>
      <c r="F47" s="278"/>
      <c r="G47" s="322"/>
      <c r="H47" s="321"/>
      <c r="L47" s="12"/>
      <c r="U47" s="56"/>
      <c r="V47" s="56"/>
    </row>
    <row r="48" spans="1:24" ht="17.399999999999999" x14ac:dyDescent="0.35">
      <c r="D48" s="279"/>
      <c r="E48" s="279"/>
      <c r="F48" s="278"/>
      <c r="G48" s="322"/>
      <c r="H48" s="321"/>
      <c r="L48" s="245"/>
    </row>
    <row r="49" spans="4:20" ht="17.399999999999999" x14ac:dyDescent="0.35">
      <c r="D49" s="279"/>
      <c r="E49" s="279"/>
      <c r="F49" s="278"/>
      <c r="G49" s="322"/>
      <c r="H49" s="321"/>
      <c r="L49" s="245"/>
      <c r="T49" s="265"/>
    </row>
    <row r="50" spans="4:20" ht="17.399999999999999" x14ac:dyDescent="0.35">
      <c r="D50" s="279"/>
      <c r="E50" s="279"/>
      <c r="F50" s="278"/>
      <c r="G50" s="322"/>
      <c r="H50" s="321"/>
      <c r="L50" s="245"/>
    </row>
    <row r="51" spans="4:20" ht="15" customHeight="1" x14ac:dyDescent="0.35">
      <c r="D51" s="279"/>
      <c r="E51" s="279"/>
      <c r="F51" s="278"/>
      <c r="G51" s="322"/>
      <c r="H51" s="321"/>
    </row>
    <row r="52" spans="4:20" ht="17.399999999999999" x14ac:dyDescent="0.35">
      <c r="D52" s="279"/>
      <c r="E52" s="279"/>
      <c r="F52" s="278"/>
      <c r="G52" s="322"/>
      <c r="H52" s="321"/>
    </row>
    <row r="53" spans="4:20" ht="17.399999999999999" x14ac:dyDescent="0.35">
      <c r="D53" s="279"/>
      <c r="E53" s="279"/>
      <c r="F53" s="278"/>
      <c r="G53" s="322"/>
      <c r="H53" s="321"/>
      <c r="O53">
        <v>40935</v>
      </c>
      <c r="P53" t="s">
        <v>16</v>
      </c>
      <c r="Q53" t="s">
        <v>26</v>
      </c>
    </row>
    <row r="54" spans="4:20" ht="17.399999999999999" x14ac:dyDescent="0.35">
      <c r="D54" s="279"/>
      <c r="E54" s="279"/>
      <c r="F54" s="278"/>
      <c r="G54" s="322"/>
      <c r="H54" s="321"/>
    </row>
    <row r="55" spans="4:20" ht="17.399999999999999" x14ac:dyDescent="0.35">
      <c r="D55" s="279"/>
      <c r="E55" s="279"/>
      <c r="F55" s="278"/>
      <c r="G55" s="322"/>
      <c r="H55" s="321"/>
      <c r="O55" s="51"/>
      <c r="P55" s="51"/>
    </row>
    <row r="56" spans="4:20" ht="17.399999999999999" x14ac:dyDescent="0.35">
      <c r="D56" s="279"/>
      <c r="E56" s="279"/>
      <c r="F56" s="278"/>
      <c r="G56" s="322"/>
      <c r="H56" s="321"/>
      <c r="S56" s="18"/>
      <c r="T56" s="18"/>
    </row>
    <row r="57" spans="4:20" ht="17.399999999999999" x14ac:dyDescent="0.35">
      <c r="D57" s="279"/>
      <c r="E57" s="279"/>
      <c r="F57" s="278"/>
      <c r="G57" s="322"/>
      <c r="H57" s="321"/>
      <c r="S57" s="18"/>
      <c r="T57" s="18"/>
    </row>
    <row r="58" spans="4:20" ht="17.399999999999999" x14ac:dyDescent="0.35">
      <c r="D58" s="279"/>
      <c r="E58" s="279"/>
      <c r="F58" s="278"/>
      <c r="G58" s="322"/>
      <c r="H58" s="321"/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4" spans="4:20" x14ac:dyDescent="0.3">
      <c r="S64" s="18"/>
      <c r="T64" s="18"/>
    </row>
    <row r="67" spans="15:15" x14ac:dyDescent="0.3">
      <c r="O67" s="40"/>
    </row>
    <row r="68" spans="15:15" x14ac:dyDescent="0.3">
      <c r="O68" s="40"/>
    </row>
    <row r="69" spans="15:15" x14ac:dyDescent="0.3">
      <c r="O69" s="6"/>
    </row>
    <row r="70" spans="15:15" x14ac:dyDescent="0.3">
      <c r="O70" s="6"/>
    </row>
    <row r="159" spans="3:3" x14ac:dyDescent="0.3">
      <c r="C159" t="s">
        <v>144</v>
      </c>
    </row>
    <row r="160" spans="3:3" x14ac:dyDescent="0.3">
      <c r="C160" t="s">
        <v>145</v>
      </c>
    </row>
    <row r="161" spans="3:3" x14ac:dyDescent="0.3">
      <c r="C161" t="s">
        <v>146</v>
      </c>
    </row>
    <row r="586" spans="3:3" x14ac:dyDescent="0.3">
      <c r="C586" t="s">
        <v>144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45931</v>
      </c>
    </row>
    <row r="6" spans="1:31" ht="16.2" thickBot="1" x14ac:dyDescent="0.35">
      <c r="B6" s="137" t="s">
        <v>2</v>
      </c>
      <c r="C6" s="136" t="str">
        <f>'2229'!C10</f>
        <v>CECILIA VELAZQUEZ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11675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-7040.5010640096634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'2229'!H29</f>
        <v>224602.14</v>
      </c>
      <c r="E11" s="129">
        <f>D11*0.19</f>
        <v>42674.406600000002</v>
      </c>
      <c r="F11" s="128">
        <f>E11+D11</f>
        <v>267276.5466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98949.498935990341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121572.75574396134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80949.498935990341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103029.38425603867</v>
      </c>
      <c r="E13" s="218">
        <f>(D11/D12)-1</f>
        <v>0.84747099484216681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71949.498935990341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32949.498935990334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217007.36900297101</v>
      </c>
      <c r="C15" s="210" t="s">
        <v>121</v>
      </c>
      <c r="D15" s="211">
        <v>0.5</v>
      </c>
      <c r="E15" s="212">
        <f>(100%+D15)*D12</f>
        <v>182359.13361594203</v>
      </c>
      <c r="F15" s="213">
        <f>E15-D12</f>
        <v>60786.377871980687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32949.498935990334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72949.498935990341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'2229'!O37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'2229'!O36</f>
        <v>31725.000000000004</v>
      </c>
      <c r="E19" s="120">
        <f>D19*0.19</f>
        <v>6027.7500000000009</v>
      </c>
      <c r="F19" s="117">
        <f>SUM(D19:E19)</f>
        <v>37752.750000000007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'2229'!O35</f>
        <v>17228.400000000001</v>
      </c>
      <c r="E20" s="118">
        <f>D20*0.19</f>
        <v>3273.3960000000002</v>
      </c>
      <c r="F20" s="117">
        <f>SUM(D20:E20)</f>
        <v>20501.796000000002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48953.400000000009</v>
      </c>
      <c r="E21" s="113">
        <f>SUM(E18:E20)</f>
        <v>9301.1460000000006</v>
      </c>
      <c r="F21" s="112">
        <f>SUM(F18:F20)</f>
        <v>58254.546000000009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33373.260600000001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224602.14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48953.400000000009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103029.38425603867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103029.38425603867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2025-10-01T12:06:58Z</cp:lastPrinted>
  <dcterms:created xsi:type="dcterms:W3CDTF">2013-03-18T13:35:42Z</dcterms:created>
  <dcterms:modified xsi:type="dcterms:W3CDTF">2025-10-01T12:07:16Z</dcterms:modified>
</cp:coreProperties>
</file>