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C0B819E8-B0CF-4B99-9B16-0A8A9B9097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" sheetId="10" r:id="rId1"/>
    <sheet name="F" sheetId="9" r:id="rId2"/>
    <sheet name="C" sheetId="8" r:id="rId3"/>
    <sheet name="A2" sheetId="7" r:id="rId4"/>
    <sheet name="E" sheetId="6" r:id="rId5"/>
    <sheet name="D" sheetId="5" r:id="rId6"/>
    <sheet name="B" sheetId="4" r:id="rId7"/>
    <sheet name="A1" sheetId="1" r:id="rId8"/>
    <sheet name="COSTOS" sheetId="3" r:id="rId9"/>
  </sheets>
  <definedNames>
    <definedName name="_xlnm.Print_Area" localSheetId="7">'A1'!$B$1:$H$39</definedName>
    <definedName name="_xlnm.Print_Area" localSheetId="3">'A2'!$B$1:$H$39</definedName>
    <definedName name="_xlnm.Print_Area" localSheetId="6">B!$B$1:$H$39</definedName>
    <definedName name="_xlnm.Print_Area" localSheetId="2">'C'!$B$1:$H$39</definedName>
    <definedName name="_xlnm.Print_Area" localSheetId="5">D!$B$1:$H$39</definedName>
    <definedName name="_xlnm.Print_Area" localSheetId="4">E!$B$1:$H$39</definedName>
    <definedName name="_xlnm.Print_Area" localSheetId="1">F!$B$1:$H$39</definedName>
    <definedName name="_xlnm.Print_Area" localSheetId="0">G!$B$1:$H$40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0" l="1"/>
  <c r="N23" i="10"/>
  <c r="L21" i="10"/>
  <c r="J43" i="10"/>
  <c r="R41" i="10"/>
  <c r="O40" i="10"/>
  <c r="O39" i="10"/>
  <c r="O38" i="10"/>
  <c r="V37" i="10"/>
  <c r="V38" i="10" s="1"/>
  <c r="O37" i="10"/>
  <c r="O36" i="10"/>
  <c r="H26" i="10"/>
  <c r="H25" i="10"/>
  <c r="M24" i="10"/>
  <c r="S24" i="10" s="1"/>
  <c r="H24" i="10"/>
  <c r="M23" i="10"/>
  <c r="L23" i="10"/>
  <c r="H23" i="10"/>
  <c r="N22" i="10"/>
  <c r="M22" i="10"/>
  <c r="L22" i="10"/>
  <c r="H22" i="10"/>
  <c r="N21" i="10"/>
  <c r="M21" i="10"/>
  <c r="M30" i="10" s="1"/>
  <c r="H21" i="10"/>
  <c r="N20" i="10"/>
  <c r="L20" i="10"/>
  <c r="J15" i="10"/>
  <c r="J10" i="10"/>
  <c r="L23" i="9"/>
  <c r="S23" i="9" s="1"/>
  <c r="J42" i="9"/>
  <c r="R40" i="9"/>
  <c r="O39" i="9"/>
  <c r="O38" i="9"/>
  <c r="O37" i="9"/>
  <c r="V36" i="9"/>
  <c r="V37" i="9" s="1"/>
  <c r="O36" i="9"/>
  <c r="O35" i="9"/>
  <c r="H26" i="9"/>
  <c r="H25" i="9"/>
  <c r="N24" i="9"/>
  <c r="M24" i="9"/>
  <c r="S24" i="9" s="1"/>
  <c r="H24" i="9"/>
  <c r="N23" i="9"/>
  <c r="T23" i="9" s="1"/>
  <c r="M23" i="9"/>
  <c r="H23" i="9"/>
  <c r="O22" i="9"/>
  <c r="P22" i="9" s="1"/>
  <c r="N22" i="9"/>
  <c r="M22" i="9"/>
  <c r="L22" i="9"/>
  <c r="T22" i="9" s="1"/>
  <c r="H22" i="9"/>
  <c r="N21" i="9"/>
  <c r="T21" i="9" s="1"/>
  <c r="T28" i="9" s="1"/>
  <c r="M21" i="9"/>
  <c r="S21" i="9" s="1"/>
  <c r="H21" i="9"/>
  <c r="N20" i="9"/>
  <c r="L20" i="9"/>
  <c r="J15" i="9"/>
  <c r="J10" i="9"/>
  <c r="L22" i="8"/>
  <c r="L23" i="8"/>
  <c r="L24" i="8"/>
  <c r="J42" i="8"/>
  <c r="R40" i="8"/>
  <c r="O39" i="8"/>
  <c r="O38" i="8"/>
  <c r="O37" i="8"/>
  <c r="V36" i="8"/>
  <c r="V37" i="8" s="1"/>
  <c r="O36" i="8"/>
  <c r="O35" i="8"/>
  <c r="H26" i="8"/>
  <c r="H25" i="8"/>
  <c r="N24" i="8"/>
  <c r="M24" i="8"/>
  <c r="S24" i="8" s="1"/>
  <c r="H24" i="8"/>
  <c r="N23" i="8"/>
  <c r="T23" i="8" s="1"/>
  <c r="M23" i="8"/>
  <c r="S23" i="8" s="1"/>
  <c r="H23" i="8"/>
  <c r="S22" i="8"/>
  <c r="N22" i="8"/>
  <c r="T22" i="8" s="1"/>
  <c r="M22" i="8"/>
  <c r="H22" i="8"/>
  <c r="T21" i="8"/>
  <c r="N21" i="8"/>
  <c r="M21" i="8"/>
  <c r="H21" i="8"/>
  <c r="N20" i="8"/>
  <c r="L20" i="8"/>
  <c r="J15" i="8"/>
  <c r="J10" i="8"/>
  <c r="M34" i="7"/>
  <c r="J42" i="7"/>
  <c r="R40" i="7"/>
  <c r="O39" i="7"/>
  <c r="O38" i="7"/>
  <c r="O37" i="7"/>
  <c r="V36" i="7"/>
  <c r="V37" i="7" s="1"/>
  <c r="O36" i="7"/>
  <c r="O35" i="7"/>
  <c r="H26" i="7"/>
  <c r="H25" i="7"/>
  <c r="N24" i="7"/>
  <c r="M24" i="7"/>
  <c r="S24" i="7" s="1"/>
  <c r="H24" i="7"/>
  <c r="S23" i="7"/>
  <c r="N23" i="7"/>
  <c r="T23" i="7" s="1"/>
  <c r="M23" i="7"/>
  <c r="H23" i="7"/>
  <c r="T22" i="7"/>
  <c r="S22" i="7"/>
  <c r="O22" i="7"/>
  <c r="P22" i="7" s="1"/>
  <c r="N22" i="7"/>
  <c r="M22" i="7"/>
  <c r="H22" i="7"/>
  <c r="T21" i="7"/>
  <c r="T28" i="7" s="1"/>
  <c r="N21" i="7"/>
  <c r="M21" i="7"/>
  <c r="S21" i="7" s="1"/>
  <c r="H21" i="7"/>
  <c r="N20" i="7"/>
  <c r="L20" i="7"/>
  <c r="J15" i="7"/>
  <c r="J10" i="7"/>
  <c r="M34" i="6"/>
  <c r="L22" i="6"/>
  <c r="T22" i="6" s="1"/>
  <c r="J42" i="6"/>
  <c r="R40" i="6"/>
  <c r="O39" i="6"/>
  <c r="O38" i="6"/>
  <c r="O37" i="6"/>
  <c r="V36" i="6"/>
  <c r="V37" i="6" s="1"/>
  <c r="O36" i="6"/>
  <c r="O35" i="6"/>
  <c r="H26" i="6"/>
  <c r="H25" i="6"/>
  <c r="N24" i="6"/>
  <c r="M24" i="6"/>
  <c r="S24" i="6" s="1"/>
  <c r="H24" i="6"/>
  <c r="S23" i="6"/>
  <c r="N23" i="6"/>
  <c r="T23" i="6" s="1"/>
  <c r="M23" i="6"/>
  <c r="H23" i="6"/>
  <c r="S22" i="6"/>
  <c r="O22" i="6"/>
  <c r="P22" i="6" s="1"/>
  <c r="N22" i="6"/>
  <c r="M22" i="6"/>
  <c r="H22" i="6"/>
  <c r="T21" i="6"/>
  <c r="N21" i="6"/>
  <c r="M21" i="6"/>
  <c r="S21" i="6" s="1"/>
  <c r="H21" i="6"/>
  <c r="N20" i="6"/>
  <c r="L20" i="6"/>
  <c r="J15" i="6"/>
  <c r="J10" i="6"/>
  <c r="M34" i="1"/>
  <c r="M34" i="5"/>
  <c r="J42" i="5"/>
  <c r="R40" i="5"/>
  <c r="O39" i="5"/>
  <c r="O38" i="5"/>
  <c r="O37" i="5"/>
  <c r="V36" i="5"/>
  <c r="V37" i="5" s="1"/>
  <c r="O36" i="5"/>
  <c r="O35" i="5"/>
  <c r="H26" i="5"/>
  <c r="H25" i="5"/>
  <c r="N24" i="5"/>
  <c r="M24" i="5"/>
  <c r="S24" i="5" s="1"/>
  <c r="H24" i="5"/>
  <c r="N23" i="5"/>
  <c r="T23" i="5" s="1"/>
  <c r="M23" i="5"/>
  <c r="S23" i="5" s="1"/>
  <c r="H23" i="5"/>
  <c r="S22" i="5"/>
  <c r="O22" i="5"/>
  <c r="P22" i="5" s="1"/>
  <c r="N22" i="5"/>
  <c r="T22" i="5" s="1"/>
  <c r="M22" i="5"/>
  <c r="H22" i="5"/>
  <c r="T21" i="5"/>
  <c r="N21" i="5"/>
  <c r="M21" i="5"/>
  <c r="S21" i="5" s="1"/>
  <c r="S29" i="5" s="1"/>
  <c r="H21" i="5"/>
  <c r="H28" i="5" s="1"/>
  <c r="N20" i="5"/>
  <c r="L20" i="5"/>
  <c r="J15" i="5"/>
  <c r="J10" i="5"/>
  <c r="J42" i="4"/>
  <c r="R40" i="4"/>
  <c r="O39" i="4"/>
  <c r="O38" i="4"/>
  <c r="O37" i="4"/>
  <c r="V36" i="4"/>
  <c r="V37" i="4" s="1"/>
  <c r="O36" i="4"/>
  <c r="O35" i="4"/>
  <c r="H26" i="4"/>
  <c r="H25" i="4"/>
  <c r="N24" i="4"/>
  <c r="M24" i="4"/>
  <c r="S24" i="4" s="1"/>
  <c r="H24" i="4"/>
  <c r="S23" i="4"/>
  <c r="O23" i="4"/>
  <c r="P23" i="4" s="1"/>
  <c r="N23" i="4"/>
  <c r="T23" i="4" s="1"/>
  <c r="M23" i="4"/>
  <c r="H23" i="4"/>
  <c r="N22" i="4"/>
  <c r="M22" i="4"/>
  <c r="S22" i="4" s="1"/>
  <c r="T22" i="4"/>
  <c r="H22" i="4"/>
  <c r="N21" i="4"/>
  <c r="T21" i="4" s="1"/>
  <c r="M21" i="4"/>
  <c r="M29" i="4" s="1"/>
  <c r="H21" i="4"/>
  <c r="N20" i="4"/>
  <c r="L20" i="4"/>
  <c r="J15" i="4"/>
  <c r="J10" i="4"/>
  <c r="H24" i="1"/>
  <c r="H25" i="1"/>
  <c r="H26" i="1"/>
  <c r="O38" i="1"/>
  <c r="O37" i="1"/>
  <c r="O36" i="1"/>
  <c r="M24" i="1"/>
  <c r="N24" i="1"/>
  <c r="O24" i="1"/>
  <c r="P24" i="1" s="1"/>
  <c r="S24" i="1"/>
  <c r="H23" i="1"/>
  <c r="M23" i="1"/>
  <c r="N23" i="1"/>
  <c r="H22" i="1"/>
  <c r="M22" i="1"/>
  <c r="N22" i="1"/>
  <c r="J42" i="1"/>
  <c r="J15" i="1"/>
  <c r="J10" i="1"/>
  <c r="S23" i="10" l="1"/>
  <c r="T22" i="10"/>
  <c r="S22" i="10"/>
  <c r="S21" i="10"/>
  <c r="S30" i="10" s="1"/>
  <c r="O21" i="10"/>
  <c r="P21" i="10" s="1"/>
  <c r="T23" i="10"/>
  <c r="H29" i="10"/>
  <c r="I30" i="10" s="1"/>
  <c r="I31" i="10" s="1"/>
  <c r="O23" i="10"/>
  <c r="P23" i="10" s="1"/>
  <c r="T21" i="10"/>
  <c r="O24" i="10"/>
  <c r="P24" i="10" s="1"/>
  <c r="O22" i="10"/>
  <c r="P22" i="10" s="1"/>
  <c r="H28" i="9"/>
  <c r="H29" i="9" s="1"/>
  <c r="S22" i="9"/>
  <c r="I29" i="9"/>
  <c r="I30" i="9" s="1"/>
  <c r="S29" i="9"/>
  <c r="S31" i="9" s="1"/>
  <c r="O23" i="9"/>
  <c r="P23" i="9" s="1"/>
  <c r="M29" i="9"/>
  <c r="O21" i="9"/>
  <c r="P21" i="9" s="1"/>
  <c r="O24" i="9"/>
  <c r="P24" i="9" s="1"/>
  <c r="H28" i="8"/>
  <c r="O22" i="8"/>
  <c r="P22" i="8" s="1"/>
  <c r="T28" i="8"/>
  <c r="S21" i="8"/>
  <c r="S29" i="8" s="1"/>
  <c r="S31" i="8" s="1"/>
  <c r="H29" i="8"/>
  <c r="H30" i="8" s="1"/>
  <c r="I29" i="8"/>
  <c r="I30" i="8" s="1"/>
  <c r="O23" i="8"/>
  <c r="P23" i="8" s="1"/>
  <c r="M29" i="8"/>
  <c r="O21" i="8"/>
  <c r="P21" i="8" s="1"/>
  <c r="O24" i="8"/>
  <c r="P24" i="8" s="1"/>
  <c r="H28" i="7"/>
  <c r="H29" i="7"/>
  <c r="H30" i="7"/>
  <c r="I29" i="7"/>
  <c r="I30" i="7" s="1"/>
  <c r="S29" i="7"/>
  <c r="S31" i="7" s="1"/>
  <c r="O23" i="7"/>
  <c r="P23" i="7" s="1"/>
  <c r="O24" i="7"/>
  <c r="P24" i="7" s="1"/>
  <c r="M29" i="7"/>
  <c r="O21" i="7"/>
  <c r="P21" i="7" s="1"/>
  <c r="H28" i="6"/>
  <c r="T28" i="6"/>
  <c r="H29" i="6"/>
  <c r="H30" i="6" s="1"/>
  <c r="I29" i="6"/>
  <c r="I30" i="6" s="1"/>
  <c r="S29" i="6"/>
  <c r="S31" i="6" s="1"/>
  <c r="O23" i="6"/>
  <c r="P23" i="6" s="1"/>
  <c r="O24" i="6"/>
  <c r="P24" i="6" s="1"/>
  <c r="M29" i="6"/>
  <c r="O21" i="6"/>
  <c r="P21" i="6" s="1"/>
  <c r="T28" i="5"/>
  <c r="S31" i="5" s="1"/>
  <c r="H29" i="5"/>
  <c r="I29" i="5"/>
  <c r="I30" i="5" s="1"/>
  <c r="H30" i="5"/>
  <c r="O23" i="5"/>
  <c r="P23" i="5" s="1"/>
  <c r="M29" i="5"/>
  <c r="O24" i="5"/>
  <c r="P24" i="5" s="1"/>
  <c r="O21" i="5"/>
  <c r="P21" i="5" s="1"/>
  <c r="H28" i="4"/>
  <c r="I29" i="4" s="1"/>
  <c r="I30" i="4" s="1"/>
  <c r="T28" i="4"/>
  <c r="O21" i="4"/>
  <c r="P21" i="4" s="1"/>
  <c r="S21" i="4"/>
  <c r="S29" i="4" s="1"/>
  <c r="H29" i="4"/>
  <c r="H30" i="4" s="1"/>
  <c r="O22" i="4"/>
  <c r="P22" i="4" s="1"/>
  <c r="O24" i="4"/>
  <c r="P24" i="4" s="1"/>
  <c r="S22" i="1"/>
  <c r="T22" i="1"/>
  <c r="T23" i="1"/>
  <c r="S23" i="1"/>
  <c r="O23" i="1"/>
  <c r="P23" i="1" s="1"/>
  <c r="O22" i="1"/>
  <c r="P22" i="1" s="1"/>
  <c r="N21" i="1"/>
  <c r="T21" i="1" s="1"/>
  <c r="T29" i="10" l="1"/>
  <c r="S32" i="10"/>
  <c r="H30" i="10"/>
  <c r="H31" i="10" s="1"/>
  <c r="P30" i="10"/>
  <c r="P31" i="10" s="1"/>
  <c r="P32" i="10" s="1"/>
  <c r="S33" i="10"/>
  <c r="S34" i="10" s="1"/>
  <c r="H30" i="9"/>
  <c r="P29" i="9"/>
  <c r="P30" i="9" s="1"/>
  <c r="S32" i="9"/>
  <c r="S33" i="9" s="1"/>
  <c r="P31" i="9"/>
  <c r="S32" i="8"/>
  <c r="S33" i="8" s="1"/>
  <c r="P29" i="8"/>
  <c r="P30" i="8" s="1"/>
  <c r="S32" i="7"/>
  <c r="S33" i="7" s="1"/>
  <c r="P29" i="7"/>
  <c r="P30" i="7" s="1"/>
  <c r="S32" i="6"/>
  <c r="S33" i="6" s="1"/>
  <c r="P29" i="6"/>
  <c r="P30" i="6" s="1"/>
  <c r="P29" i="5"/>
  <c r="P30" i="5" s="1"/>
  <c r="S32" i="5"/>
  <c r="S33" i="5" s="1"/>
  <c r="S31" i="4"/>
  <c r="S32" i="4" s="1"/>
  <c r="S33" i="4" s="1"/>
  <c r="P29" i="4"/>
  <c r="P30" i="4" s="1"/>
  <c r="P31" i="4" s="1"/>
  <c r="P32" i="4" s="1"/>
  <c r="M21" i="1"/>
  <c r="S21" i="1" s="1"/>
  <c r="S29" i="1" s="1"/>
  <c r="P33" i="10" l="1"/>
  <c r="M35" i="10" s="1"/>
  <c r="R42" i="10"/>
  <c r="O35" i="10"/>
  <c r="O41" i="10" s="1"/>
  <c r="O42" i="10" s="1"/>
  <c r="P32" i="9"/>
  <c r="R41" i="9"/>
  <c r="M34" i="9"/>
  <c r="O34" i="9" s="1"/>
  <c r="O40" i="9" s="1"/>
  <c r="O41" i="9" s="1"/>
  <c r="P31" i="8"/>
  <c r="P32" i="8"/>
  <c r="M34" i="8" s="1"/>
  <c r="P31" i="7"/>
  <c r="P32" i="7"/>
  <c r="P31" i="6"/>
  <c r="P32" i="6"/>
  <c r="P31" i="5"/>
  <c r="P32" i="5" s="1"/>
  <c r="R41" i="4"/>
  <c r="M34" i="4"/>
  <c r="O34" i="4" s="1"/>
  <c r="O40" i="4" s="1"/>
  <c r="O41" i="4" s="1"/>
  <c r="M29" i="1"/>
  <c r="T28" i="1"/>
  <c r="S31" i="1" s="1"/>
  <c r="O21" i="1"/>
  <c r="P21" i="1" s="1"/>
  <c r="P29" i="1" s="1"/>
  <c r="O44" i="10" l="1"/>
  <c r="O43" i="10"/>
  <c r="Q20" i="10" s="1"/>
  <c r="O43" i="9"/>
  <c r="O42" i="9"/>
  <c r="Q20" i="9" s="1"/>
  <c r="R41" i="8"/>
  <c r="O34" i="8"/>
  <c r="O40" i="8" s="1"/>
  <c r="O41" i="8" s="1"/>
  <c r="R41" i="7"/>
  <c r="O34" i="7"/>
  <c r="O40" i="7" s="1"/>
  <c r="O41" i="7" s="1"/>
  <c r="R41" i="6"/>
  <c r="O34" i="6"/>
  <c r="O40" i="6" s="1"/>
  <c r="O41" i="6" s="1"/>
  <c r="R41" i="5"/>
  <c r="O34" i="5"/>
  <c r="O40" i="5" s="1"/>
  <c r="O41" i="5" s="1"/>
  <c r="O43" i="4"/>
  <c r="O42" i="4"/>
  <c r="Q20" i="4" s="1"/>
  <c r="S32" i="1"/>
  <c r="S33" i="1" s="1"/>
  <c r="V36" i="1"/>
  <c r="V37" i="1" s="1"/>
  <c r="Q23" i="10" l="1"/>
  <c r="R23" i="10" s="1"/>
  <c r="Q21" i="10"/>
  <c r="R21" i="10" s="1"/>
  <c r="Q22" i="10"/>
  <c r="R22" i="10" s="1"/>
  <c r="Q24" i="10"/>
  <c r="R24" i="10" s="1"/>
  <c r="Q23" i="9"/>
  <c r="R23" i="9" s="1"/>
  <c r="Q21" i="9"/>
  <c r="R21" i="9" s="1"/>
  <c r="Q22" i="9"/>
  <c r="R22" i="9" s="1"/>
  <c r="Q24" i="9"/>
  <c r="R24" i="9" s="1"/>
  <c r="O43" i="8"/>
  <c r="O42" i="8"/>
  <c r="Q20" i="8" s="1"/>
  <c r="O43" i="7"/>
  <c r="O42" i="7"/>
  <c r="Q20" i="7" s="1"/>
  <c r="O43" i="6"/>
  <c r="O42" i="6"/>
  <c r="Q20" i="6" s="1"/>
  <c r="O43" i="5"/>
  <c r="O42" i="5"/>
  <c r="Q20" i="5" s="1"/>
  <c r="Q23" i="4"/>
  <c r="R23" i="4" s="1"/>
  <c r="Q21" i="4"/>
  <c r="R21" i="4" s="1"/>
  <c r="Q22" i="4"/>
  <c r="R22" i="4" s="1"/>
  <c r="Q24" i="4"/>
  <c r="R24" i="4" s="1"/>
  <c r="O35" i="1"/>
  <c r="Q23" i="8" l="1"/>
  <c r="R23" i="8" s="1"/>
  <c r="Q22" i="8"/>
  <c r="R22" i="8" s="1"/>
  <c r="Q24" i="8"/>
  <c r="R24" i="8" s="1"/>
  <c r="Q21" i="8"/>
  <c r="R21" i="8" s="1"/>
  <c r="Q23" i="7"/>
  <c r="R23" i="7" s="1"/>
  <c r="Q22" i="7"/>
  <c r="R22" i="7" s="1"/>
  <c r="Q21" i="7"/>
  <c r="R21" i="7" s="1"/>
  <c r="Q24" i="7"/>
  <c r="R24" i="7" s="1"/>
  <c r="Q23" i="6"/>
  <c r="R23" i="6" s="1"/>
  <c r="Q24" i="6"/>
  <c r="R24" i="6" s="1"/>
  <c r="Q22" i="6"/>
  <c r="R22" i="6" s="1"/>
  <c r="Q21" i="6"/>
  <c r="R21" i="6" s="1"/>
  <c r="Q23" i="5"/>
  <c r="R23" i="5" s="1"/>
  <c r="Q24" i="5"/>
  <c r="R24" i="5" s="1"/>
  <c r="Q22" i="5"/>
  <c r="R22" i="5" s="1"/>
  <c r="Q21" i="5"/>
  <c r="R21" i="5" s="1"/>
  <c r="P30" i="1"/>
  <c r="N20" i="1"/>
  <c r="L20" i="1"/>
  <c r="P31" i="1" l="1"/>
  <c r="P32" i="1" s="1"/>
  <c r="R40" i="1"/>
  <c r="R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F18" i="3" l="1"/>
  <c r="O34" i="1" l="1"/>
  <c r="O40" i="1" s="1"/>
  <c r="O41" i="1" s="1"/>
  <c r="D20" i="3" l="1"/>
  <c r="E20" i="3" s="1"/>
  <c r="E21" i="3" s="1"/>
  <c r="O42" i="1" l="1"/>
  <c r="Q20" i="1" s="1"/>
  <c r="Q24" i="1" s="1"/>
  <c r="R24" i="1" s="1"/>
  <c r="D21" i="3"/>
  <c r="M43" i="3" s="1"/>
  <c r="D12" i="3" s="1"/>
  <c r="F20" i="3"/>
  <c r="F21" i="3" s="1"/>
  <c r="Q22" i="1" l="1"/>
  <c r="R22" i="1" s="1"/>
  <c r="Q23" i="1"/>
  <c r="R23" i="1" s="1"/>
  <c r="O43" i="1"/>
  <c r="E15" i="3"/>
  <c r="Q21" i="1" l="1"/>
  <c r="F15" i="3"/>
  <c r="R21" i="1" l="1"/>
  <c r="H21" i="1" l="1"/>
  <c r="H28" i="1" s="1"/>
  <c r="H29" i="1" l="1"/>
  <c r="I29" i="1"/>
  <c r="I30" i="1" s="1"/>
  <c r="H30" i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<sst xmlns="http://schemas.openxmlformats.org/spreadsheetml/2006/main" count="964" uniqueCount="190">
  <si>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</si>
  <si>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</si>
  <si>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</si>
  <si>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</si>
  <si>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</si>
  <si>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</si>
  <si>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</si>
  <si>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</si>
  <si>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</si>
  <si>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</si>
  <si>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</si>
  <si>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</si>
  <si>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</si>
  <si>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</si>
  <si>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</si>
  <si>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</si>
  <si>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</si>
  <si>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</si>
  <si>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</si>
  <si>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</si>
  <si>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</si>
  <si>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</si>
  <si>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</si>
  <si>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</si>
  <si>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</si>
  <si>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</si>
  <si>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</si>
  <si>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</si>
  <si>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</si>
  <si>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</si>
  <si>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</si>
  <si>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</si>
  <si>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</si>
  <si>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</si>
  <si>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</si>
  <si>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</si>
  <si>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</si>
  <si>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</si>
  <si>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</si>
  <si>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</si>
  <si>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</si>
  <si>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</si>
  <si>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</si>
  <si>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</si>
  <si>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</si>
  <si>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</si>
  <si>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</si>
  <si>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</si>
  <si>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</si>
  <si>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</si>
  <si>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</si>
  <si>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</si>
  <si>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</si>
  <si>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</si>
  <si>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</si>
  <si>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</si>
  <si>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</si>
  <si>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</si>
  <si>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</si>
  <si>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</si>
  <si>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</si>
  <si>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</si>
  <si>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</si>
  <si>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</si>
  <si>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</si>
  <si>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</si>
  <si>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</si>
  <si>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</si>
  <si>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</si>
  <si>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</si>
  <si>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</si>
  <si>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</si>
  <si>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</si>
  <si>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</si>
  <si>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</si>
  <si>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</si>
  <si>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</si>
  <si>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</si>
  <si>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</si>
  <si>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</si>
  <si>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</si>
  <si>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</si>
  <si>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</si>
  <si>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</si>
  <si>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</si>
  <si>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</si>
  <si>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</si>
  <si>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</si>
  <si>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</si>
  <si>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</si>
  <si>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</si>
  <si>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</si>
  <si>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</si>
  <si>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</si>
  <si>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</si>
  <si>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</si>
  <si>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</si>
  <si>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</si>
  <si>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</si>
  <si>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</si>
  <si>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</si>
  <si>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</si>
  <si>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</si>
  <si>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</si>
  <si>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</si>
  <si>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</si>
  <si>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</si>
  <si>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</si>
  <si>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</si>
  <si>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</si>
  <si>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</si>
  <si>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</si>
  <si>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</si>
  <si>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</si>
  <si>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</si>
  <si>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</si>
  <si>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</si>
  <si>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</si>
  <si>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</si>
  <si>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</si>
  <si>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</si>
  <si>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</si>
  <si>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</si>
  <si>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</si>
  <si>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</si>
  <si>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</si>
  <si>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</si>
  <si>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</si>
  <si>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</si>
  <si>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</si>
  <si>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</si>
  <si>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</si>
  <si>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</si>
  <si>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</si>
  <si>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</si>
  <si>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</si>
  <si>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</si>
  <si>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</si>
  <si>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</si>
  <si>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</si>
  <si>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</si>
  <si>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</si>
  <si>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</si>
  <si>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</si>
  <si>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</si>
  <si>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</si>
  <si>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</si>
  <si>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</si>
  <si>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</si>
  <si>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</si>
  <si>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</si>
  <si>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</si>
  <si>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</si>
  <si>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</si>
  <si>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</si>
  <si>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</si>
  <si>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</si>
  <si>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</si>
  <si>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</si>
  <si>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</si>
  <si>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</si>
  <si>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</si>
  <si>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</si>
  <si>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</si>
  <si>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</si>
  <si>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</si>
  <si>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</si>
  <si>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</si>
  <si>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8 DIAS HABILES</t>
  </si>
  <si>
    <t>5699833 5638</t>
  </si>
  <si>
    <t>CONSTRUCTORA HALTRA</t>
  </si>
  <si>
    <t>MDF 30MM</t>
  </si>
  <si>
    <t>TAPACANTO PVC 0,45 X 50MM</t>
  </si>
  <si>
    <t>N° 11720</t>
  </si>
  <si>
    <t>27-10-20255</t>
  </si>
  <si>
    <t>CUBIERTA MDF 18 + REGRUESO MDF 18MM</t>
  </si>
  <si>
    <t>FASHION GREY 21371 GL</t>
  </si>
  <si>
    <t>SEPARADOR 2 CARAS MDF 18 + MDF 18MM</t>
  </si>
  <si>
    <t>WINTER SAMSARA MAPLE 14689 SF</t>
  </si>
  <si>
    <t xml:space="preserve">COSTADO 2 CARAS MDF 18 + MDF 18MM </t>
  </si>
  <si>
    <t>FRENTE MDF 18 MM 1 CARA</t>
  </si>
  <si>
    <t>ZOCALO</t>
  </si>
  <si>
    <t>LAMINA ALUMINIUN</t>
  </si>
  <si>
    <t>PERFIL 30X30 1MM</t>
  </si>
  <si>
    <t>B</t>
  </si>
  <si>
    <t>N° 11725</t>
  </si>
  <si>
    <t>CUB S/R FALDON 5 CMS R6</t>
  </si>
  <si>
    <t>RESPALDO 1V R6</t>
  </si>
  <si>
    <t>MDF 9MM</t>
  </si>
  <si>
    <t>1,,52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</si>
</sst>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34" fillId="0" borderId="1" xfId="0" applyFont="1" applyBorder="1" applyAlignment="1">
      <alignment horizontal="center" vertical="center"/>
    </xf>
    <xf numFmtId="165" fontId="0" fillId="0" borderId="0" xfId="0" applyNumberFormat="1"/>
    <xf numFmtId="9" fontId="33" fillId="0" borderId="0" xfId="8" applyNumberFormat="1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1C7DF99-5AD8-4DD6-9337-E00DD0F95B07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64917BE6-281A-428D-9628-DF3AA520A1C7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CA0B06B-D834-48EF-B0CD-BC70644E8818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76A0E32-2A0C-432E-8F82-248A4C14053E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672A128-CBCC-49E8-BAE7-FF53169889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085DF3E-1046-4229-89C7-14574FAF24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86CE4E3-DCF9-48B7-ADCE-DB13A6EC6727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7A1C9FE-A520-4F21-8559-A92D806C6196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48F927D-0AE8-4A15-9272-DFE45F604B3C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0CE071A-4752-445A-836E-E5059DCC39B0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D881A9C-447B-40AE-8557-D638A73D9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923F9B7-64D5-4392-B176-66B98E30B3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7ECB2B1-53F3-48AC-9F5A-52C74BEDF522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EFB7FD6-0910-4D12-9F70-CA9C2CF54879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096611D-CBEF-4EF8-8A62-C697370EF65A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5181B2AE-7BAB-407F-A311-92900A8CB2F7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4C52CF3-2D8B-4567-8372-E0DA09AC40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EAFFF5C-C6C8-4C84-A051-8331107E19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2382E6B7-2699-4220-BA7F-18C2E030FD31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32FD204-1037-449C-A436-0BDEE171E156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E769838-4C4D-4753-AC28-2A981513C1D0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912D7A5-B4F8-477E-A63B-C1E7063A03D7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23B8517-DD7A-430C-BC2B-FF70A38356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D8BDCEE-7669-4FB6-AA1D-C7EE3F5D4C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6898EEE-D889-440F-89D3-0A0F045AB4E7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123D94F-D8D9-48DE-AD0C-DC5B7CFE9EFC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FF39FB29-256D-4D48-BCE6-D775DEB0A876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239EDA6-B763-466B-BA02-B92540ADFFB2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6A2A058-3012-4016-A8D6-E94FF409F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F20D245-DA01-4B0F-904E-DE5CD4274D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792F7DA-9405-47ED-AACC-AAC9D664BFDF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AB2E1EC-093D-4835-B4F9-76C4C295EC56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5D7A6657-B35F-4744-B053-F0FE21C09BD8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E81F4C4-A041-4DBE-9E55-8B776F0AF98C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1F16FED-8C0E-44AE-A665-6AADDAB3F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9BC69C1-2778-444B-82C1-328316D773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D3BE234-17EF-4BBB-A748-1C7B08D121E9}"/>
            </a:ext>
          </a:extLst>
        </xdr:cNvPr>
        <xdr:cNvSpPr/>
      </xdr:nvSpPr>
      <xdr:spPr>
        <a:xfrm>
          <a:off x="7627620" y="640137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3177D8B-2042-46EB-A804-B0BAB8502EE2}"/>
            </a:ext>
          </a:extLst>
        </xdr:cNvPr>
        <xdr:cNvCxnSpPr/>
      </xdr:nvCxnSpPr>
      <xdr:spPr>
        <a:xfrm>
          <a:off x="7850505" y="698944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5047F3B-79DB-40E3-A496-C225C271B345}"/>
            </a:ext>
          </a:extLst>
        </xdr:cNvPr>
        <xdr:cNvSpPr/>
      </xdr:nvSpPr>
      <xdr:spPr>
        <a:xfrm>
          <a:off x="390525" y="6402705"/>
          <a:ext cx="649820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E27D8593-4A37-4016-B258-875604E29005}"/>
            </a:ext>
          </a:extLst>
        </xdr:cNvPr>
        <xdr:cNvSpPr/>
      </xdr:nvSpPr>
      <xdr:spPr>
        <a:xfrm>
          <a:off x="411480" y="5511165"/>
          <a:ext cx="646085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20F51F8-9A31-4218-9A07-ED368CC7EF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35252" cy="898547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F313DA5-BF2B-489A-B174-D7CBC71393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92541" y="346751"/>
          <a:ext cx="1818967" cy="69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topmobilichile.c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topmobilichile.cl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topmobilichile.cl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topmobilichile.c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C32A-C167-40D0-BFAA-303C5F82A58F}">
  <sheetPr>
    <pageSetUpPr fitToPage="1"/>
  </sheetPr>
  <dimension ref="A2:Y586"/>
  <sheetViews>
    <sheetView tabSelected="1" topLeftCell="A14" zoomScale="93" zoomScaleNormal="93" workbookViewId="0">
      <selection activeCell="I31" sqref="I31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185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>
        <v>45958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0.08</v>
      </c>
      <c r="N19" s="14">
        <v>0.05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O43</f>
        <v>68979.130434782608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4</v>
      </c>
      <c r="C21" s="334" t="s">
        <v>186</v>
      </c>
      <c r="D21" s="332">
        <v>2.15</v>
      </c>
      <c r="E21" s="332">
        <v>0.4</v>
      </c>
      <c r="F21" s="329" t="s">
        <v>176</v>
      </c>
      <c r="G21" s="330">
        <v>79221</v>
      </c>
      <c r="H21" s="330">
        <f>G21*B21</f>
        <v>316884</v>
      </c>
      <c r="I21" s="319"/>
      <c r="J21" s="265"/>
      <c r="K21" s="47"/>
      <c r="L21" s="331">
        <f>B21</f>
        <v>4</v>
      </c>
      <c r="M21" s="39">
        <f>D21+M$19</f>
        <v>2.23</v>
      </c>
      <c r="N21" s="39">
        <f>E21+$N$19</f>
        <v>0.45</v>
      </c>
      <c r="O21" s="261">
        <f t="shared" ref="O21:O24" si="1">M21*N21</f>
        <v>1.0035000000000001</v>
      </c>
      <c r="P21" s="259">
        <f t="shared" ref="P21:P24" si="2">O21*L21</f>
        <v>4.0140000000000002</v>
      </c>
      <c r="Q21" s="252">
        <f t="shared" ref="Q21:Q24" si="3">Q$20*O21</f>
        <v>69220.557391304348</v>
      </c>
      <c r="R21" s="318">
        <f t="shared" ref="R21:R24" si="4">Q21+R$20</f>
        <v>79220.557391304348</v>
      </c>
      <c r="S21" s="297">
        <f>M21*L21*2</f>
        <v>17.84</v>
      </c>
      <c r="T21" s="46">
        <f>N21*L21*2</f>
        <v>3.6</v>
      </c>
      <c r="U21" s="9"/>
      <c r="X21" s="4"/>
    </row>
    <row r="22" spans="2:25" ht="17.399999999999999" x14ac:dyDescent="0.3">
      <c r="B22" s="329">
        <v>2</v>
      </c>
      <c r="C22" s="334" t="s">
        <v>186</v>
      </c>
      <c r="D22" s="332">
        <v>1.9</v>
      </c>
      <c r="E22" s="332">
        <v>0.4</v>
      </c>
      <c r="F22" s="329" t="s">
        <v>176</v>
      </c>
      <c r="G22" s="330">
        <v>71460</v>
      </c>
      <c r="H22" s="330">
        <f>G22*B22</f>
        <v>142920</v>
      </c>
      <c r="I22" s="319"/>
      <c r="J22" s="265"/>
      <c r="K22" s="335"/>
      <c r="L22" s="331">
        <f>B22</f>
        <v>2</v>
      </c>
      <c r="M22" s="39">
        <f>D22+M$19</f>
        <v>1.98</v>
      </c>
      <c r="N22" s="39">
        <f>E22+$N$19</f>
        <v>0.45</v>
      </c>
      <c r="O22" s="261">
        <f t="shared" si="1"/>
        <v>0.89100000000000001</v>
      </c>
      <c r="P22" s="259">
        <f t="shared" si="2"/>
        <v>1.782</v>
      </c>
      <c r="Q22" s="252">
        <f t="shared" si="3"/>
        <v>61460.405217391308</v>
      </c>
      <c r="R22" s="318">
        <f t="shared" si="4"/>
        <v>71460.405217391308</v>
      </c>
      <c r="S22" s="297">
        <f t="shared" ref="S22:S24" si="5">M22*L22*2</f>
        <v>7.92</v>
      </c>
      <c r="T22" s="46">
        <f t="shared" ref="T22:T23" si="6">N22*L22*2</f>
        <v>1.8</v>
      </c>
      <c r="U22" s="9"/>
      <c r="X22" s="4"/>
    </row>
    <row r="23" spans="2:25" ht="17.399999999999999" x14ac:dyDescent="0.3">
      <c r="B23" s="329">
        <v>4</v>
      </c>
      <c r="C23" s="334" t="s">
        <v>187</v>
      </c>
      <c r="D23" s="332">
        <v>1.7</v>
      </c>
      <c r="E23" s="332">
        <v>0.4</v>
      </c>
      <c r="F23" s="329" t="s">
        <v>176</v>
      </c>
      <c r="G23" s="330">
        <v>59113</v>
      </c>
      <c r="H23" s="330">
        <f t="shared" ref="H23:H26" si="7">G23*B23</f>
        <v>236452</v>
      </c>
      <c r="I23" s="319"/>
      <c r="J23" s="265"/>
      <c r="K23" s="47"/>
      <c r="L23" s="331">
        <f>B23</f>
        <v>4</v>
      </c>
      <c r="M23" s="39">
        <f t="shared" ref="M23:M24" si="8">D23+M$19</f>
        <v>1.78</v>
      </c>
      <c r="N23" s="39">
        <f>E23</f>
        <v>0.4</v>
      </c>
      <c r="O23" s="261">
        <f t="shared" si="1"/>
        <v>0.71200000000000008</v>
      </c>
      <c r="P23" s="259">
        <f t="shared" si="2"/>
        <v>2.8480000000000003</v>
      </c>
      <c r="Q23" s="252">
        <f t="shared" si="3"/>
        <v>49113.140869565221</v>
      </c>
      <c r="R23" s="318">
        <f t="shared" si="4"/>
        <v>59113.140869565221</v>
      </c>
      <c r="S23" s="297">
        <f t="shared" si="5"/>
        <v>14.24</v>
      </c>
      <c r="T23" s="46">
        <f t="shared" si="6"/>
        <v>3.2</v>
      </c>
      <c r="U23" s="9"/>
      <c r="X23" s="4"/>
    </row>
    <row r="24" spans="2:25" ht="17.399999999999999" x14ac:dyDescent="0.3">
      <c r="B24" s="329">
        <v>4</v>
      </c>
      <c r="C24" s="334" t="s">
        <v>187</v>
      </c>
      <c r="D24" s="332">
        <v>1.08</v>
      </c>
      <c r="E24" s="332">
        <v>0.4</v>
      </c>
      <c r="F24" s="329" t="s">
        <v>176</v>
      </c>
      <c r="G24" s="330">
        <v>42006</v>
      </c>
      <c r="H24" s="330">
        <f t="shared" si="7"/>
        <v>168024</v>
      </c>
      <c r="I24" s="319"/>
      <c r="J24" s="265"/>
      <c r="K24" s="47"/>
      <c r="L24" s="331">
        <v>1</v>
      </c>
      <c r="M24" s="39">
        <f t="shared" si="8"/>
        <v>1.1600000000000001</v>
      </c>
      <c r="N24" s="39">
        <f>E24</f>
        <v>0.4</v>
      </c>
      <c r="O24" s="261">
        <f t="shared" si="1"/>
        <v>0.46400000000000008</v>
      </c>
      <c r="P24" s="259">
        <f t="shared" si="2"/>
        <v>0.46400000000000008</v>
      </c>
      <c r="Q24" s="252">
        <f t="shared" si="3"/>
        <v>32006.316521739136</v>
      </c>
      <c r="R24" s="318">
        <f t="shared" si="4"/>
        <v>42006.316521739136</v>
      </c>
      <c r="S24" s="297">
        <f t="shared" si="5"/>
        <v>2.3200000000000003</v>
      </c>
      <c r="T24" s="46"/>
      <c r="U24" s="9"/>
      <c r="X24" s="4"/>
    </row>
    <row r="25" spans="2:25" ht="17.399999999999999" x14ac:dyDescent="0.3">
      <c r="B25" s="329">
        <v>2</v>
      </c>
      <c r="C25" s="334" t="s">
        <v>188</v>
      </c>
      <c r="D25" s="332" t="s">
        <v>189</v>
      </c>
      <c r="E25" s="332">
        <v>2.44</v>
      </c>
      <c r="F25" s="329" t="s">
        <v>182</v>
      </c>
      <c r="G25" s="330">
        <v>20000</v>
      </c>
      <c r="H25" s="330">
        <f t="shared" si="7"/>
        <v>40000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/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7.399999999999999" x14ac:dyDescent="0.3">
      <c r="B27" s="349">
        <v>2</v>
      </c>
      <c r="C27" s="350"/>
      <c r="D27" s="351"/>
      <c r="E27" s="351"/>
      <c r="F27" s="349"/>
      <c r="G27" s="319"/>
      <c r="H27" s="319"/>
      <c r="I27" s="319"/>
      <c r="J27" s="265"/>
      <c r="K27" s="47"/>
      <c r="L27" s="47"/>
      <c r="M27" s="39"/>
      <c r="N27" s="39"/>
      <c r="O27" s="261"/>
      <c r="P27" s="259"/>
      <c r="Q27" s="252"/>
      <c r="R27" s="318"/>
      <c r="S27" s="297"/>
      <c r="T27" s="46"/>
      <c r="U27" s="9"/>
      <c r="X27" s="4"/>
    </row>
    <row r="28" spans="2:25" ht="18" thickBot="1" x14ac:dyDescent="0.35">
      <c r="B28" s="285"/>
      <c r="C28" s="285"/>
      <c r="D28" s="286"/>
      <c r="E28" s="286"/>
      <c r="F28" s="285"/>
      <c r="G28" s="265"/>
      <c r="H28" s="320"/>
      <c r="I28" s="322"/>
      <c r="J28" s="233"/>
      <c r="K28" s="47"/>
      <c r="L28" s="47"/>
      <c r="M28" s="39"/>
      <c r="N28" s="39"/>
      <c r="O28" s="261"/>
      <c r="P28" s="259"/>
      <c r="Q28" s="252"/>
      <c r="R28" s="258"/>
      <c r="S28" s="297"/>
      <c r="T28" s="14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3" t="s">
        <v>28</v>
      </c>
      <c r="H29" s="324">
        <f>SUM(H21:H28)</f>
        <v>904280</v>
      </c>
      <c r="I29" s="336">
        <v>0.35</v>
      </c>
      <c r="J29" s="265"/>
      <c r="K29" s="47"/>
      <c r="L29" s="47"/>
      <c r="M29" s="39"/>
      <c r="N29" s="39"/>
      <c r="O29" s="261"/>
      <c r="P29" s="259"/>
      <c r="Q29" s="252"/>
      <c r="R29" s="258"/>
      <c r="S29" s="297"/>
      <c r="T29" s="46">
        <f>SUM(T21:T28)</f>
        <v>8.6000000000000014</v>
      </c>
      <c r="U29" s="9"/>
      <c r="X29" s="4"/>
    </row>
    <row r="30" spans="2:25" ht="17.399999999999999" x14ac:dyDescent="0.3">
      <c r="B30" s="279"/>
      <c r="C30" s="282"/>
      <c r="D30" s="283"/>
      <c r="E30" s="283"/>
      <c r="F30" s="284"/>
      <c r="G30" s="296" t="s">
        <v>50</v>
      </c>
      <c r="H30" s="294">
        <f>H29*19%</f>
        <v>171813.2</v>
      </c>
      <c r="I30" s="321">
        <f>H29*35%</f>
        <v>316498</v>
      </c>
      <c r="J30" s="265"/>
      <c r="K30" s="47"/>
      <c r="L30" s="47"/>
      <c r="M30" s="39">
        <f>SUM(M21:M21)</f>
        <v>2.23</v>
      </c>
      <c r="N30" s="12"/>
      <c r="O30" s="12"/>
      <c r="P30" s="253">
        <f>SUM(P21:P28)</f>
        <v>9.1080000000000005</v>
      </c>
      <c r="Q30" s="14"/>
      <c r="R30" s="12"/>
      <c r="S30" s="239">
        <f>SUM(S21:S29)</f>
        <v>42.32</v>
      </c>
      <c r="T30" s="46"/>
      <c r="U30" s="9"/>
      <c r="X30" s="4"/>
    </row>
    <row r="31" spans="2:25" ht="18" thickBot="1" x14ac:dyDescent="0.35">
      <c r="B31" s="275"/>
      <c r="C31" s="281"/>
      <c r="D31" s="272"/>
      <c r="E31" s="272"/>
      <c r="F31" s="273"/>
      <c r="G31" s="280" t="s">
        <v>6</v>
      </c>
      <c r="H31" s="295">
        <f>H29+H30</f>
        <v>1076093.2</v>
      </c>
      <c r="I31" s="321">
        <f>H29+I30</f>
        <v>1220778</v>
      </c>
      <c r="J31" s="265"/>
      <c r="K31" s="47"/>
      <c r="L31" s="47"/>
      <c r="M31" s="39"/>
      <c r="N31" s="12"/>
      <c r="O31" s="12"/>
      <c r="P31" s="253">
        <f>P30</f>
        <v>9.1080000000000005</v>
      </c>
      <c r="Q31" s="14"/>
      <c r="R31" s="12"/>
      <c r="S31" s="239"/>
      <c r="T31" s="46"/>
      <c r="U31" s="9"/>
      <c r="X31" s="4"/>
    </row>
    <row r="32" spans="2:25" ht="17.399999999999999" x14ac:dyDescent="0.3">
      <c r="B32" s="275"/>
      <c r="C32" s="271"/>
      <c r="D32" s="272"/>
      <c r="E32" s="272"/>
      <c r="F32" s="273"/>
      <c r="J32" s="265"/>
      <c r="K32" s="47"/>
      <c r="L32" s="47"/>
      <c r="M32" s="14"/>
      <c r="N32" s="12"/>
      <c r="O32" s="12"/>
      <c r="P32" s="39">
        <f>P31*20%</f>
        <v>1.8216000000000001</v>
      </c>
      <c r="Q32" s="39" t="s">
        <v>129</v>
      </c>
      <c r="R32" s="42"/>
      <c r="S32" s="240">
        <f>T29+S30</f>
        <v>50.92</v>
      </c>
      <c r="T32" s="14"/>
      <c r="U32" s="9"/>
      <c r="X32" s="4"/>
    </row>
    <row r="33" spans="1:24" ht="17.399999999999999" x14ac:dyDescent="0.35">
      <c r="B33" s="269"/>
      <c r="C33" s="230"/>
      <c r="D33" s="230"/>
      <c r="E33" s="233"/>
      <c r="F33" s="234"/>
      <c r="G33" s="230"/>
      <c r="H33" s="274"/>
      <c r="I33" s="274"/>
      <c r="J33" s="265"/>
      <c r="K33" s="47"/>
      <c r="L33" s="47"/>
      <c r="M33" s="14"/>
      <c r="N33" s="12"/>
      <c r="O33" s="12"/>
      <c r="P33" s="46">
        <f>P31+P32</f>
        <v>10.929600000000001</v>
      </c>
      <c r="Q33" s="14"/>
      <c r="R33" s="14"/>
      <c r="S33" s="238">
        <f>S32*20%</f>
        <v>10.184000000000001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4"/>
      <c r="J34" s="265"/>
      <c r="K34" s="47"/>
      <c r="L34" s="47"/>
      <c r="M34" s="14"/>
      <c r="N34" s="14"/>
      <c r="O34" s="14"/>
      <c r="P34" s="14"/>
      <c r="Q34" s="14"/>
      <c r="R34" s="14"/>
      <c r="S34" s="240">
        <f>S32+S33</f>
        <v>61.103999999999999</v>
      </c>
      <c r="T34" s="14"/>
      <c r="U34" s="302" t="s">
        <v>21</v>
      </c>
      <c r="V34" s="299" t="s">
        <v>151</v>
      </c>
      <c r="W34" s="303">
        <v>44971</v>
      </c>
      <c r="X34" s="304"/>
    </row>
    <row r="35" spans="1:24" ht="17.399999999999999" x14ac:dyDescent="0.35">
      <c r="B35" s="230"/>
      <c r="C35" s="230"/>
      <c r="D35" s="230"/>
      <c r="E35" s="230"/>
      <c r="F35" s="230"/>
      <c r="G35" s="230"/>
      <c r="J35" s="265"/>
      <c r="K35" s="47"/>
      <c r="L35" s="47"/>
      <c r="M35" s="39">
        <f>P33</f>
        <v>10.929600000000001</v>
      </c>
      <c r="N35" s="12">
        <v>3500</v>
      </c>
      <c r="O35" s="12">
        <f t="shared" ref="O35:O40" si="9">M35*N35</f>
        <v>38253.600000000006</v>
      </c>
      <c r="P35" s="14" t="s">
        <v>21</v>
      </c>
      <c r="Q35" s="14"/>
      <c r="R35" s="14"/>
      <c r="S35" s="241"/>
      <c r="T35" s="14"/>
      <c r="U35" s="302" t="s">
        <v>152</v>
      </c>
      <c r="V35" s="299">
        <v>3625</v>
      </c>
      <c r="W35" s="59" t="s">
        <v>153</v>
      </c>
      <c r="X35" s="304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5"/>
      <c r="K36" s="47"/>
      <c r="L36" s="47"/>
      <c r="M36" s="249">
        <v>3</v>
      </c>
      <c r="N36" s="12">
        <v>23500</v>
      </c>
      <c r="O36" s="12">
        <f t="shared" si="9"/>
        <v>70500</v>
      </c>
      <c r="P36" s="39" t="s">
        <v>30</v>
      </c>
      <c r="Q36" s="42"/>
      <c r="R36" s="14"/>
      <c r="S36" s="240"/>
      <c r="T36" s="14"/>
      <c r="U36" s="302"/>
      <c r="V36" s="59">
        <v>906.25</v>
      </c>
      <c r="W36" s="59" t="s">
        <v>154</v>
      </c>
      <c r="X36" s="304"/>
    </row>
    <row r="37" spans="1:24" s="230" customFormat="1" ht="17.399999999999999" x14ac:dyDescent="0.35">
      <c r="B37" s="24" t="s">
        <v>150</v>
      </c>
      <c r="J37" s="262"/>
      <c r="K37" s="232"/>
      <c r="L37" s="250"/>
      <c r="M37" s="14"/>
      <c r="N37" s="250">
        <v>42000</v>
      </c>
      <c r="O37" s="12">
        <f t="shared" si="9"/>
        <v>0</v>
      </c>
      <c r="P37" s="39" t="s">
        <v>171</v>
      </c>
      <c r="Q37" s="42"/>
      <c r="S37" s="240"/>
      <c r="T37" s="256"/>
      <c r="U37" s="59"/>
      <c r="V37" s="59">
        <f>V36*20%</f>
        <v>181.25</v>
      </c>
      <c r="W37" s="304" t="s">
        <v>155</v>
      </c>
      <c r="X37" s="59"/>
    </row>
    <row r="38" spans="1:24" s="230" customFormat="1" ht="17.399999999999999" x14ac:dyDescent="0.35">
      <c r="B38" s="24" t="s">
        <v>143</v>
      </c>
      <c r="C38"/>
      <c r="D38"/>
      <c r="E38"/>
      <c r="F38"/>
      <c r="J38" s="262"/>
      <c r="K38" s="232"/>
      <c r="L38" s="250"/>
      <c r="M38" s="14">
        <v>5</v>
      </c>
      <c r="N38" s="250">
        <v>35364</v>
      </c>
      <c r="O38" s="12">
        <f t="shared" si="9"/>
        <v>176820</v>
      </c>
      <c r="P38" s="14" t="s">
        <v>140</v>
      </c>
      <c r="Q38" s="17"/>
      <c r="S38" s="238"/>
      <c r="T38" s="256"/>
      <c r="U38" s="59"/>
      <c r="V38" s="59">
        <f>V36+V37</f>
        <v>1087.5</v>
      </c>
      <c r="W38" s="304" t="s">
        <v>156</v>
      </c>
      <c r="X38" s="59"/>
    </row>
    <row r="39" spans="1:24" s="230" customFormat="1" ht="17.399999999999999" x14ac:dyDescent="0.35">
      <c r="B39" s="29" t="s">
        <v>124</v>
      </c>
      <c r="C39"/>
      <c r="D39"/>
      <c r="E39"/>
      <c r="F39" s="229" t="s">
        <v>15</v>
      </c>
      <c r="J39" s="262"/>
      <c r="K39" s="260"/>
      <c r="L39" s="250"/>
      <c r="M39" s="249"/>
      <c r="N39" s="250">
        <v>900</v>
      </c>
      <c r="O39" s="12">
        <f t="shared" si="9"/>
        <v>0</v>
      </c>
      <c r="P39" s="14" t="s">
        <v>31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93" t="s">
        <v>167</v>
      </c>
      <c r="K40" s="260">
        <v>38300</v>
      </c>
      <c r="L40" s="250"/>
      <c r="M40" s="266"/>
      <c r="N40" s="12">
        <v>200</v>
      </c>
      <c r="O40" s="12">
        <f t="shared" si="9"/>
        <v>0</v>
      </c>
      <c r="P40" s="14" t="s">
        <v>172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J41" s="230" t="s">
        <v>166</v>
      </c>
      <c r="K41" s="260">
        <v>31000</v>
      </c>
      <c r="L41" s="250"/>
      <c r="M41" s="14"/>
      <c r="N41" s="12"/>
      <c r="O41" s="12">
        <f>SUM(O35:O40)</f>
        <v>285573.59999999998</v>
      </c>
      <c r="P41" s="39" t="s">
        <v>23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J42" s="230">
        <v>73340</v>
      </c>
      <c r="L42" s="250"/>
      <c r="M42" s="254" t="s">
        <v>32</v>
      </c>
      <c r="N42" s="12"/>
      <c r="O42" s="255">
        <f>O41*2.2</f>
        <v>628261.92000000004</v>
      </c>
      <c r="P42" s="14" t="s">
        <v>139</v>
      </c>
      <c r="Q42" s="14"/>
      <c r="R42" s="40">
        <f>P33/R41</f>
        <v>2.9469370146678173</v>
      </c>
      <c r="S42"/>
      <c r="T42" s="257"/>
    </row>
    <row r="43" spans="1:24" s="230" customFormat="1" ht="17.399999999999999" x14ac:dyDescent="0.35">
      <c r="G43"/>
      <c r="H43" s="260"/>
      <c r="I43" s="260"/>
      <c r="J43" s="260">
        <f>J42/1.19</f>
        <v>61630.252100840342</v>
      </c>
      <c r="L43" s="250"/>
      <c r="M43" s="14"/>
      <c r="N43" s="12"/>
      <c r="O43" s="12">
        <f>O42/P31</f>
        <v>68979.130434782608</v>
      </c>
      <c r="P43" s="45" t="s">
        <v>24</v>
      </c>
      <c r="Q43" s="14"/>
      <c r="R43" s="14"/>
      <c r="S43"/>
      <c r="T43" s="238"/>
      <c r="U43" s="59" t="s">
        <v>157</v>
      </c>
      <c r="V43" s="299">
        <v>43650</v>
      </c>
    </row>
    <row r="44" spans="1:24" s="230" customFormat="1" ht="17.399999999999999" x14ac:dyDescent="0.35">
      <c r="G44"/>
      <c r="L44" s="250"/>
      <c r="M44" s="13"/>
      <c r="N44" s="14"/>
      <c r="O44" s="17">
        <f>O42/O41</f>
        <v>2.2000000000000002</v>
      </c>
      <c r="P44" s="15"/>
      <c r="Q44"/>
      <c r="R44"/>
      <c r="S44"/>
      <c r="T44" s="238"/>
      <c r="U44" s="59" t="s">
        <v>159</v>
      </c>
      <c r="V44" s="300" t="s">
        <v>158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160</v>
      </c>
      <c r="V45" s="301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155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50"/>
    </row>
    <row r="49" spans="12:20" x14ac:dyDescent="0.3">
      <c r="L49" s="250"/>
      <c r="T49" s="270"/>
    </row>
    <row r="50" spans="12:20" x14ac:dyDescent="0.3">
      <c r="L50" s="250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147</v>
      </c>
    </row>
    <row r="79" spans="3:15" x14ac:dyDescent="0.3">
      <c r="C79" t="s">
        <v>146</v>
      </c>
    </row>
    <row r="82" spans="3:3" x14ac:dyDescent="0.3">
      <c r="C82" t="s">
        <v>146</v>
      </c>
    </row>
    <row r="159" spans="3:3" x14ac:dyDescent="0.3">
      <c r="C159" t="s">
        <v>146</v>
      </c>
    </row>
    <row r="160" spans="3:3" x14ac:dyDescent="0.3">
      <c r="C160" t="s">
        <v>148</v>
      </c>
    </row>
    <row r="161" spans="3:3" x14ac:dyDescent="0.3">
      <c r="C161" t="s">
        <v>149</v>
      </c>
    </row>
    <row r="586" spans="3:3" x14ac:dyDescent="0.3">
      <c r="C586" t="s">
        <v>146</v>
      </c>
    </row>
  </sheetData>
  <mergeCells count="2">
    <mergeCell ref="F17:H17"/>
    <mergeCell ref="B19:H19"/>
  </mergeCells>
  <hyperlinks>
    <hyperlink ref="F39" r:id="rId1" xr:uid="{694DFD42-0035-48EA-8E2A-59016D3B3316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EA6F-B679-420D-8F84-F949025410A2}">
  <sheetPr>
    <pageSetUpPr fitToPage="1"/>
  </sheetPr>
  <dimension ref="A2:Y585"/>
  <sheetViews>
    <sheetView topLeftCell="E15" zoomScale="93" zoomScaleNormal="93" workbookViewId="0">
      <selection activeCell="G25" sqref="G25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138404.44444444447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1.6</v>
      </c>
      <c r="E21" s="332">
        <v>0.7</v>
      </c>
      <c r="F21" s="329" t="s">
        <v>176</v>
      </c>
      <c r="G21" s="330">
        <v>83732</v>
      </c>
      <c r="H21" s="330">
        <f>G21*B21</f>
        <v>83732</v>
      </c>
      <c r="I21" s="319"/>
      <c r="J21" s="265"/>
      <c r="K21" s="47"/>
      <c r="L21" s="331"/>
      <c r="M21" s="39">
        <f>D21+M$19</f>
        <v>1.6500000000000001</v>
      </c>
      <c r="N21" s="39">
        <f>E21+$N$19</f>
        <v>0.72</v>
      </c>
      <c r="O21" s="261">
        <f t="shared" ref="O21:O24" si="1">M21*N21</f>
        <v>1.1879999999999999</v>
      </c>
      <c r="P21" s="259">
        <f t="shared" ref="P21:P24" si="2">O21*L21</f>
        <v>0</v>
      </c>
      <c r="Q21" s="252">
        <f t="shared" ref="Q21:Q24" si="3">Q$20*O21</f>
        <v>164424.48000000001</v>
      </c>
      <c r="R21" s="318">
        <f t="shared" ref="R21:R24" si="4">Q21+R$20</f>
        <v>174424.48</v>
      </c>
      <c r="S21" s="297">
        <f>M21*L21*2</f>
        <v>0</v>
      </c>
      <c r="T21" s="46">
        <f>N21*L21*2</f>
        <v>0</v>
      </c>
      <c r="U21" s="9"/>
      <c r="X21" s="4"/>
    </row>
    <row r="22" spans="2:25" ht="17.399999999999999" x14ac:dyDescent="0.3">
      <c r="B22" s="329"/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206123</v>
      </c>
      <c r="H22" s="330">
        <f>G22*B22</f>
        <v>0</v>
      </c>
      <c r="I22" s="319"/>
      <c r="J22" s="265"/>
      <c r="K22" s="335"/>
      <c r="L22" s="331">
        <f>B22</f>
        <v>0</v>
      </c>
      <c r="M22" s="39">
        <f>D22+M$19</f>
        <v>1.35</v>
      </c>
      <c r="N22" s="39">
        <f>E22+$N$19</f>
        <v>1.1200000000000001</v>
      </c>
      <c r="O22" s="261">
        <f t="shared" si="1"/>
        <v>1.5120000000000002</v>
      </c>
      <c r="P22" s="259">
        <f t="shared" si="2"/>
        <v>0</v>
      </c>
      <c r="Q22" s="252">
        <f t="shared" si="3"/>
        <v>209267.52000000008</v>
      </c>
      <c r="R22" s="318">
        <f t="shared" si="4"/>
        <v>219267.52000000008</v>
      </c>
      <c r="S22" s="297">
        <f t="shared" ref="S22:S24" si="5">M22*L22*2</f>
        <v>0</v>
      </c>
      <c r="T22" s="46">
        <f t="shared" ref="T22:T23" si="6">N22*L22*2</f>
        <v>0</v>
      </c>
      <c r="U22" s="9"/>
      <c r="X22" s="4"/>
    </row>
    <row r="23" spans="2:25" ht="17.399999999999999" x14ac:dyDescent="0.3">
      <c r="B23" s="329">
        <v>2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89721</v>
      </c>
      <c r="H23" s="330">
        <f t="shared" ref="H23:H26" si="7">G23*B23</f>
        <v>179442</v>
      </c>
      <c r="I23" s="319"/>
      <c r="J23" s="265"/>
      <c r="K23" s="47"/>
      <c r="L23" s="331">
        <f>B23</f>
        <v>2</v>
      </c>
      <c r="M23" s="39">
        <f t="shared" ref="M23:M24" si="8">D23+M$19</f>
        <v>0.8</v>
      </c>
      <c r="N23" s="39">
        <f t="shared" ref="N23:N24" si="9">E23+$N$19</f>
        <v>0.72</v>
      </c>
      <c r="O23" s="261">
        <f t="shared" si="1"/>
        <v>0.57599999999999996</v>
      </c>
      <c r="P23" s="259">
        <f t="shared" si="2"/>
        <v>1.1519999999999999</v>
      </c>
      <c r="Q23" s="252">
        <f t="shared" si="3"/>
        <v>79720.960000000006</v>
      </c>
      <c r="R23" s="318">
        <f t="shared" si="4"/>
        <v>89720.960000000006</v>
      </c>
      <c r="S23" s="297">
        <f t="shared" si="5"/>
        <v>3.2</v>
      </c>
      <c r="T23" s="46">
        <f t="shared" si="6"/>
        <v>2.88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1.6</v>
      </c>
      <c r="E24" s="332">
        <v>0.7</v>
      </c>
      <c r="F24" s="329" t="s">
        <v>178</v>
      </c>
      <c r="G24" s="330">
        <v>174424</v>
      </c>
      <c r="H24" s="330">
        <f t="shared" si="7"/>
        <v>174424</v>
      </c>
      <c r="I24" s="319"/>
      <c r="J24" s="265"/>
      <c r="K24" s="47"/>
      <c r="L24" s="331">
        <v>1</v>
      </c>
      <c r="M24" s="39">
        <f t="shared" si="8"/>
        <v>1.6500000000000001</v>
      </c>
      <c r="N24" s="39">
        <f t="shared" si="9"/>
        <v>0.72</v>
      </c>
      <c r="O24" s="261">
        <f t="shared" si="1"/>
        <v>1.1879999999999999</v>
      </c>
      <c r="P24" s="259">
        <f t="shared" si="2"/>
        <v>1.1879999999999999</v>
      </c>
      <c r="Q24" s="252">
        <f t="shared" si="3"/>
        <v>164424.48000000001</v>
      </c>
      <c r="R24" s="318">
        <f t="shared" si="4"/>
        <v>174424.48</v>
      </c>
      <c r="S24" s="297">
        <f t="shared" si="5"/>
        <v>3.3000000000000003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1.6</v>
      </c>
      <c r="E25" s="332">
        <v>0.1</v>
      </c>
      <c r="F25" s="329" t="s">
        <v>182</v>
      </c>
      <c r="G25" s="330">
        <v>14000</v>
      </c>
      <c r="H25" s="330">
        <f t="shared" si="7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459688</v>
      </c>
      <c r="I28" s="336">
        <v>0.35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2.88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87340.72</v>
      </c>
      <c r="I29" s="321">
        <f>H28*35%</f>
        <v>160890.79999999999</v>
      </c>
      <c r="J29" s="265"/>
      <c r="K29" s="47"/>
      <c r="L29" s="47"/>
      <c r="M29" s="39">
        <f>SUM(M21:M21)</f>
        <v>1.6500000000000001</v>
      </c>
      <c r="N29" s="12"/>
      <c r="O29" s="12"/>
      <c r="P29" s="253">
        <f>SUM(P21:P27)</f>
        <v>2.34</v>
      </c>
      <c r="Q29" s="14"/>
      <c r="R29" s="12"/>
      <c r="S29" s="239">
        <f>SUM(S21:S28)</f>
        <v>6.5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547028.72</v>
      </c>
      <c r="I30" s="321">
        <f>H28+I29</f>
        <v>620578.80000000005</v>
      </c>
      <c r="J30" s="265"/>
      <c r="K30" s="47"/>
      <c r="L30" s="47"/>
      <c r="M30" s="39"/>
      <c r="N30" s="12"/>
      <c r="O30" s="12"/>
      <c r="P30" s="253">
        <f>P29</f>
        <v>2.34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0.46799999999999997</v>
      </c>
      <c r="Q31" s="39" t="s">
        <v>129</v>
      </c>
      <c r="R31" s="42"/>
      <c r="S31" s="240">
        <f>T28+S29</f>
        <v>9.379999999999999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2.8079999999999998</v>
      </c>
      <c r="Q32" s="14"/>
      <c r="R32" s="14"/>
      <c r="S32" s="238">
        <f>S31*20%</f>
        <v>1.8759999999999999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11.255999999999998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P32*3</f>
        <v>8.4239999999999995</v>
      </c>
      <c r="N34" s="12">
        <v>3500</v>
      </c>
      <c r="O34" s="12">
        <f t="shared" ref="O34:O39" si="10">M34*N34</f>
        <v>29484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2</v>
      </c>
      <c r="N35" s="12">
        <v>23500</v>
      </c>
      <c r="O35" s="12">
        <f t="shared" si="10"/>
        <v>47000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0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2</v>
      </c>
      <c r="N37" s="250">
        <v>35364</v>
      </c>
      <c r="O37" s="12">
        <f t="shared" si="10"/>
        <v>70728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0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147212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323866.40000000002</v>
      </c>
      <c r="P41" s="14" t="s">
        <v>139</v>
      </c>
      <c r="Q41" s="14"/>
      <c r="R41" s="40">
        <f>P32/R40</f>
        <v>0.75711820534943908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138404.44444444447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2BCB3764-8163-4C65-803D-8D5354AFB7E4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0EB0-040E-4CC2-950C-8A174811D663}">
  <sheetPr>
    <pageSetUpPr fitToPage="1"/>
  </sheetPr>
  <dimension ref="A2:Y585"/>
  <sheetViews>
    <sheetView topLeftCell="D18" zoomScale="93" zoomScaleNormal="93" workbookViewId="0">
      <selection activeCell="G24" sqref="G24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142896.7375886525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0.7</v>
      </c>
      <c r="E21" s="332">
        <v>0.7</v>
      </c>
      <c r="F21" s="329" t="s">
        <v>176</v>
      </c>
      <c r="G21" s="330">
        <v>66815</v>
      </c>
      <c r="H21" s="330">
        <f>G21*B21</f>
        <v>66815</v>
      </c>
      <c r="I21" s="319"/>
      <c r="J21" s="265"/>
      <c r="K21" s="47"/>
      <c r="L21" s="331"/>
      <c r="M21" s="39">
        <f>D21+M$19</f>
        <v>0.75</v>
      </c>
      <c r="N21" s="39">
        <f>E21+$N$19</f>
        <v>0.72</v>
      </c>
      <c r="O21" s="261">
        <f t="shared" ref="O21:O24" si="1">M21*N21</f>
        <v>0.54</v>
      </c>
      <c r="P21" s="259">
        <f t="shared" ref="P21:P24" si="2">O21*L21</f>
        <v>0</v>
      </c>
      <c r="Q21" s="252">
        <f t="shared" ref="Q21:Q24" si="3">Q$20*O21</f>
        <v>77164.238297872347</v>
      </c>
      <c r="R21" s="318">
        <f t="shared" ref="R21:R24" si="4">Q21+R$20</f>
        <v>87164.238297872347</v>
      </c>
      <c r="S21" s="297">
        <f>M21*L21*2</f>
        <v>0</v>
      </c>
      <c r="T21" s="46">
        <f>N21*L21*2</f>
        <v>0</v>
      </c>
      <c r="U21" s="9"/>
      <c r="X21" s="4"/>
    </row>
    <row r="22" spans="2:25" ht="17.399999999999999" x14ac:dyDescent="0.3">
      <c r="B22" s="329">
        <v>2</v>
      </c>
      <c r="C22" s="334" t="s">
        <v>177</v>
      </c>
      <c r="D22" s="332">
        <v>0.3</v>
      </c>
      <c r="E22" s="332">
        <v>0.55000000000000004</v>
      </c>
      <c r="F22" s="329" t="s">
        <v>178</v>
      </c>
      <c r="G22" s="330">
        <v>38508</v>
      </c>
      <c r="H22" s="330">
        <f>G22*B22</f>
        <v>77016</v>
      </c>
      <c r="I22" s="319"/>
      <c r="J22" s="265"/>
      <c r="K22" s="335"/>
      <c r="L22" s="331">
        <f t="shared" ref="L22:L24" si="5">B22</f>
        <v>2</v>
      </c>
      <c r="M22" s="39">
        <f>D22+M$19</f>
        <v>0.35</v>
      </c>
      <c r="N22" s="39">
        <f>E22+$N$19</f>
        <v>0.57000000000000006</v>
      </c>
      <c r="O22" s="261">
        <f t="shared" si="1"/>
        <v>0.19950000000000001</v>
      </c>
      <c r="P22" s="259">
        <f t="shared" si="2"/>
        <v>0.39900000000000002</v>
      </c>
      <c r="Q22" s="252">
        <f t="shared" si="3"/>
        <v>28507.899148936176</v>
      </c>
      <c r="R22" s="318">
        <f t="shared" si="4"/>
        <v>38507.89914893618</v>
      </c>
      <c r="S22" s="297">
        <f t="shared" ref="S22:S24" si="6">M22*L22*2</f>
        <v>1.4</v>
      </c>
      <c r="T22" s="46">
        <f t="shared" ref="T22:T23" si="7">N22*L22*2</f>
        <v>2.2800000000000002</v>
      </c>
      <c r="U22" s="9"/>
      <c r="X22" s="4"/>
    </row>
    <row r="23" spans="2:25" ht="17.399999999999999" x14ac:dyDescent="0.3">
      <c r="B23" s="329">
        <v>2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92309</v>
      </c>
      <c r="H23" s="330">
        <f t="shared" ref="H23:H26" si="8">G23*B23</f>
        <v>184618</v>
      </c>
      <c r="I23" s="319"/>
      <c r="J23" s="265"/>
      <c r="K23" s="47"/>
      <c r="L23" s="331">
        <f t="shared" si="5"/>
        <v>2</v>
      </c>
      <c r="M23" s="39">
        <f t="shared" ref="M23:M24" si="9">D23+M$19</f>
        <v>0.8</v>
      </c>
      <c r="N23" s="39">
        <f t="shared" ref="N23:N24" si="10">E23+$N$19</f>
        <v>0.72</v>
      </c>
      <c r="O23" s="261">
        <f t="shared" si="1"/>
        <v>0.57599999999999996</v>
      </c>
      <c r="P23" s="259">
        <f t="shared" si="2"/>
        <v>1.1519999999999999</v>
      </c>
      <c r="Q23" s="252">
        <f t="shared" si="3"/>
        <v>82308.520851063833</v>
      </c>
      <c r="R23" s="318">
        <f t="shared" si="4"/>
        <v>92308.520851063833</v>
      </c>
      <c r="S23" s="297">
        <f t="shared" si="6"/>
        <v>3.2</v>
      </c>
      <c r="T23" s="46">
        <f t="shared" si="7"/>
        <v>2.88</v>
      </c>
      <c r="U23" s="9"/>
      <c r="X23" s="4"/>
    </row>
    <row r="24" spans="2:25" ht="17.399999999999999" x14ac:dyDescent="0.3">
      <c r="B24" s="329"/>
      <c r="C24" s="334" t="s">
        <v>180</v>
      </c>
      <c r="D24" s="332">
        <v>1.3</v>
      </c>
      <c r="E24" s="332">
        <v>0.7</v>
      </c>
      <c r="F24" s="329" t="s">
        <v>178</v>
      </c>
      <c r="G24" s="330">
        <v>136079</v>
      </c>
      <c r="H24" s="330">
        <f t="shared" si="8"/>
        <v>0</v>
      </c>
      <c r="I24" s="319"/>
      <c r="J24" s="265"/>
      <c r="K24" s="47"/>
      <c r="L24" s="331">
        <f t="shared" si="5"/>
        <v>0</v>
      </c>
      <c r="M24" s="39">
        <f t="shared" si="9"/>
        <v>1.35</v>
      </c>
      <c r="N24" s="39">
        <f t="shared" si="10"/>
        <v>0.72</v>
      </c>
      <c r="O24" s="261">
        <f t="shared" si="1"/>
        <v>0.97199999999999998</v>
      </c>
      <c r="P24" s="259">
        <f t="shared" si="2"/>
        <v>0</v>
      </c>
      <c r="Q24" s="252">
        <f t="shared" si="3"/>
        <v>138895.62893617022</v>
      </c>
      <c r="R24" s="318">
        <f t="shared" si="4"/>
        <v>148895.62893617022</v>
      </c>
      <c r="S24" s="297">
        <f t="shared" si="6"/>
        <v>0</v>
      </c>
      <c r="T24" s="46"/>
      <c r="U24" s="9"/>
      <c r="X24" s="4"/>
    </row>
    <row r="25" spans="2:25" ht="17.399999999999999" x14ac:dyDescent="0.3">
      <c r="B25" s="329"/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8"/>
        <v>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8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336539</v>
      </c>
      <c r="I28" s="336">
        <v>0.35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5.16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63942.41</v>
      </c>
      <c r="I29" s="321">
        <f>H28*35%</f>
        <v>117788.65</v>
      </c>
      <c r="J29" s="265"/>
      <c r="K29" s="47"/>
      <c r="L29" s="47"/>
      <c r="M29" s="39">
        <f>SUM(M21:M21)</f>
        <v>0.75</v>
      </c>
      <c r="N29" s="12"/>
      <c r="O29" s="12"/>
      <c r="P29" s="253">
        <f>SUM(P21:P27)</f>
        <v>1.5509999999999999</v>
      </c>
      <c r="Q29" s="14"/>
      <c r="R29" s="12"/>
      <c r="S29" s="239">
        <f>SUM(S21:S28)</f>
        <v>4.5999999999999996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400481.41000000003</v>
      </c>
      <c r="I30" s="321">
        <f>H28+I29</f>
        <v>454327.65</v>
      </c>
      <c r="J30" s="265"/>
      <c r="K30" s="47"/>
      <c r="L30" s="47"/>
      <c r="M30" s="39"/>
      <c r="N30" s="12"/>
      <c r="O30" s="12"/>
      <c r="P30" s="253">
        <f>P29</f>
        <v>1.5509999999999999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0.31020000000000003</v>
      </c>
      <c r="Q31" s="39" t="s">
        <v>129</v>
      </c>
      <c r="R31" s="42"/>
      <c r="S31" s="240">
        <f>T28+S29</f>
        <v>9.76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1.8612</v>
      </c>
      <c r="Q32" s="14"/>
      <c r="R32" s="14"/>
      <c r="S32" s="238">
        <f>S31*20%</f>
        <v>1.952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11.712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1.8612</v>
      </c>
      <c r="N34" s="12">
        <v>3500</v>
      </c>
      <c r="O34" s="12">
        <f t="shared" ref="O34:O39" si="11">M34*N34</f>
        <v>6514.2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1</v>
      </c>
      <c r="N35" s="12">
        <v>23500</v>
      </c>
      <c r="O35" s="12">
        <f t="shared" si="11"/>
        <v>23500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1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2</v>
      </c>
      <c r="N37" s="250">
        <v>35364</v>
      </c>
      <c r="O37" s="12">
        <f t="shared" si="11"/>
        <v>70728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1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1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100742.2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221632.84000000003</v>
      </c>
      <c r="P41" s="14" t="s">
        <v>139</v>
      </c>
      <c r="Q41" s="14"/>
      <c r="R41" s="40">
        <f>P32/R40</f>
        <v>0.50183347713546156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142896.7375886525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E02EC38D-D658-4E9C-99C2-1CC96A23482E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9032-60FA-4283-B32E-35A68C4D075B}">
  <sheetPr>
    <pageSetUpPr fitToPage="1"/>
  </sheetPr>
  <dimension ref="A2:Y585"/>
  <sheetViews>
    <sheetView topLeftCell="D11" zoomScale="93" zoomScaleNormal="93" workbookViewId="0">
      <selection activeCell="G25" sqref="G25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137786.14379084969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1.45</v>
      </c>
      <c r="E21" s="332">
        <v>0.7</v>
      </c>
      <c r="F21" s="329" t="s">
        <v>176</v>
      </c>
      <c r="G21" s="330">
        <v>84730</v>
      </c>
      <c r="H21" s="330">
        <f>G21*B21</f>
        <v>84730</v>
      </c>
      <c r="I21" s="319"/>
      <c r="J21" s="265"/>
      <c r="K21" s="47"/>
      <c r="L21" s="331"/>
      <c r="M21" s="39">
        <f>D21+M$19</f>
        <v>1.5</v>
      </c>
      <c r="N21" s="39">
        <f>E21+$N$19</f>
        <v>0.72</v>
      </c>
      <c r="O21" s="261">
        <f t="shared" ref="O21:O24" si="1">M21*N21</f>
        <v>1.08</v>
      </c>
      <c r="P21" s="259">
        <f t="shared" ref="P21:P24" si="2">O21*L21</f>
        <v>0</v>
      </c>
      <c r="Q21" s="252">
        <f t="shared" ref="Q21:Q24" si="3">Q$20*O21</f>
        <v>148809.03529411767</v>
      </c>
      <c r="R21" s="318">
        <f t="shared" ref="R21:R24" si="4">Q21+R$20</f>
        <v>158809.03529411767</v>
      </c>
      <c r="S21" s="297">
        <f>M21*L21*2</f>
        <v>0</v>
      </c>
      <c r="T21" s="46">
        <f>N21*L21*2</f>
        <v>0</v>
      </c>
      <c r="U21" s="9"/>
      <c r="X21" s="4"/>
    </row>
    <row r="22" spans="2:25" ht="17.399999999999999" x14ac:dyDescent="0.3">
      <c r="B22" s="329">
        <v>1</v>
      </c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218333</v>
      </c>
      <c r="H22" s="330">
        <f>G22*B22</f>
        <v>218333</v>
      </c>
      <c r="I22" s="319"/>
      <c r="J22" s="265"/>
      <c r="K22" s="335"/>
      <c r="L22" s="331">
        <v>1</v>
      </c>
      <c r="M22" s="39">
        <f>D22+M$19</f>
        <v>1.35</v>
      </c>
      <c r="N22" s="39">
        <f>E22+$N$19</f>
        <v>1.1200000000000001</v>
      </c>
      <c r="O22" s="261">
        <f t="shared" si="1"/>
        <v>1.5120000000000002</v>
      </c>
      <c r="P22" s="259">
        <f t="shared" si="2"/>
        <v>1.5120000000000002</v>
      </c>
      <c r="Q22" s="252">
        <f t="shared" si="3"/>
        <v>208332.64941176475</v>
      </c>
      <c r="R22" s="318">
        <f t="shared" si="4"/>
        <v>218332.64941176475</v>
      </c>
      <c r="S22" s="297">
        <f t="shared" ref="S22:S24" si="5">M22*L22*2</f>
        <v>2.7</v>
      </c>
      <c r="T22" s="46">
        <f t="shared" ref="T22:T23" si="6">N22*L22*2</f>
        <v>2.2400000000000002</v>
      </c>
      <c r="U22" s="9"/>
      <c r="X22" s="4"/>
    </row>
    <row r="23" spans="2:25" ht="17.399999999999999" x14ac:dyDescent="0.3">
      <c r="B23" s="329">
        <v>2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89365</v>
      </c>
      <c r="H23" s="330">
        <f t="shared" ref="H23:H26" si="7">G23*B23</f>
        <v>178730</v>
      </c>
      <c r="I23" s="319"/>
      <c r="J23" s="265"/>
      <c r="K23" s="47"/>
      <c r="L23" s="331">
        <v>1</v>
      </c>
      <c r="M23" s="39">
        <f t="shared" ref="M23:M24" si="8">D23+M$19</f>
        <v>0.8</v>
      </c>
      <c r="N23" s="39">
        <f t="shared" ref="N23:N24" si="9">E23+$N$19</f>
        <v>0.72</v>
      </c>
      <c r="O23" s="261">
        <f t="shared" si="1"/>
        <v>0.57599999999999996</v>
      </c>
      <c r="P23" s="259">
        <f t="shared" si="2"/>
        <v>0.57599999999999996</v>
      </c>
      <c r="Q23" s="252">
        <f t="shared" si="3"/>
        <v>79364.818823529407</v>
      </c>
      <c r="R23" s="318">
        <f t="shared" si="4"/>
        <v>89364.818823529407</v>
      </c>
      <c r="S23" s="297">
        <f t="shared" si="5"/>
        <v>1.6</v>
      </c>
      <c r="T23" s="46">
        <f t="shared" si="6"/>
        <v>1.44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1.3</v>
      </c>
      <c r="E24" s="332">
        <v>0.7</v>
      </c>
      <c r="F24" s="329" t="s">
        <v>178</v>
      </c>
      <c r="G24" s="330">
        <v>143928</v>
      </c>
      <c r="H24" s="330">
        <f t="shared" si="7"/>
        <v>143928</v>
      </c>
      <c r="I24" s="319"/>
      <c r="J24" s="265"/>
      <c r="K24" s="47"/>
      <c r="L24" s="331">
        <v>1</v>
      </c>
      <c r="M24" s="39">
        <f t="shared" si="8"/>
        <v>1.35</v>
      </c>
      <c r="N24" s="39">
        <f t="shared" si="9"/>
        <v>0.72</v>
      </c>
      <c r="O24" s="261">
        <f t="shared" si="1"/>
        <v>0.97199999999999998</v>
      </c>
      <c r="P24" s="259">
        <f t="shared" si="2"/>
        <v>0.97199999999999998</v>
      </c>
      <c r="Q24" s="252">
        <f t="shared" si="3"/>
        <v>133928.1317647059</v>
      </c>
      <c r="R24" s="318">
        <f t="shared" si="4"/>
        <v>143928.1317647059</v>
      </c>
      <c r="S24" s="297">
        <f t="shared" si="5"/>
        <v>2.7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7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647811</v>
      </c>
      <c r="I28" s="336">
        <v>0.35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3.68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123084.09</v>
      </c>
      <c r="I29" s="321">
        <f>H28*35%</f>
        <v>226733.84999999998</v>
      </c>
      <c r="J29" s="265"/>
      <c r="K29" s="47"/>
      <c r="L29" s="47"/>
      <c r="M29" s="39">
        <f>SUM(M21:M21)</f>
        <v>1.5</v>
      </c>
      <c r="N29" s="12"/>
      <c r="O29" s="12"/>
      <c r="P29" s="253">
        <f>SUM(P21:P27)</f>
        <v>3.06</v>
      </c>
      <c r="Q29" s="14"/>
      <c r="R29" s="12"/>
      <c r="S29" s="239">
        <f>SUM(S21:S28)</f>
        <v>7.0000000000000009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770895.09</v>
      </c>
      <c r="I30" s="321">
        <f>H28+I29</f>
        <v>874544.85</v>
      </c>
      <c r="J30" s="265"/>
      <c r="K30" s="47"/>
      <c r="L30" s="47"/>
      <c r="M30" s="39"/>
      <c r="N30" s="12"/>
      <c r="O30" s="12"/>
      <c r="P30" s="253">
        <f>P29</f>
        <v>3.06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0.6120000000000001</v>
      </c>
      <c r="Q31" s="39" t="s">
        <v>129</v>
      </c>
      <c r="R31" s="42"/>
      <c r="S31" s="240">
        <f>T28+S29</f>
        <v>10.680000000000001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3.6720000000000002</v>
      </c>
      <c r="Q32" s="14"/>
      <c r="R32" s="14"/>
      <c r="S32" s="238">
        <f>S31*20%</f>
        <v>2.1360000000000006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12.816000000000003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P32*3</f>
        <v>11.016</v>
      </c>
      <c r="N34" s="12">
        <v>3500</v>
      </c>
      <c r="O34" s="12">
        <f t="shared" ref="O34:O39" si="10">M34*N34</f>
        <v>38556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2</v>
      </c>
      <c r="N35" s="12">
        <v>23500</v>
      </c>
      <c r="O35" s="12">
        <f t="shared" si="10"/>
        <v>47000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0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3</v>
      </c>
      <c r="N37" s="250">
        <v>35364</v>
      </c>
      <c r="O37" s="12">
        <f t="shared" si="10"/>
        <v>106092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0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191648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421625.60000000003</v>
      </c>
      <c r="P41" s="14" t="s">
        <v>139</v>
      </c>
      <c r="Q41" s="14"/>
      <c r="R41" s="40">
        <f>P32/R40</f>
        <v>0.99007765314926666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137786.14379084969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AC478B01-F36F-4A3F-A852-7E8FD58ABCB8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3D4F-4E62-4475-9395-8FBCA3F1EB8B}">
  <sheetPr>
    <pageSetUpPr fitToPage="1"/>
  </sheetPr>
  <dimension ref="A2:Y585"/>
  <sheetViews>
    <sheetView topLeftCell="D18" zoomScale="93" zoomScaleNormal="93" workbookViewId="0">
      <selection activeCell="G25" sqref="G25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129711.07611548554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1.3</v>
      </c>
      <c r="E21" s="332">
        <v>0.7</v>
      </c>
      <c r="F21" s="329" t="s">
        <v>176</v>
      </c>
      <c r="G21" s="330">
        <v>83732</v>
      </c>
      <c r="H21" s="330">
        <f>G21*B21</f>
        <v>83732</v>
      </c>
      <c r="I21" s="319"/>
      <c r="J21" s="265"/>
      <c r="K21" s="47"/>
      <c r="L21" s="331"/>
      <c r="M21" s="39">
        <f>D21+M$19</f>
        <v>1.35</v>
      </c>
      <c r="N21" s="39">
        <f>E21+$N$19</f>
        <v>0.72</v>
      </c>
      <c r="O21" s="261">
        <f t="shared" ref="O21:O24" si="1">M21*N21</f>
        <v>0.97199999999999998</v>
      </c>
      <c r="P21" s="259">
        <f t="shared" ref="P21:P24" si="2">O21*L21</f>
        <v>0</v>
      </c>
      <c r="Q21" s="252">
        <f t="shared" ref="Q21:Q24" si="3">Q$20*O21</f>
        <v>126079.16598425194</v>
      </c>
      <c r="R21" s="318">
        <f t="shared" ref="R21:R24" si="4">Q21+R$20</f>
        <v>136079.16598425194</v>
      </c>
      <c r="S21" s="297">
        <f>M21*L21*2</f>
        <v>0</v>
      </c>
      <c r="T21" s="46">
        <f>N21*L21*2</f>
        <v>0</v>
      </c>
      <c r="U21" s="9"/>
      <c r="X21" s="4"/>
    </row>
    <row r="22" spans="2:25" ht="17.399999999999999" x14ac:dyDescent="0.3">
      <c r="B22" s="329">
        <v>2</v>
      </c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206123</v>
      </c>
      <c r="H22" s="330">
        <f>G22*B22</f>
        <v>412246</v>
      </c>
      <c r="I22" s="319"/>
      <c r="J22" s="265"/>
      <c r="K22" s="335"/>
      <c r="L22" s="331">
        <f>B22</f>
        <v>2</v>
      </c>
      <c r="M22" s="39">
        <f>D22+M$19</f>
        <v>1.35</v>
      </c>
      <c r="N22" s="39">
        <f>E22+$N$19</f>
        <v>1.1200000000000001</v>
      </c>
      <c r="O22" s="261">
        <f t="shared" si="1"/>
        <v>1.5120000000000002</v>
      </c>
      <c r="P22" s="259">
        <f t="shared" si="2"/>
        <v>3.0240000000000005</v>
      </c>
      <c r="Q22" s="252">
        <f t="shared" si="3"/>
        <v>196123.14708661416</v>
      </c>
      <c r="R22" s="318">
        <f t="shared" si="4"/>
        <v>206123.14708661416</v>
      </c>
      <c r="S22" s="297">
        <f t="shared" ref="S22:S24" si="5">M22*L22*2</f>
        <v>5.4</v>
      </c>
      <c r="T22" s="46">
        <f t="shared" ref="T22:T23" si="6">N22*L22*2</f>
        <v>4.4800000000000004</v>
      </c>
      <c r="U22" s="9"/>
      <c r="X22" s="4"/>
    </row>
    <row r="23" spans="2:25" ht="17.399999999999999" x14ac:dyDescent="0.3">
      <c r="B23" s="329">
        <v>1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84714</v>
      </c>
      <c r="H23" s="330">
        <f t="shared" ref="H23:H26" si="7">G23*B23</f>
        <v>84714</v>
      </c>
      <c r="I23" s="319"/>
      <c r="J23" s="265"/>
      <c r="K23" s="47"/>
      <c r="L23" s="331">
        <v>1</v>
      </c>
      <c r="M23" s="39">
        <f t="shared" ref="M23:M24" si="8">D23+M$19</f>
        <v>0.8</v>
      </c>
      <c r="N23" s="39">
        <f t="shared" ref="N23:N24" si="9">E23+$N$19</f>
        <v>0.72</v>
      </c>
      <c r="O23" s="261">
        <f t="shared" si="1"/>
        <v>0.57599999999999996</v>
      </c>
      <c r="P23" s="259">
        <f t="shared" si="2"/>
        <v>0.57599999999999996</v>
      </c>
      <c r="Q23" s="252">
        <f t="shared" si="3"/>
        <v>74713.57984251967</v>
      </c>
      <c r="R23" s="318">
        <f t="shared" si="4"/>
        <v>84713.57984251967</v>
      </c>
      <c r="S23" s="297">
        <f t="shared" si="5"/>
        <v>1.6</v>
      </c>
      <c r="T23" s="46">
        <f t="shared" si="6"/>
        <v>1.44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1.3</v>
      </c>
      <c r="E24" s="332">
        <v>0.7</v>
      </c>
      <c r="F24" s="329" t="s">
        <v>178</v>
      </c>
      <c r="G24" s="330">
        <v>136079</v>
      </c>
      <c r="H24" s="330">
        <f t="shared" si="7"/>
        <v>136079</v>
      </c>
      <c r="I24" s="319"/>
      <c r="J24" s="265"/>
      <c r="K24" s="47"/>
      <c r="L24" s="331">
        <v>1</v>
      </c>
      <c r="M24" s="39">
        <f t="shared" si="8"/>
        <v>1.35</v>
      </c>
      <c r="N24" s="39">
        <f t="shared" si="9"/>
        <v>0.72</v>
      </c>
      <c r="O24" s="261">
        <f t="shared" si="1"/>
        <v>0.97199999999999998</v>
      </c>
      <c r="P24" s="259">
        <f t="shared" si="2"/>
        <v>0.97199999999999998</v>
      </c>
      <c r="Q24" s="252">
        <f t="shared" si="3"/>
        <v>126079.16598425194</v>
      </c>
      <c r="R24" s="318">
        <f t="shared" si="4"/>
        <v>136079.16598425194</v>
      </c>
      <c r="S24" s="297">
        <f t="shared" si="5"/>
        <v>2.7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7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738861</v>
      </c>
      <c r="I28" s="336">
        <v>0.35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5.92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140383.59</v>
      </c>
      <c r="I29" s="321">
        <f>H28*35%</f>
        <v>258601.34999999998</v>
      </c>
      <c r="J29" s="265"/>
      <c r="K29" s="47"/>
      <c r="L29" s="47"/>
      <c r="M29" s="39">
        <f>SUM(M21:M21)</f>
        <v>1.35</v>
      </c>
      <c r="N29" s="12"/>
      <c r="O29" s="12"/>
      <c r="P29" s="253">
        <f>SUM(P21:P27)</f>
        <v>4.572000000000001</v>
      </c>
      <c r="Q29" s="14"/>
      <c r="R29" s="12"/>
      <c r="S29" s="239">
        <f>SUM(S21:S28)</f>
        <v>9.6999999999999993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879244.59</v>
      </c>
      <c r="I30" s="321">
        <f>H28+I29</f>
        <v>997462.35</v>
      </c>
      <c r="J30" s="265"/>
      <c r="K30" s="47"/>
      <c r="L30" s="47"/>
      <c r="M30" s="39"/>
      <c r="N30" s="12"/>
      <c r="O30" s="12"/>
      <c r="P30" s="253">
        <f>P29</f>
        <v>4.572000000000001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0.91440000000000021</v>
      </c>
      <c r="Q31" s="39" t="s">
        <v>129</v>
      </c>
      <c r="R31" s="42"/>
      <c r="S31" s="240">
        <f>T28+S29</f>
        <v>15.62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5.4864000000000015</v>
      </c>
      <c r="Q32" s="14"/>
      <c r="R32" s="14"/>
      <c r="S32" s="238">
        <f>S31*20%</f>
        <v>3.1240000000000001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18.744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P32*3</f>
        <v>16.459200000000003</v>
      </c>
      <c r="N34" s="12">
        <v>3500</v>
      </c>
      <c r="O34" s="12">
        <f t="shared" ref="O34:O39" si="10">M34*N34</f>
        <v>57607.200000000012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3</v>
      </c>
      <c r="N35" s="12">
        <v>23500</v>
      </c>
      <c r="O35" s="12">
        <f t="shared" si="10"/>
        <v>70500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0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4</v>
      </c>
      <c r="N37" s="250">
        <v>35364</v>
      </c>
      <c r="O37" s="12">
        <f t="shared" si="10"/>
        <v>141456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0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269563.2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593039.04</v>
      </c>
      <c r="P41" s="14" t="s">
        <v>139</v>
      </c>
      <c r="Q41" s="14"/>
      <c r="R41" s="40">
        <f>P32/R40</f>
        <v>1.4792924935289047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129711.07611548554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85008F91-8DC5-4AE7-AF8B-F55645374697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1A30-6E09-47CF-9354-EA922FC5CA60}">
  <sheetPr>
    <pageSetUpPr fitToPage="1"/>
  </sheetPr>
  <dimension ref="A2:Y585"/>
  <sheetViews>
    <sheetView topLeftCell="A18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78417.777777777781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1.25</v>
      </c>
      <c r="E21" s="332">
        <v>0.7</v>
      </c>
      <c r="F21" s="329" t="s">
        <v>176</v>
      </c>
      <c r="G21" s="330">
        <v>83399</v>
      </c>
      <c r="H21" s="330">
        <f>G21*B21</f>
        <v>83399</v>
      </c>
      <c r="I21" s="319"/>
      <c r="J21" s="265"/>
      <c r="K21" s="47"/>
      <c r="L21" s="331">
        <v>1</v>
      </c>
      <c r="M21" s="39">
        <f>D21+M$19</f>
        <v>1.3</v>
      </c>
      <c r="N21" s="39">
        <f>E21+$N$19</f>
        <v>0.72</v>
      </c>
      <c r="O21" s="261">
        <f t="shared" ref="O21:O24" si="1">M21*N21</f>
        <v>0.93599999999999994</v>
      </c>
      <c r="P21" s="259">
        <f t="shared" ref="P21:P24" si="2">O21*L21</f>
        <v>0.93599999999999994</v>
      </c>
      <c r="Q21" s="252">
        <f t="shared" ref="Q21:Q24" si="3">Q$20*O21</f>
        <v>73399.039999999994</v>
      </c>
      <c r="R21" s="318">
        <f t="shared" ref="R21:R24" si="4">Q21+R$20</f>
        <v>83399.039999999994</v>
      </c>
      <c r="S21" s="297">
        <f>M21*L21*2</f>
        <v>2.6</v>
      </c>
      <c r="T21" s="46">
        <f>N21*L21*2</f>
        <v>1.44</v>
      </c>
      <c r="U21" s="9"/>
      <c r="X21" s="4"/>
    </row>
    <row r="22" spans="2:25" ht="17.399999999999999" x14ac:dyDescent="0.3">
      <c r="B22" s="329"/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214507</v>
      </c>
      <c r="H22" s="330">
        <f>G22*B22</f>
        <v>0</v>
      </c>
      <c r="I22" s="319"/>
      <c r="J22" s="265"/>
      <c r="K22" s="335"/>
      <c r="L22" s="331"/>
      <c r="M22" s="39">
        <f>D22+M$19</f>
        <v>1.35</v>
      </c>
      <c r="N22" s="39">
        <f>E22+$N$19</f>
        <v>1.1200000000000001</v>
      </c>
      <c r="O22" s="261">
        <f t="shared" si="1"/>
        <v>1.5120000000000002</v>
      </c>
      <c r="P22" s="259">
        <f t="shared" si="2"/>
        <v>0</v>
      </c>
      <c r="Q22" s="252">
        <f t="shared" si="3"/>
        <v>118567.68000000002</v>
      </c>
      <c r="R22" s="318">
        <f t="shared" si="4"/>
        <v>128567.68000000002</v>
      </c>
      <c r="S22" s="297">
        <f t="shared" ref="S22:S24" si="5">M22*L22*2</f>
        <v>0</v>
      </c>
      <c r="T22" s="46">
        <f t="shared" ref="T22:T23" si="6">N22*L22*2</f>
        <v>0</v>
      </c>
      <c r="U22" s="9"/>
      <c r="X22" s="4"/>
    </row>
    <row r="23" spans="2:25" ht="17.399999999999999" x14ac:dyDescent="0.3">
      <c r="B23" s="329">
        <v>2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99674</v>
      </c>
      <c r="H23" s="330">
        <f t="shared" ref="H23:H26" si="7">G23*B23</f>
        <v>199348</v>
      </c>
      <c r="I23" s="319"/>
      <c r="J23" s="265"/>
      <c r="K23" s="47"/>
      <c r="L23" s="331"/>
      <c r="M23" s="39">
        <f t="shared" ref="M23:M24" si="8">D23+M$19</f>
        <v>0.8</v>
      </c>
      <c r="N23" s="39">
        <f t="shared" ref="N23:N24" si="9">E23+$N$19</f>
        <v>0.72</v>
      </c>
      <c r="O23" s="261">
        <f t="shared" si="1"/>
        <v>0.57599999999999996</v>
      </c>
      <c r="P23" s="259">
        <f t="shared" si="2"/>
        <v>0</v>
      </c>
      <c r="Q23" s="252">
        <f t="shared" si="3"/>
        <v>45168.639999999999</v>
      </c>
      <c r="R23" s="318">
        <f t="shared" si="4"/>
        <v>55168.639999999999</v>
      </c>
      <c r="S23" s="297">
        <f t="shared" si="5"/>
        <v>0</v>
      </c>
      <c r="T23" s="46">
        <f t="shared" si="6"/>
        <v>0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1.4</v>
      </c>
      <c r="E24" s="332">
        <v>0.7</v>
      </c>
      <c r="F24" s="329" t="s">
        <v>178</v>
      </c>
      <c r="G24" s="330">
        <v>172534</v>
      </c>
      <c r="H24" s="330">
        <f t="shared" si="7"/>
        <v>172534</v>
      </c>
      <c r="I24" s="319"/>
      <c r="J24" s="265"/>
      <c r="K24" s="47"/>
      <c r="L24" s="331"/>
      <c r="M24" s="39">
        <f t="shared" si="8"/>
        <v>1.45</v>
      </c>
      <c r="N24" s="39">
        <f t="shared" si="9"/>
        <v>0.72</v>
      </c>
      <c r="O24" s="261">
        <f t="shared" si="1"/>
        <v>1.044</v>
      </c>
      <c r="P24" s="259">
        <f t="shared" si="2"/>
        <v>0</v>
      </c>
      <c r="Q24" s="252">
        <f t="shared" si="3"/>
        <v>81868.160000000003</v>
      </c>
      <c r="R24" s="318">
        <f t="shared" si="4"/>
        <v>91868.160000000003</v>
      </c>
      <c r="S24" s="297">
        <f t="shared" si="5"/>
        <v>0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7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477371</v>
      </c>
      <c r="I28" s="336">
        <v>0.35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1.44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90700.49</v>
      </c>
      <c r="I29" s="321">
        <f>H28*35%</f>
        <v>167079.84999999998</v>
      </c>
      <c r="J29" s="265"/>
      <c r="K29" s="47"/>
      <c r="L29" s="47"/>
      <c r="M29" s="39">
        <f>SUM(M21:M21)</f>
        <v>1.3</v>
      </c>
      <c r="N29" s="12"/>
      <c r="O29" s="12"/>
      <c r="P29" s="253">
        <f>SUM(P21:P27)</f>
        <v>0.93599999999999994</v>
      </c>
      <c r="Q29" s="14"/>
      <c r="R29" s="12"/>
      <c r="S29" s="239">
        <f>SUM(S21:S28)</f>
        <v>2.6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568071.49</v>
      </c>
      <c r="I30" s="321">
        <f>H28+I29</f>
        <v>644450.85</v>
      </c>
      <c r="J30" s="265"/>
      <c r="K30" s="47"/>
      <c r="L30" s="47"/>
      <c r="M30" s="39"/>
      <c r="N30" s="12"/>
      <c r="O30" s="12"/>
      <c r="P30" s="253">
        <f>P29</f>
        <v>0.93599999999999994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0.18720000000000001</v>
      </c>
      <c r="Q31" s="39" t="s">
        <v>129</v>
      </c>
      <c r="R31" s="42"/>
      <c r="S31" s="240">
        <f>T28+S29</f>
        <v>4.04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1.1232</v>
      </c>
      <c r="Q32" s="14"/>
      <c r="R32" s="14"/>
      <c r="S32" s="238">
        <f>S31*20%</f>
        <v>0.80800000000000005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4.8479999999999999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1.1232</v>
      </c>
      <c r="N34" s="12">
        <v>3500</v>
      </c>
      <c r="O34" s="12">
        <f t="shared" ref="O34:O39" si="10">M34*N34</f>
        <v>3931.2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0.5</v>
      </c>
      <c r="N35" s="12">
        <v>23500</v>
      </c>
      <c r="O35" s="12">
        <f t="shared" si="10"/>
        <v>11750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0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 t="s">
        <v>184</v>
      </c>
      <c r="J37" s="262"/>
      <c r="K37" s="232"/>
      <c r="L37" s="250"/>
      <c r="M37" s="14">
        <v>0.5</v>
      </c>
      <c r="N37" s="250">
        <v>35364</v>
      </c>
      <c r="O37" s="12">
        <f t="shared" si="10"/>
        <v>17682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0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33363.199999999997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73399.039999999994</v>
      </c>
      <c r="P41" s="14" t="s">
        <v>139</v>
      </c>
      <c r="Q41" s="14"/>
      <c r="R41" s="40">
        <f>P32/R40</f>
        <v>0.30284728213977563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78417.777777777781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B08389EB-6BAD-4AF0-BEA1-3BC97C2EF7CA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CC98-129F-4356-820A-8F3AF42ABD6C}">
  <sheetPr>
    <pageSetUpPr fitToPage="1"/>
  </sheetPr>
  <dimension ref="A2:Y585"/>
  <sheetViews>
    <sheetView topLeftCell="D18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89741.455938697327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1.4</v>
      </c>
      <c r="E21" s="332">
        <v>0.7</v>
      </c>
      <c r="F21" s="329" t="s">
        <v>176</v>
      </c>
      <c r="G21" s="330">
        <v>103690</v>
      </c>
      <c r="H21" s="330">
        <f>G21*B21</f>
        <v>103690</v>
      </c>
      <c r="I21" s="319"/>
      <c r="J21" s="265"/>
      <c r="K21" s="47"/>
      <c r="L21" s="331">
        <v>1</v>
      </c>
      <c r="M21" s="39">
        <f>D21+M$19</f>
        <v>1.45</v>
      </c>
      <c r="N21" s="39">
        <f>E21+$N$19</f>
        <v>0.72</v>
      </c>
      <c r="O21" s="261">
        <f t="shared" ref="O21:O24" si="1">M21*N21</f>
        <v>1.044</v>
      </c>
      <c r="P21" s="259">
        <f t="shared" ref="P21:P24" si="2">O21*L21</f>
        <v>1.044</v>
      </c>
      <c r="Q21" s="252">
        <f t="shared" ref="Q21:Q24" si="3">Q$20*O21</f>
        <v>93690.080000000016</v>
      </c>
      <c r="R21" s="318">
        <f t="shared" ref="R21:R24" si="4">Q21+R$20</f>
        <v>103690.08000000002</v>
      </c>
      <c r="S21" s="297">
        <f>M21*L21*2</f>
        <v>2.9</v>
      </c>
      <c r="T21" s="46">
        <f>N21*L21*2</f>
        <v>1.44</v>
      </c>
      <c r="U21" s="9"/>
      <c r="X21" s="4"/>
    </row>
    <row r="22" spans="2:25" ht="17.399999999999999" x14ac:dyDescent="0.3">
      <c r="B22" s="329"/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214507</v>
      </c>
      <c r="H22" s="330">
        <f>G22*B22</f>
        <v>0</v>
      </c>
      <c r="I22" s="319"/>
      <c r="J22" s="265"/>
      <c r="K22" s="335"/>
      <c r="L22" s="331"/>
      <c r="M22" s="39">
        <f>D22+M$19</f>
        <v>1.35</v>
      </c>
      <c r="N22" s="39">
        <f>E22+$N$19</f>
        <v>1.1200000000000001</v>
      </c>
      <c r="O22" s="261">
        <f t="shared" si="1"/>
        <v>1.5120000000000002</v>
      </c>
      <c r="P22" s="259">
        <f t="shared" si="2"/>
        <v>0</v>
      </c>
      <c r="Q22" s="252">
        <f t="shared" si="3"/>
        <v>135689.08137931037</v>
      </c>
      <c r="R22" s="318">
        <f t="shared" si="4"/>
        <v>145689.08137931037</v>
      </c>
      <c r="S22" s="297">
        <f t="shared" ref="S22:S24" si="5">M22*L22*2</f>
        <v>0</v>
      </c>
      <c r="T22" s="46">
        <f t="shared" ref="T22:T23" si="6">N22*L22*2</f>
        <v>0</v>
      </c>
      <c r="U22" s="9"/>
      <c r="X22" s="4"/>
    </row>
    <row r="23" spans="2:25" ht="17.399999999999999" x14ac:dyDescent="0.3">
      <c r="B23" s="329">
        <v>2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99674</v>
      </c>
      <c r="H23" s="330">
        <f t="shared" ref="H23:H26" si="7">G23*B23</f>
        <v>199348</v>
      </c>
      <c r="I23" s="319"/>
      <c r="J23" s="265"/>
      <c r="K23" s="47"/>
      <c r="L23" s="331"/>
      <c r="M23" s="39">
        <f t="shared" ref="M23:M24" si="8">D23+M$19</f>
        <v>0.8</v>
      </c>
      <c r="N23" s="39">
        <f t="shared" ref="N23:N24" si="9">E23+$N$19</f>
        <v>0.72</v>
      </c>
      <c r="O23" s="261">
        <f t="shared" si="1"/>
        <v>0.57599999999999996</v>
      </c>
      <c r="P23" s="259">
        <f t="shared" si="2"/>
        <v>0</v>
      </c>
      <c r="Q23" s="252">
        <f t="shared" si="3"/>
        <v>51691.078620689659</v>
      </c>
      <c r="R23" s="318">
        <f t="shared" si="4"/>
        <v>61691.078620689659</v>
      </c>
      <c r="S23" s="297">
        <f t="shared" si="5"/>
        <v>0</v>
      </c>
      <c r="T23" s="46">
        <f t="shared" si="6"/>
        <v>0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1.4</v>
      </c>
      <c r="E24" s="332">
        <v>0.7</v>
      </c>
      <c r="F24" s="329" t="s">
        <v>178</v>
      </c>
      <c r="G24" s="330">
        <v>172534</v>
      </c>
      <c r="H24" s="330">
        <f t="shared" si="7"/>
        <v>172534</v>
      </c>
      <c r="I24" s="319"/>
      <c r="J24" s="265"/>
      <c r="K24" s="47"/>
      <c r="L24" s="331"/>
      <c r="M24" s="39">
        <f t="shared" si="8"/>
        <v>1.45</v>
      </c>
      <c r="N24" s="39">
        <f t="shared" si="9"/>
        <v>0.72</v>
      </c>
      <c r="O24" s="261">
        <f t="shared" si="1"/>
        <v>1.044</v>
      </c>
      <c r="P24" s="259">
        <f t="shared" si="2"/>
        <v>0</v>
      </c>
      <c r="Q24" s="252">
        <f t="shared" si="3"/>
        <v>93690.080000000016</v>
      </c>
      <c r="R24" s="318">
        <f t="shared" si="4"/>
        <v>103690.08000000002</v>
      </c>
      <c r="S24" s="297">
        <f t="shared" si="5"/>
        <v>0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7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7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497662</v>
      </c>
      <c r="I28" s="336">
        <v>0.35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1.44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94555.78</v>
      </c>
      <c r="I29" s="321">
        <f>H28*35%</f>
        <v>174181.69999999998</v>
      </c>
      <c r="J29" s="265"/>
      <c r="K29" s="47"/>
      <c r="L29" s="47"/>
      <c r="M29" s="39">
        <f>SUM(M21:M21)</f>
        <v>1.45</v>
      </c>
      <c r="N29" s="12"/>
      <c r="O29" s="12"/>
      <c r="P29" s="253">
        <f>SUM(P21:P27)</f>
        <v>1.044</v>
      </c>
      <c r="Q29" s="14"/>
      <c r="R29" s="12"/>
      <c r="S29" s="239">
        <f>SUM(S21:S28)</f>
        <v>2.9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592217.78</v>
      </c>
      <c r="I30" s="321">
        <f>H28+I29</f>
        <v>671843.7</v>
      </c>
      <c r="J30" s="265"/>
      <c r="K30" s="47"/>
      <c r="L30" s="47"/>
      <c r="M30" s="39"/>
      <c r="N30" s="12"/>
      <c r="O30" s="12"/>
      <c r="P30" s="253">
        <f>P29</f>
        <v>1.044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0.20880000000000001</v>
      </c>
      <c r="Q31" s="39" t="s">
        <v>129</v>
      </c>
      <c r="R31" s="42"/>
      <c r="S31" s="240">
        <f>T28+S29</f>
        <v>4.34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1.2528000000000001</v>
      </c>
      <c r="Q32" s="14"/>
      <c r="R32" s="14"/>
      <c r="S32" s="238">
        <f>S31*20%</f>
        <v>0.86799999999999999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5.2080000000000002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P32*3</f>
        <v>3.7584000000000004</v>
      </c>
      <c r="N34" s="12">
        <v>3500</v>
      </c>
      <c r="O34" s="12">
        <f t="shared" ref="O34:O39" si="10">M34*N34</f>
        <v>13154.400000000001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0.5</v>
      </c>
      <c r="N35" s="12">
        <v>23500</v>
      </c>
      <c r="O35" s="12">
        <f t="shared" si="10"/>
        <v>11750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10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 t="s">
        <v>184</v>
      </c>
      <c r="J37" s="262"/>
      <c r="K37" s="232"/>
      <c r="L37" s="250"/>
      <c r="M37" s="14">
        <v>0.5</v>
      </c>
      <c r="N37" s="250">
        <v>35364</v>
      </c>
      <c r="O37" s="12">
        <f t="shared" si="10"/>
        <v>17682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0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10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42586.400000000001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93690.080000000016</v>
      </c>
      <c r="P41" s="14" t="s">
        <v>139</v>
      </c>
      <c r="Q41" s="14"/>
      <c r="R41" s="40">
        <f>P32/R40</f>
        <v>0.33779119930974982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89741.455938697327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hyperlinks>
    <hyperlink ref="F38" r:id="rId1" xr:uid="{786D0F2A-80F9-417E-83E4-E6867DBB4772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opLeftCell="D19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 t="s">
        <v>174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126</v>
      </c>
      <c r="G12" s="277" t="s">
        <v>134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169</v>
      </c>
      <c r="D15" s="309"/>
      <c r="F15" t="s">
        <v>133</v>
      </c>
      <c r="G15" s="308" t="s">
        <v>134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162</v>
      </c>
      <c r="H16" s="248"/>
    </row>
    <row r="17" spans="2:25" ht="15" thickBot="1" x14ac:dyDescent="0.35">
      <c r="B17" s="310" t="s">
        <v>13</v>
      </c>
      <c r="C17" s="311" t="s">
        <v>165</v>
      </c>
      <c r="D17" s="312"/>
      <c r="E17" s="119"/>
      <c r="F17" s="337" t="s">
        <v>164</v>
      </c>
      <c r="G17" s="337"/>
      <c r="H17" s="338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9" t="s">
        <v>94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0.05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69194.074074074073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34" t="s">
        <v>175</v>
      </c>
      <c r="D21" s="332">
        <v>1.45</v>
      </c>
      <c r="E21" s="332">
        <v>0.7</v>
      </c>
      <c r="F21" s="329" t="s">
        <v>176</v>
      </c>
      <c r="G21" s="330">
        <v>84730</v>
      </c>
      <c r="H21" s="330">
        <f>G21*B21</f>
        <v>84730</v>
      </c>
      <c r="I21" s="319"/>
      <c r="J21" s="265"/>
      <c r="K21" s="47"/>
      <c r="L21" s="331">
        <v>1</v>
      </c>
      <c r="M21" s="39">
        <f>D21+M$19</f>
        <v>1.5</v>
      </c>
      <c r="N21" s="39">
        <f>E21+$N$19</f>
        <v>0.72</v>
      </c>
      <c r="O21" s="261">
        <f t="shared" ref="O21" si="1">M21*N21</f>
        <v>1.08</v>
      </c>
      <c r="P21" s="259">
        <f t="shared" ref="P21" si="2">O21*L21</f>
        <v>1.08</v>
      </c>
      <c r="Q21" s="252">
        <f t="shared" ref="Q21" si="3">Q$20*O21</f>
        <v>74729.600000000006</v>
      </c>
      <c r="R21" s="318">
        <f t="shared" ref="R21" si="4">Q21+R$20</f>
        <v>84729.600000000006</v>
      </c>
      <c r="S21" s="297">
        <f>M21*L21*2</f>
        <v>3</v>
      </c>
      <c r="T21" s="46">
        <f>N21*L21*2</f>
        <v>1.44</v>
      </c>
      <c r="U21" s="9"/>
      <c r="X21" s="4"/>
    </row>
    <row r="22" spans="2:25" ht="17.399999999999999" x14ac:dyDescent="0.3">
      <c r="B22" s="329">
        <v>1</v>
      </c>
      <c r="C22" s="334" t="s">
        <v>177</v>
      </c>
      <c r="D22" s="332">
        <v>1.3</v>
      </c>
      <c r="E22" s="332">
        <v>1.1000000000000001</v>
      </c>
      <c r="F22" s="329" t="s">
        <v>178</v>
      </c>
      <c r="G22" s="330">
        <v>214134</v>
      </c>
      <c r="H22" s="330">
        <f>G22*B22</f>
        <v>214134</v>
      </c>
      <c r="I22" s="319"/>
      <c r="J22" s="265"/>
      <c r="K22" s="335"/>
      <c r="L22" s="331"/>
      <c r="M22" s="39">
        <f>D22+M$19</f>
        <v>1.35</v>
      </c>
      <c r="N22" s="39">
        <f>E22+$N$19</f>
        <v>1.1200000000000001</v>
      </c>
      <c r="O22" s="261">
        <f t="shared" ref="O22" si="5">M22*N22</f>
        <v>1.5120000000000002</v>
      </c>
      <c r="P22" s="259">
        <f t="shared" ref="P22" si="6">O22*L22</f>
        <v>0</v>
      </c>
      <c r="Q22" s="252">
        <f t="shared" ref="Q22" si="7">Q$20*O22</f>
        <v>104621.44000000002</v>
      </c>
      <c r="R22" s="318">
        <f t="shared" ref="R22" si="8">Q22+R$20</f>
        <v>114621.44000000002</v>
      </c>
      <c r="S22" s="297">
        <f t="shared" ref="S22:S23" si="9">M22*L22*2</f>
        <v>0</v>
      </c>
      <c r="T22" s="46">
        <f t="shared" ref="T22:T23" si="10">N22*L22*2</f>
        <v>0</v>
      </c>
      <c r="U22" s="9"/>
      <c r="X22" s="4"/>
    </row>
    <row r="23" spans="2:25" ht="17.399999999999999" x14ac:dyDescent="0.3">
      <c r="B23" s="329">
        <v>1</v>
      </c>
      <c r="C23" s="334" t="s">
        <v>179</v>
      </c>
      <c r="D23" s="332">
        <v>0.75</v>
      </c>
      <c r="E23" s="332">
        <v>0.7</v>
      </c>
      <c r="F23" s="329" t="s">
        <v>178</v>
      </c>
      <c r="G23" s="330">
        <v>87765</v>
      </c>
      <c r="H23" s="330">
        <f t="shared" ref="H23:H26" si="11">G23*B23</f>
        <v>87765</v>
      </c>
      <c r="I23" s="319"/>
      <c r="J23" s="265"/>
      <c r="K23" s="47"/>
      <c r="L23" s="331"/>
      <c r="M23" s="39">
        <f t="shared" ref="M23" si="12">D23+M$19</f>
        <v>0.8</v>
      </c>
      <c r="N23" s="39">
        <f t="shared" ref="N23" si="13">E23+$N$19</f>
        <v>0.72</v>
      </c>
      <c r="O23" s="261">
        <f t="shared" ref="O23" si="14">M23*N23</f>
        <v>0.57599999999999996</v>
      </c>
      <c r="P23" s="259">
        <f t="shared" ref="P23" si="15">O23*L23</f>
        <v>0</v>
      </c>
      <c r="Q23" s="252">
        <f t="shared" ref="Q23" si="16">Q$20*O23</f>
        <v>39855.78666666666</v>
      </c>
      <c r="R23" s="318">
        <f t="shared" ref="R23" si="17">Q23+R$20</f>
        <v>49855.78666666666</v>
      </c>
      <c r="S23" s="297">
        <f t="shared" si="9"/>
        <v>0</v>
      </c>
      <c r="T23" s="46">
        <f t="shared" si="10"/>
        <v>0</v>
      </c>
      <c r="U23" s="9"/>
      <c r="X23" s="4"/>
    </row>
    <row r="24" spans="2:25" ht="17.399999999999999" x14ac:dyDescent="0.3">
      <c r="B24" s="329">
        <v>1</v>
      </c>
      <c r="C24" s="334" t="s">
        <v>180</v>
      </c>
      <c r="D24" s="332">
        <v>1.41</v>
      </c>
      <c r="E24" s="332">
        <v>0.7</v>
      </c>
      <c r="F24" s="329" t="s">
        <v>178</v>
      </c>
      <c r="G24" s="330">
        <v>151922</v>
      </c>
      <c r="H24" s="330">
        <f t="shared" si="11"/>
        <v>151922</v>
      </c>
      <c r="I24" s="319"/>
      <c r="J24" s="265"/>
      <c r="K24" s="47"/>
      <c r="L24" s="331"/>
      <c r="M24" s="39">
        <f t="shared" ref="M24" si="18">D24+M$19</f>
        <v>1.46</v>
      </c>
      <c r="N24" s="39">
        <f t="shared" ref="N24" si="19">E24+$N$19</f>
        <v>0.72</v>
      </c>
      <c r="O24" s="261">
        <f t="shared" ref="O24" si="20">M24*N24</f>
        <v>1.0511999999999999</v>
      </c>
      <c r="P24" s="259">
        <f t="shared" ref="P24" si="21">O24*L24</f>
        <v>0</v>
      </c>
      <c r="Q24" s="252">
        <f t="shared" ref="Q24" si="22">Q$20*O24</f>
        <v>72736.810666666657</v>
      </c>
      <c r="R24" s="318">
        <f t="shared" ref="R24" si="23">Q24+R$20</f>
        <v>82736.810666666657</v>
      </c>
      <c r="S24" s="297">
        <f t="shared" ref="S24" si="24">M24*L24*2</f>
        <v>0</v>
      </c>
      <c r="T24" s="46"/>
      <c r="U24" s="9"/>
      <c r="X24" s="4"/>
    </row>
    <row r="25" spans="2:25" ht="17.399999999999999" x14ac:dyDescent="0.3">
      <c r="B25" s="329">
        <v>1</v>
      </c>
      <c r="C25" s="334" t="s">
        <v>181</v>
      </c>
      <c r="D25" s="332">
        <v>1.41</v>
      </c>
      <c r="E25" s="332">
        <v>0.1</v>
      </c>
      <c r="F25" s="329" t="s">
        <v>182</v>
      </c>
      <c r="G25" s="330">
        <v>14000</v>
      </c>
      <c r="H25" s="330">
        <f t="shared" si="11"/>
        <v>14000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7.399999999999999" x14ac:dyDescent="0.3">
      <c r="B26" s="329">
        <v>1</v>
      </c>
      <c r="C26" s="334" t="s">
        <v>183</v>
      </c>
      <c r="D26" s="332">
        <v>2.8</v>
      </c>
      <c r="E26" s="332"/>
      <c r="F26" s="329"/>
      <c r="G26" s="330">
        <v>8090</v>
      </c>
      <c r="H26" s="330">
        <f t="shared" si="11"/>
        <v>8090</v>
      </c>
      <c r="I26" s="319"/>
      <c r="J26" s="265"/>
      <c r="K26" s="47"/>
      <c r="L26" s="47"/>
      <c r="M26" s="39"/>
      <c r="N26" s="39"/>
      <c r="O26" s="261"/>
      <c r="P26" s="259"/>
      <c r="Q26" s="252"/>
      <c r="R26" s="318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0"/>
      <c r="I27" s="322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3" t="s">
        <v>28</v>
      </c>
      <c r="H28" s="324">
        <f>SUM(H21:H27)</f>
        <v>560641</v>
      </c>
      <c r="I28" s="336">
        <v>0.35</v>
      </c>
      <c r="J28" s="265"/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1.44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106521.79000000001</v>
      </c>
      <c r="I29" s="321">
        <f>H28*35%</f>
        <v>196224.34999999998</v>
      </c>
      <c r="J29" s="265"/>
      <c r="K29" s="47"/>
      <c r="L29" s="47"/>
      <c r="M29" s="39">
        <f>SUM(M21:M21)</f>
        <v>1.5</v>
      </c>
      <c r="N29" s="12"/>
      <c r="O29" s="12"/>
      <c r="P29" s="253">
        <f>SUM(P21:P27)</f>
        <v>1.08</v>
      </c>
      <c r="Q29" s="14"/>
      <c r="R29" s="12"/>
      <c r="S29" s="239">
        <f>SUM(S21:S28)</f>
        <v>3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667162.79</v>
      </c>
      <c r="I30" s="321">
        <f>H28+I29</f>
        <v>756865.35</v>
      </c>
      <c r="J30" s="265"/>
      <c r="K30" s="47"/>
      <c r="L30" s="47"/>
      <c r="M30" s="39"/>
      <c r="N30" s="12"/>
      <c r="O30" s="12"/>
      <c r="P30" s="253">
        <f>P29</f>
        <v>1.08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0.21600000000000003</v>
      </c>
      <c r="Q31" s="39" t="s">
        <v>129</v>
      </c>
      <c r="R31" s="42"/>
      <c r="S31" s="240">
        <f>T28+S29</f>
        <v>4.4399999999999995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1.296</v>
      </c>
      <c r="Q32" s="14"/>
      <c r="R32" s="14"/>
      <c r="S32" s="238">
        <f>S31*20%</f>
        <v>0.8879999999999999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5.3279999999999994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1.296</v>
      </c>
      <c r="N34" s="12">
        <v>3500</v>
      </c>
      <c r="O34" s="12">
        <f t="shared" ref="O34:O39" si="25">M34*N34</f>
        <v>4536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0.5</v>
      </c>
      <c r="N35" s="12">
        <v>23500</v>
      </c>
      <c r="O35" s="12">
        <f t="shared" si="25"/>
        <v>11750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42000</v>
      </c>
      <c r="O36" s="12">
        <f t="shared" si="25"/>
        <v>0</v>
      </c>
      <c r="P36" s="39" t="s">
        <v>171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/>
      <c r="K37" s="232"/>
      <c r="L37" s="250"/>
      <c r="M37" s="14">
        <v>0.5</v>
      </c>
      <c r="N37" s="250">
        <v>35364</v>
      </c>
      <c r="O37" s="12">
        <f t="shared" si="25"/>
        <v>17682</v>
      </c>
      <c r="P37" s="14" t="s">
        <v>140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25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 t="s">
        <v>167</v>
      </c>
      <c r="K39" s="260">
        <v>38300</v>
      </c>
      <c r="L39" s="250"/>
      <c r="M39" s="266"/>
      <c r="N39" s="12">
        <v>200</v>
      </c>
      <c r="O39" s="12">
        <f t="shared" si="25"/>
        <v>0</v>
      </c>
      <c r="P39" s="14" t="s">
        <v>172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J40" s="230" t="s">
        <v>166</v>
      </c>
      <c r="K40" s="260">
        <v>31000</v>
      </c>
      <c r="L40" s="250"/>
      <c r="M40" s="14"/>
      <c r="N40" s="12"/>
      <c r="O40" s="12">
        <f>SUM(O34:O39)</f>
        <v>33968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J41" s="230">
        <v>73340</v>
      </c>
      <c r="L41" s="250"/>
      <c r="M41" s="254" t="s">
        <v>32</v>
      </c>
      <c r="N41" s="12"/>
      <c r="O41" s="255">
        <f>O40*2.2</f>
        <v>74729.600000000006</v>
      </c>
      <c r="P41" s="14" t="s">
        <v>139</v>
      </c>
      <c r="Q41" s="14"/>
      <c r="R41" s="40">
        <f>P32/R40</f>
        <v>0.34943917169974115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f>J41/1.19</f>
        <v>61630.252100840342</v>
      </c>
      <c r="L42" s="250"/>
      <c r="M42" s="14"/>
      <c r="N42" s="12"/>
      <c r="O42" s="12">
        <f>O41/P30</f>
        <v>69194.074074074073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'A1'!G10</f>
        <v>27-10-20255</v>
      </c>
    </row>
    <row r="6" spans="2:31" ht="16.2" thickBot="1" x14ac:dyDescent="0.35">
      <c r="B6" s="140" t="s">
        <v>2</v>
      </c>
      <c r="C6" s="139" t="str">
        <f>'A1'!C10</f>
        <v>CONSTRUCTORA HALTRA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'A1'!#REF!</f>
        <v>#REF!</v>
      </c>
      <c r="D7" s="138"/>
      <c r="E7" s="138"/>
      <c r="F7" s="138"/>
      <c r="H7" s="343" t="s">
        <v>97</v>
      </c>
      <c r="I7" s="344"/>
      <c r="J7" s="344"/>
      <c r="K7" s="345"/>
      <c r="N7" s="75"/>
      <c r="O7" s="342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'A1'!D8</f>
        <v>N° 11720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2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-80757.141700120774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'A1'!H28</f>
        <v>560641</v>
      </c>
      <c r="E11" s="132">
        <f>D11*0.19</f>
        <v>106521.79000000001</v>
      </c>
      <c r="F11" s="131">
        <f>E11+D11</f>
        <v>667162.79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25232.858299879226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46120.090787439614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7232.8582998792263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514520.90921256039</v>
      </c>
      <c r="E13" s="221">
        <f>(D11/D12)-1</f>
        <v>11.156112237157293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-1767.1417001207737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-40767.141700120774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76098.149799275358</v>
      </c>
      <c r="F15" s="216">
        <f>E15-D12</f>
        <v>29978.059011835743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-40767.141700120774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-767.14170012077375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'A1'!O36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'A1'!O35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'A1'!O34</f>
        <v>4536</v>
      </c>
      <c r="E20" s="121">
        <f>D20*0.19</f>
        <v>861.84</v>
      </c>
      <c r="F20" s="120">
        <f>SUM(D20:E20)</f>
        <v>5397.84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16286</v>
      </c>
      <c r="E21" s="116">
        <f>SUM(E18:E20)</f>
        <v>3094.34</v>
      </c>
      <c r="F21" s="115">
        <f>SUM(F18:F20)</f>
        <v>19380.34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103427.45000000001</v>
      </c>
    </row>
    <row r="41" spans="2:16" ht="15" thickBot="1" x14ac:dyDescent="0.35">
      <c r="H41" s="346" t="s">
        <v>59</v>
      </c>
      <c r="I41" s="347"/>
      <c r="J41" s="347"/>
      <c r="K41" s="347"/>
      <c r="L41" s="347"/>
      <c r="M41" s="348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560641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16286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514520.90921256039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514520.90921256039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G</vt:lpstr>
      <vt:lpstr>F</vt:lpstr>
      <vt:lpstr>C</vt:lpstr>
      <vt:lpstr>A2</vt:lpstr>
      <vt:lpstr>E</vt:lpstr>
      <vt:lpstr>D</vt:lpstr>
      <vt:lpstr>B</vt:lpstr>
      <vt:lpstr>A1</vt:lpstr>
      <vt:lpstr>COSTOS</vt:lpstr>
      <vt:lpstr>'A1'!Área_de_impresión</vt:lpstr>
      <vt:lpstr>'A2'!Área_de_impresión</vt:lpstr>
      <vt:lpstr>B!Área_de_impresión</vt:lpstr>
      <vt:lpstr>'C'!Área_de_impresión</vt:lpstr>
      <vt:lpstr>D!Área_de_impresión</vt:lpstr>
      <vt:lpstr>E!Área_de_impresión</vt:lpstr>
      <vt:lpstr>'F'!Área_de_impresión</vt:lpstr>
      <vt:lpstr>G!Área_de_impresión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2025-10-29T01:12:24Z</dcterms:modified>
</cp:coreProperties>
</file>