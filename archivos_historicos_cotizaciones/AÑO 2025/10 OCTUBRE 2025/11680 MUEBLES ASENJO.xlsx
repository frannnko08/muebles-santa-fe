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A73E07BD-4BAF-48F1-946D-45C333072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O22" i="1" s="1"/>
  <c r="P22" i="1" s="1"/>
  <c r="N22" i="1"/>
  <c r="H21" i="1"/>
  <c r="L21" i="1"/>
  <c r="M21" i="1"/>
  <c r="N21" i="1"/>
  <c r="J15" i="1"/>
  <c r="J10" i="1"/>
  <c r="O21" i="1" l="1"/>
  <c r="P21" i="1" s="1"/>
  <c r="S21" i="1"/>
  <c r="S27" i="1" s="1"/>
  <c r="M26" i="1"/>
  <c r="T25" i="1"/>
  <c r="K40" i="1"/>
  <c r="P26" i="1" l="1"/>
  <c r="S28" i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Q21" i="1" l="1"/>
  <c r="R21" i="1" s="1"/>
  <c r="O40" i="1"/>
  <c r="E15" i="3"/>
  <c r="F15" i="3" l="1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<sst xmlns="http://schemas.openxmlformats.org/spreadsheetml/2006/main" count="232" uniqueCount="176">
  <si>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</si>
  <si>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</si>
  <si>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</si>
  <si>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</si>
  <si>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</si>
  <si>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</si>
  <si>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</si>
  <si>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</si>
  <si>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</si>
  <si>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</si>
  <si>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</si>
  <si>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</si>
  <si>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</si>
  <si>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</si>
  <si>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</si>
  <si>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</si>
  <si>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</si>
  <si>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</si>
  <si>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</si>
  <si>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</si>
  <si>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</si>
  <si>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</si>
  <si>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</si>
  <si>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</si>
  <si>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</si>
  <si>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</si>
  <si>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</si>
  <si>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</si>
  <si>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</si>
  <si>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</si>
  <si>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</si>
  <si>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</si>
  <si>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</si>
  <si>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</si>
  <si>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</si>
  <si>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</si>
  <si>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</si>
  <si>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</si>
  <si>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</si>
  <si>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</si>
  <si>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</si>
  <si>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</si>
  <si>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</si>
  <si>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</si>
  <si>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</si>
  <si>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</si>
  <si>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</si>
  <si>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</si>
  <si>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</si>
  <si>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</si>
  <si>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</si>
  <si>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</si>
  <si>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</si>
  <si>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</si>
  <si>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</si>
  <si>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</si>
  <si>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</si>
  <si>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</si>
  <si>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</si>
  <si>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</si>
  <si>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</si>
  <si>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</si>
  <si>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</si>
  <si>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</si>
  <si>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</si>
  <si>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</si>
  <si>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</si>
  <si>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</si>
  <si>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</si>
  <si>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</si>
  <si>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</si>
  <si>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</si>
  <si>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</si>
  <si>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</si>
  <si>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</si>
  <si>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</si>
  <si>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</si>
  <si>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</si>
  <si>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</si>
  <si>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</si>
  <si>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</si>
  <si>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</si>
  <si>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</si>
  <si>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</si>
  <si>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</si>
  <si>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</si>
  <si>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</si>
  <si>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</si>
  <si>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</si>
  <si>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</si>
  <si>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</si>
  <si>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</si>
  <si>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</si>
  <si>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</si>
  <si>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</si>
  <si>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</si>
  <si>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</si>
  <si>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</si>
  <si>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</si>
  <si>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</si>
  <si>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</si>
  <si>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</si>
  <si>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</si>
  <si>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</si>
  <si>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</si>
  <si>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</si>
  <si>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</si>
  <si>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</si>
  <si>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</si>
  <si>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</si>
  <si>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</si>
  <si>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</si>
  <si>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</si>
  <si>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</si>
  <si>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</si>
  <si>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</si>
  <si>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</si>
  <si>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</si>
  <si>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</si>
  <si>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</si>
  <si>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</si>
  <si>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</si>
  <si>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</si>
  <si>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</si>
  <si>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</si>
  <si>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</si>
  <si>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</si>
  <si>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</si>
  <si>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</si>
  <si>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</si>
  <si>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</si>
  <si>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</si>
  <si>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</si>
  <si>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</si>
  <si>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</si>
  <si>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</si>
  <si>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</si>
  <si>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</si>
  <si>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</si>
  <si>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</si>
  <si>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</si>
  <si>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</si>
  <si>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</si>
  <si>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</si>
  <si>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</si>
  <si>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</si>
  <si>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</si>
  <si>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</si>
  <si>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</si>
  <si>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</si>
  <si>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</si>
  <si>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</si>
  <si>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</si>
  <si>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</si>
  <si>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</si>
  <si>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</si>
  <si>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</si>
  <si>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</si>
  <si>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</si>
  <si>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</si>
  <si>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</si>
  <si>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</si>
  <si>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</si>
  <si>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</si>
  <si>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</si>
  <si>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</si>
  <si>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</si>
  <si>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</si>
  <si>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</si>
  <si>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</si>
  <si>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</si>
  <si>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FRENTE CAJON 2L R8</t>
  </si>
  <si>
    <t>CUB MESA 90° 2 LADOS R8</t>
  </si>
  <si>
    <t>BLANCO MERINO SF</t>
  </si>
  <si>
    <t>N° 11680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</si>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</sst>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SUSTRATO FRENTE</a:t>
          </a:r>
          <a:r>
            <a:rPr lang="es-CL" sz="1200" b="1" baseline="0"/>
            <a:t> DE MELAMINA 18MM BLANCA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MDF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5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45933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44014.540210864725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40</v>
      </c>
      <c r="C21" s="330" t="s">
        <v>171</v>
      </c>
      <c r="D21" s="333">
        <v>1.1000000000000001</v>
      </c>
      <c r="E21" s="333">
        <v>0.62</v>
      </c>
      <c r="F21" s="330" t="s">
        <v>173</v>
      </c>
      <c r="G21" s="331">
        <v>31382</v>
      </c>
      <c r="H21" s="331">
        <f t="shared" ref="H21:H22" si="1">G21*B21</f>
        <v>1255280</v>
      </c>
      <c r="I21" s="320"/>
      <c r="J21" s="265">
        <v>19</v>
      </c>
      <c r="K21" s="47"/>
      <c r="L21" s="332">
        <f t="shared" ref="L21" si="2">B21</f>
        <v>40</v>
      </c>
      <c r="M21" s="39">
        <f t="shared" ref="M21" si="3">D21+M$19</f>
        <v>1.1500000000000001</v>
      </c>
      <c r="N21" s="39">
        <f t="shared" ref="N21" si="4">E21+$N$19</f>
        <v>0.62</v>
      </c>
      <c r="O21" s="261">
        <f t="shared" ref="O21" si="5">M21*N21</f>
        <v>0.71300000000000008</v>
      </c>
      <c r="P21" s="259">
        <f t="shared" ref="P21" si="6">O21*L21</f>
        <v>28.520000000000003</v>
      </c>
      <c r="Q21" s="252">
        <f t="shared" ref="Q21" si="7">Q$20*O21</f>
        <v>31382.367170346552</v>
      </c>
      <c r="R21" s="319">
        <f t="shared" ref="R21" si="8">Q21+R$20</f>
        <v>34382.367170346552</v>
      </c>
      <c r="S21" s="297">
        <f t="shared" ref="S21" si="9">M21*L21</f>
        <v>46.000000000000007</v>
      </c>
      <c r="T21" s="46"/>
      <c r="U21" s="9"/>
      <c r="X21" s="4"/>
    </row>
    <row r="22" spans="1:25" ht="17.399999999999999" x14ac:dyDescent="0.3">
      <c r="B22" s="330">
        <v>1</v>
      </c>
      <c r="C22" s="330" t="s">
        <v>172</v>
      </c>
      <c r="D22" s="333">
        <v>1.02</v>
      </c>
      <c r="E22" s="333">
        <v>1.02</v>
      </c>
      <c r="F22" s="330" t="s">
        <v>173</v>
      </c>
      <c r="G22" s="331">
        <v>68000</v>
      </c>
      <c r="H22" s="331">
        <f t="shared" si="1"/>
        <v>68000</v>
      </c>
      <c r="I22" s="320"/>
      <c r="J22" s="265"/>
      <c r="K22" s="47"/>
      <c r="L22" s="332">
        <f t="shared" ref="L22" si="10">B22</f>
        <v>1</v>
      </c>
      <c r="M22" s="39">
        <f t="shared" ref="M22" si="11">D22+M$19</f>
        <v>1.07</v>
      </c>
      <c r="N22" s="39">
        <f t="shared" ref="N22" si="12">E22+$N$19</f>
        <v>1.02</v>
      </c>
      <c r="O22" s="261">
        <f t="shared" ref="O22" si="13">M22*N22</f>
        <v>1.0914000000000001</v>
      </c>
      <c r="P22" s="259">
        <f t="shared" ref="P22" si="14">O22*L22</f>
        <v>1.0914000000000001</v>
      </c>
      <c r="Q22" s="252">
        <f t="shared" ref="Q22" si="15">Q$20*O22</f>
        <v>48037.469186137765</v>
      </c>
      <c r="R22" s="319">
        <f t="shared" ref="R22" si="16">Q22+R$20</f>
        <v>51037.469186137765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1323280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251423.2</v>
      </c>
      <c r="I26" s="322"/>
      <c r="J26" s="265"/>
      <c r="K26" s="47"/>
      <c r="L26" s="47"/>
      <c r="M26" s="39">
        <f>SUM(M21:M25)</f>
        <v>2.2200000000000002</v>
      </c>
      <c r="N26" s="12"/>
      <c r="O26" s="12"/>
      <c r="P26" s="253">
        <f>SUM(P21:P24)</f>
        <v>29.611400000000003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1574703.2</v>
      </c>
      <c r="I27" s="322"/>
      <c r="J27" s="265"/>
      <c r="K27" s="47"/>
      <c r="L27" s="47"/>
      <c r="M27" s="39"/>
      <c r="N27" s="12"/>
      <c r="O27" s="12"/>
      <c r="P27" s="253">
        <f>P26</f>
        <v>29.611400000000003</v>
      </c>
      <c r="Q27" s="14"/>
      <c r="R27" s="12"/>
      <c r="S27" s="239">
        <f>SUM(S21:S26)</f>
        <v>46.000000000000007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5.9222800000000007</v>
      </c>
      <c r="Q28" s="39" t="s">
        <v>130</v>
      </c>
      <c r="R28" s="42"/>
      <c r="S28" s="240">
        <f>S27+T25</f>
        <v>46.000000000000007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35.533680000000004</v>
      </c>
      <c r="Q29" s="14"/>
      <c r="R29" s="14"/>
      <c r="S29" s="238">
        <f>S28*20%</f>
        <v>9.2000000000000011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55.20000000000001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35.533680000000004</v>
      </c>
      <c r="N31" s="12">
        <v>2000</v>
      </c>
      <c r="O31" s="12">
        <f t="shared" ref="O31:O36" si="17">M31*N31</f>
        <v>71067.360000000015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7</v>
      </c>
      <c r="N32" s="12">
        <v>40000</v>
      </c>
      <c r="O32" s="12">
        <f t="shared" si="17"/>
        <v>280000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>
        <v>7</v>
      </c>
      <c r="N33" s="250">
        <v>36831</v>
      </c>
      <c r="O33" s="12">
        <f t="shared" si="17"/>
        <v>257817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/>
      <c r="L34" s="250"/>
      <c r="M34" s="14">
        <v>0.5</v>
      </c>
      <c r="N34" s="250">
        <v>23500</v>
      </c>
      <c r="O34" s="12">
        <f t="shared" si="17"/>
        <v>11750</v>
      </c>
      <c r="P34" s="14" t="s">
        <v>31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7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500</v>
      </c>
      <c r="O36" s="12">
        <f t="shared" si="17"/>
        <v>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620634.36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1303332.156</v>
      </c>
      <c r="P38" s="14" t="s">
        <v>140</v>
      </c>
      <c r="Q38" s="14"/>
      <c r="R38" s="40">
        <f>P29/R37</f>
        <v>7.766924590163935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44014.540210864725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45933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11680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-44899.092700120797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1323280</v>
      </c>
      <c r="E11" s="132">
        <f>D11*0.19</f>
        <v>251423.2</v>
      </c>
      <c r="F11" s="131">
        <f>E11+D11</f>
        <v>1574703.2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61090.907299879203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638718.45078743959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43090.907299879203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684561.54921256041</v>
      </c>
      <c r="E13" s="221">
        <f>(D11/D12)-1</f>
        <v>1.0717735621518423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34090.907299879203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-4909.0927001207965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1053885.4437992752</v>
      </c>
      <c r="F15" s="216">
        <f>E15-D12</f>
        <v>415166.99301183561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-4909.0927001207965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35090.907299879203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257817</v>
      </c>
      <c r="E18" s="123">
        <f>D18*0.19</f>
        <v>48985.23</v>
      </c>
      <c r="F18" s="120">
        <f>SUM(D18:E18)</f>
        <v>306802.23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280000</v>
      </c>
      <c r="E19" s="123">
        <f>D19*0.19</f>
        <v>53200</v>
      </c>
      <c r="F19" s="120">
        <f>SUM(D19:E19)</f>
        <v>333200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71067.360000000015</v>
      </c>
      <c r="E20" s="121">
        <f>D20*0.19</f>
        <v>13502.798400000003</v>
      </c>
      <c r="F20" s="120">
        <f>SUM(D20:E20)</f>
        <v>84570.158400000015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608884.36</v>
      </c>
      <c r="E21" s="116">
        <f>SUM(E18:E20)</f>
        <v>115688.02840000001</v>
      </c>
      <c r="F21" s="115">
        <f>SUM(F18:F20)</f>
        <v>724572.38840000005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135735.1716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1323280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608884.36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684561.54921256041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684561.54921256041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2025-10-03T19:04:09Z</cp:lastPrinted>
  <dcterms:created xsi:type="dcterms:W3CDTF">2013-03-18T13:35:42Z</dcterms:created>
  <dcterms:modified xsi:type="dcterms:W3CDTF">2025-10-03T19:07:27Z</dcterms:modified>
</cp:coreProperties>
</file>