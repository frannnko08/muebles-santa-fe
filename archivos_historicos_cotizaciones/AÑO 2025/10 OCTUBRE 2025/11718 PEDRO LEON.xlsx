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F1C73668-44F0-48D2-BC52-37EC91F2EF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1" i="1"/>
  <c r="M22" i="1" l="1"/>
  <c r="S22" i="1" s="1"/>
  <c r="N22" i="1"/>
  <c r="T22" i="1" s="1"/>
  <c r="K24" i="1"/>
  <c r="M14" i="1"/>
  <c r="M16" i="1" s="1"/>
  <c r="H22" i="1"/>
  <c r="O22" i="1" l="1"/>
  <c r="P22" i="1" s="1"/>
  <c r="B28" i="3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5" i="1" l="1"/>
  <c r="S21" i="1"/>
  <c r="N21" i="1"/>
  <c r="T21" i="1" s="1"/>
  <c r="S25" i="1" l="1"/>
  <c r="T24" i="1"/>
  <c r="O21" i="1"/>
  <c r="P21" i="1" s="1"/>
  <c r="P25" i="1" s="1"/>
  <c r="S26" i="1" l="1"/>
  <c r="S27" i="1"/>
  <c r="S28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5" i="1"/>
  <c r="O34" i="1"/>
  <c r="F18" i="3" l="1"/>
  <c r="O30" i="1" l="1"/>
  <c r="O36" i="1" s="1"/>
  <c r="O37" i="1" s="1"/>
  <c r="O38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Q22" i="1" l="1"/>
  <c r="R22" i="1" s="1"/>
  <c r="O39" i="1"/>
  <c r="Q21" i="1" l="1"/>
  <c r="F15" i="3"/>
  <c r="R21" i="1" l="1"/>
  <c r="H21" i="1" l="1"/>
  <c r="H24" i="1" l="1"/>
  <c r="H25" i="1" s="1"/>
  <c r="H26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<sst xmlns="http://schemas.openxmlformats.org/spreadsheetml/2006/main" count="236" uniqueCount="178">
  <si>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</si>
  <si>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</si>
  <si>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</si>
  <si>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</si>
  <si>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</si>
  <si>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</si>
  <si>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</si>
  <si>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</si>
  <si>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</si>
  <si>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</si>
  <si>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</si>
  <si>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</si>
  <si>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</si>
  <si>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</si>
  <si>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</si>
  <si>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</si>
  <si>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</si>
  <si>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</si>
  <si>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</si>
  <si>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</si>
  <si>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</si>
  <si>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</si>
  <si>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</si>
  <si>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</si>
  <si>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</si>
  <si>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</si>
  <si>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</si>
  <si>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</si>
  <si>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</si>
  <si>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</si>
  <si>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</si>
  <si>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</si>
  <si>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</si>
  <si>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</si>
  <si>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</si>
  <si>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</si>
  <si>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</si>
  <si>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</si>
  <si>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</si>
  <si>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</si>
  <si>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</si>
  <si>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</si>
  <si>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</si>
  <si>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</si>
  <si>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</si>
  <si>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</si>
  <si>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</si>
  <si>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</si>
  <si>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</si>
  <si>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</si>
  <si>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</si>
  <si>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</si>
  <si>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</si>
  <si>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</si>
  <si>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</si>
  <si>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</si>
  <si>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</si>
  <si>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</si>
  <si>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</si>
  <si>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</si>
  <si>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</si>
  <si>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</si>
  <si>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</si>
  <si>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</si>
  <si>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</si>
  <si>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</si>
  <si>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</si>
  <si>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</si>
  <si>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</si>
  <si>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</si>
  <si>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</si>
  <si>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</si>
  <si>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</si>
  <si>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</si>
  <si>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</si>
  <si>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</si>
  <si>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</si>
  <si>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</si>
  <si>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</si>
  <si>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</si>
  <si>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</si>
  <si>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</si>
  <si>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</si>
  <si>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</si>
  <si>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</si>
  <si>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</si>
  <si>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</si>
  <si>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</si>
  <si>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</si>
  <si>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</si>
  <si>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</si>
  <si>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</si>
  <si>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</si>
  <si>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</si>
  <si>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</si>
  <si>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</si>
  <si>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</si>
  <si>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</si>
  <si>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</si>
  <si>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</si>
  <si>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</si>
  <si>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</si>
  <si>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</si>
  <si>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</si>
  <si>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</si>
  <si>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</si>
  <si>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</si>
  <si>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</si>
  <si>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</si>
  <si>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</si>
  <si>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</si>
  <si>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</si>
  <si>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</si>
  <si>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</si>
  <si>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</si>
  <si>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</si>
  <si>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</si>
  <si>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</si>
  <si>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</si>
  <si>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</si>
  <si>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</si>
  <si>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</si>
  <si>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</si>
  <si>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</si>
  <si>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</si>
  <si>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</si>
  <si>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</si>
  <si>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</si>
  <si>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</si>
  <si>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</si>
  <si>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</si>
  <si>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</si>
  <si>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</si>
  <si>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</si>
  <si>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</si>
  <si>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</si>
  <si>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</si>
  <si>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</si>
  <si>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</si>
  <si>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</si>
  <si>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</si>
  <si>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</si>
  <si>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</si>
  <si>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</si>
  <si>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</si>
  <si>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</si>
  <si>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</si>
  <si>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</si>
  <si>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</si>
  <si>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</si>
  <si>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</si>
  <si>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</si>
  <si>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</si>
  <si>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</si>
  <si>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</si>
  <si>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</si>
  <si>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</si>
  <si>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</si>
  <si>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</si>
  <si>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</si>
  <si>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</si>
  <si>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</si>
  <si>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</si>
  <si>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</si>
  <si>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</si>
  <si>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</si>
  <si>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</si>
  <si>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</si>
  <si>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</si>
  <si>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</si>
  <si>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 xml:space="preserve">10 DIAS HABILES </t>
  </si>
  <si>
    <t>BALANCE</t>
  </si>
  <si>
    <r>
      <t xml:space="preserve">CUENTA CORRIENTE BANCO BCI Nº 13738810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</si>
  <si>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N° 11718</t>
  </si>
  <si>
    <t>PEDRO LEON</t>
  </si>
  <si>
    <t>+56 9 63880666</t>
  </si>
  <si>
    <t>WHITE MARBLE BR</t>
  </si>
  <si>
    <t>CUB CON RESPALDO FRENTE 90°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</si>
</sst>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40" fillId="0" borderId="36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67" fontId="11" fillId="0" borderId="34" xfId="2" applyNumberFormat="1" applyFont="1" applyFill="1" applyBorder="1" applyAlignment="1">
      <alignment horizontal="center" vertical="center"/>
    </xf>
    <xf numFmtId="167" fontId="11" fillId="0" borderId="21" xfId="2" applyNumberFormat="1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endParaRPr lang="es-CL" sz="1200" b="1" baseline="0"/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41.1093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136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132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137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156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119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5" t="s">
        <v>121</v>
      </c>
      <c r="C8" s="336"/>
      <c r="D8" s="337" t="s">
        <v>173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154</v>
      </c>
      <c r="C10" s="236" t="s">
        <v>174</v>
      </c>
      <c r="D10" s="236"/>
      <c r="E10" s="236"/>
      <c r="F10" s="237" t="s">
        <v>161</v>
      </c>
      <c r="G10" s="268">
        <v>45967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5"/>
      <c r="F11" t="s">
        <v>160</v>
      </c>
      <c r="G11" s="296" t="s">
        <v>170</v>
      </c>
      <c r="H11" s="277"/>
      <c r="Q11" s="19"/>
      <c r="R11" s="22" t="s">
        <v>18</v>
      </c>
      <c r="S11" s="19"/>
    </row>
    <row r="12" spans="2:24" x14ac:dyDescent="0.3">
      <c r="B12" s="239" t="s">
        <v>138</v>
      </c>
      <c r="C12" s="297"/>
      <c r="D12" s="298"/>
      <c r="E12" s="298"/>
      <c r="F12" s="298" t="s">
        <v>122</v>
      </c>
      <c r="G12" s="299" t="s">
        <v>129</v>
      </c>
      <c r="H12" s="240"/>
      <c r="M12">
        <v>1.22</v>
      </c>
      <c r="Q12" s="19"/>
      <c r="R12" s="22"/>
      <c r="S12" s="19"/>
    </row>
    <row r="13" spans="2:24" x14ac:dyDescent="0.3">
      <c r="B13" s="276" t="s">
        <v>139</v>
      </c>
      <c r="F13" t="s">
        <v>159</v>
      </c>
      <c r="G13" s="300" t="s">
        <v>129</v>
      </c>
      <c r="H13" s="277"/>
      <c r="M13">
        <v>3.05</v>
      </c>
      <c r="Q13" s="19"/>
      <c r="R13" s="22"/>
      <c r="S13" s="19"/>
    </row>
    <row r="14" spans="2:24" x14ac:dyDescent="0.3">
      <c r="B14" s="239" t="s">
        <v>133</v>
      </c>
      <c r="C14" s="338"/>
      <c r="D14" s="298"/>
      <c r="E14" s="298"/>
      <c r="F14" s="298" t="s">
        <v>130</v>
      </c>
      <c r="G14" s="301" t="s">
        <v>129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2" t="s">
        <v>175</v>
      </c>
      <c r="D15" s="303"/>
      <c r="F15" t="s">
        <v>162</v>
      </c>
      <c r="G15" s="304" t="s">
        <v>129</v>
      </c>
      <c r="H15" s="277"/>
      <c r="M15">
        <v>27</v>
      </c>
    </row>
    <row r="16" spans="2:24" ht="16.8" x14ac:dyDescent="0.4">
      <c r="B16" s="290" t="s">
        <v>3</v>
      </c>
      <c r="C16" s="305"/>
      <c r="D16" s="298"/>
      <c r="E16" s="298"/>
      <c r="F16" s="306" t="s">
        <v>124</v>
      </c>
      <c r="G16" s="307" t="s">
        <v>155</v>
      </c>
      <c r="H16" s="240"/>
      <c r="M16">
        <f>M15/M14</f>
        <v>7.2561139478634784</v>
      </c>
    </row>
    <row r="17" spans="1:25" ht="15" thickBot="1" x14ac:dyDescent="0.35">
      <c r="B17" s="287" t="s">
        <v>13</v>
      </c>
      <c r="C17" s="288" t="s">
        <v>169</v>
      </c>
      <c r="D17" s="289"/>
      <c r="E17" s="113"/>
      <c r="F17" s="349" t="s">
        <v>157</v>
      </c>
      <c r="G17" s="349"/>
      <c r="H17" s="350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51" t="s">
        <v>91</v>
      </c>
      <c r="C19" s="352"/>
      <c r="D19" s="352"/>
      <c r="E19" s="352"/>
      <c r="F19" s="352"/>
      <c r="G19" s="352"/>
      <c r="H19" s="353"/>
      <c r="I19" s="256"/>
      <c r="J19" s="256"/>
      <c r="K19" s="5"/>
      <c r="L19" s="242"/>
      <c r="M19" s="14">
        <v>0.08</v>
      </c>
      <c r="N19" s="14"/>
      <c r="O19" s="14"/>
      <c r="P19" s="243" t="s">
        <v>6</v>
      </c>
      <c r="Q19" s="33" t="s">
        <v>20</v>
      </c>
      <c r="R19" s="34" t="s">
        <v>128</v>
      </c>
      <c r="S19" s="10" t="s">
        <v>131</v>
      </c>
      <c r="U19" s="9"/>
      <c r="V19" s="9"/>
      <c r="X19" s="6"/>
      <c r="Y19" s="6"/>
    </row>
    <row r="20" spans="1:25" ht="18" thickBot="1" x14ac:dyDescent="0.35">
      <c r="B20" s="310" t="s">
        <v>7</v>
      </c>
      <c r="C20" s="311" t="s">
        <v>1</v>
      </c>
      <c r="D20" s="311" t="s">
        <v>126</v>
      </c>
      <c r="E20" s="311" t="s">
        <v>11</v>
      </c>
      <c r="F20" s="311" t="s">
        <v>8</v>
      </c>
      <c r="G20" s="311" t="s">
        <v>5</v>
      </c>
      <c r="H20" s="312" t="s">
        <v>6</v>
      </c>
      <c r="I20" s="257"/>
      <c r="J20" s="257"/>
      <c r="K20" s="44"/>
      <c r="L20" s="260" t="str">
        <f>B20</f>
        <v>UNIDAD</v>
      </c>
      <c r="M20" s="259" t="s">
        <v>126</v>
      </c>
      <c r="N20" s="36" t="str">
        <f>E20</f>
        <v>ANCHO</v>
      </c>
      <c r="O20" s="253" t="s">
        <v>127</v>
      </c>
      <c r="P20" s="251" t="s">
        <v>16</v>
      </c>
      <c r="Q20" s="244">
        <f>O38</f>
        <v>64934.10159211525</v>
      </c>
      <c r="R20" s="250">
        <v>2000</v>
      </c>
      <c r="S20" s="35"/>
      <c r="T20" s="14" t="s">
        <v>123</v>
      </c>
      <c r="U20" s="9"/>
      <c r="X20" s="4"/>
    </row>
    <row r="21" spans="1:25" ht="18" thickBot="1" x14ac:dyDescent="0.35">
      <c r="B21" s="339">
        <v>1</v>
      </c>
      <c r="C21" s="345" t="s">
        <v>177</v>
      </c>
      <c r="D21" s="340">
        <v>3</v>
      </c>
      <c r="E21" s="340">
        <v>0.6</v>
      </c>
      <c r="F21" s="346" t="s">
        <v>176</v>
      </c>
      <c r="G21" s="347">
        <v>116138</v>
      </c>
      <c r="H21" s="341">
        <f>G21*B21</f>
        <v>116138</v>
      </c>
      <c r="I21" s="292"/>
      <c r="J21" s="257"/>
      <c r="K21" s="44"/>
      <c r="L21" s="44">
        <f>B21</f>
        <v>1</v>
      </c>
      <c r="M21" s="36">
        <f>D21+M$19</f>
        <v>3.08</v>
      </c>
      <c r="N21" s="36">
        <f>E21+$N$19</f>
        <v>0.6</v>
      </c>
      <c r="O21" s="253">
        <f t="shared" ref="O21" si="0">M21*N21</f>
        <v>1.8479999999999999</v>
      </c>
      <c r="P21" s="251">
        <f t="shared" ref="P21" si="1">O21*L21</f>
        <v>1.8479999999999999</v>
      </c>
      <c r="Q21" s="244">
        <f t="shared" ref="Q21" si="2">Q$20*O21</f>
        <v>119998.21974222898</v>
      </c>
      <c r="R21" s="291">
        <f t="shared" ref="R21" si="3">Q21+R$20</f>
        <v>121998.21974222898</v>
      </c>
      <c r="S21" s="279">
        <f>M21*L21*2</f>
        <v>6.16</v>
      </c>
      <c r="T21" s="43">
        <f>N21*2*L21*2</f>
        <v>2.4</v>
      </c>
      <c r="U21" s="9"/>
      <c r="X21" s="4"/>
    </row>
    <row r="22" spans="1:25" ht="17.399999999999999" x14ac:dyDescent="0.3">
      <c r="B22" s="343">
        <v>1</v>
      </c>
      <c r="C22" s="345" t="s">
        <v>177</v>
      </c>
      <c r="D22" s="342">
        <v>1.5</v>
      </c>
      <c r="E22" s="342">
        <v>0.5</v>
      </c>
      <c r="F22" s="346" t="s">
        <v>176</v>
      </c>
      <c r="G22" s="348">
        <v>58298</v>
      </c>
      <c r="H22" s="344">
        <f>G22*B22</f>
        <v>58298</v>
      </c>
      <c r="I22" s="292"/>
      <c r="J22" s="257"/>
      <c r="K22" s="44"/>
      <c r="L22" s="44">
        <f>B22</f>
        <v>1</v>
      </c>
      <c r="M22" s="36">
        <f>D22+M$19</f>
        <v>1.58</v>
      </c>
      <c r="N22" s="36">
        <f>E22+$N$19</f>
        <v>0.5</v>
      </c>
      <c r="O22" s="253">
        <f t="shared" ref="O22" si="4">M22*N22</f>
        <v>0.79</v>
      </c>
      <c r="P22" s="251">
        <f t="shared" ref="P22" si="5">O22*L22</f>
        <v>0.79</v>
      </c>
      <c r="Q22" s="244">
        <f t="shared" ref="Q22" si="6">Q$20*O22</f>
        <v>51297.94025777105</v>
      </c>
      <c r="R22" s="291">
        <f t="shared" ref="R22" si="7">Q22+R$20</f>
        <v>53297.94025777105</v>
      </c>
      <c r="S22" s="279">
        <f>M22*L22*2</f>
        <v>3.16</v>
      </c>
      <c r="T22" s="43">
        <f>N22*2*L22*2</f>
        <v>2</v>
      </c>
      <c r="U22" s="9"/>
      <c r="X22" s="4"/>
    </row>
    <row r="23" spans="1:25" ht="18" thickBot="1" x14ac:dyDescent="0.35">
      <c r="B23" s="274"/>
      <c r="C23" s="274"/>
      <c r="D23" s="275"/>
      <c r="E23" s="275"/>
      <c r="F23" s="274"/>
      <c r="G23" s="257"/>
      <c r="H23" s="344"/>
      <c r="I23" s="294"/>
      <c r="J23" s="226"/>
      <c r="K23" s="44">
        <v>80050</v>
      </c>
      <c r="L23" s="44"/>
      <c r="M23" s="36"/>
      <c r="N23" s="36"/>
      <c r="O23" s="253"/>
      <c r="P23" s="251"/>
      <c r="Q23" s="244"/>
      <c r="R23" s="250"/>
      <c r="S23" s="279"/>
      <c r="T23" s="14"/>
      <c r="U23" s="9"/>
      <c r="X23" s="4"/>
    </row>
    <row r="24" spans="1:25" ht="17.399999999999999" x14ac:dyDescent="0.3">
      <c r="B24" s="274"/>
      <c r="C24" s="274"/>
      <c r="D24" s="275"/>
      <c r="E24" s="275"/>
      <c r="F24" s="274"/>
      <c r="G24" s="333" t="s">
        <v>28</v>
      </c>
      <c r="H24" s="334">
        <f>SUM(H21:H23)</f>
        <v>174436</v>
      </c>
      <c r="I24" s="293"/>
      <c r="J24" s="326"/>
      <c r="K24" s="308">
        <f>K23/1.19</f>
        <v>67268.907563025219</v>
      </c>
      <c r="L24" s="44"/>
      <c r="M24" s="36"/>
      <c r="N24" s="36"/>
      <c r="O24" s="253"/>
      <c r="P24" s="251"/>
      <c r="Q24" s="244"/>
      <c r="R24" s="250"/>
      <c r="S24" s="279"/>
      <c r="T24" s="43">
        <f>SUM(T21:T23)</f>
        <v>4.4000000000000004</v>
      </c>
      <c r="U24" s="9"/>
      <c r="X24" s="4"/>
    </row>
    <row r="25" spans="1:25" ht="17.399999999999999" x14ac:dyDescent="0.3">
      <c r="B25" s="269"/>
      <c r="C25" s="271"/>
      <c r="D25" s="272"/>
      <c r="E25" s="272"/>
      <c r="F25" s="273"/>
      <c r="G25" s="327" t="s">
        <v>50</v>
      </c>
      <c r="H25" s="329">
        <f>H24*0.19</f>
        <v>33142.840000000004</v>
      </c>
      <c r="I25" s="293"/>
      <c r="J25" s="257"/>
      <c r="K25" s="308"/>
      <c r="L25" s="44"/>
      <c r="M25" s="36">
        <f>SUM(M21:M22)</f>
        <v>4.66</v>
      </c>
      <c r="N25" s="12"/>
      <c r="O25" s="12"/>
      <c r="P25" s="245">
        <f>SUM(P21:P23)</f>
        <v>2.6379999999999999</v>
      </c>
      <c r="Q25" s="14"/>
      <c r="R25" s="12"/>
      <c r="S25" s="232">
        <f>SUM(S21:S24)</f>
        <v>9.32</v>
      </c>
      <c r="T25" s="43"/>
      <c r="U25" s="9"/>
      <c r="X25" s="4"/>
    </row>
    <row r="26" spans="1:25" ht="18" thickBot="1" x14ac:dyDescent="0.35">
      <c r="B26" s="267"/>
      <c r="C26" s="270"/>
      <c r="D26" s="264"/>
      <c r="E26" s="264"/>
      <c r="F26" s="265"/>
      <c r="G26" s="328" t="s">
        <v>6</v>
      </c>
      <c r="H26" s="330">
        <f>H25+H24</f>
        <v>207578.84</v>
      </c>
      <c r="I26" s="293"/>
      <c r="J26" s="257"/>
      <c r="K26" s="308"/>
      <c r="L26" s="44"/>
      <c r="M26" s="36"/>
      <c r="N26" s="12"/>
      <c r="O26" s="12"/>
      <c r="P26" s="245">
        <f>P25</f>
        <v>2.6379999999999999</v>
      </c>
      <c r="Q26" s="14"/>
      <c r="R26" s="12"/>
      <c r="S26" s="232">
        <f>S25+T24</f>
        <v>13.72</v>
      </c>
      <c r="T26" s="43"/>
      <c r="U26" s="9"/>
      <c r="X26" s="4"/>
    </row>
    <row r="27" spans="1:25" ht="17.399999999999999" x14ac:dyDescent="0.3">
      <c r="B27" s="267"/>
      <c r="C27" s="263"/>
      <c r="D27" s="264"/>
      <c r="E27" s="264"/>
      <c r="F27" s="265"/>
      <c r="J27" s="257"/>
      <c r="K27" s="308"/>
      <c r="L27" s="44"/>
      <c r="M27" s="14"/>
      <c r="N27" s="12"/>
      <c r="O27" s="12"/>
      <c r="P27" s="36">
        <f>P26*20%</f>
        <v>0.52759999999999996</v>
      </c>
      <c r="Q27" s="36" t="s">
        <v>125</v>
      </c>
      <c r="R27" s="39"/>
      <c r="S27" s="233">
        <f>S26*20%</f>
        <v>2.7440000000000002</v>
      </c>
      <c r="T27" s="14"/>
      <c r="U27" s="9"/>
      <c r="X27" s="4"/>
    </row>
    <row r="28" spans="1:25" ht="17.399999999999999" x14ac:dyDescent="0.35">
      <c r="B28" s="261"/>
      <c r="C28" s="223"/>
      <c r="D28" s="223"/>
      <c r="E28" s="226"/>
      <c r="F28" s="227"/>
      <c r="G28" s="223"/>
      <c r="H28" s="266"/>
      <c r="I28" s="266"/>
      <c r="J28" s="257"/>
      <c r="K28" s="44"/>
      <c r="L28" s="44"/>
      <c r="M28" s="14"/>
      <c r="N28" s="12"/>
      <c r="O28" s="12"/>
      <c r="P28" s="43">
        <f>P26+P27</f>
        <v>3.1656</v>
      </c>
      <c r="Q28" s="14"/>
      <c r="R28" s="14"/>
      <c r="S28" s="232">
        <f>S26+S27</f>
        <v>16.464000000000002</v>
      </c>
      <c r="T28" s="14"/>
      <c r="U28" s="9"/>
      <c r="X28" s="4"/>
    </row>
    <row r="29" spans="1:25" ht="17.399999999999999" x14ac:dyDescent="0.35">
      <c r="B29" s="228"/>
      <c r="C29" s="229"/>
      <c r="D29" s="230"/>
      <c r="E29" s="228"/>
      <c r="F29" s="223"/>
      <c r="G29" s="223"/>
      <c r="I29" s="266"/>
      <c r="J29" s="257"/>
      <c r="K29" s="44"/>
      <c r="L29" s="44"/>
      <c r="M29" s="14"/>
      <c r="N29" s="14"/>
      <c r="O29" s="14"/>
      <c r="P29" s="14"/>
      <c r="Q29" s="14"/>
      <c r="R29" s="14"/>
      <c r="S29" s="233"/>
      <c r="T29" s="14"/>
      <c r="U29" s="283" t="s">
        <v>21</v>
      </c>
      <c r="V29" s="280" t="s">
        <v>144</v>
      </c>
      <c r="W29" s="284">
        <v>44971</v>
      </c>
      <c r="X29" s="285"/>
    </row>
    <row r="30" spans="1:25" ht="17.399999999999999" x14ac:dyDescent="0.35">
      <c r="B30" s="223"/>
      <c r="C30" s="223"/>
      <c r="D30" s="223"/>
      <c r="E30" s="223"/>
      <c r="F30" s="223"/>
      <c r="G30" s="223"/>
      <c r="J30" s="257"/>
      <c r="K30" s="44"/>
      <c r="L30" s="44"/>
      <c r="M30" s="36">
        <f>P28</f>
        <v>3.1656</v>
      </c>
      <c r="N30" s="12">
        <v>3500</v>
      </c>
      <c r="O30" s="12">
        <f t="shared" ref="O30:O35" si="8">M30*N30</f>
        <v>11079.6</v>
      </c>
      <c r="P30" s="14" t="s">
        <v>21</v>
      </c>
      <c r="Q30" s="14"/>
      <c r="R30" s="14"/>
      <c r="S30" s="234"/>
      <c r="T30" s="14"/>
      <c r="U30" s="283" t="s">
        <v>145</v>
      </c>
      <c r="V30" s="280">
        <v>3625</v>
      </c>
      <c r="W30" s="56" t="s">
        <v>146</v>
      </c>
      <c r="X30" s="285"/>
    </row>
    <row r="31" spans="1:25" ht="17.399999999999999" x14ac:dyDescent="0.35">
      <c r="A31" s="223"/>
      <c r="B31" s="223"/>
      <c r="C31" s="223"/>
      <c r="D31" s="223"/>
      <c r="E31" s="223"/>
      <c r="F31" s="223"/>
      <c r="G31" s="223"/>
      <c r="H31" s="223"/>
      <c r="J31" s="257"/>
      <c r="K31" s="44"/>
      <c r="L31" s="44"/>
      <c r="M31" s="241">
        <v>1</v>
      </c>
      <c r="N31" s="12">
        <v>23500</v>
      </c>
      <c r="O31" s="12">
        <f t="shared" si="8"/>
        <v>23500</v>
      </c>
      <c r="P31" s="36" t="s">
        <v>30</v>
      </c>
      <c r="Q31" s="39"/>
      <c r="R31" s="14"/>
      <c r="S31" s="233"/>
      <c r="T31" s="14"/>
      <c r="U31" s="283"/>
      <c r="V31" s="56">
        <v>906.25</v>
      </c>
      <c r="W31" s="56" t="s">
        <v>147</v>
      </c>
      <c r="X31" s="285"/>
    </row>
    <row r="32" spans="1:25" s="223" customFormat="1" ht="17.399999999999999" x14ac:dyDescent="0.35">
      <c r="B32" s="21" t="s">
        <v>172</v>
      </c>
      <c r="J32" s="254"/>
      <c r="K32" s="225"/>
      <c r="L32" s="242"/>
      <c r="M32" s="14"/>
      <c r="N32" s="242">
        <v>16000</v>
      </c>
      <c r="O32" s="12">
        <f t="shared" si="8"/>
        <v>0</v>
      </c>
      <c r="P32" s="36" t="s">
        <v>171</v>
      </c>
      <c r="Q32" s="39"/>
      <c r="S32" s="233"/>
      <c r="T32" s="248"/>
      <c r="U32" s="56"/>
      <c r="V32" s="56">
        <f>V31*20%</f>
        <v>181.25</v>
      </c>
      <c r="W32" s="285" t="s">
        <v>148</v>
      </c>
      <c r="X32" s="56"/>
    </row>
    <row r="33" spans="2:24" s="223" customFormat="1" ht="17.399999999999999" x14ac:dyDescent="0.35">
      <c r="B33" s="21" t="s">
        <v>158</v>
      </c>
      <c r="C33"/>
      <c r="D33"/>
      <c r="E33"/>
      <c r="F33"/>
      <c r="J33" s="254"/>
      <c r="K33" s="225"/>
      <c r="L33" s="242"/>
      <c r="M33" s="14">
        <v>2</v>
      </c>
      <c r="N33" s="242">
        <v>20000</v>
      </c>
      <c r="O33" s="12">
        <f t="shared" si="8"/>
        <v>40000</v>
      </c>
      <c r="P33" s="14" t="s">
        <v>135</v>
      </c>
      <c r="Q33" s="17"/>
      <c r="S33" s="231"/>
      <c r="T33" s="248"/>
      <c r="U33" s="56"/>
      <c r="V33" s="56">
        <f>V31+V32</f>
        <v>1087.5</v>
      </c>
      <c r="W33" s="285" t="s">
        <v>149</v>
      </c>
      <c r="X33" s="56"/>
    </row>
    <row r="34" spans="2:24" s="223" customFormat="1" ht="17.399999999999999" x14ac:dyDescent="0.35">
      <c r="B34" s="26" t="s">
        <v>120</v>
      </c>
      <c r="C34"/>
      <c r="D34"/>
      <c r="E34"/>
      <c r="F34" s="222" t="s">
        <v>15</v>
      </c>
      <c r="J34" s="254"/>
      <c r="K34" s="252"/>
      <c r="L34" s="242"/>
      <c r="M34" s="241"/>
      <c r="N34" s="242">
        <v>900</v>
      </c>
      <c r="O34" s="12">
        <f t="shared" si="8"/>
        <v>0</v>
      </c>
      <c r="P34" s="14" t="s">
        <v>31</v>
      </c>
      <c r="Q34" s="14"/>
      <c r="R34" s="223">
        <v>1.52</v>
      </c>
      <c r="S34" s="231"/>
      <c r="T34" s="231"/>
    </row>
    <row r="35" spans="2:24" s="223" customFormat="1" ht="17.399999999999999" x14ac:dyDescent="0.35">
      <c r="J35" s="278"/>
      <c r="K35" s="252"/>
      <c r="L35" s="242"/>
      <c r="M35" s="258">
        <v>4.66</v>
      </c>
      <c r="N35" s="12">
        <v>1500</v>
      </c>
      <c r="O35" s="12">
        <f t="shared" si="8"/>
        <v>6990</v>
      </c>
      <c r="P35" s="14" t="s">
        <v>22</v>
      </c>
      <c r="Q35" s="14"/>
      <c r="R35">
        <v>2.44</v>
      </c>
      <c r="S35"/>
      <c r="T35" s="231"/>
      <c r="X35" s="224"/>
    </row>
    <row r="36" spans="2:24" s="223" customFormat="1" ht="17.399999999999999" x14ac:dyDescent="0.35">
      <c r="K36" s="252"/>
      <c r="L36" s="242"/>
      <c r="M36" s="14"/>
      <c r="N36" s="12"/>
      <c r="O36" s="12">
        <f>SUM(O30:O35)</f>
        <v>81569.600000000006</v>
      </c>
      <c r="P36" s="36" t="s">
        <v>23</v>
      </c>
      <c r="Q36" s="14"/>
      <c r="R36">
        <f>R34*R35</f>
        <v>3.7088000000000001</v>
      </c>
      <c r="S36"/>
      <c r="T36" s="231"/>
      <c r="X36" s="224"/>
    </row>
    <row r="37" spans="2:24" s="223" customFormat="1" ht="17.399999999999999" x14ac:dyDescent="0.35">
      <c r="L37" s="242"/>
      <c r="M37" s="246" t="s">
        <v>32</v>
      </c>
      <c r="N37" s="12"/>
      <c r="O37" s="247">
        <f>O36*2.1</f>
        <v>171296.16000000003</v>
      </c>
      <c r="P37" s="14" t="s">
        <v>134</v>
      </c>
      <c r="Q37" s="14"/>
      <c r="R37" s="37">
        <f>P28/R36</f>
        <v>0.8535375323554788</v>
      </c>
      <c r="S37"/>
      <c r="T37" s="249"/>
    </row>
    <row r="38" spans="2:24" s="223" customFormat="1" ht="17.399999999999999" x14ac:dyDescent="0.35">
      <c r="G38"/>
      <c r="H38" s="252"/>
      <c r="I38" s="252"/>
      <c r="J38" s="331"/>
      <c r="L38" s="242"/>
      <c r="M38" s="14"/>
      <c r="N38" s="12"/>
      <c r="O38" s="12">
        <f>O37/P26</f>
        <v>64934.10159211525</v>
      </c>
      <c r="P38" s="42" t="s">
        <v>24</v>
      </c>
      <c r="Q38" s="14"/>
      <c r="R38" s="14"/>
      <c r="S38"/>
      <c r="T38" s="231"/>
      <c r="U38" s="56" t="s">
        <v>150</v>
      </c>
      <c r="V38" s="280">
        <v>43650</v>
      </c>
    </row>
    <row r="39" spans="2:24" s="223" customFormat="1" ht="17.399999999999999" x14ac:dyDescent="0.35">
      <c r="G39"/>
      <c r="L39" s="242"/>
      <c r="M39" s="13"/>
      <c r="N39" s="14"/>
      <c r="O39" s="17">
        <f>O37/O36</f>
        <v>2.1</v>
      </c>
      <c r="P39" s="15"/>
      <c r="Q39"/>
      <c r="R39"/>
      <c r="S39"/>
      <c r="T39" s="231"/>
      <c r="U39" s="56" t="s">
        <v>152</v>
      </c>
      <c r="V39" s="281" t="s">
        <v>151</v>
      </c>
      <c r="W39" s="56">
        <v>2.4</v>
      </c>
    </row>
    <row r="40" spans="2:24" s="223" customFormat="1" ht="17.399999999999999" x14ac:dyDescent="0.35">
      <c r="D40" s="275"/>
      <c r="E40" s="275"/>
      <c r="F40" s="274"/>
      <c r="G40" s="309"/>
      <c r="H40" s="313"/>
      <c r="J40" s="332"/>
      <c r="L40" s="12"/>
      <c r="T40" s="231"/>
      <c r="U40" s="56" t="s">
        <v>153</v>
      </c>
      <c r="V40" s="282">
        <v>395.37</v>
      </c>
    </row>
    <row r="41" spans="2:24" s="223" customFormat="1" ht="17.399999999999999" x14ac:dyDescent="0.35">
      <c r="B41"/>
      <c r="C41" s="314"/>
      <c r="D41" s="275"/>
      <c r="E41" s="275"/>
      <c r="F41" s="274"/>
      <c r="G41" s="309"/>
      <c r="H41" s="313"/>
      <c r="L41" s="12"/>
      <c r="T41" s="231"/>
      <c r="U41" s="56" t="s">
        <v>148</v>
      </c>
      <c r="V41" s="56">
        <v>474.45</v>
      </c>
    </row>
    <row r="42" spans="2:24" ht="14.4" customHeight="1" x14ac:dyDescent="0.35">
      <c r="D42" s="275"/>
      <c r="E42" s="275"/>
      <c r="F42" s="274"/>
      <c r="G42" s="309"/>
      <c r="H42" s="313"/>
      <c r="L42" s="12"/>
      <c r="U42" s="56"/>
      <c r="V42" s="56"/>
    </row>
    <row r="43" spans="2:24" ht="17.399999999999999" x14ac:dyDescent="0.35">
      <c r="D43" s="275"/>
      <c r="E43" s="275"/>
      <c r="F43" s="274"/>
      <c r="G43" s="309"/>
      <c r="H43" s="313"/>
      <c r="L43" s="242"/>
    </row>
    <row r="44" spans="2:24" ht="17.399999999999999" x14ac:dyDescent="0.35">
      <c r="D44" s="275"/>
      <c r="E44" s="275"/>
      <c r="F44" s="274"/>
      <c r="G44" s="309"/>
      <c r="H44" s="313"/>
      <c r="L44" s="242"/>
      <c r="T44" s="262"/>
    </row>
    <row r="45" spans="2:24" ht="17.399999999999999" x14ac:dyDescent="0.35">
      <c r="D45" s="275"/>
      <c r="E45" s="275"/>
      <c r="F45" s="274"/>
      <c r="G45" s="309"/>
      <c r="H45" s="313"/>
      <c r="L45" s="242"/>
    </row>
    <row r="46" spans="2:24" ht="15" customHeight="1" x14ac:dyDescent="0.35">
      <c r="D46" s="275"/>
      <c r="E46" s="275"/>
      <c r="F46" s="274"/>
      <c r="G46" s="309"/>
      <c r="H46" s="313"/>
    </row>
    <row r="47" spans="2:24" ht="17.399999999999999" x14ac:dyDescent="0.35">
      <c r="D47" s="275"/>
      <c r="E47" s="275"/>
      <c r="F47" s="274"/>
      <c r="G47" s="309"/>
      <c r="H47" s="313"/>
    </row>
    <row r="48" spans="2:24" ht="17.399999999999999" x14ac:dyDescent="0.35">
      <c r="D48" s="275"/>
      <c r="E48" s="275"/>
      <c r="F48" s="274"/>
      <c r="G48" s="309"/>
      <c r="H48" s="313"/>
      <c r="O48">
        <v>40935</v>
      </c>
      <c r="P48" t="s">
        <v>16</v>
      </c>
      <c r="Q48" t="s">
        <v>26</v>
      </c>
    </row>
    <row r="49" spans="4:20" ht="17.399999999999999" x14ac:dyDescent="0.35">
      <c r="D49" s="275"/>
      <c r="E49" s="275"/>
      <c r="F49" s="274"/>
      <c r="G49" s="309"/>
      <c r="H49" s="313"/>
    </row>
    <row r="50" spans="4:20" ht="17.399999999999999" x14ac:dyDescent="0.35">
      <c r="D50" s="275"/>
      <c r="E50" s="275"/>
      <c r="F50" s="274"/>
      <c r="G50" s="309"/>
      <c r="H50" s="313"/>
      <c r="O50" s="51"/>
      <c r="P50" s="51"/>
    </row>
    <row r="51" spans="4:20" ht="17.399999999999999" x14ac:dyDescent="0.35">
      <c r="D51" s="275"/>
      <c r="E51" s="275"/>
      <c r="F51" s="274"/>
      <c r="G51" s="309"/>
      <c r="H51" s="313"/>
      <c r="S51" s="18"/>
      <c r="T51" s="18"/>
    </row>
    <row r="52" spans="4:20" ht="17.399999999999999" x14ac:dyDescent="0.35">
      <c r="D52" s="275"/>
      <c r="E52" s="275"/>
      <c r="F52" s="274"/>
      <c r="G52" s="309"/>
      <c r="H52" s="313"/>
      <c r="S52" s="18"/>
      <c r="T52" s="18"/>
    </row>
    <row r="53" spans="4:20" ht="17.399999999999999" x14ac:dyDescent="0.35">
      <c r="D53" s="275"/>
      <c r="E53" s="275"/>
      <c r="F53" s="274"/>
      <c r="G53" s="309"/>
      <c r="H53" s="313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141</v>
      </c>
    </row>
    <row r="74" spans="3:15" x14ac:dyDescent="0.3">
      <c r="C74" t="s">
        <v>140</v>
      </c>
    </row>
    <row r="77" spans="3:15" x14ac:dyDescent="0.3">
      <c r="C77" t="s">
        <v>140</v>
      </c>
    </row>
    <row r="154" spans="3:3" x14ac:dyDescent="0.3">
      <c r="C154" t="s">
        <v>140</v>
      </c>
    </row>
    <row r="155" spans="3:3" x14ac:dyDescent="0.3">
      <c r="C155" t="s">
        <v>142</v>
      </c>
    </row>
    <row r="156" spans="3:3" x14ac:dyDescent="0.3">
      <c r="C156" t="s">
        <v>143</v>
      </c>
    </row>
    <row r="581" spans="3:3" x14ac:dyDescent="0.3">
      <c r="C581" t="s">
        <v>140</v>
      </c>
    </row>
  </sheetData>
  <mergeCells count="2">
    <mergeCell ref="F17:H17"/>
    <mergeCell ref="B19:H19"/>
  </mergeCells>
  <phoneticPr fontId="31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101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45967</v>
      </c>
    </row>
    <row r="6" spans="1:31" ht="16.2" thickBot="1" x14ac:dyDescent="0.35">
      <c r="B6" s="134" t="s">
        <v>2</v>
      </c>
      <c r="C6" s="133" t="str">
        <f>'2229'!C10</f>
        <v>PEDRO LEON</v>
      </c>
      <c r="D6" s="132"/>
      <c r="E6" s="132"/>
      <c r="F6" s="132"/>
      <c r="N6" s="72" t="s">
        <v>100</v>
      </c>
      <c r="O6" s="72"/>
      <c r="P6" s="136" t="s">
        <v>99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9" t="s">
        <v>94</v>
      </c>
      <c r="I7" s="360"/>
      <c r="J7" s="360"/>
      <c r="K7" s="361"/>
      <c r="N7" s="72"/>
      <c r="O7" s="358" t="s">
        <v>98</v>
      </c>
      <c r="P7" s="135" t="s">
        <v>97</v>
      </c>
      <c r="Q7" s="135"/>
    </row>
    <row r="8" spans="1:31" ht="16.2" thickBot="1" x14ac:dyDescent="0.35">
      <c r="B8" s="134" t="s">
        <v>96</v>
      </c>
      <c r="C8" s="133" t="str">
        <f>'2229'!D8</f>
        <v>N° 11718</v>
      </c>
      <c r="D8" s="132"/>
      <c r="E8" s="132"/>
      <c r="F8" s="132"/>
      <c r="H8" s="176" t="s">
        <v>113</v>
      </c>
      <c r="I8" s="148" t="s">
        <v>112</v>
      </c>
      <c r="J8" s="221" t="s">
        <v>91</v>
      </c>
      <c r="K8" s="129" t="s">
        <v>6</v>
      </c>
      <c r="L8" s="128" t="s">
        <v>6</v>
      </c>
      <c r="N8" s="72"/>
      <c r="O8" s="358"/>
      <c r="P8" s="72" t="s">
        <v>95</v>
      </c>
      <c r="Q8" s="72"/>
      <c r="X8">
        <f>SUM(Q11:Q16)</f>
        <v>6</v>
      </c>
    </row>
    <row r="9" spans="1:31" ht="15" thickBot="1" x14ac:dyDescent="0.35">
      <c r="H9" s="191" t="s">
        <v>92</v>
      </c>
      <c r="I9" s="192" t="s">
        <v>111</v>
      </c>
      <c r="J9" s="177" t="s">
        <v>88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50</v>
      </c>
      <c r="F10" s="214" t="s">
        <v>6</v>
      </c>
      <c r="H10" s="184">
        <v>0</v>
      </c>
      <c r="I10" s="198">
        <v>350</v>
      </c>
      <c r="J10" s="195" t="s">
        <v>31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89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93</v>
      </c>
      <c r="D12" s="130">
        <f>SUM(M45:M47)</f>
        <v>2332921.1060489132</v>
      </c>
      <c r="F12" s="58"/>
      <c r="H12" s="185">
        <v>0</v>
      </c>
      <c r="I12" s="168">
        <v>7500</v>
      </c>
      <c r="J12" s="144" t="s">
        <v>107</v>
      </c>
      <c r="K12" s="152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87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108</v>
      </c>
      <c r="K13" s="152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118</v>
      </c>
      <c r="E14" s="173" t="s">
        <v>28</v>
      </c>
      <c r="F14" s="172" t="s">
        <v>106</v>
      </c>
      <c r="H14" s="185">
        <v>0</v>
      </c>
      <c r="I14" s="168">
        <v>50</v>
      </c>
      <c r="J14" s="144" t="s">
        <v>109</v>
      </c>
      <c r="K14" s="152">
        <f t="shared" si="0"/>
        <v>0</v>
      </c>
      <c r="L14" s="58"/>
      <c r="P14" s="120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4802784.6810228974</v>
      </c>
      <c r="C15" s="207" t="s">
        <v>117</v>
      </c>
      <c r="D15" s="208">
        <v>0.73</v>
      </c>
      <c r="E15" s="209">
        <f>(100%+D15)*D12</f>
        <v>4035953.5134646199</v>
      </c>
      <c r="F15" s="210">
        <f>E15-D12</f>
        <v>1703032.4074157067</v>
      </c>
      <c r="H15" s="185">
        <v>0</v>
      </c>
      <c r="I15" s="168">
        <v>10</v>
      </c>
      <c r="J15" s="144" t="s">
        <v>110</v>
      </c>
      <c r="K15" s="152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86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85</v>
      </c>
      <c r="C17" s="123" t="s">
        <v>84</v>
      </c>
      <c r="D17" s="123" t="s">
        <v>28</v>
      </c>
      <c r="E17" s="122" t="s">
        <v>50</v>
      </c>
      <c r="F17" s="121" t="s">
        <v>6</v>
      </c>
      <c r="H17" s="187">
        <v>6</v>
      </c>
      <c r="I17" s="196">
        <v>1103</v>
      </c>
      <c r="J17" s="182" t="s">
        <v>166</v>
      </c>
      <c r="K17" s="152">
        <f t="shared" si="0"/>
        <v>6618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163</v>
      </c>
      <c r="D18" s="116">
        <f>'2229'!O32</f>
        <v>0</v>
      </c>
      <c r="E18" s="117">
        <f>D18*0.19</f>
        <v>0</v>
      </c>
      <c r="F18" s="114">
        <f>SUM(D18:E18)</f>
        <v>0</v>
      </c>
      <c r="H18" s="320">
        <v>6</v>
      </c>
      <c r="I18" s="319">
        <v>543</v>
      </c>
      <c r="J18" s="6" t="s">
        <v>167</v>
      </c>
      <c r="K18" s="321">
        <f t="shared" si="0"/>
        <v>3258</v>
      </c>
      <c r="N18">
        <v>5</v>
      </c>
      <c r="O18">
        <v>283</v>
      </c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164</v>
      </c>
      <c r="D19" s="116">
        <f>'2229'!O33</f>
        <v>40000</v>
      </c>
      <c r="E19" s="117">
        <f>D19*0.19</f>
        <v>7600</v>
      </c>
      <c r="F19" s="114">
        <f>SUM(D19:E19)</f>
        <v>47600</v>
      </c>
      <c r="H19" s="323"/>
      <c r="I19" s="322"/>
      <c r="J19" s="144" t="s">
        <v>168</v>
      </c>
      <c r="K19" s="324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5"/>
      <c r="C20" s="76" t="s">
        <v>30</v>
      </c>
      <c r="D20" s="116">
        <f>'2229'!O31</f>
        <v>23500</v>
      </c>
      <c r="E20" s="117">
        <f>D20*0.19</f>
        <v>4465</v>
      </c>
      <c r="F20" s="114">
        <f>SUM(D20:E20)</f>
        <v>27965</v>
      </c>
      <c r="H20" s="186">
        <v>4</v>
      </c>
      <c r="I20" s="168">
        <v>1572</v>
      </c>
      <c r="J20" s="178" t="s">
        <v>83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5">
        <f>1300000*1.2</f>
        <v>1560000</v>
      </c>
      <c r="B21" s="113"/>
      <c r="C21" s="71" t="s">
        <v>21</v>
      </c>
      <c r="D21" s="116">
        <f>'2229'!O30</f>
        <v>11079.6</v>
      </c>
      <c r="E21" s="115">
        <f>D21*0.19</f>
        <v>2105.1240000000003</v>
      </c>
      <c r="F21" s="114">
        <f>SUM(D21:E21)</f>
        <v>13184.724</v>
      </c>
      <c r="H21" s="186">
        <v>1</v>
      </c>
      <c r="I21" s="196"/>
      <c r="J21" s="178" t="s">
        <v>82</v>
      </c>
      <c r="K21" s="152">
        <f t="shared" si="3"/>
        <v>0</v>
      </c>
      <c r="L21" s="58"/>
      <c r="O21">
        <f>O20/60</f>
        <v>23.583333333333332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5">
        <f>1300000*1.2</f>
        <v>1560000</v>
      </c>
      <c r="B22" s="108" t="s">
        <v>79</v>
      </c>
      <c r="C22" s="112" t="s">
        <v>6</v>
      </c>
      <c r="D22" s="111">
        <f>SUM(D18:D21)</f>
        <v>74579.600000000006</v>
      </c>
      <c r="E22" s="110">
        <f>SUM(E18:E21)</f>
        <v>14170.124</v>
      </c>
      <c r="F22" s="109">
        <f>SUM(F18:F21)</f>
        <v>88749.724000000002</v>
      </c>
      <c r="H22" s="186">
        <v>1</v>
      </c>
      <c r="I22" s="196"/>
      <c r="J22" s="178" t="s">
        <v>81</v>
      </c>
      <c r="K22" s="152">
        <f t="shared" si="3"/>
        <v>0</v>
      </c>
      <c r="N22" s="55"/>
      <c r="Q22" s="47" t="s">
        <v>33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5">
        <f>950000*1.2</f>
        <v>1140000</v>
      </c>
      <c r="B23" s="316">
        <f>A21/23</f>
        <v>67826.086956521744</v>
      </c>
      <c r="C23" s="107" t="s">
        <v>78</v>
      </c>
      <c r="D23" s="106" t="s">
        <v>77</v>
      </c>
      <c r="E23" s="105" t="s">
        <v>76</v>
      </c>
      <c r="F23" s="104" t="s">
        <v>6</v>
      </c>
      <c r="H23" s="186">
        <v>3</v>
      </c>
      <c r="I23" s="168">
        <v>3535</v>
      </c>
      <c r="J23" s="178" t="s">
        <v>165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5">
        <v>450000</v>
      </c>
      <c r="B24" s="316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80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5">
        <v>450000</v>
      </c>
      <c r="B25" s="316">
        <f>A23/23</f>
        <v>49565.217391304344</v>
      </c>
      <c r="C25" s="76" t="s">
        <v>73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75</v>
      </c>
      <c r="K25" s="325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5"/>
      <c r="B26" s="316">
        <f>A24/23</f>
        <v>19565.217391304348</v>
      </c>
      <c r="C26" s="76" t="s">
        <v>72</v>
      </c>
      <c r="D26" s="95">
        <f t="shared" si="4"/>
        <v>6195.652173913043</v>
      </c>
      <c r="E26" s="94"/>
      <c r="F26" s="93">
        <f t="shared" si="5"/>
        <v>0</v>
      </c>
      <c r="H26" s="145" t="s">
        <v>113</v>
      </c>
      <c r="I26" s="149" t="s">
        <v>111</v>
      </c>
      <c r="J26" s="175" t="s">
        <v>74</v>
      </c>
      <c r="K26" s="146" t="s">
        <v>90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5">
        <v>350000</v>
      </c>
      <c r="B27" s="316">
        <f>A25/23</f>
        <v>19565.217391304348</v>
      </c>
      <c r="C27" s="76" t="s">
        <v>70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104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5">
        <v>500000</v>
      </c>
      <c r="B28" s="316">
        <f>A28/23</f>
        <v>21739.130434782608</v>
      </c>
      <c r="C28" s="76" t="s">
        <v>69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71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5"/>
      <c r="B29" s="316">
        <f>A28/23</f>
        <v>21739.130434782608</v>
      </c>
      <c r="C29" s="76" t="s">
        <v>67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68</v>
      </c>
      <c r="K29" s="92">
        <f t="shared" si="6"/>
        <v>0</v>
      </c>
      <c r="L29" s="58"/>
    </row>
    <row r="30" spans="1:31" x14ac:dyDescent="0.3">
      <c r="A30" s="315">
        <v>450000</v>
      </c>
      <c r="B30" s="317"/>
      <c r="C30" s="76" t="s">
        <v>66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102</v>
      </c>
      <c r="K30" s="92">
        <f t="shared" si="6"/>
        <v>0</v>
      </c>
      <c r="L30" s="58"/>
    </row>
    <row r="31" spans="1:31" x14ac:dyDescent="0.3">
      <c r="A31" s="315">
        <v>350000</v>
      </c>
      <c r="B31" s="317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114</v>
      </c>
      <c r="K31" s="92">
        <f t="shared" si="6"/>
        <v>0</v>
      </c>
      <c r="L31" s="58"/>
    </row>
    <row r="32" spans="1:31" x14ac:dyDescent="0.3">
      <c r="A32" s="315">
        <f>A21+A24+A27+A28+A30</f>
        <v>3310000</v>
      </c>
      <c r="B32" s="317">
        <f>480000/23</f>
        <v>20869.565217391304</v>
      </c>
      <c r="C32" s="76" t="s">
        <v>64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115</v>
      </c>
      <c r="K32" s="92">
        <f t="shared" si="6"/>
        <v>0</v>
      </c>
      <c r="L32" s="58"/>
    </row>
    <row r="33" spans="1:16" ht="15" thickBot="1" x14ac:dyDescent="0.35">
      <c r="A33" s="315"/>
      <c r="B33" s="315"/>
      <c r="C33" s="89" t="s">
        <v>63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116</v>
      </c>
      <c r="K33" s="92">
        <f t="shared" si="6"/>
        <v>0</v>
      </c>
    </row>
    <row r="34" spans="1:16" ht="15" thickBot="1" x14ac:dyDescent="0.35">
      <c r="B34" s="79" t="s">
        <v>62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40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61</v>
      </c>
      <c r="D35" s="77">
        <f>L9</f>
        <v>41495</v>
      </c>
      <c r="H35" s="189">
        <v>0</v>
      </c>
      <c r="I35" s="168"/>
      <c r="J35" s="180" t="s">
        <v>39</v>
      </c>
      <c r="K35" s="92">
        <f t="shared" si="6"/>
        <v>0</v>
      </c>
      <c r="N35" s="62"/>
    </row>
    <row r="36" spans="1:16" x14ac:dyDescent="0.3">
      <c r="B36" s="72"/>
      <c r="C36" s="76" t="s">
        <v>60</v>
      </c>
      <c r="D36" s="75">
        <f>L26</f>
        <v>39086.956521739128</v>
      </c>
      <c r="H36" s="186">
        <v>1</v>
      </c>
      <c r="I36" s="168"/>
      <c r="J36" s="142" t="s">
        <v>103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58</v>
      </c>
      <c r="D37" s="75">
        <f>L38</f>
        <v>1401525.853875</v>
      </c>
      <c r="E37" s="55"/>
      <c r="H37" s="188">
        <v>6</v>
      </c>
      <c r="I37" s="200"/>
      <c r="J37" s="174" t="s">
        <v>105</v>
      </c>
      <c r="K37" s="204">
        <f t="shared" si="6"/>
        <v>0</v>
      </c>
      <c r="N37" s="318"/>
      <c r="O37" s="62"/>
      <c r="P37" s="58"/>
    </row>
    <row r="38" spans="1:16" ht="15" thickBot="1" x14ac:dyDescent="0.35">
      <c r="C38" s="71" t="s">
        <v>41</v>
      </c>
      <c r="D38" s="70"/>
      <c r="H38" s="145" t="s">
        <v>92</v>
      </c>
      <c r="I38" s="149" t="s">
        <v>111</v>
      </c>
      <c r="J38" s="183" t="s">
        <v>65</v>
      </c>
      <c r="K38" s="146" t="s">
        <v>90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44</v>
      </c>
      <c r="K39" s="143">
        <f>I39*H39</f>
        <v>928864.75387500005</v>
      </c>
    </row>
    <row r="40" spans="1:16" ht="15" thickBot="1" x14ac:dyDescent="0.35">
      <c r="B40" s="65" t="s">
        <v>51</v>
      </c>
      <c r="C40" s="64" t="s">
        <v>50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42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43</v>
      </c>
      <c r="K41" s="80">
        <f>I41*H41</f>
        <v>289027.8</v>
      </c>
    </row>
    <row r="42" spans="1:16" ht="15" thickBot="1" x14ac:dyDescent="0.35">
      <c r="B42" s="72" t="s">
        <v>45</v>
      </c>
      <c r="C42" s="72"/>
      <c r="D42" s="201">
        <f>E34</f>
        <v>189.9</v>
      </c>
    </row>
    <row r="43" spans="1:16" ht="15" thickBot="1" x14ac:dyDescent="0.35">
      <c r="D43" s="54"/>
      <c r="H43" s="355" t="s">
        <v>59</v>
      </c>
      <c r="I43" s="356"/>
      <c r="J43" s="356"/>
      <c r="K43" s="356"/>
      <c r="L43" s="356"/>
      <c r="M43" s="357"/>
    </row>
    <row r="44" spans="1:16" ht="15" thickBot="1" x14ac:dyDescent="0.35">
      <c r="D44" s="54"/>
      <c r="H44" s="74" t="s">
        <v>57</v>
      </c>
      <c r="I44" s="153" t="s">
        <v>56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55</v>
      </c>
      <c r="I45" s="156" t="s">
        <v>54</v>
      </c>
      <c r="J45" s="157"/>
      <c r="K45" s="157"/>
      <c r="L45" s="158"/>
      <c r="M45" s="61">
        <f>D22</f>
        <v>74579.600000000006</v>
      </c>
    </row>
    <row r="46" spans="1:16" x14ac:dyDescent="0.3">
      <c r="D46" s="57"/>
      <c r="I46" s="159" t="s">
        <v>53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52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49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48</v>
      </c>
      <c r="J49" s="157"/>
      <c r="K49" s="157"/>
      <c r="L49" s="158"/>
      <c r="M49" s="61"/>
    </row>
    <row r="50" spans="3:13" ht="15" thickBot="1" x14ac:dyDescent="0.35">
      <c r="I50" s="162" t="s">
        <v>47</v>
      </c>
      <c r="J50" s="163"/>
      <c r="K50" s="163"/>
      <c r="L50" s="164"/>
      <c r="M50" s="60"/>
    </row>
    <row r="51" spans="3:13" ht="15" thickBot="1" x14ac:dyDescent="0.35">
      <c r="I51" s="165" t="s">
        <v>46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4"/>
      <c r="J52" s="354"/>
      <c r="K52" s="354"/>
      <c r="L52" s="354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2025-08-11T17:10:58Z</cp:lastPrinted>
  <dcterms:created xsi:type="dcterms:W3CDTF">2013-03-18T13:35:42Z</dcterms:created>
  <dcterms:modified xsi:type="dcterms:W3CDTF">2025-11-06T17:28:34Z</dcterms:modified>
</cp:coreProperties>
</file>