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10DCC5F0-A9B4-4657-8492-859EEEF04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J28" i="1"/>
  <c r="Q38" i="1"/>
  <c r="Q39" i="1"/>
  <c r="R28" i="1"/>
  <c r="N28" i="1"/>
  <c r="P28" i="1"/>
  <c r="O28" i="1"/>
  <c r="J27" i="1"/>
  <c r="J26" i="1"/>
  <c r="J25" i="1"/>
  <c r="J24" i="1"/>
  <c r="P27" i="1"/>
  <c r="P26" i="1"/>
  <c r="P25" i="1"/>
  <c r="P24" i="1"/>
  <c r="O27" i="1"/>
  <c r="O26" i="1"/>
  <c r="O25" i="1"/>
  <c r="Q25" i="1" s="1"/>
  <c r="O24" i="1"/>
  <c r="N27" i="1"/>
  <c r="N26" i="1"/>
  <c r="N25" i="1"/>
  <c r="N24" i="1"/>
  <c r="J22" i="1"/>
  <c r="J23" i="1"/>
  <c r="N22" i="1"/>
  <c r="O22" i="1"/>
  <c r="P22" i="1"/>
  <c r="N23" i="1"/>
  <c r="O23" i="1"/>
  <c r="P23" i="1"/>
  <c r="N21" i="1"/>
  <c r="L44" i="1"/>
  <c r="L15" i="1"/>
  <c r="L10" i="1"/>
  <c r="Q28" i="1" l="1"/>
  <c r="V25" i="1"/>
  <c r="V24" i="1"/>
  <c r="R25" i="1"/>
  <c r="U26" i="1"/>
  <c r="Q26" i="1"/>
  <c r="R26" i="1" s="1"/>
  <c r="Q27" i="1"/>
  <c r="R27" i="1" s="1"/>
  <c r="U24" i="1"/>
  <c r="U27" i="1"/>
  <c r="U25" i="1"/>
  <c r="Q24" i="1"/>
  <c r="R24" i="1" s="1"/>
  <c r="V27" i="1"/>
  <c r="V26" i="1"/>
  <c r="Q23" i="1"/>
  <c r="R23" i="1" s="1"/>
  <c r="Q22" i="1"/>
  <c r="R22" i="1" s="1"/>
  <c r="U23" i="1"/>
  <c r="V23" i="1"/>
  <c r="V22" i="1"/>
  <c r="U22" i="1"/>
  <c r="P21" i="1"/>
  <c r="V21" i="1" s="1"/>
  <c r="O21" i="1" l="1"/>
  <c r="U21" i="1" s="1"/>
  <c r="U31" i="1" s="1"/>
  <c r="O31" i="1" l="1"/>
  <c r="V30" i="1"/>
  <c r="U33" i="1" s="1"/>
  <c r="Q21" i="1"/>
  <c r="R21" i="1" s="1"/>
  <c r="R31" i="1" s="1"/>
  <c r="U34" i="1" l="1"/>
  <c r="U35" i="1" s="1"/>
  <c r="X38" i="1"/>
  <c r="X39" i="1" s="1"/>
  <c r="Q37" i="1" l="1"/>
  <c r="R32" i="1" l="1"/>
  <c r="P20" i="1"/>
  <c r="N20" i="1"/>
  <c r="R33" i="1" l="1"/>
  <c r="R34" i="1" s="1"/>
  <c r="T42" i="1"/>
  <c r="T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Q41" i="1"/>
  <c r="Q40" i="1"/>
  <c r="F18" i="3" l="1"/>
  <c r="Q36" i="1" l="1"/>
  <c r="Q42" i="1" s="1"/>
  <c r="Q43" i="1" s="1"/>
  <c r="D20" i="3" l="1"/>
  <c r="E20" i="3" s="1"/>
  <c r="E21" i="3" s="1"/>
  <c r="Q44" i="1" l="1"/>
  <c r="S20" i="1" s="1"/>
  <c r="S28" i="1" s="1"/>
  <c r="T28" i="1" s="1"/>
  <c r="D21" i="3"/>
  <c r="M43" i="3" s="1"/>
  <c r="D12" i="3" s="1"/>
  <c r="F20" i="3"/>
  <c r="F21" i="3" s="1"/>
  <c r="S26" i="1" l="1"/>
  <c r="T26" i="1" s="1"/>
  <c r="S27" i="1"/>
  <c r="T27" i="1" s="1"/>
  <c r="S24" i="1"/>
  <c r="T24" i="1" s="1"/>
  <c r="S25" i="1"/>
  <c r="T25" i="1" s="1"/>
  <c r="S22" i="1"/>
  <c r="T22" i="1" s="1"/>
  <c r="S23" i="1"/>
  <c r="T23" i="1" s="1"/>
  <c r="Q45" i="1"/>
  <c r="E15" i="3"/>
  <c r="S21" i="1" l="1"/>
  <c r="F15" i="3"/>
  <c r="T21" i="1" l="1"/>
  <c r="J21" i="1" l="1"/>
  <c r="J30" i="1" l="1"/>
  <c r="J31" i="1" s="1"/>
  <c r="D11" i="3" l="1"/>
  <c r="X9" i="3" s="1"/>
  <c r="X15" i="3" s="1"/>
  <c r="J32" i="1"/>
  <c r="M42" i="3" l="1"/>
  <c r="M46" i="3" s="1"/>
  <c r="M49" i="3" s="1"/>
  <c r="X16" i="3"/>
  <c r="X13" i="3"/>
  <c r="E11" i="3"/>
  <c r="D40" i="3" s="1"/>
  <c r="E13" i="3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<sst xmlns="http://schemas.openxmlformats.org/spreadsheetml/2006/main" count="256" uniqueCount="186">
  <si>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</si>
  <si>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</si>
  <si>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</si>
  <si>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</si>
  <si>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</si>
  <si>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</si>
  <si>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</si>
  <si>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</si>
  <si>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</si>
  <si>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</si>
  <si>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</si>
  <si>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</si>
  <si>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</si>
  <si>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</si>
  <si>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</si>
  <si>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</si>
  <si>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</si>
  <si>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</si>
  <si>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</si>
  <si>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</si>
  <si>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</si>
  <si>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</si>
  <si>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</si>
  <si>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</si>
  <si>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</si>
  <si>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</si>
  <si>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</si>
  <si>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</si>
  <si>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</si>
  <si>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</si>
  <si>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</si>
  <si>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</si>
  <si>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</si>
  <si>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</si>
  <si>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</si>
  <si>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</si>
  <si>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</si>
  <si>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</si>
  <si>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</si>
  <si>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</si>
  <si>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</si>
  <si>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</si>
  <si>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</si>
  <si>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</si>
  <si>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</si>
  <si>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</si>
  <si>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</si>
  <si>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</si>
  <si>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</si>
  <si>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</si>
  <si>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</si>
  <si>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</si>
  <si>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</si>
  <si>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</si>
  <si>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</si>
  <si>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</si>
  <si>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</si>
  <si>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</si>
  <si>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</si>
  <si>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</si>
  <si>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</si>
  <si>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</si>
  <si>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</si>
  <si>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</si>
  <si>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</si>
  <si>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</si>
  <si>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</si>
  <si>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</si>
  <si>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</si>
  <si>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</si>
  <si>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</si>
  <si>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</si>
  <si>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</si>
  <si>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</si>
  <si>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</si>
  <si>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</si>
  <si>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</si>
  <si>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</si>
  <si>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</si>
  <si>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</si>
  <si>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</si>
  <si>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</si>
  <si>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</si>
  <si>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</si>
  <si>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</si>
  <si>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</si>
  <si>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</si>
  <si>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</si>
  <si>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</si>
  <si>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</si>
  <si>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</si>
  <si>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</si>
  <si>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</si>
  <si>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</si>
  <si>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</si>
  <si>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</si>
  <si>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</si>
  <si>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</si>
  <si>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</si>
  <si>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</si>
  <si>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</si>
  <si>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</si>
  <si>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</si>
  <si>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</si>
  <si>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</si>
  <si>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</si>
  <si>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</si>
  <si>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</si>
  <si>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</si>
  <si>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</si>
  <si>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</si>
  <si>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</si>
  <si>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</si>
  <si>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</si>
  <si>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</si>
  <si>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</si>
  <si>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</si>
  <si>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</si>
  <si>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</si>
  <si>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</si>
  <si>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</si>
  <si>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</si>
  <si>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</si>
  <si>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</si>
  <si>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</si>
  <si>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</si>
  <si>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</si>
  <si>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</si>
  <si>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</si>
  <si>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</si>
  <si>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</si>
  <si>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</si>
  <si>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</si>
  <si>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</si>
  <si>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</si>
  <si>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</si>
  <si>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</si>
  <si>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</si>
  <si>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</si>
  <si>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</si>
  <si>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</si>
  <si>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</si>
  <si>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</si>
  <si>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</si>
  <si>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</si>
  <si>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</si>
  <si>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</si>
  <si>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</si>
  <si>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</si>
  <si>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</si>
  <si>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</si>
  <si>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</si>
  <si>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</si>
  <si>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</si>
  <si>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</si>
  <si>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</si>
  <si>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</si>
  <si>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</si>
  <si>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</si>
  <si>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</si>
  <si>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</si>
  <si>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</si>
  <si>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</si>
  <si>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</si>
  <si>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</si>
  <si>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NIEBLA</t>
  </si>
  <si>
    <t>WHITE OAK</t>
  </si>
  <si>
    <t>MDF 30MM</t>
  </si>
  <si>
    <t>TAPACANTO PVC 0,45 X 50MM</t>
  </si>
  <si>
    <t>SI</t>
  </si>
  <si>
    <t>10 DIAS HABILES</t>
  </si>
  <si>
    <t>N° 11713</t>
  </si>
  <si>
    <t>CRISTIAN ROMO</t>
  </si>
  <si>
    <t>5699519 4283</t>
  </si>
  <si>
    <t>SANTIAGO</t>
  </si>
  <si>
    <t>MODULO 1</t>
  </si>
  <si>
    <t>TURQUESA BRILLO</t>
  </si>
  <si>
    <t xml:space="preserve">ENCHAPE RECTO 1 CARA MELAMIL 18MM </t>
  </si>
  <si>
    <t>4 CANTOS TURQUESA</t>
  </si>
  <si>
    <t>1 LARGO CANTO TURQUESA</t>
  </si>
  <si>
    <t>MODULO 2</t>
  </si>
  <si>
    <t>MODULO 3</t>
  </si>
  <si>
    <t>1 LARGO + 1 CORTO</t>
  </si>
  <si>
    <t>2 CORTOS TURQUESA</t>
  </si>
  <si>
    <t>ENCHA RECTO 2 CARAS MDF 18MM</t>
  </si>
  <si>
    <t>TAPA ZOCALO 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</si>
</sst>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0" fontId="37" fillId="0" borderId="0" xfId="0" applyFont="1"/>
    <xf numFmtId="166" fontId="34" fillId="0" borderId="1" xfId="0" applyNumberFormat="1" applyFont="1" applyBorder="1" applyAlignment="1">
      <alignment horizontal="center" vertical="center"/>
    </xf>
    <xf numFmtId="166" fontId="38" fillId="0" borderId="1" xfId="0" applyNumberFormat="1" applyFont="1" applyBorder="1" applyAlignment="1">
      <alignment horizontal="center" vertical="center"/>
    </xf>
    <xf numFmtId="166" fontId="39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33</xdr:row>
      <xdr:rowOff>8194</xdr:rowOff>
    </xdr:from>
    <xdr:to>
      <xdr:col>10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8</xdr:col>
      <xdr:colOff>222885</xdr:colOff>
      <xdr:row>35</xdr:row>
      <xdr:rowOff>154305</xdr:rowOff>
    </xdr:from>
    <xdr:to>
      <xdr:col>9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7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7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</a:t>
          </a:r>
          <a:r>
            <a:rPr lang="es-CL" sz="1200" b="1" baseline="0"/>
            <a:t> A LA MEDIDA Y ENCHAPADOS SUS CANTOS CON TAPACANTO PVC 0,45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A587"/>
  <sheetViews>
    <sheetView tabSelected="1" topLeftCell="A12" zoomScale="93" zoomScaleNormal="93" workbookViewId="0">
      <selection activeCell="A43" sqref="A4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15" customWidth="1"/>
    <col min="7" max="7" width="19.109375" customWidth="1"/>
    <col min="8" max="8" width="34.21875" customWidth="1"/>
    <col min="9" max="9" width="14" customWidth="1"/>
    <col min="10" max="11" width="15.44140625" customWidth="1"/>
    <col min="12" max="12" width="13.44140625" customWidth="1"/>
    <col min="14" max="14" width="9.5546875" style="18" customWidth="1"/>
    <col min="15" max="15" width="8.88671875" customWidth="1"/>
    <col min="16" max="16" width="8.33203125" customWidth="1"/>
    <col min="17" max="17" width="9.44140625" customWidth="1"/>
    <col min="18" max="18" width="7.6640625" customWidth="1"/>
    <col min="19" max="19" width="9.44140625" customWidth="1"/>
    <col min="20" max="20" width="10.109375" customWidth="1"/>
    <col min="21" max="21" width="8.88671875" customWidth="1"/>
    <col min="22" max="22" width="9.6640625" customWidth="1"/>
    <col min="23" max="23" width="9.33203125" customWidth="1"/>
    <col min="24" max="24" width="9.6640625" customWidth="1"/>
    <col min="25" max="25" width="10.88671875" customWidth="1"/>
    <col min="26" max="26" width="10.44140625" customWidth="1"/>
    <col min="27" max="27" width="9" customWidth="1"/>
  </cols>
  <sheetData>
    <row r="2" spans="2:26" ht="15.6" x14ac:dyDescent="0.3">
      <c r="H2" s="242" t="s">
        <v>141</v>
      </c>
      <c r="S2" s="2"/>
      <c r="T2" s="2"/>
      <c r="U2" s="3"/>
      <c r="V2" s="3"/>
      <c r="W2" s="2"/>
      <c r="X2" s="2"/>
      <c r="Y2" s="3"/>
      <c r="Z2" s="4"/>
    </row>
    <row r="3" spans="2:26" x14ac:dyDescent="0.3">
      <c r="H3" s="59" t="s">
        <v>137</v>
      </c>
      <c r="S3" s="2"/>
      <c r="T3" s="2"/>
      <c r="U3" s="3"/>
      <c r="V3" s="3"/>
      <c r="W3" s="2"/>
      <c r="X3" s="2"/>
      <c r="Y3" s="3"/>
      <c r="Z3" s="4"/>
    </row>
    <row r="4" spans="2:26" x14ac:dyDescent="0.3">
      <c r="H4" s="59" t="s">
        <v>142</v>
      </c>
      <c r="S4" s="2"/>
      <c r="T4" s="2"/>
      <c r="U4" s="3"/>
      <c r="V4" s="3"/>
      <c r="W4" s="2"/>
      <c r="X4" s="2"/>
      <c r="Y4" s="3"/>
      <c r="Z4" s="4"/>
    </row>
    <row r="5" spans="2:26" x14ac:dyDescent="0.3">
      <c r="H5" s="59" t="s">
        <v>14</v>
      </c>
      <c r="S5" s="2"/>
      <c r="T5" s="2"/>
      <c r="U5" s="3"/>
      <c r="V5" s="3"/>
      <c r="W5" s="2"/>
      <c r="X5" s="2"/>
      <c r="Y5" s="3"/>
      <c r="Z5" s="4"/>
    </row>
    <row r="6" spans="2:26" ht="15.6" x14ac:dyDescent="0.3">
      <c r="H6" s="59" t="s">
        <v>163</v>
      </c>
      <c r="Q6" s="33" t="s">
        <v>19</v>
      </c>
      <c r="S6" s="2"/>
      <c r="T6" s="2"/>
      <c r="U6" s="3"/>
      <c r="V6" s="3"/>
      <c r="W6" s="2"/>
      <c r="X6" s="2"/>
      <c r="Y6" s="3"/>
    </row>
    <row r="7" spans="2:26" ht="15" thickBot="1" x14ac:dyDescent="0.35">
      <c r="H7" s="59" t="s">
        <v>123</v>
      </c>
      <c r="S7" s="2"/>
      <c r="T7" s="2"/>
      <c r="U7" s="3"/>
      <c r="V7" s="3"/>
      <c r="W7" s="2"/>
      <c r="X7" s="2"/>
      <c r="Y7" s="3"/>
    </row>
    <row r="8" spans="2:26" ht="21.6" thickBot="1" x14ac:dyDescent="0.45">
      <c r="B8" s="291" t="s">
        <v>125</v>
      </c>
      <c r="C8" s="292"/>
      <c r="D8" s="327" t="s">
        <v>171</v>
      </c>
      <c r="H8" s="59"/>
      <c r="L8">
        <v>152</v>
      </c>
      <c r="M8" s="52"/>
      <c r="T8" s="2"/>
      <c r="U8" s="3"/>
      <c r="V8" s="3"/>
      <c r="W8" s="2"/>
      <c r="X8" s="2"/>
      <c r="Y8" s="3"/>
    </row>
    <row r="9" spans="2:26" ht="15" thickBot="1" x14ac:dyDescent="0.35">
      <c r="L9">
        <v>129</v>
      </c>
      <c r="T9" s="2"/>
      <c r="U9" s="3"/>
      <c r="V9" s="3"/>
      <c r="W9" s="4"/>
      <c r="X9" s="2"/>
      <c r="Y9" s="3"/>
    </row>
    <row r="10" spans="2:26" x14ac:dyDescent="0.3">
      <c r="B10" s="305" t="s">
        <v>161</v>
      </c>
      <c r="C10" s="278" t="s">
        <v>172</v>
      </c>
      <c r="D10" s="243"/>
      <c r="E10" s="243"/>
      <c r="F10" s="243"/>
      <c r="G10" s="243"/>
      <c r="H10" s="244" t="s">
        <v>0</v>
      </c>
      <c r="I10" s="276">
        <v>45952</v>
      </c>
      <c r="J10" s="245"/>
      <c r="L10">
        <f>L8-L9</f>
        <v>23</v>
      </c>
      <c r="M10" s="1"/>
      <c r="T10" s="2"/>
      <c r="U10" s="3"/>
      <c r="V10" s="3"/>
      <c r="W10" s="4"/>
      <c r="X10" s="2"/>
      <c r="Y10" s="3"/>
    </row>
    <row r="11" spans="2:26" ht="16.8" x14ac:dyDescent="0.4">
      <c r="B11" s="287" t="s">
        <v>12</v>
      </c>
      <c r="C11" s="298"/>
      <c r="H11" t="s">
        <v>122</v>
      </c>
      <c r="I11" s="288" t="s">
        <v>170</v>
      </c>
      <c r="J11" s="289"/>
      <c r="S11" s="19"/>
      <c r="T11" s="25" t="s">
        <v>18</v>
      </c>
      <c r="U11" s="19"/>
    </row>
    <row r="12" spans="2:26" ht="16.8" x14ac:dyDescent="0.4">
      <c r="B12" s="246" t="s">
        <v>144</v>
      </c>
      <c r="C12" s="306"/>
      <c r="D12" s="247"/>
      <c r="E12" s="247"/>
      <c r="F12" s="247"/>
      <c r="G12" s="247"/>
      <c r="H12" s="247" t="s">
        <v>126</v>
      </c>
      <c r="I12" s="277" t="s">
        <v>134</v>
      </c>
      <c r="J12" s="248"/>
      <c r="L12">
        <v>44</v>
      </c>
      <c r="S12" s="19"/>
      <c r="T12" s="25"/>
      <c r="U12" s="19"/>
    </row>
    <row r="13" spans="2:26" x14ac:dyDescent="0.3">
      <c r="B13" s="287" t="s">
        <v>145</v>
      </c>
      <c r="I13" s="307"/>
      <c r="J13" s="289"/>
      <c r="L13">
        <v>114</v>
      </c>
      <c r="S13" s="19"/>
      <c r="T13" s="25"/>
      <c r="U13" s="19"/>
    </row>
    <row r="14" spans="2:26" x14ac:dyDescent="0.3">
      <c r="B14" s="246" t="s">
        <v>138</v>
      </c>
      <c r="C14" s="312"/>
      <c r="D14" s="247"/>
      <c r="E14" s="247"/>
      <c r="F14" s="247"/>
      <c r="G14" s="247"/>
      <c r="H14" s="313" t="s">
        <v>135</v>
      </c>
      <c r="I14" s="290" t="s">
        <v>169</v>
      </c>
      <c r="J14" s="248"/>
      <c r="M14" s="29"/>
      <c r="S14" s="20"/>
      <c r="T14" s="26" t="s">
        <v>17</v>
      </c>
      <c r="U14" s="20"/>
    </row>
    <row r="15" spans="2:26" ht="15.6" x14ac:dyDescent="0.3">
      <c r="B15" s="287" t="s">
        <v>4</v>
      </c>
      <c r="C15" s="332" t="s">
        <v>173</v>
      </c>
      <c r="D15" s="308"/>
      <c r="H15" t="s">
        <v>133</v>
      </c>
      <c r="I15" s="334"/>
      <c r="J15" s="289"/>
      <c r="L15">
        <f>SUM(L12:L14)</f>
        <v>158</v>
      </c>
    </row>
    <row r="16" spans="2:26" ht="16.8" x14ac:dyDescent="0.4">
      <c r="B16" s="314" t="s">
        <v>3</v>
      </c>
      <c r="C16" s="306"/>
      <c r="D16" s="247"/>
      <c r="E16" s="247"/>
      <c r="F16" s="247"/>
      <c r="G16" s="247"/>
      <c r="H16" s="315" t="s">
        <v>128</v>
      </c>
      <c r="I16" s="316" t="s">
        <v>162</v>
      </c>
      <c r="J16" s="248"/>
    </row>
    <row r="17" spans="2:27" ht="15" thickBot="1" x14ac:dyDescent="0.35">
      <c r="B17" s="309" t="s">
        <v>13</v>
      </c>
      <c r="C17" s="310" t="s">
        <v>174</v>
      </c>
      <c r="D17" s="311"/>
      <c r="E17" s="119"/>
      <c r="F17" s="119"/>
      <c r="G17" s="119"/>
      <c r="H17" s="338" t="s">
        <v>164</v>
      </c>
      <c r="I17" s="338"/>
      <c r="J17" s="339"/>
      <c r="K17" s="263"/>
      <c r="L17" s="263"/>
      <c r="V17" s="6"/>
      <c r="W17" s="6"/>
    </row>
    <row r="18" spans="2:27" ht="15.75" customHeight="1" thickBot="1" x14ac:dyDescent="0.35">
      <c r="L18" s="47"/>
      <c r="M18" s="5"/>
      <c r="X18" s="9"/>
      <c r="Z18" s="6"/>
      <c r="AA18" s="6"/>
    </row>
    <row r="19" spans="2:27" ht="13.5" customHeight="1" thickBot="1" x14ac:dyDescent="0.35">
      <c r="B19" s="340" t="s">
        <v>94</v>
      </c>
      <c r="C19" s="341"/>
      <c r="D19" s="341"/>
      <c r="E19" s="341"/>
      <c r="F19" s="341"/>
      <c r="G19" s="341"/>
      <c r="H19" s="341"/>
      <c r="I19" s="341"/>
      <c r="J19" s="342"/>
      <c r="K19" s="264"/>
      <c r="L19" s="264"/>
      <c r="M19" s="5"/>
      <c r="N19" s="250"/>
      <c r="O19" s="14">
        <v>0.02</v>
      </c>
      <c r="P19" s="14">
        <v>0.02</v>
      </c>
      <c r="Q19" s="14"/>
      <c r="R19" s="251" t="s">
        <v>6</v>
      </c>
      <c r="S19" s="36" t="s">
        <v>20</v>
      </c>
      <c r="T19" s="37" t="s">
        <v>132</v>
      </c>
      <c r="U19" s="10" t="s">
        <v>136</v>
      </c>
      <c r="W19" s="9"/>
      <c r="X19" s="9"/>
      <c r="Z19" s="6"/>
      <c r="AA19" s="6"/>
    </row>
    <row r="20" spans="2:27" ht="17.399999999999999" x14ac:dyDescent="0.3">
      <c r="B20" s="324" t="s">
        <v>7</v>
      </c>
      <c r="C20" s="325" t="s">
        <v>1</v>
      </c>
      <c r="D20" s="325" t="s">
        <v>10</v>
      </c>
      <c r="E20" s="325" t="s">
        <v>11</v>
      </c>
      <c r="F20" s="325" t="s">
        <v>175</v>
      </c>
      <c r="G20" s="325" t="s">
        <v>132</v>
      </c>
      <c r="H20" s="325" t="s">
        <v>8</v>
      </c>
      <c r="I20" s="325" t="s">
        <v>5</v>
      </c>
      <c r="J20" s="326" t="s">
        <v>6</v>
      </c>
      <c r="K20" s="265"/>
      <c r="L20" s="265"/>
      <c r="M20" s="47"/>
      <c r="N20" s="268" t="str">
        <f>B20</f>
        <v>UNIDAD</v>
      </c>
      <c r="O20" s="267" t="s">
        <v>130</v>
      </c>
      <c r="P20" s="39" t="str">
        <f t="shared" ref="P20" si="0">E20</f>
        <v>ANCHO</v>
      </c>
      <c r="Q20" s="261" t="s">
        <v>131</v>
      </c>
      <c r="R20" s="259" t="s">
        <v>16</v>
      </c>
      <c r="S20" s="252">
        <f>Q44</f>
        <v>83132.905415930654</v>
      </c>
      <c r="T20" s="258">
        <v>3000</v>
      </c>
      <c r="U20" s="38"/>
      <c r="V20" s="14" t="s">
        <v>127</v>
      </c>
      <c r="W20" s="9"/>
      <c r="Z20" s="4"/>
    </row>
    <row r="21" spans="2:27" ht="17.399999999999999" x14ac:dyDescent="0.3">
      <c r="B21" s="328">
        <v>1</v>
      </c>
      <c r="C21" s="333" t="s">
        <v>177</v>
      </c>
      <c r="D21" s="331">
        <v>1.82</v>
      </c>
      <c r="E21" s="331">
        <v>0.35</v>
      </c>
      <c r="F21" s="331"/>
      <c r="G21" s="335" t="s">
        <v>178</v>
      </c>
      <c r="H21" s="328" t="s">
        <v>176</v>
      </c>
      <c r="I21" s="329">
        <v>56597</v>
      </c>
      <c r="J21" s="329">
        <f>I21*B21</f>
        <v>56597</v>
      </c>
      <c r="K21" s="318"/>
      <c r="L21" s="265"/>
      <c r="M21" s="47"/>
      <c r="N21" s="330">
        <f>B21</f>
        <v>1</v>
      </c>
      <c r="O21" s="39">
        <f>D21+O$19</f>
        <v>1.84</v>
      </c>
      <c r="P21" s="39">
        <f>E21+$P$19</f>
        <v>0.37</v>
      </c>
      <c r="Q21" s="261">
        <f t="shared" ref="Q21" si="1">O21*P21</f>
        <v>0.68080000000000007</v>
      </c>
      <c r="R21" s="259">
        <f t="shared" ref="R21" si="2">Q21*N21</f>
        <v>0.68080000000000007</v>
      </c>
      <c r="S21" s="252">
        <f t="shared" ref="S21" si="3">S$20*Q21</f>
        <v>56596.882007165594</v>
      </c>
      <c r="T21" s="317">
        <f t="shared" ref="T21" si="4">S21+T$20</f>
        <v>59596.882007165594</v>
      </c>
      <c r="U21" s="297">
        <f>O21*N21*2</f>
        <v>3.68</v>
      </c>
      <c r="V21" s="46">
        <f>P21*N21*2</f>
        <v>0.74</v>
      </c>
      <c r="W21" s="9"/>
      <c r="Z21" s="4"/>
    </row>
    <row r="22" spans="2:27" ht="17.399999999999999" x14ac:dyDescent="0.3">
      <c r="B22" s="328">
        <v>1</v>
      </c>
      <c r="C22" s="333" t="s">
        <v>177</v>
      </c>
      <c r="D22" s="331">
        <v>0.61</v>
      </c>
      <c r="E22" s="331">
        <v>0.35</v>
      </c>
      <c r="F22" s="331"/>
      <c r="G22" s="335" t="s">
        <v>179</v>
      </c>
      <c r="H22" s="328" t="s">
        <v>176</v>
      </c>
      <c r="I22" s="329">
        <v>19378</v>
      </c>
      <c r="J22" s="329">
        <f t="shared" ref="J22:J28" si="5">I22*B22</f>
        <v>19378</v>
      </c>
      <c r="K22" s="318"/>
      <c r="L22" s="265"/>
      <c r="M22" s="47"/>
      <c r="N22" s="330">
        <f t="shared" ref="N22:N28" si="6">B22</f>
        <v>1</v>
      </c>
      <c r="O22" s="39">
        <f t="shared" ref="O22:O28" si="7">D22+O$19</f>
        <v>0.63</v>
      </c>
      <c r="P22" s="39">
        <f t="shared" ref="P22:P28" si="8">E22+$P$19</f>
        <v>0.37</v>
      </c>
      <c r="Q22" s="261">
        <f t="shared" ref="Q22:Q28" si="9">O22*P22</f>
        <v>0.2331</v>
      </c>
      <c r="R22" s="259">
        <f t="shared" ref="R22:R28" si="10">Q22*N22</f>
        <v>0.2331</v>
      </c>
      <c r="S22" s="252">
        <f t="shared" ref="S22:S28" si="11">S$20*Q22</f>
        <v>19378.280252453435</v>
      </c>
      <c r="T22" s="317">
        <f t="shared" ref="T22:T28" si="12">S22+T$20</f>
        <v>22378.280252453435</v>
      </c>
      <c r="U22" s="297">
        <f t="shared" ref="U22:U27" si="13">O22*N22*2</f>
        <v>1.26</v>
      </c>
      <c r="V22" s="46">
        <f t="shared" ref="V22:V27" si="14">P22*N22*2</f>
        <v>0.74</v>
      </c>
      <c r="W22" s="9"/>
      <c r="Z22" s="4"/>
    </row>
    <row r="23" spans="2:27" ht="17.399999999999999" x14ac:dyDescent="0.3">
      <c r="B23" s="328">
        <v>1</v>
      </c>
      <c r="C23" s="333" t="s">
        <v>184</v>
      </c>
      <c r="D23" s="331">
        <v>0.61</v>
      </c>
      <c r="E23" s="331">
        <v>0.35</v>
      </c>
      <c r="F23" s="331"/>
      <c r="G23" s="335" t="s">
        <v>179</v>
      </c>
      <c r="H23" s="328" t="s">
        <v>176</v>
      </c>
      <c r="I23" s="329">
        <v>19378</v>
      </c>
      <c r="J23" s="329">
        <f t="shared" si="5"/>
        <v>19378</v>
      </c>
      <c r="K23" s="318"/>
      <c r="L23" s="265"/>
      <c r="M23" s="47"/>
      <c r="N23" s="330">
        <f t="shared" si="6"/>
        <v>1</v>
      </c>
      <c r="O23" s="39">
        <f t="shared" si="7"/>
        <v>0.63</v>
      </c>
      <c r="P23" s="39">
        <f t="shared" si="8"/>
        <v>0.37</v>
      </c>
      <c r="Q23" s="261">
        <f t="shared" si="9"/>
        <v>0.2331</v>
      </c>
      <c r="R23" s="259">
        <f t="shared" si="10"/>
        <v>0.2331</v>
      </c>
      <c r="S23" s="252">
        <f t="shared" si="11"/>
        <v>19378.280252453435</v>
      </c>
      <c r="T23" s="317">
        <f t="shared" si="12"/>
        <v>22378.280252453435</v>
      </c>
      <c r="U23" s="297">
        <f t="shared" si="13"/>
        <v>1.26</v>
      </c>
      <c r="V23" s="46">
        <f t="shared" si="14"/>
        <v>0.74</v>
      </c>
      <c r="W23" s="9"/>
      <c r="Z23" s="4"/>
    </row>
    <row r="24" spans="2:27" ht="18" thickBot="1" x14ac:dyDescent="0.35">
      <c r="B24" s="328">
        <v>3</v>
      </c>
      <c r="C24" s="333" t="s">
        <v>177</v>
      </c>
      <c r="D24" s="331">
        <v>0.96299999999999997</v>
      </c>
      <c r="E24" s="331">
        <v>0.3</v>
      </c>
      <c r="F24" s="331"/>
      <c r="G24" s="335" t="s">
        <v>179</v>
      </c>
      <c r="H24" s="328" t="s">
        <v>176</v>
      </c>
      <c r="I24" s="329">
        <v>26150</v>
      </c>
      <c r="J24" s="329">
        <f t="shared" si="5"/>
        <v>78450</v>
      </c>
      <c r="K24" s="318"/>
      <c r="L24" s="265"/>
      <c r="M24" s="47"/>
      <c r="N24" s="330">
        <f t="shared" si="6"/>
        <v>3</v>
      </c>
      <c r="O24" s="39">
        <f t="shared" si="7"/>
        <v>0.98299999999999998</v>
      </c>
      <c r="P24" s="39">
        <f t="shared" si="8"/>
        <v>0.32</v>
      </c>
      <c r="Q24" s="261">
        <f t="shared" si="9"/>
        <v>0.31456000000000001</v>
      </c>
      <c r="R24" s="259">
        <f t="shared" si="10"/>
        <v>0.94368000000000007</v>
      </c>
      <c r="S24" s="252">
        <f t="shared" si="11"/>
        <v>26150.286727635146</v>
      </c>
      <c r="T24" s="317">
        <f t="shared" si="12"/>
        <v>29150.286727635146</v>
      </c>
      <c r="U24" s="297">
        <f t="shared" si="13"/>
        <v>5.8979999999999997</v>
      </c>
      <c r="V24" s="46">
        <f t="shared" si="14"/>
        <v>1.92</v>
      </c>
      <c r="W24" s="9"/>
      <c r="Z24" s="4"/>
    </row>
    <row r="25" spans="2:27" ht="18" thickBot="1" x14ac:dyDescent="0.35">
      <c r="B25" s="328">
        <v>1</v>
      </c>
      <c r="C25" s="333" t="s">
        <v>177</v>
      </c>
      <c r="D25" s="331">
        <v>1.6439999999999999</v>
      </c>
      <c r="E25" s="331">
        <v>0.35</v>
      </c>
      <c r="F25" s="325" t="s">
        <v>180</v>
      </c>
      <c r="G25" s="335" t="s">
        <v>179</v>
      </c>
      <c r="H25" s="328" t="s">
        <v>176</v>
      </c>
      <c r="I25" s="329">
        <v>51183</v>
      </c>
      <c r="J25" s="329">
        <f t="shared" si="5"/>
        <v>51183</v>
      </c>
      <c r="K25" s="318"/>
      <c r="L25" s="265"/>
      <c r="M25" s="47"/>
      <c r="N25" s="330">
        <f t="shared" si="6"/>
        <v>1</v>
      </c>
      <c r="O25" s="39">
        <f t="shared" si="7"/>
        <v>1.6639999999999999</v>
      </c>
      <c r="P25" s="39">
        <f t="shared" si="8"/>
        <v>0.37</v>
      </c>
      <c r="Q25" s="261">
        <f t="shared" si="9"/>
        <v>0.61568000000000001</v>
      </c>
      <c r="R25" s="259">
        <f t="shared" si="10"/>
        <v>0.61568000000000001</v>
      </c>
      <c r="S25" s="252">
        <f t="shared" si="11"/>
        <v>51183.267206480188</v>
      </c>
      <c r="T25" s="317">
        <f t="shared" si="12"/>
        <v>54183.267206480188</v>
      </c>
      <c r="U25" s="297">
        <f t="shared" si="13"/>
        <v>3.3279999999999998</v>
      </c>
      <c r="V25" s="46">
        <f t="shared" si="14"/>
        <v>0.74</v>
      </c>
      <c r="W25" s="9"/>
      <c r="Z25" s="4"/>
    </row>
    <row r="26" spans="2:27" ht="17.399999999999999" x14ac:dyDescent="0.3">
      <c r="B26" s="328">
        <v>1</v>
      </c>
      <c r="C26" s="333" t="s">
        <v>177</v>
      </c>
      <c r="D26" s="331">
        <v>1</v>
      </c>
      <c r="E26" s="331">
        <v>0.35</v>
      </c>
      <c r="F26" s="325" t="s">
        <v>181</v>
      </c>
      <c r="G26" s="337" t="s">
        <v>182</v>
      </c>
      <c r="H26" s="328" t="s">
        <v>176</v>
      </c>
      <c r="I26" s="329">
        <v>31374</v>
      </c>
      <c r="J26" s="329">
        <f t="shared" si="5"/>
        <v>31374</v>
      </c>
      <c r="K26" s="318"/>
      <c r="L26" s="265"/>
      <c r="M26" s="47"/>
      <c r="N26" s="330">
        <f t="shared" si="6"/>
        <v>1</v>
      </c>
      <c r="O26" s="39">
        <f t="shared" si="7"/>
        <v>1.02</v>
      </c>
      <c r="P26" s="39">
        <f t="shared" si="8"/>
        <v>0.37</v>
      </c>
      <c r="Q26" s="261">
        <f t="shared" si="9"/>
        <v>0.37740000000000001</v>
      </c>
      <c r="R26" s="259">
        <f t="shared" si="10"/>
        <v>0.37740000000000001</v>
      </c>
      <c r="S26" s="252">
        <f t="shared" si="11"/>
        <v>31374.358503972231</v>
      </c>
      <c r="T26" s="317">
        <f t="shared" si="12"/>
        <v>34374.358503972231</v>
      </c>
      <c r="U26" s="297">
        <f t="shared" si="13"/>
        <v>2.04</v>
      </c>
      <c r="V26" s="46">
        <f t="shared" si="14"/>
        <v>0.74</v>
      </c>
      <c r="W26" s="9"/>
      <c r="Z26" s="4"/>
    </row>
    <row r="27" spans="2:27" ht="17.399999999999999" x14ac:dyDescent="0.3">
      <c r="B27" s="328">
        <v>1</v>
      </c>
      <c r="C27" s="333" t="s">
        <v>177</v>
      </c>
      <c r="D27" s="331">
        <v>0.49299999999999999</v>
      </c>
      <c r="E27" s="331">
        <v>0.35</v>
      </c>
      <c r="F27" s="331"/>
      <c r="G27" s="335" t="s">
        <v>179</v>
      </c>
      <c r="H27" s="328" t="s">
        <v>176</v>
      </c>
      <c r="I27" s="329">
        <v>15779</v>
      </c>
      <c r="J27" s="329">
        <f t="shared" si="5"/>
        <v>15779</v>
      </c>
      <c r="K27" s="318"/>
      <c r="L27" s="265"/>
      <c r="M27" s="47"/>
      <c r="N27" s="330">
        <f t="shared" si="6"/>
        <v>1</v>
      </c>
      <c r="O27" s="39">
        <f t="shared" si="7"/>
        <v>0.51300000000000001</v>
      </c>
      <c r="P27" s="39">
        <f t="shared" si="8"/>
        <v>0.37</v>
      </c>
      <c r="Q27" s="261">
        <f t="shared" si="9"/>
        <v>0.18981000000000001</v>
      </c>
      <c r="R27" s="259">
        <f t="shared" si="10"/>
        <v>0.18981000000000001</v>
      </c>
      <c r="S27" s="252">
        <f t="shared" si="11"/>
        <v>15779.456776997798</v>
      </c>
      <c r="T27" s="317">
        <f t="shared" si="12"/>
        <v>18779.456776997798</v>
      </c>
      <c r="U27" s="297">
        <f t="shared" si="13"/>
        <v>1.026</v>
      </c>
      <c r="V27" s="46">
        <f t="shared" si="14"/>
        <v>0.74</v>
      </c>
      <c r="W27" s="9"/>
      <c r="Z27" s="4"/>
    </row>
    <row r="28" spans="2:27" ht="17.399999999999999" x14ac:dyDescent="0.3">
      <c r="B28" s="328">
        <v>1</v>
      </c>
      <c r="C28" s="333" t="s">
        <v>185</v>
      </c>
      <c r="D28" s="331">
        <v>1.82</v>
      </c>
      <c r="E28" s="331">
        <v>0.05</v>
      </c>
      <c r="F28" s="331"/>
      <c r="G28" s="336" t="s">
        <v>183</v>
      </c>
      <c r="H28" s="328" t="s">
        <v>176</v>
      </c>
      <c r="I28" s="329">
        <v>10708</v>
      </c>
      <c r="J28" s="329">
        <f t="shared" si="5"/>
        <v>10708</v>
      </c>
      <c r="K28" s="318"/>
      <c r="L28" s="265"/>
      <c r="M28" s="47"/>
      <c r="N28" s="330">
        <f t="shared" si="6"/>
        <v>1</v>
      </c>
      <c r="O28" s="39">
        <f t="shared" si="7"/>
        <v>1.84</v>
      </c>
      <c r="P28" s="39">
        <f t="shared" si="8"/>
        <v>7.0000000000000007E-2</v>
      </c>
      <c r="Q28" s="261">
        <f t="shared" si="9"/>
        <v>0.12880000000000003</v>
      </c>
      <c r="R28" s="259">
        <f t="shared" si="10"/>
        <v>0.12880000000000003</v>
      </c>
      <c r="S28" s="252">
        <f t="shared" si="11"/>
        <v>10707.518217571871</v>
      </c>
      <c r="T28" s="317">
        <f t="shared" si="12"/>
        <v>13707.518217571871</v>
      </c>
      <c r="U28" s="297"/>
      <c r="V28" s="46"/>
      <c r="W28" s="9"/>
      <c r="Z28" s="4"/>
    </row>
    <row r="29" spans="2:27" ht="18" thickBot="1" x14ac:dyDescent="0.35">
      <c r="B29" s="285"/>
      <c r="C29" s="285"/>
      <c r="D29" s="286"/>
      <c r="E29" s="286"/>
      <c r="F29" s="286"/>
      <c r="G29" s="286"/>
      <c r="H29" s="285"/>
      <c r="I29" s="265"/>
      <c r="J29" s="319"/>
      <c r="K29" s="321"/>
      <c r="L29" s="233"/>
      <c r="M29" s="47"/>
      <c r="N29" s="47"/>
      <c r="O29" s="39"/>
      <c r="P29" s="39"/>
      <c r="Q29" s="261"/>
      <c r="R29" s="259"/>
      <c r="S29" s="252"/>
      <c r="T29" s="258"/>
      <c r="U29" s="297"/>
      <c r="V29" s="14"/>
      <c r="W29" s="9"/>
      <c r="Z29" s="4"/>
    </row>
    <row r="30" spans="2:27" ht="17.399999999999999" x14ac:dyDescent="0.3">
      <c r="B30" s="285"/>
      <c r="C30" s="285"/>
      <c r="D30" s="286"/>
      <c r="E30" s="286"/>
      <c r="F30" s="286"/>
      <c r="G30" s="286"/>
      <c r="H30" s="285"/>
      <c r="I30" s="322" t="s">
        <v>28</v>
      </c>
      <c r="J30" s="323">
        <f>SUM(J21:J29)</f>
        <v>282847</v>
      </c>
      <c r="K30" s="320"/>
      <c r="L30" s="265"/>
      <c r="M30" s="47"/>
      <c r="N30" s="47"/>
      <c r="O30" s="39"/>
      <c r="P30" s="39"/>
      <c r="Q30" s="261"/>
      <c r="R30" s="259"/>
      <c r="S30" s="252"/>
      <c r="T30" s="258"/>
      <c r="U30" s="297"/>
      <c r="V30" s="46">
        <f>SUM(V21:V29)</f>
        <v>6.36</v>
      </c>
      <c r="W30" s="9"/>
      <c r="Z30" s="4"/>
    </row>
    <row r="31" spans="2:27" ht="17.399999999999999" x14ac:dyDescent="0.3">
      <c r="B31" s="279"/>
      <c r="C31" s="282"/>
      <c r="D31" s="283"/>
      <c r="E31" s="283"/>
      <c r="F31" s="283"/>
      <c r="G31" s="283"/>
      <c r="H31" s="284"/>
      <c r="I31" s="296" t="s">
        <v>50</v>
      </c>
      <c r="J31" s="294">
        <f>J30*19%</f>
        <v>53740.93</v>
      </c>
      <c r="K31" s="320"/>
      <c r="L31" s="265"/>
      <c r="M31" s="47"/>
      <c r="N31" s="47"/>
      <c r="O31" s="39">
        <f>SUM(O21:O21)</f>
        <v>1.84</v>
      </c>
      <c r="P31" s="12"/>
      <c r="Q31" s="12"/>
      <c r="R31" s="253">
        <f>SUM(R21:R29)</f>
        <v>3.4023700000000003</v>
      </c>
      <c r="S31" s="14"/>
      <c r="T31" s="12"/>
      <c r="U31" s="239">
        <f>SUM(U21:U30)</f>
        <v>18.491999999999997</v>
      </c>
      <c r="V31" s="46"/>
      <c r="W31" s="9"/>
      <c r="Z31" s="4"/>
    </row>
    <row r="32" spans="2:27" ht="18" thickBot="1" x14ac:dyDescent="0.35">
      <c r="B32" s="275"/>
      <c r="C32" s="281"/>
      <c r="D32" s="272"/>
      <c r="E32" s="272"/>
      <c r="F32" s="272"/>
      <c r="G32" s="272"/>
      <c r="H32" s="273"/>
      <c r="I32" s="280" t="s">
        <v>6</v>
      </c>
      <c r="J32" s="295">
        <f>J30+J31</f>
        <v>336587.93</v>
      </c>
      <c r="K32" s="320"/>
      <c r="L32" s="265"/>
      <c r="M32" s="47"/>
      <c r="N32" s="47"/>
      <c r="O32" s="39"/>
      <c r="P32" s="12"/>
      <c r="Q32" s="12"/>
      <c r="R32" s="253">
        <f>R31</f>
        <v>3.4023700000000003</v>
      </c>
      <c r="S32" s="14"/>
      <c r="T32" s="12"/>
      <c r="U32" s="239"/>
      <c r="V32" s="46"/>
      <c r="W32" s="9"/>
      <c r="Z32" s="4"/>
    </row>
    <row r="33" spans="1:26" ht="17.399999999999999" x14ac:dyDescent="0.3">
      <c r="B33" s="275"/>
      <c r="C33" s="271"/>
      <c r="D33" s="272"/>
      <c r="E33" s="272"/>
      <c r="F33" s="272"/>
      <c r="G33" s="272"/>
      <c r="H33" s="273"/>
      <c r="L33" s="265"/>
      <c r="M33" s="47"/>
      <c r="N33" s="47"/>
      <c r="O33" s="14"/>
      <c r="P33" s="12"/>
      <c r="Q33" s="12"/>
      <c r="R33" s="39">
        <f>R32*20%</f>
        <v>0.68047400000000013</v>
      </c>
      <c r="S33" s="39" t="s">
        <v>129</v>
      </c>
      <c r="T33" s="42"/>
      <c r="U33" s="240">
        <f>V30+U31</f>
        <v>24.851999999999997</v>
      </c>
      <c r="V33" s="14"/>
      <c r="W33" s="9"/>
      <c r="Z33" s="4"/>
    </row>
    <row r="34" spans="1:26" ht="17.399999999999999" x14ac:dyDescent="0.35">
      <c r="B34" s="269"/>
      <c r="C34" s="230"/>
      <c r="D34" s="230"/>
      <c r="E34" s="233"/>
      <c r="F34" s="233"/>
      <c r="G34" s="233"/>
      <c r="H34" s="234"/>
      <c r="I34" s="230"/>
      <c r="J34" s="274"/>
      <c r="K34" s="274"/>
      <c r="L34" s="265"/>
      <c r="M34" s="47"/>
      <c r="N34" s="47"/>
      <c r="O34" s="14"/>
      <c r="P34" s="12"/>
      <c r="Q34" s="12"/>
      <c r="R34" s="46">
        <f>R32+R33</f>
        <v>4.0828440000000006</v>
      </c>
      <c r="S34" s="14"/>
      <c r="T34" s="14"/>
      <c r="U34" s="238">
        <f>U33*20%</f>
        <v>4.9703999999999997</v>
      </c>
      <c r="V34" s="14"/>
      <c r="W34" s="9"/>
      <c r="Z34" s="4"/>
    </row>
    <row r="35" spans="1:26" ht="17.399999999999999" x14ac:dyDescent="0.35">
      <c r="B35" s="235"/>
      <c r="C35" s="236"/>
      <c r="D35" s="237"/>
      <c r="E35" s="235"/>
      <c r="F35" s="235"/>
      <c r="G35" s="235"/>
      <c r="H35" s="230"/>
      <c r="I35" s="230"/>
      <c r="K35" s="274"/>
      <c r="L35" s="265"/>
      <c r="M35" s="47"/>
      <c r="N35" s="47"/>
      <c r="O35" s="14"/>
      <c r="P35" s="14"/>
      <c r="Q35" s="14"/>
      <c r="R35" s="14"/>
      <c r="S35" s="14"/>
      <c r="T35" s="14"/>
      <c r="U35" s="240">
        <f>U33+U34</f>
        <v>29.822399999999995</v>
      </c>
      <c r="V35" s="14"/>
      <c r="W35" s="302" t="s">
        <v>21</v>
      </c>
      <c r="X35" s="299" t="s">
        <v>151</v>
      </c>
      <c r="Y35" s="303">
        <v>44971</v>
      </c>
      <c r="Z35" s="304"/>
    </row>
    <row r="36" spans="1:26" ht="17.399999999999999" x14ac:dyDescent="0.35">
      <c r="B36" s="230"/>
      <c r="C36" s="230"/>
      <c r="D36" s="230"/>
      <c r="E36" s="230"/>
      <c r="F36" s="230"/>
      <c r="G36" s="230"/>
      <c r="H36" s="230"/>
      <c r="I36" s="230"/>
      <c r="L36" s="265"/>
      <c r="M36" s="47"/>
      <c r="N36" s="47"/>
      <c r="O36" s="39">
        <f>R34</f>
        <v>4.0828440000000006</v>
      </c>
      <c r="P36" s="12">
        <v>3500</v>
      </c>
      <c r="Q36" s="12">
        <f t="shared" ref="Q36:Q41" si="15">O36*P36</f>
        <v>14289.954000000002</v>
      </c>
      <c r="R36" s="14" t="s">
        <v>21</v>
      </c>
      <c r="S36" s="14"/>
      <c r="T36" s="14"/>
      <c r="U36" s="241"/>
      <c r="V36" s="14"/>
      <c r="W36" s="302" t="s">
        <v>152</v>
      </c>
      <c r="X36" s="299">
        <v>3625</v>
      </c>
      <c r="Y36" s="59" t="s">
        <v>153</v>
      </c>
      <c r="Z36" s="304"/>
    </row>
    <row r="37" spans="1:26" ht="17.399999999999999" x14ac:dyDescent="0.35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L37" s="265"/>
      <c r="M37" s="47"/>
      <c r="N37" s="47"/>
      <c r="O37" s="249">
        <v>1.2</v>
      </c>
      <c r="P37" s="12">
        <v>42000</v>
      </c>
      <c r="Q37" s="12">
        <f t="shared" si="15"/>
        <v>50400</v>
      </c>
      <c r="R37" s="39" t="s">
        <v>30</v>
      </c>
      <c r="S37" s="42"/>
      <c r="T37" s="14"/>
      <c r="U37" s="240"/>
      <c r="V37" s="14"/>
      <c r="W37" s="302"/>
      <c r="X37" s="59">
        <v>906.25</v>
      </c>
      <c r="Y37" s="59" t="s">
        <v>154</v>
      </c>
      <c r="Z37" s="304"/>
    </row>
    <row r="38" spans="1:26" s="230" customFormat="1" ht="17.399999999999999" x14ac:dyDescent="0.35">
      <c r="B38" s="24" t="s">
        <v>150</v>
      </c>
      <c r="L38" s="262"/>
      <c r="M38" s="232"/>
      <c r="N38" s="250"/>
      <c r="O38" s="14"/>
      <c r="P38" s="250">
        <v>42000</v>
      </c>
      <c r="Q38" s="12">
        <f t="shared" si="15"/>
        <v>0</v>
      </c>
      <c r="R38" s="39" t="s">
        <v>167</v>
      </c>
      <c r="S38" s="42"/>
      <c r="U38" s="240"/>
      <c r="V38" s="256"/>
      <c r="W38" s="59"/>
      <c r="X38" s="59">
        <f>X37*20%</f>
        <v>181.25</v>
      </c>
      <c r="Y38" s="304" t="s">
        <v>155</v>
      </c>
      <c r="Z38" s="59"/>
    </row>
    <row r="39" spans="1:26" s="230" customFormat="1" ht="17.399999999999999" x14ac:dyDescent="0.35">
      <c r="B39" s="24" t="s">
        <v>143</v>
      </c>
      <c r="C39"/>
      <c r="D39"/>
      <c r="E39"/>
      <c r="F39"/>
      <c r="G39"/>
      <c r="H39"/>
      <c r="L39" s="262"/>
      <c r="M39" s="232"/>
      <c r="N39" s="250"/>
      <c r="O39" s="14">
        <v>2</v>
      </c>
      <c r="P39" s="250">
        <v>35000</v>
      </c>
      <c r="Q39" s="12">
        <f t="shared" si="15"/>
        <v>70000</v>
      </c>
      <c r="R39" s="14" t="s">
        <v>140</v>
      </c>
      <c r="S39" s="17"/>
      <c r="U39" s="238"/>
      <c r="V39" s="256"/>
      <c r="W39" s="59"/>
      <c r="X39" s="59">
        <f>X37+X38</f>
        <v>1087.5</v>
      </c>
      <c r="Y39" s="304" t="s">
        <v>156</v>
      </c>
      <c r="Z39" s="59"/>
    </row>
    <row r="40" spans="1:26" s="230" customFormat="1" ht="17.399999999999999" x14ac:dyDescent="0.35">
      <c r="B40" s="29" t="s">
        <v>124</v>
      </c>
      <c r="C40"/>
      <c r="D40"/>
      <c r="E40"/>
      <c r="F40"/>
      <c r="G40"/>
      <c r="H40" s="229" t="s">
        <v>15</v>
      </c>
      <c r="L40" s="262"/>
      <c r="M40" s="260"/>
      <c r="N40" s="250"/>
      <c r="O40" s="249"/>
      <c r="P40" s="250">
        <v>900</v>
      </c>
      <c r="Q40" s="12">
        <f t="shared" si="15"/>
        <v>0</v>
      </c>
      <c r="R40" s="14" t="s">
        <v>31</v>
      </c>
      <c r="S40" s="14"/>
      <c r="T40" s="230">
        <v>1.52</v>
      </c>
      <c r="U40" s="238"/>
      <c r="V40" s="238"/>
    </row>
    <row r="41" spans="1:26" s="230" customFormat="1" ht="17.399999999999999" x14ac:dyDescent="0.35">
      <c r="L41" s="293" t="s">
        <v>166</v>
      </c>
      <c r="M41" s="260">
        <v>38300</v>
      </c>
      <c r="N41" s="250"/>
      <c r="O41" s="266"/>
      <c r="P41" s="12">
        <v>600</v>
      </c>
      <c r="Q41" s="12">
        <f t="shared" si="15"/>
        <v>0</v>
      </c>
      <c r="R41" s="14" t="s">
        <v>168</v>
      </c>
      <c r="S41" s="14"/>
      <c r="T41">
        <v>2.44</v>
      </c>
      <c r="U41"/>
      <c r="V41" s="238"/>
      <c r="Z41" s="231"/>
    </row>
    <row r="42" spans="1:26" s="230" customFormat="1" ht="17.399999999999999" x14ac:dyDescent="0.35">
      <c r="L42" s="230" t="s">
        <v>165</v>
      </c>
      <c r="M42" s="260">
        <v>31000</v>
      </c>
      <c r="N42" s="250"/>
      <c r="O42" s="14"/>
      <c r="P42" s="12"/>
      <c r="Q42" s="12">
        <f>SUM(Q36:Q41)</f>
        <v>134689.954</v>
      </c>
      <c r="R42" s="39" t="s">
        <v>23</v>
      </c>
      <c r="S42" s="14"/>
      <c r="T42">
        <f>T40*T41</f>
        <v>3.7088000000000001</v>
      </c>
      <c r="U42"/>
      <c r="V42" s="238"/>
      <c r="Z42" s="231"/>
    </row>
    <row r="43" spans="1:26" s="230" customFormat="1" ht="17.399999999999999" x14ac:dyDescent="0.35">
      <c r="L43" s="230">
        <v>73340</v>
      </c>
      <c r="N43" s="250"/>
      <c r="O43" s="254" t="s">
        <v>32</v>
      </c>
      <c r="P43" s="12"/>
      <c r="Q43" s="255">
        <f>Q42*2.1</f>
        <v>282848.90340000001</v>
      </c>
      <c r="R43" s="14" t="s">
        <v>139</v>
      </c>
      <c r="S43" s="14"/>
      <c r="T43" s="40">
        <f>R34/T42</f>
        <v>1.1008531061259708</v>
      </c>
      <c r="U43"/>
      <c r="V43" s="257"/>
    </row>
    <row r="44" spans="1:26" s="230" customFormat="1" ht="17.399999999999999" x14ac:dyDescent="0.35">
      <c r="I44"/>
      <c r="J44" s="260"/>
      <c r="K44" s="260"/>
      <c r="L44" s="260">
        <f>L43/1.19</f>
        <v>61630.252100840342</v>
      </c>
      <c r="N44" s="250"/>
      <c r="O44" s="14"/>
      <c r="P44" s="12"/>
      <c r="Q44" s="12">
        <f>Q43/R32</f>
        <v>83132.905415930654</v>
      </c>
      <c r="R44" s="45" t="s">
        <v>24</v>
      </c>
      <c r="S44" s="14"/>
      <c r="T44" s="14"/>
      <c r="U44"/>
      <c r="V44" s="238"/>
      <c r="W44" s="59" t="s">
        <v>157</v>
      </c>
      <c r="X44" s="299">
        <v>43650</v>
      </c>
    </row>
    <row r="45" spans="1:26" s="230" customFormat="1" ht="17.399999999999999" x14ac:dyDescent="0.35">
      <c r="I45"/>
      <c r="N45" s="250"/>
      <c r="O45" s="13"/>
      <c r="P45" s="14"/>
      <c r="Q45" s="17">
        <f>Q43/Q42</f>
        <v>2.1</v>
      </c>
      <c r="R45" s="15"/>
      <c r="S45"/>
      <c r="T45"/>
      <c r="U45"/>
      <c r="V45" s="238"/>
      <c r="W45" s="59" t="s">
        <v>159</v>
      </c>
      <c r="X45" s="300" t="s">
        <v>158</v>
      </c>
      <c r="Y45" s="59">
        <v>2.4</v>
      </c>
    </row>
    <row r="46" spans="1:26" s="230" customFormat="1" ht="17.399999999999999" x14ac:dyDescent="0.35">
      <c r="I46" s="23"/>
      <c r="N46" s="12"/>
      <c r="V46" s="238"/>
      <c r="W46" s="59" t="s">
        <v>160</v>
      </c>
      <c r="X46" s="301">
        <v>395.37</v>
      </c>
    </row>
    <row r="47" spans="1:26" s="230" customFormat="1" ht="17.399999999999999" x14ac:dyDescent="0.35">
      <c r="B47"/>
      <c r="C47" s="228"/>
      <c r="D47" s="22"/>
      <c r="E47" s="22"/>
      <c r="F47" s="22"/>
      <c r="G47" s="22"/>
      <c r="H47" s="21"/>
      <c r="I47" s="23"/>
      <c r="N47" s="12"/>
      <c r="V47" s="238"/>
      <c r="W47" s="59" t="s">
        <v>155</v>
      </c>
      <c r="X47" s="59">
        <v>474.45</v>
      </c>
    </row>
    <row r="48" spans="1:26" ht="14.4" customHeight="1" x14ac:dyDescent="0.3">
      <c r="N48" s="12"/>
      <c r="W48" s="59"/>
      <c r="X48" s="59"/>
    </row>
    <row r="49" spans="14:22" x14ac:dyDescent="0.3">
      <c r="N49" s="250"/>
    </row>
    <row r="50" spans="14:22" x14ac:dyDescent="0.3">
      <c r="N50" s="250"/>
      <c r="V50" s="270"/>
    </row>
    <row r="51" spans="14:22" x14ac:dyDescent="0.3">
      <c r="N51" s="250"/>
    </row>
    <row r="52" spans="14:22" ht="15" customHeight="1" x14ac:dyDescent="0.3"/>
    <row r="54" spans="14:22" x14ac:dyDescent="0.3">
      <c r="Q54">
        <v>40935</v>
      </c>
      <c r="R54" t="s">
        <v>16</v>
      </c>
      <c r="S54" t="s">
        <v>26</v>
      </c>
    </row>
    <row r="56" spans="14:22" x14ac:dyDescent="0.3">
      <c r="Q56" s="54"/>
      <c r="R56" s="54"/>
    </row>
    <row r="57" spans="14:22" x14ac:dyDescent="0.3">
      <c r="U57" s="18"/>
      <c r="V57" s="18"/>
    </row>
    <row r="58" spans="14:22" x14ac:dyDescent="0.3">
      <c r="U58" s="18"/>
      <c r="V58" s="18"/>
    </row>
    <row r="59" spans="14:22" x14ac:dyDescent="0.3">
      <c r="U59" s="18"/>
      <c r="V59" s="18"/>
    </row>
    <row r="60" spans="14:22" x14ac:dyDescent="0.3">
      <c r="U60" s="18"/>
      <c r="V60" s="18"/>
    </row>
    <row r="61" spans="14:22" x14ac:dyDescent="0.3">
      <c r="U61" s="18"/>
      <c r="V61" s="18"/>
    </row>
    <row r="62" spans="14:22" x14ac:dyDescent="0.3">
      <c r="U62" s="18"/>
      <c r="V62" s="18"/>
    </row>
    <row r="63" spans="14:22" x14ac:dyDescent="0.3">
      <c r="U63" s="18"/>
      <c r="V63" s="18"/>
    </row>
    <row r="64" spans="14:22" x14ac:dyDescent="0.3">
      <c r="U64" s="18"/>
      <c r="V64" s="18"/>
    </row>
    <row r="65" spans="3:22" x14ac:dyDescent="0.3">
      <c r="U65" s="18"/>
      <c r="V65" s="18"/>
    </row>
    <row r="68" spans="3:22" x14ac:dyDescent="0.3">
      <c r="Q68" s="43"/>
    </row>
    <row r="69" spans="3:22" x14ac:dyDescent="0.3">
      <c r="Q69" s="43"/>
    </row>
    <row r="70" spans="3:22" x14ac:dyDescent="0.3">
      <c r="Q70" s="6"/>
    </row>
    <row r="71" spans="3:22" x14ac:dyDescent="0.3">
      <c r="Q71" s="6"/>
    </row>
    <row r="79" spans="3:22" x14ac:dyDescent="0.3">
      <c r="C79" t="s">
        <v>147</v>
      </c>
    </row>
    <row r="80" spans="3:22" x14ac:dyDescent="0.3">
      <c r="C80" t="s">
        <v>146</v>
      </c>
    </row>
    <row r="83" spans="3:3" x14ac:dyDescent="0.3">
      <c r="C83" t="s">
        <v>146</v>
      </c>
    </row>
    <row r="160" spans="3:3" x14ac:dyDescent="0.3">
      <c r="C160" t="s">
        <v>146</v>
      </c>
    </row>
    <row r="161" spans="3:3" x14ac:dyDescent="0.3">
      <c r="C161" t="s">
        <v>148</v>
      </c>
    </row>
    <row r="162" spans="3:3" x14ac:dyDescent="0.3">
      <c r="C162" t="s">
        <v>149</v>
      </c>
    </row>
    <row r="587" spans="3:3" x14ac:dyDescent="0.3">
      <c r="C587" t="s">
        <v>146</v>
      </c>
    </row>
  </sheetData>
  <mergeCells count="2">
    <mergeCell ref="H17:J17"/>
    <mergeCell ref="B19:J19"/>
  </mergeCells>
  <phoneticPr fontId="34" type="noConversion"/>
  <hyperlinks>
    <hyperlink ref="H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'2229'!I10</f>
        <v>45952</v>
      </c>
    </row>
    <row r="6" spans="2:31" ht="16.2" thickBot="1" x14ac:dyDescent="0.35">
      <c r="B6" s="140" t="s">
        <v>2</v>
      </c>
      <c r="C6" s="139" t="str">
        <f>'2229'!C10</f>
        <v>CRISTIAN ROMO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4" t="s">
        <v>97</v>
      </c>
      <c r="I7" s="345"/>
      <c r="J7" s="345"/>
      <c r="K7" s="346"/>
      <c r="N7" s="75"/>
      <c r="O7" s="343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11713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3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-21147.054350120776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'2229'!J30</f>
        <v>282847</v>
      </c>
      <c r="E11" s="132">
        <f>D11*0.19</f>
        <v>53740.93</v>
      </c>
      <c r="F11" s="131">
        <f>E11+D11</f>
        <v>336587.93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84842.945649879228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94524.044787439605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66842.945649879228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188322.9552125604</v>
      </c>
      <c r="E13" s="221">
        <f>(D11/D12)-1</f>
        <v>1.9923285724394311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57842.945649879228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18842.945649879224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155964.67389927534</v>
      </c>
      <c r="F15" s="216">
        <f>E15-D12</f>
        <v>61440.629111835733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18842.945649879224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58842.945649879228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'2229'!Q38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'2229'!Q37</f>
        <v>50400</v>
      </c>
      <c r="E19" s="123">
        <f>D19*0.19</f>
        <v>9576</v>
      </c>
      <c r="F19" s="120">
        <f>SUM(D19:E19)</f>
        <v>59976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'2229'!Q36</f>
        <v>14289.954000000002</v>
      </c>
      <c r="E20" s="121">
        <f>D20*0.19</f>
        <v>2715.0912600000001</v>
      </c>
      <c r="F20" s="120">
        <f>SUM(D20:E20)</f>
        <v>17005.045260000003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64689.953999999998</v>
      </c>
      <c r="E21" s="116">
        <f>SUM(E18:E20)</f>
        <v>12291.091260000001</v>
      </c>
      <c r="F21" s="115">
        <f>SUM(F18:F20)</f>
        <v>76981.045259999999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41449.838739999999</v>
      </c>
    </row>
    <row r="41" spans="2:16" ht="15" thickBot="1" x14ac:dyDescent="0.35">
      <c r="H41" s="347" t="s">
        <v>59</v>
      </c>
      <c r="I41" s="348"/>
      <c r="J41" s="348"/>
      <c r="K41" s="348"/>
      <c r="L41" s="348"/>
      <c r="M41" s="349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282847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64689.953999999998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188322.9552125604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188322.9552125604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2025-10-23T02:00:15Z</dcterms:modified>
</cp:coreProperties>
</file>