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0 OCTUBRE 2025\"/>
    </mc:Choice>
  </mc:AlternateContent>
  <xr:revisionPtr revIDLastSave="0" documentId="13_ncr:1_{0FE0303E-E6DC-44C9-BFDC-3B2E0A9BE8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" l="1"/>
  <c r="L21" i="1"/>
  <c r="M21" i="1"/>
  <c r="N21" i="1"/>
  <c r="J15" i="1"/>
  <c r="J10" i="1"/>
  <c r="O21" i="1" l="1"/>
  <c r="P21" i="1" s="1"/>
  <c r="S26" i="1"/>
  <c r="M25" i="1"/>
  <c r="T24" i="1"/>
  <c r="K39" i="1"/>
  <c r="P25" i="1" l="1"/>
  <c r="S27" i="1"/>
  <c r="S28" i="1" s="1"/>
  <c r="S29" i="1" s="1"/>
  <c r="V32" i="1"/>
  <c r="V33" i="1" s="1"/>
  <c r="O31" i="1" l="1"/>
  <c r="P26" i="1" l="1"/>
  <c r="N20" i="1"/>
  <c r="L20" i="1"/>
  <c r="P27" i="1" l="1"/>
  <c r="P28" i="1" s="1"/>
  <c r="M30" i="1" s="1"/>
  <c r="O32" i="1"/>
  <c r="R36" i="1"/>
  <c r="R37" i="1" l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Q21" i="1" l="1"/>
  <c r="R21" i="1" s="1"/>
  <c r="O39" i="1"/>
  <c r="E15" i="3"/>
  <c r="F15" i="3" l="1"/>
  <c r="H24" i="1" l="1"/>
  <c r="H25" i="1" s="1"/>
  <c r="H26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<sst xmlns="http://schemas.openxmlformats.org/spreadsheetml/2006/main" count="230" uniqueCount="176">
  <si>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</si>
  <si>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</si>
  <si>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</si>
  <si>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</si>
  <si>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</si>
  <si>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</si>
  <si>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</si>
  <si>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</si>
  <si>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</si>
  <si>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</si>
  <si>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</si>
  <si>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</si>
  <si>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</si>
  <si>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</si>
  <si>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</si>
  <si>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</si>
  <si>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</si>
  <si>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</si>
  <si>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</si>
  <si>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</si>
  <si>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</si>
  <si>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</si>
  <si>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</si>
  <si>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</si>
  <si>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</si>
  <si>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</si>
  <si>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</si>
  <si>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</si>
  <si>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</si>
  <si>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</si>
  <si>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</si>
  <si>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</si>
  <si>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</si>
  <si>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</si>
  <si>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</si>
  <si>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</si>
  <si>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</si>
  <si>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</si>
  <si>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</si>
  <si>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</si>
  <si>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</si>
  <si>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</si>
  <si>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</si>
  <si>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</si>
  <si>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</si>
  <si>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</si>
  <si>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</si>
  <si>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</si>
  <si>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</si>
  <si>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</si>
  <si>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</si>
  <si>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</si>
  <si>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</si>
  <si>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</si>
  <si>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</si>
  <si>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</si>
  <si>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</si>
  <si>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</si>
  <si>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</si>
  <si>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</si>
  <si>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</si>
  <si>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</si>
  <si>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</si>
  <si>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</si>
  <si>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</si>
  <si>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</si>
  <si>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</si>
  <si>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</si>
  <si>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</si>
  <si>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</si>
  <si>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</si>
  <si>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</si>
  <si>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</si>
  <si>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</si>
  <si>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</si>
  <si>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</si>
  <si>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</si>
  <si>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</si>
  <si>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</si>
  <si>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</si>
  <si>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</si>
  <si>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</si>
  <si>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</si>
  <si>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</si>
  <si>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</si>
  <si>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</si>
  <si>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</si>
  <si>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</si>
  <si>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</si>
  <si>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</si>
  <si>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</si>
  <si>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</si>
  <si>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</si>
  <si>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</si>
  <si>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</si>
  <si>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</si>
  <si>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</si>
  <si>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</si>
  <si>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</si>
  <si>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</si>
  <si>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</si>
  <si>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</si>
  <si>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</si>
  <si>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</si>
  <si>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</si>
  <si>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</si>
  <si>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</si>
  <si>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</si>
  <si>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</si>
  <si>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</si>
  <si>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</si>
  <si>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</si>
  <si>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</si>
  <si>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</si>
  <si>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</si>
  <si>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</si>
  <si>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</si>
  <si>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</si>
  <si>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</si>
  <si>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</si>
  <si>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</si>
  <si>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</si>
  <si>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</si>
  <si>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</si>
  <si>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</si>
  <si>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</si>
  <si>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</si>
  <si>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</si>
  <si>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</si>
  <si>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</si>
  <si>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</si>
  <si>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</si>
  <si>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</si>
  <si>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</si>
  <si>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</si>
  <si>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</si>
  <si>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</si>
  <si>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</si>
  <si>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</si>
  <si>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</si>
  <si>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</si>
  <si>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</si>
  <si>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</si>
  <si>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</si>
  <si>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</si>
  <si>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</si>
  <si>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</si>
  <si>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</si>
  <si>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</si>
  <si>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</si>
  <si>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</si>
  <si>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</si>
  <si>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</si>
  <si>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</si>
  <si>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</si>
  <si>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</si>
  <si>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</si>
  <si>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</si>
  <si>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</si>
  <si>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</si>
  <si>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</si>
  <si>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</si>
  <si>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</si>
  <si>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</si>
  <si>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</si>
  <si>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</si>
  <si>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MUEBLES ASENJO</t>
  </si>
  <si>
    <t>MIGUEL ASENJO</t>
  </si>
  <si>
    <t>SI</t>
  </si>
  <si>
    <t>no</t>
  </si>
  <si>
    <t xml:space="preserve">ORDEN DE COMPRA </t>
  </si>
  <si>
    <t>N° 11721</t>
  </si>
  <si>
    <t>10 DIAS HABILES</t>
  </si>
  <si>
    <t>CUB S/R FRENTE 90° R8</t>
  </si>
  <si>
    <t>NATURAL ELM 1499 MT</t>
  </si>
  <si>
    <t>LAMINA 122X306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</si>
</sst>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166" fontId="32" fillId="0" borderId="1" xfId="0" applyNumberFormat="1" applyFont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</a:t>
          </a:r>
          <a:r>
            <a:rPr lang="es-CL" sz="1200" b="1" i="0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CUBIERTA MDF 25MM</a:t>
          </a:r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zoomScale="93" zoomScaleNormal="93" workbookViewId="0">
      <selection activeCell="G11" sqref="G11"/>
    </sheetView>
  </sheetViews>
  <sheetFormatPr baseColWidth="10" defaultRowHeight="14.4" x14ac:dyDescent="0.3"/>
  <cols>
    <col min="1" max="1" width="6" customWidth="1"/>
    <col min="2" max="2" width="10.5546875" customWidth="1"/>
    <col min="3" max="3" width="34.109375" customWidth="1"/>
    <col min="4" max="4" width="11.109375" customWidth="1"/>
    <col min="5" max="5" width="10.5546875" customWidth="1"/>
    <col min="6" max="6" width="32.3320312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141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142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163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171</v>
      </c>
      <c r="F8" s="59"/>
      <c r="J8">
        <v>152</v>
      </c>
      <c r="K8" s="52"/>
      <c r="R8" s="2"/>
      <c r="S8" s="3"/>
      <c r="T8" s="3"/>
      <c r="U8" s="2"/>
      <c r="V8" s="2"/>
      <c r="W8" s="3"/>
    </row>
    <row r="9" spans="2:24" ht="15" thickBot="1" x14ac:dyDescent="0.35">
      <c r="J9">
        <v>129</v>
      </c>
      <c r="R9" s="2"/>
      <c r="S9" s="3"/>
      <c r="T9" s="3"/>
      <c r="U9" s="4"/>
      <c r="V9" s="2"/>
      <c r="W9" s="3"/>
    </row>
    <row r="10" spans="2:24" x14ac:dyDescent="0.3">
      <c r="B10" s="305" t="s">
        <v>161</v>
      </c>
      <c r="C10" s="278" t="s">
        <v>166</v>
      </c>
      <c r="D10" s="243"/>
      <c r="E10" s="243"/>
      <c r="F10" s="244" t="s">
        <v>0</v>
      </c>
      <c r="G10" s="276">
        <v>45957</v>
      </c>
      <c r="H10" s="245"/>
      <c r="J10">
        <f>J8-J9</f>
        <v>23</v>
      </c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172</v>
      </c>
      <c r="H11" s="289"/>
      <c r="Q11" s="19"/>
      <c r="R11" s="25" t="s">
        <v>18</v>
      </c>
      <c r="S11" s="19"/>
    </row>
    <row r="12" spans="2:24" ht="16.8" x14ac:dyDescent="0.4">
      <c r="B12" s="246" t="s">
        <v>144</v>
      </c>
      <c r="C12" s="306"/>
      <c r="D12" s="247"/>
      <c r="E12" s="247"/>
      <c r="F12" s="247" t="s">
        <v>127</v>
      </c>
      <c r="G12" s="277" t="s">
        <v>169</v>
      </c>
      <c r="H12" s="248"/>
      <c r="J12">
        <v>44</v>
      </c>
      <c r="Q12" s="19"/>
      <c r="R12" s="25"/>
      <c r="S12" s="19"/>
    </row>
    <row r="13" spans="2:24" x14ac:dyDescent="0.3">
      <c r="B13" s="287" t="s">
        <v>145</v>
      </c>
      <c r="C13" t="s">
        <v>167</v>
      </c>
      <c r="F13" t="s">
        <v>170</v>
      </c>
      <c r="G13" s="307"/>
      <c r="H13" s="289"/>
      <c r="J13">
        <v>114</v>
      </c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/>
      <c r="D15" s="310"/>
      <c r="F15" t="s">
        <v>134</v>
      </c>
      <c r="G15" s="308" t="s">
        <v>168</v>
      </c>
      <c r="H15" s="289"/>
      <c r="J15">
        <f>SUM(J12:J14)</f>
        <v>158</v>
      </c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162</v>
      </c>
      <c r="H16" s="248"/>
    </row>
    <row r="17" spans="1:25" ht="15" thickBot="1" x14ac:dyDescent="0.35">
      <c r="B17" s="311" t="s">
        <v>13</v>
      </c>
      <c r="C17" s="312" t="s">
        <v>165</v>
      </c>
      <c r="D17" s="313"/>
      <c r="E17" s="119"/>
      <c r="F17" s="334" t="s">
        <v>164</v>
      </c>
      <c r="G17" s="334"/>
      <c r="H17" s="335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O38</f>
        <v>77015.806451612909</v>
      </c>
      <c r="R20" s="258">
        <v>3000</v>
      </c>
      <c r="S20" s="38"/>
      <c r="T20" s="14" t="s">
        <v>128</v>
      </c>
      <c r="U20" s="9"/>
      <c r="X20" s="4"/>
    </row>
    <row r="21" spans="1:25" ht="17.399999999999999" x14ac:dyDescent="0.3">
      <c r="B21" s="330">
        <v>16</v>
      </c>
      <c r="C21" s="330" t="s">
        <v>173</v>
      </c>
      <c r="D21" s="333">
        <v>2.4</v>
      </c>
      <c r="E21" s="333">
        <v>0.6</v>
      </c>
      <c r="F21" s="330" t="s">
        <v>174</v>
      </c>
      <c r="G21" s="331">
        <v>109200</v>
      </c>
      <c r="H21" s="331">
        <f t="shared" ref="H21" si="1">G21*B21</f>
        <v>1747200</v>
      </c>
      <c r="I21" s="320"/>
      <c r="J21" s="265">
        <v>92285</v>
      </c>
      <c r="K21" s="47"/>
      <c r="L21" s="332">
        <f t="shared" ref="L21" si="2">B21</f>
        <v>16</v>
      </c>
      <c r="M21" s="39">
        <f t="shared" ref="M21" si="3">D21+M$19</f>
        <v>2.48</v>
      </c>
      <c r="N21" s="39">
        <f t="shared" ref="N21" si="4">E21+$N$19</f>
        <v>0.6</v>
      </c>
      <c r="O21" s="261">
        <f t="shared" ref="O21" si="5">M21*N21</f>
        <v>1.488</v>
      </c>
      <c r="P21" s="259">
        <f t="shared" ref="P21" si="6">O21*L21</f>
        <v>23.808</v>
      </c>
      <c r="Q21" s="252">
        <f t="shared" ref="Q21" si="7">Q$20*O21</f>
        <v>114599.52</v>
      </c>
      <c r="R21" s="319">
        <f t="shared" ref="R21" si="8">Q21+R$20</f>
        <v>117599.52</v>
      </c>
      <c r="S21" s="297"/>
      <c r="T21" s="46"/>
      <c r="U21" s="9"/>
      <c r="X21" s="4"/>
    </row>
    <row r="22" spans="1:25" ht="17.399999999999999" x14ac:dyDescent="0.3">
      <c r="B22" s="285"/>
      <c r="C22" s="285"/>
      <c r="D22" s="286"/>
      <c r="E22" s="286"/>
      <c r="F22" s="285"/>
      <c r="G22" s="320"/>
      <c r="H22" s="320"/>
      <c r="I22" s="320"/>
      <c r="J22" s="265"/>
      <c r="K22" s="47"/>
      <c r="L22" s="332"/>
      <c r="M22" s="39"/>
      <c r="N22" s="39"/>
      <c r="O22" s="261"/>
      <c r="P22" s="259"/>
      <c r="Q22" s="252"/>
      <c r="R22" s="319"/>
      <c r="S22" s="297"/>
      <c r="T22" s="46"/>
      <c r="U22" s="9"/>
      <c r="X22" s="4"/>
    </row>
    <row r="23" spans="1:25" ht="18" thickBot="1" x14ac:dyDescent="0.35">
      <c r="B23" s="285"/>
      <c r="C23" s="285"/>
      <c r="D23" s="286"/>
      <c r="E23" s="286"/>
      <c r="F23" s="285"/>
      <c r="G23" s="265"/>
      <c r="H23" s="321"/>
      <c r="I23" s="323"/>
      <c r="J23" s="233"/>
      <c r="K23" s="47"/>
      <c r="L23" s="47"/>
      <c r="M23" s="39"/>
      <c r="N23" s="39"/>
      <c r="O23" s="261"/>
      <c r="P23" s="259"/>
      <c r="Q23" s="252"/>
      <c r="R23" s="258"/>
      <c r="S23" s="297"/>
      <c r="T23" s="14"/>
      <c r="U23" s="9"/>
      <c r="X23" s="4"/>
    </row>
    <row r="24" spans="1:25" ht="17.399999999999999" x14ac:dyDescent="0.3">
      <c r="B24" s="285"/>
      <c r="C24" s="285"/>
      <c r="D24" s="286"/>
      <c r="E24" s="286"/>
      <c r="F24" s="285"/>
      <c r="G24" s="324" t="s">
        <v>28</v>
      </c>
      <c r="H24" s="325">
        <f>SUM(H21:H23)</f>
        <v>1747200</v>
      </c>
      <c r="I24" s="322"/>
      <c r="J24" s="265"/>
      <c r="K24" s="47"/>
      <c r="L24" s="47"/>
      <c r="M24" s="39"/>
      <c r="N24" s="39"/>
      <c r="O24" s="261"/>
      <c r="P24" s="259"/>
      <c r="Q24" s="252"/>
      <c r="R24" s="258"/>
      <c r="S24" s="297"/>
      <c r="T24" s="46">
        <f>SUM(T21:T23)</f>
        <v>0</v>
      </c>
      <c r="U24" s="9"/>
      <c r="X24" s="4"/>
    </row>
    <row r="25" spans="1:25" ht="17.399999999999999" x14ac:dyDescent="0.3">
      <c r="B25" s="279"/>
      <c r="C25" s="282"/>
      <c r="D25" s="283"/>
      <c r="E25" s="283"/>
      <c r="F25" s="284"/>
      <c r="G25" s="296" t="s">
        <v>51</v>
      </c>
      <c r="H25" s="294">
        <f>H24*19%</f>
        <v>331968</v>
      </c>
      <c r="I25" s="322"/>
      <c r="J25" s="265"/>
      <c r="K25" s="47"/>
      <c r="L25" s="47"/>
      <c r="M25" s="39">
        <f>SUM(M21:M24)</f>
        <v>2.48</v>
      </c>
      <c r="N25" s="12"/>
      <c r="O25" s="12"/>
      <c r="P25" s="253">
        <f>SUM(P21:P23)</f>
        <v>23.808</v>
      </c>
      <c r="Q25" s="14"/>
      <c r="R25" s="12"/>
      <c r="S25" s="239"/>
      <c r="T25" s="46"/>
      <c r="U25" s="9"/>
      <c r="X25" s="4"/>
    </row>
    <row r="26" spans="1:25" ht="18" thickBot="1" x14ac:dyDescent="0.35">
      <c r="B26" s="275"/>
      <c r="C26" s="281"/>
      <c r="D26" s="272"/>
      <c r="E26" s="272"/>
      <c r="F26" s="273"/>
      <c r="G26" s="280" t="s">
        <v>6</v>
      </c>
      <c r="H26" s="295">
        <f>H24+H25</f>
        <v>2079168</v>
      </c>
      <c r="I26" s="322"/>
      <c r="J26" s="265"/>
      <c r="K26" s="47"/>
      <c r="L26" s="47"/>
      <c r="M26" s="39"/>
      <c r="N26" s="12"/>
      <c r="O26" s="12"/>
      <c r="P26" s="253">
        <f>P25</f>
        <v>23.808</v>
      </c>
      <c r="Q26" s="14"/>
      <c r="R26" s="12"/>
      <c r="S26" s="239">
        <f>SUM(S21:S25)</f>
        <v>0</v>
      </c>
      <c r="T26" s="46"/>
      <c r="U26" s="9"/>
      <c r="X26" s="4"/>
    </row>
    <row r="27" spans="1:25" ht="17.399999999999999" x14ac:dyDescent="0.3">
      <c r="B27" s="275"/>
      <c r="C27" s="271"/>
      <c r="D27" s="272"/>
      <c r="E27" s="272"/>
      <c r="F27" s="273"/>
      <c r="J27" s="265"/>
      <c r="K27" s="47"/>
      <c r="L27" s="47"/>
      <c r="M27" s="14"/>
      <c r="N27" s="12"/>
      <c r="O27" s="12"/>
      <c r="P27" s="39">
        <f>P26*20%</f>
        <v>4.7616000000000005</v>
      </c>
      <c r="Q27" s="39" t="s">
        <v>130</v>
      </c>
      <c r="R27" s="42"/>
      <c r="S27" s="240">
        <f>S26+T24</f>
        <v>0</v>
      </c>
      <c r="T27" s="14"/>
      <c r="U27" s="9"/>
      <c r="X27" s="4"/>
    </row>
    <row r="28" spans="1:25" ht="17.399999999999999" x14ac:dyDescent="0.35">
      <c r="B28" s="269"/>
      <c r="C28" s="230"/>
      <c r="D28" s="230"/>
      <c r="E28" s="233"/>
      <c r="F28" s="234"/>
      <c r="G28" s="230"/>
      <c r="H28" s="274"/>
      <c r="I28" s="274"/>
      <c r="J28" s="265"/>
      <c r="K28" s="47"/>
      <c r="L28" s="47"/>
      <c r="M28" s="14"/>
      <c r="N28" s="12"/>
      <c r="O28" s="12"/>
      <c r="P28" s="46">
        <f>P26+P27</f>
        <v>28.569600000000001</v>
      </c>
      <c r="Q28" s="14"/>
      <c r="R28" s="14"/>
      <c r="S28" s="238">
        <f>S27*20%</f>
        <v>0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4"/>
      <c r="J29" s="265"/>
      <c r="K29" s="47"/>
      <c r="L29" s="47"/>
      <c r="M29" s="14"/>
      <c r="N29" s="14"/>
      <c r="O29" s="14"/>
      <c r="P29" s="14"/>
      <c r="Q29" s="14"/>
      <c r="R29" s="14"/>
      <c r="S29" s="240">
        <f>S27+S28</f>
        <v>0</v>
      </c>
      <c r="T29" s="14"/>
      <c r="U29" s="302" t="s">
        <v>21</v>
      </c>
      <c r="V29" s="299" t="s">
        <v>151</v>
      </c>
      <c r="W29" s="303">
        <v>44971</v>
      </c>
      <c r="X29" s="304"/>
    </row>
    <row r="30" spans="1:25" ht="17.399999999999999" x14ac:dyDescent="0.35">
      <c r="B30" s="230"/>
      <c r="C30" s="230"/>
      <c r="D30" s="230"/>
      <c r="E30" s="230"/>
      <c r="F30" s="230"/>
      <c r="G30" s="230"/>
      <c r="J30" s="265"/>
      <c r="K30" s="47"/>
      <c r="L30" s="47"/>
      <c r="M30" s="39">
        <f>P28</f>
        <v>28.569600000000001</v>
      </c>
      <c r="N30" s="12">
        <v>2000</v>
      </c>
      <c r="O30" s="12">
        <f t="shared" ref="O30:O35" si="9">M30*N30</f>
        <v>57139.200000000004</v>
      </c>
      <c r="P30" s="14" t="s">
        <v>21</v>
      </c>
      <c r="Q30" s="14"/>
      <c r="R30" s="14"/>
      <c r="S30" s="241"/>
      <c r="T30" s="14"/>
      <c r="U30" s="302" t="s">
        <v>152</v>
      </c>
      <c r="V30" s="299">
        <v>3625</v>
      </c>
      <c r="W30" s="59" t="s">
        <v>153</v>
      </c>
      <c r="X30" s="304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5"/>
      <c r="K31" s="47"/>
      <c r="L31" s="47"/>
      <c r="M31" s="249">
        <v>8</v>
      </c>
      <c r="N31" s="12">
        <v>38000</v>
      </c>
      <c r="O31" s="12">
        <f t="shared" si="9"/>
        <v>304000</v>
      </c>
      <c r="P31" s="39" t="s">
        <v>31</v>
      </c>
      <c r="Q31" s="42"/>
      <c r="R31" s="14"/>
      <c r="S31" s="240"/>
      <c r="T31" s="14"/>
      <c r="U31" s="302"/>
      <c r="V31" s="59">
        <v>906.25</v>
      </c>
      <c r="W31" s="59" t="s">
        <v>154</v>
      </c>
      <c r="X31" s="304"/>
    </row>
    <row r="32" spans="1:25" s="230" customFormat="1" ht="17.399999999999999" x14ac:dyDescent="0.35">
      <c r="B32" s="24" t="s">
        <v>150</v>
      </c>
      <c r="J32" s="262"/>
      <c r="K32" s="232"/>
      <c r="L32" s="250"/>
      <c r="M32" s="14"/>
      <c r="N32" s="250">
        <v>36831</v>
      </c>
      <c r="O32" s="12">
        <f t="shared" si="9"/>
        <v>0</v>
      </c>
      <c r="P32" s="39" t="s">
        <v>30</v>
      </c>
      <c r="Q32" s="42"/>
      <c r="S32" s="240"/>
      <c r="T32" s="256"/>
      <c r="U32" s="59"/>
      <c r="V32" s="59">
        <f>V31*20%</f>
        <v>181.25</v>
      </c>
      <c r="W32" s="304" t="s">
        <v>155</v>
      </c>
      <c r="X32" s="59"/>
    </row>
    <row r="33" spans="2:24" s="230" customFormat="1" ht="17.399999999999999" x14ac:dyDescent="0.35">
      <c r="B33" s="24" t="s">
        <v>143</v>
      </c>
      <c r="C33"/>
      <c r="D33"/>
      <c r="E33"/>
      <c r="F33"/>
      <c r="J33" s="262"/>
      <c r="K33" s="232"/>
      <c r="L33" s="250"/>
      <c r="M33" s="14">
        <v>16</v>
      </c>
      <c r="N33" s="250">
        <v>32000</v>
      </c>
      <c r="O33" s="12">
        <f t="shared" si="9"/>
        <v>512000</v>
      </c>
      <c r="P33" s="14" t="s">
        <v>175</v>
      </c>
      <c r="Q33" s="17"/>
      <c r="S33" s="238"/>
      <c r="T33" s="256"/>
      <c r="U33" s="59"/>
      <c r="V33" s="59">
        <f>V31+V32</f>
        <v>1087.5</v>
      </c>
      <c r="W33" s="304" t="s">
        <v>156</v>
      </c>
      <c r="X33" s="59"/>
    </row>
    <row r="34" spans="2:24" s="230" customFormat="1" ht="17.399999999999999" x14ac:dyDescent="0.35">
      <c r="B34" s="29" t="s">
        <v>125</v>
      </c>
      <c r="C34"/>
      <c r="D34"/>
      <c r="E34"/>
      <c r="F34" s="229" t="s">
        <v>15</v>
      </c>
      <c r="J34" s="262"/>
      <c r="K34" s="260"/>
      <c r="L34" s="250"/>
      <c r="M34" s="249"/>
      <c r="N34" s="250">
        <v>900</v>
      </c>
      <c r="O34" s="12">
        <f t="shared" si="9"/>
        <v>0</v>
      </c>
      <c r="P34" s="14" t="s">
        <v>32</v>
      </c>
      <c r="Q34" s="14"/>
      <c r="R34" s="230">
        <v>1.83</v>
      </c>
      <c r="S34" s="238"/>
      <c r="T34" s="238"/>
    </row>
    <row r="35" spans="2:24" s="230" customFormat="1" ht="17.399999999999999" x14ac:dyDescent="0.35">
      <c r="J35" s="293"/>
      <c r="K35" s="260"/>
      <c r="L35" s="250"/>
      <c r="M35" s="266"/>
      <c r="N35" s="12">
        <v>500</v>
      </c>
      <c r="O35" s="12">
        <f t="shared" si="9"/>
        <v>0</v>
      </c>
      <c r="P35" s="14" t="s">
        <v>22</v>
      </c>
      <c r="Q35" s="14"/>
      <c r="R35">
        <v>2.5</v>
      </c>
      <c r="S35"/>
      <c r="T35" s="238"/>
      <c r="X35" s="231"/>
    </row>
    <row r="36" spans="2:24" s="230" customFormat="1" ht="17.399999999999999" x14ac:dyDescent="0.35">
      <c r="K36" s="260"/>
      <c r="L36" s="250"/>
      <c r="M36" s="14"/>
      <c r="N36" s="12"/>
      <c r="O36" s="12">
        <f>SUM(O30:O35)</f>
        <v>873139.19999999995</v>
      </c>
      <c r="P36" s="39" t="s">
        <v>23</v>
      </c>
      <c r="Q36" s="14"/>
      <c r="R36">
        <f>R34*R35</f>
        <v>4.5750000000000002</v>
      </c>
      <c r="S36"/>
      <c r="T36" s="238"/>
      <c r="X36" s="231"/>
    </row>
    <row r="37" spans="2:24" s="230" customFormat="1" ht="17.399999999999999" x14ac:dyDescent="0.35">
      <c r="L37" s="250"/>
      <c r="M37" s="254" t="s">
        <v>33</v>
      </c>
      <c r="N37" s="12"/>
      <c r="O37" s="255">
        <f>O36*2.1</f>
        <v>1833592.32</v>
      </c>
      <c r="P37" s="14" t="s">
        <v>140</v>
      </c>
      <c r="Q37" s="14"/>
      <c r="R37" s="40">
        <f>P28/R36</f>
        <v>6.2447213114754101</v>
      </c>
      <c r="S37"/>
      <c r="T37" s="257"/>
    </row>
    <row r="38" spans="2:24" s="230" customFormat="1" ht="17.399999999999999" x14ac:dyDescent="0.35">
      <c r="G38"/>
      <c r="H38" s="260"/>
      <c r="I38" s="260"/>
      <c r="J38" s="260"/>
      <c r="K38" s="230">
        <v>40000</v>
      </c>
      <c r="L38" s="250"/>
      <c r="M38" s="14"/>
      <c r="N38" s="12"/>
      <c r="O38" s="12">
        <f>O37/P26</f>
        <v>77015.806451612909</v>
      </c>
      <c r="P38" s="45" t="s">
        <v>24</v>
      </c>
      <c r="Q38" s="14"/>
      <c r="R38" s="14"/>
      <c r="S38"/>
      <c r="T38" s="238"/>
      <c r="U38" s="59" t="s">
        <v>157</v>
      </c>
      <c r="V38" s="299">
        <v>43650</v>
      </c>
    </row>
    <row r="39" spans="2:24" s="230" customFormat="1" ht="17.399999999999999" x14ac:dyDescent="0.35">
      <c r="G39"/>
      <c r="K39" s="230">
        <f>K38/1.19</f>
        <v>33613.445378151264</v>
      </c>
      <c r="L39" s="250"/>
      <c r="M39" s="13"/>
      <c r="N39" s="14"/>
      <c r="O39" s="17">
        <f>O37/O36</f>
        <v>2.1</v>
      </c>
      <c r="P39" s="15"/>
      <c r="Q39"/>
      <c r="R39"/>
      <c r="S39"/>
      <c r="T39" s="238"/>
      <c r="U39" s="59" t="s">
        <v>159</v>
      </c>
      <c r="V39" s="300" t="s">
        <v>158</v>
      </c>
      <c r="W39" s="59">
        <v>2.4</v>
      </c>
    </row>
    <row r="40" spans="2:24" s="230" customFormat="1" ht="17.399999999999999" x14ac:dyDescent="0.35">
      <c r="G40" s="23"/>
      <c r="L40" s="12"/>
      <c r="T40" s="238"/>
      <c r="U40" s="59" t="s">
        <v>160</v>
      </c>
      <c r="V40" s="301">
        <v>395.37</v>
      </c>
    </row>
    <row r="41" spans="2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155</v>
      </c>
      <c r="V41" s="59">
        <v>474.45</v>
      </c>
    </row>
    <row r="42" spans="2:24" ht="14.4" customHeight="1" x14ac:dyDescent="0.3">
      <c r="L42" s="12"/>
      <c r="U42" s="59"/>
      <c r="V42" s="59"/>
    </row>
    <row r="43" spans="2:24" x14ac:dyDescent="0.3">
      <c r="L43" s="250"/>
    </row>
    <row r="44" spans="2:24" x14ac:dyDescent="0.3">
      <c r="L44" s="250"/>
      <c r="T44" s="270"/>
    </row>
    <row r="45" spans="2:24" x14ac:dyDescent="0.3">
      <c r="L45" s="250"/>
    </row>
    <row r="46" spans="2:24" ht="15" customHeight="1" x14ac:dyDescent="0.3"/>
    <row r="48" spans="2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147</v>
      </c>
    </row>
    <row r="74" spans="3:15" x14ac:dyDescent="0.3">
      <c r="C74" t="s">
        <v>146</v>
      </c>
    </row>
    <row r="77" spans="3:15" x14ac:dyDescent="0.3">
      <c r="C77" t="s">
        <v>146</v>
      </c>
    </row>
    <row r="154" spans="3:3" x14ac:dyDescent="0.3">
      <c r="C154" t="s">
        <v>146</v>
      </c>
    </row>
    <row r="155" spans="3:3" x14ac:dyDescent="0.3">
      <c r="C155" t="s">
        <v>148</v>
      </c>
    </row>
    <row r="156" spans="3:3" x14ac:dyDescent="0.3">
      <c r="C156" t="s">
        <v>149</v>
      </c>
    </row>
    <row r="581" spans="3:3" x14ac:dyDescent="0.3">
      <c r="C581" t="s">
        <v>146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45957</v>
      </c>
    </row>
    <row r="6" spans="2:31" ht="16.2" thickBot="1" x14ac:dyDescent="0.35">
      <c r="B6" s="140" t="s">
        <v>2</v>
      </c>
      <c r="C6" s="139" t="str">
        <f>'2229'!C10</f>
        <v>MUEBLES ASENJO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11721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-183682.3450334541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1747200</v>
      </c>
      <c r="E11" s="132">
        <f>D11*0.19</f>
        <v>331968</v>
      </c>
      <c r="F11" s="131">
        <f>E11+D11</f>
        <v>2079168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-77692.345033454098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390973.29078743968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-95692.345033454098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1356226.7092125602</v>
      </c>
      <c r="E13" s="221">
        <f>(D11/D12)-1</f>
        <v>3.4688474664881896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-104692.3450334541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-143692.3450334541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645105.92979927547</v>
      </c>
      <c r="F15" s="216">
        <f>E15-D12</f>
        <v>254132.6390118358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-143692.3450334541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-103692.3450334541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304000</v>
      </c>
      <c r="E19" s="123">
        <f>D19*0.19</f>
        <v>57760</v>
      </c>
      <c r="F19" s="120">
        <f>SUM(D19:E19)</f>
        <v>361760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57139.200000000004</v>
      </c>
      <c r="E20" s="121">
        <f>D20*0.19</f>
        <v>10856.448</v>
      </c>
      <c r="F20" s="120">
        <f>SUM(D20:E20)</f>
        <v>67995.648000000001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361139.20000000001</v>
      </c>
      <c r="E21" s="116">
        <f>SUM(E18:E20)</f>
        <v>68616.448000000004</v>
      </c>
      <c r="F21" s="115">
        <f>SUM(F18:F20)</f>
        <v>429755.64799999999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263351.55200000003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1747200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361139.20000000001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1356226.7092125602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1356226.7092125602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2025-10-03T19:04:09Z</cp:lastPrinted>
  <dcterms:created xsi:type="dcterms:W3CDTF">2013-03-18T13:35:42Z</dcterms:created>
  <dcterms:modified xsi:type="dcterms:W3CDTF">2025-10-27T23:59:49Z</dcterms:modified>
</cp:coreProperties>
</file>