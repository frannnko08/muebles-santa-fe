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8E7E970E-6FBF-4DE3-9CD5-1863BC8F1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O38" i="1"/>
  <c r="M22" i="1"/>
  <c r="O22" i="1" s="1"/>
  <c r="P22" i="1" s="1"/>
  <c r="N22" i="1"/>
  <c r="S22" i="1"/>
  <c r="J39" i="1"/>
  <c r="J15" i="1"/>
  <c r="J10" i="1"/>
  <c r="N21" i="1" l="1"/>
  <c r="M21" i="1" l="1"/>
  <c r="S21" i="1" s="1"/>
  <c r="M26" i="1" l="1"/>
  <c r="T21" i="1"/>
  <c r="T25" i="1" s="1"/>
  <c r="S27" i="1"/>
  <c r="O21" i="1"/>
  <c r="P21" i="1" s="1"/>
  <c r="P26" i="1" s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G21" i="1" s="1"/>
  <c r="F15" i="3"/>
  <c r="R21" i="1" l="1"/>
  <c r="H21" i="1" l="1"/>
  <c r="H25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<sst xmlns="http://schemas.openxmlformats.org/spreadsheetml/2006/main" count="234" uniqueCount="176">
  <si>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</si>
  <si>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</si>
  <si>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</si>
  <si>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</si>
  <si>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</si>
  <si>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</si>
  <si>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</si>
  <si>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</si>
  <si>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</si>
  <si>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</si>
  <si>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</si>
  <si>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</si>
  <si>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</si>
  <si>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</si>
  <si>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</si>
  <si>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</si>
  <si>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</si>
  <si>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</si>
  <si>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</si>
  <si>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</si>
  <si>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</si>
  <si>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</si>
  <si>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</si>
  <si>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</si>
  <si>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</si>
  <si>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</si>
  <si>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</si>
  <si>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</si>
  <si>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</si>
  <si>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</si>
  <si>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</si>
  <si>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</si>
  <si>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</si>
  <si>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</si>
  <si>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</si>
  <si>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</si>
  <si>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</si>
  <si>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</si>
  <si>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</si>
  <si>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</si>
  <si>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</si>
  <si>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</si>
  <si>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</si>
  <si>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</si>
  <si>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</si>
  <si>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</si>
  <si>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</si>
  <si>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</si>
  <si>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</si>
  <si>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</si>
  <si>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</si>
  <si>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</si>
  <si>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</si>
  <si>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</si>
  <si>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</si>
  <si>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</si>
  <si>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</si>
  <si>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</si>
  <si>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</si>
  <si>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</si>
  <si>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</si>
  <si>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</si>
  <si>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</si>
  <si>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</si>
  <si>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</si>
  <si>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</si>
  <si>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</si>
  <si>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</si>
  <si>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</si>
  <si>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</si>
  <si>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</si>
  <si>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</si>
  <si>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</si>
  <si>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</si>
  <si>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</si>
  <si>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</si>
  <si>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</si>
  <si>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</si>
  <si>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</si>
  <si>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</si>
  <si>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</si>
  <si>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</si>
  <si>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</si>
  <si>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</si>
  <si>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</si>
  <si>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</si>
  <si>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</si>
  <si>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</si>
  <si>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</si>
  <si>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</si>
  <si>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</si>
  <si>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</si>
  <si>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</si>
  <si>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</si>
  <si>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</si>
  <si>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</si>
  <si>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</si>
  <si>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</si>
  <si>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</si>
  <si>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</si>
  <si>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</si>
  <si>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</si>
  <si>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</si>
  <si>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</si>
  <si>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</si>
  <si>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</si>
  <si>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</si>
  <si>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</si>
  <si>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</si>
  <si>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</si>
  <si>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</si>
  <si>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</si>
  <si>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</si>
  <si>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</si>
  <si>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</si>
  <si>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</si>
  <si>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</si>
  <si>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</si>
  <si>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</si>
  <si>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</si>
  <si>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</si>
  <si>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</si>
  <si>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</si>
  <si>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</si>
  <si>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</si>
  <si>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</si>
  <si>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</si>
  <si>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</si>
  <si>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</si>
  <si>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</si>
  <si>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</si>
  <si>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</si>
  <si>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</si>
  <si>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</si>
  <si>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</si>
  <si>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</si>
  <si>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</si>
  <si>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</si>
  <si>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</si>
  <si>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</si>
  <si>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</si>
  <si>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</si>
  <si>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</si>
  <si>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</si>
  <si>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</si>
  <si>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</si>
  <si>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</si>
  <si>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</si>
  <si>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</si>
  <si>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</si>
  <si>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</si>
  <si>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</si>
  <si>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</si>
  <si>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</si>
  <si>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</si>
  <si>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</si>
  <si>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</si>
  <si>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</si>
  <si>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</si>
  <si>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</si>
  <si>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</si>
  <si>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</si>
  <si>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</si>
  <si>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</si>
  <si>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</si>
  <si>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</si>
  <si>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</si>
  <si>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</si>
  <si>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</si>
  <si>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N° 11699</t>
  </si>
  <si>
    <t>OMAR AGUILERA</t>
  </si>
  <si>
    <t>569 6258 4788</t>
  </si>
  <si>
    <t>5 DIAS HABILES</t>
  </si>
  <si>
    <t>CUB C/R 90° R 8</t>
  </si>
  <si>
    <t>DESFONDADOS</t>
  </si>
  <si>
    <t>WHITE MARBLE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</si>
</sst>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5</xdr:col>
      <xdr:colOff>1728839</xdr:colOff>
      <xdr:row>27</xdr:row>
      <xdr:rowOff>6862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DA06C13-0BA4-4D84-83AC-902FBBB5D871}"/>
            </a:ext>
          </a:extLst>
        </xdr:cNvPr>
        <xdr:cNvSpPr/>
      </xdr:nvSpPr>
      <xdr:spPr>
        <a:xfrm>
          <a:off x="409677" y="4801419"/>
          <a:ext cx="645651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7" zoomScale="93" zoomScaleNormal="93" workbookViewId="0">
      <selection activeCell="G34" sqref="G34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169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45945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171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61127.944572748267</v>
      </c>
      <c r="R20" s="258">
        <v>1500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173</v>
      </c>
      <c r="D21" s="332">
        <v>3</v>
      </c>
      <c r="E21" s="332">
        <v>0.6</v>
      </c>
      <c r="F21" s="329" t="s">
        <v>175</v>
      </c>
      <c r="G21" s="330">
        <f>Q21</f>
        <v>112964.44157043879</v>
      </c>
      <c r="H21" s="330">
        <f>G21*B21</f>
        <v>112964.44157043879</v>
      </c>
      <c r="I21" s="319"/>
      <c r="J21" s="265"/>
      <c r="K21" s="47"/>
      <c r="L21" s="331">
        <v>1</v>
      </c>
      <c r="M21" s="39">
        <f>D21+M$19</f>
        <v>3.08</v>
      </c>
      <c r="N21" s="39">
        <f>E21+$N$19</f>
        <v>0.6</v>
      </c>
      <c r="O21" s="261">
        <f t="shared" ref="O21" si="1">M21*N21</f>
        <v>1.8479999999999999</v>
      </c>
      <c r="P21" s="259">
        <f t="shared" ref="P21" si="2">O21*L21</f>
        <v>1.8479999999999999</v>
      </c>
      <c r="Q21" s="252">
        <f t="shared" ref="Q21" si="3">Q$20*O21</f>
        <v>112964.44157043879</v>
      </c>
      <c r="R21" s="318">
        <f t="shared" ref="R21" si="4">Q21+R$20</f>
        <v>114464.44157043879</v>
      </c>
      <c r="S21" s="297">
        <f>M21*L21</f>
        <v>3.08</v>
      </c>
      <c r="T21" s="46">
        <f>M21*L21</f>
        <v>3.08</v>
      </c>
      <c r="U21" s="9"/>
      <c r="X21" s="4"/>
    </row>
    <row r="22" spans="1:25" ht="17.399999999999999" x14ac:dyDescent="0.3">
      <c r="B22" s="329">
        <v>1</v>
      </c>
      <c r="C22" s="329" t="s">
        <v>173</v>
      </c>
      <c r="D22" s="332">
        <v>1.17</v>
      </c>
      <c r="E22" s="332">
        <v>0.6</v>
      </c>
      <c r="F22" s="329" t="s">
        <v>175</v>
      </c>
      <c r="G22" s="330">
        <v>45846</v>
      </c>
      <c r="H22" s="330">
        <f t="shared" ref="H22:H23" si="5">G22*B22</f>
        <v>45846</v>
      </c>
      <c r="I22" s="319"/>
      <c r="J22" s="265"/>
      <c r="K22" s="47"/>
      <c r="L22" s="331">
        <v>1</v>
      </c>
      <c r="M22" s="39">
        <f>D22+M$19</f>
        <v>1.25</v>
      </c>
      <c r="N22" s="39">
        <f>E22+$N$19</f>
        <v>0.6</v>
      </c>
      <c r="O22" s="261">
        <f t="shared" ref="O22" si="6">M22*N22</f>
        <v>0.75</v>
      </c>
      <c r="P22" s="259">
        <f t="shared" ref="P22" si="7">O22*L22</f>
        <v>0.75</v>
      </c>
      <c r="Q22" s="252">
        <f t="shared" ref="Q22" si="8">Q$20*O22</f>
        <v>45845.9584295612</v>
      </c>
      <c r="R22" s="318">
        <f t="shared" ref="R22" si="9">Q22+R$20</f>
        <v>47345.9584295612</v>
      </c>
      <c r="S22" s="297">
        <f>M22*L22</f>
        <v>1.25</v>
      </c>
      <c r="T22" s="46"/>
      <c r="U22" s="9"/>
      <c r="X22" s="4"/>
    </row>
    <row r="23" spans="1:25" ht="17.399999999999999" x14ac:dyDescent="0.3">
      <c r="B23" s="329">
        <v>2</v>
      </c>
      <c r="C23" s="329" t="s">
        <v>174</v>
      </c>
      <c r="D23" s="332"/>
      <c r="E23" s="332"/>
      <c r="F23" s="329"/>
      <c r="G23" s="330">
        <v>10000</v>
      </c>
      <c r="H23" s="330">
        <f t="shared" si="5"/>
        <v>20000</v>
      </c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178810.44157043879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3.08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21"/>
      <c r="J26" s="265"/>
      <c r="K26" s="47"/>
      <c r="L26" s="47"/>
      <c r="M26" s="39">
        <f>SUM(M21:M25)</f>
        <v>4.33</v>
      </c>
      <c r="N26" s="12"/>
      <c r="O26" s="12"/>
      <c r="P26" s="253">
        <f>SUM(P21:P24)</f>
        <v>2.5979999999999999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178810.44157043879</v>
      </c>
      <c r="I27" s="321"/>
      <c r="J27" s="265"/>
      <c r="K27" s="47"/>
      <c r="L27" s="47"/>
      <c r="M27" s="39"/>
      <c r="N27" s="12"/>
      <c r="O27" s="12"/>
      <c r="P27" s="253">
        <f>P26</f>
        <v>2.5979999999999999</v>
      </c>
      <c r="Q27" s="14"/>
      <c r="R27" s="12"/>
      <c r="S27" s="239">
        <f>SUM(S21:S26)</f>
        <v>4.33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0.51959999999999995</v>
      </c>
      <c r="Q28" s="39" t="s">
        <v>130</v>
      </c>
      <c r="R28" s="42"/>
      <c r="S28" s="240">
        <f>S27+T25</f>
        <v>7.41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3.1175999999999999</v>
      </c>
      <c r="Q29" s="14"/>
      <c r="R29" s="14"/>
      <c r="S29" s="238">
        <f>S28*20%</f>
        <v>1.4820000000000002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8.8919999999999995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3.1175999999999999</v>
      </c>
      <c r="N31" s="12">
        <v>2500</v>
      </c>
      <c r="O31" s="12">
        <f t="shared" ref="O31:O36" si="10">M31*N31</f>
        <v>7794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23500</v>
      </c>
      <c r="O32" s="12">
        <f t="shared" si="10"/>
        <v>23500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10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20000</v>
      </c>
      <c r="O34" s="12">
        <f t="shared" si="10"/>
        <v>40000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0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168</v>
      </c>
      <c r="K36" s="260">
        <v>38300</v>
      </c>
      <c r="L36" s="250"/>
      <c r="M36" s="266">
        <v>4.33</v>
      </c>
      <c r="N36" s="12">
        <v>1000</v>
      </c>
      <c r="O36" s="12">
        <f t="shared" si="10"/>
        <v>4330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167</v>
      </c>
      <c r="K37" s="260">
        <v>31000</v>
      </c>
      <c r="L37" s="250"/>
      <c r="M37" s="14"/>
      <c r="N37" s="12"/>
      <c r="O37" s="12">
        <f>SUM(O31:O36)</f>
        <v>75624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49560</v>
      </c>
      <c r="L38" s="250"/>
      <c r="M38" s="254" t="s">
        <v>33</v>
      </c>
      <c r="N38" s="12"/>
      <c r="O38" s="255">
        <f>O37*2.1</f>
        <v>158810.4</v>
      </c>
      <c r="P38" s="14" t="s">
        <v>140</v>
      </c>
      <c r="Q38" s="14"/>
      <c r="R38" s="40">
        <f>P29/R37</f>
        <v>0.84059534081104392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41647.058823529413</v>
      </c>
      <c r="L39" s="250"/>
      <c r="M39" s="14"/>
      <c r="N39" s="12"/>
      <c r="O39" s="12">
        <f>O38/P27</f>
        <v>61127.944572748267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45945</v>
      </c>
    </row>
    <row r="6" spans="2:31" ht="16.2" thickBot="1" x14ac:dyDescent="0.35">
      <c r="B6" s="140" t="s">
        <v>2</v>
      </c>
      <c r="C6" s="139" t="str">
        <f>'2229'!C10</f>
        <v>OMAR AGUILERA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11699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-12991.515295193907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178810.44157043879</v>
      </c>
      <c r="E11" s="132">
        <f>D11*0.19</f>
        <v>33973.983898383369</v>
      </c>
      <c r="F11" s="131">
        <f>E11+D11</f>
        <v>212784.42546882216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92998.484704806091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61128.090787439614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74998.484704806091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117682.35078299919</v>
      </c>
      <c r="E13" s="221">
        <f>(D11/D12)-1</f>
        <v>1.9251762858456578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65998.484704806091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26998.484704806091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100861.34979927535</v>
      </c>
      <c r="F15" s="216">
        <f>E15-D12</f>
        <v>39733.25901183574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26998.484704806091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66998.484704806091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7794</v>
      </c>
      <c r="E20" s="121">
        <f>D20*0.19</f>
        <v>1480.8600000000001</v>
      </c>
      <c r="F20" s="120">
        <f>SUM(D20:E20)</f>
        <v>9274.86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31294</v>
      </c>
      <c r="E21" s="116">
        <f>SUM(E18:E20)</f>
        <v>5945.8600000000006</v>
      </c>
      <c r="F21" s="115">
        <f>SUM(F18:F20)</f>
        <v>37239.86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28028.123898383368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178810.44157043879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31294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117682.35078299919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117682.35078299919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2025-10-15T17:21:50Z</cp:lastPrinted>
  <dcterms:created xsi:type="dcterms:W3CDTF">2013-03-18T13:35:42Z</dcterms:created>
  <dcterms:modified xsi:type="dcterms:W3CDTF">2025-10-15T20:54:46Z</dcterms:modified>
</cp:coreProperties>
</file>