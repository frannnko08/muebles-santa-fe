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443FDA5-229F-4418-AE2B-0D8D6CDC7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S25" i="1"/>
  <c r="L23" i="1"/>
  <c r="M23" i="1"/>
  <c r="S23" i="1" s="1"/>
  <c r="N23" i="1"/>
  <c r="T23" i="1" s="1"/>
  <c r="L24" i="1"/>
  <c r="M24" i="1"/>
  <c r="S24" i="1" s="1"/>
  <c r="N24" i="1"/>
  <c r="O24" i="1" s="1"/>
  <c r="P24" i="1" s="1"/>
  <c r="L25" i="1"/>
  <c r="M25" i="1"/>
  <c r="N25" i="1"/>
  <c r="T25" i="1" s="1"/>
  <c r="H22" i="1"/>
  <c r="L22" i="1"/>
  <c r="M22" i="1"/>
  <c r="S22" i="1" s="1"/>
  <c r="N22" i="1"/>
  <c r="T22" i="1" s="1"/>
  <c r="L21" i="1"/>
  <c r="J42" i="1"/>
  <c r="J15" i="1"/>
  <c r="J10" i="1"/>
  <c r="T24" i="1" l="1"/>
  <c r="O25" i="1"/>
  <c r="P25" i="1" s="1"/>
  <c r="O23" i="1"/>
  <c r="P23" i="1" s="1"/>
  <c r="O22" i="1"/>
  <c r="P22" i="1" s="1"/>
  <c r="N21" i="1"/>
  <c r="T21" i="1" s="1"/>
  <c r="M21" i="1" l="1"/>
  <c r="S21" i="1" s="1"/>
  <c r="S29" i="1" s="1"/>
  <c r="M29" i="1" l="1"/>
  <c r="T28" i="1"/>
  <c r="S31" i="1" s="1"/>
  <c r="O21" i="1"/>
  <c r="P21" i="1" s="1"/>
  <c r="P29" i="1" s="1"/>
  <c r="S32" i="1" l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Q25" i="1"/>
  <c r="R25" i="1" s="1"/>
  <c r="O43" i="1"/>
  <c r="E15" i="3"/>
  <c r="Q21" i="1" l="1"/>
  <c r="F15" i="3"/>
  <c r="R21" i="1" l="1"/>
  <c r="H21" i="1" l="1"/>
  <c r="H28" i="1" s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<sst xmlns="http://schemas.openxmlformats.org/spreadsheetml/2006/main" count="239" uniqueCount="176">
  <si>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</si>
  <si>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</si>
  <si>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</si>
  <si>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</si>
  <si>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</si>
  <si>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</si>
  <si>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</si>
  <si>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</si>
  <si>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</si>
  <si>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</si>
  <si>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</si>
  <si>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</si>
  <si>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</si>
  <si>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</si>
  <si>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</si>
  <si>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</si>
  <si>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</si>
  <si>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</si>
  <si>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</si>
  <si>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</si>
  <si>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</si>
  <si>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</si>
  <si>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</si>
  <si>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</si>
  <si>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</si>
  <si>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</si>
  <si>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</si>
  <si>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</si>
  <si>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</si>
  <si>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</si>
  <si>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</si>
  <si>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</si>
  <si>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</si>
  <si>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</si>
  <si>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</si>
  <si>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</si>
  <si>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</si>
  <si>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</si>
  <si>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</si>
  <si>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</si>
  <si>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</si>
  <si>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</si>
  <si>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</si>
  <si>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</si>
  <si>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</si>
  <si>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</si>
  <si>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</si>
  <si>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</si>
  <si>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</si>
  <si>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</si>
  <si>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</si>
  <si>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</si>
  <si>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</si>
  <si>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</si>
  <si>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</si>
  <si>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</si>
  <si>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</si>
  <si>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</si>
  <si>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</si>
  <si>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</si>
  <si>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</si>
  <si>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</si>
  <si>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</si>
  <si>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</si>
  <si>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</si>
  <si>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</si>
  <si>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</si>
  <si>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</si>
  <si>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</si>
  <si>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</si>
  <si>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</si>
  <si>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</si>
  <si>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</si>
  <si>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</si>
  <si>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</si>
  <si>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</si>
  <si>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</si>
  <si>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</si>
  <si>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</si>
  <si>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</si>
  <si>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</si>
  <si>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</si>
  <si>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</si>
  <si>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</si>
  <si>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</si>
  <si>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</si>
  <si>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</si>
  <si>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</si>
  <si>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</si>
  <si>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</si>
  <si>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</si>
  <si>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</si>
  <si>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</si>
  <si>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</si>
  <si>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</si>
  <si>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</si>
  <si>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</si>
  <si>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</si>
  <si>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</si>
  <si>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</si>
  <si>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</si>
  <si>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</si>
  <si>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</si>
  <si>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</si>
  <si>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</si>
  <si>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</si>
  <si>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</si>
  <si>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</si>
  <si>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</si>
  <si>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</si>
  <si>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</si>
  <si>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</si>
  <si>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</si>
  <si>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</si>
  <si>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</si>
  <si>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</si>
  <si>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</si>
  <si>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</si>
  <si>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</si>
  <si>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</si>
  <si>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</si>
  <si>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</si>
  <si>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</si>
  <si>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</si>
  <si>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</si>
  <si>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</si>
  <si>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</si>
  <si>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</si>
  <si>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</si>
  <si>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</si>
  <si>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</si>
  <si>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</si>
  <si>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</si>
  <si>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</si>
  <si>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</si>
  <si>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</si>
  <si>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</si>
  <si>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</si>
  <si>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</si>
  <si>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</si>
  <si>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</si>
  <si>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</si>
  <si>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</si>
  <si>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</si>
  <si>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</si>
  <si>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</si>
  <si>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</si>
  <si>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</si>
  <si>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</si>
  <si>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</si>
  <si>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</si>
  <si>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</si>
  <si>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</si>
  <si>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</si>
  <si>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</si>
  <si>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</si>
  <si>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</si>
  <si>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</si>
  <si>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</si>
  <si>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</si>
  <si>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</si>
  <si>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</si>
  <si>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</si>
  <si>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</si>
  <si>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</si>
  <si>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</si>
  <si>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</si>
  <si>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</si>
  <si>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</si>
  <si>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N° 11705</t>
  </si>
  <si>
    <t>5699833 5638</t>
  </si>
  <si>
    <t>CONSTRUCTORA HALTRA</t>
  </si>
  <si>
    <t>MDF 30MM</t>
  </si>
  <si>
    <t>TAPACANTO PVC 0,45 X 50MM</t>
  </si>
  <si>
    <t>MADERA MERINO POR DEFINIR</t>
  </si>
  <si>
    <t>ENCHA RECTO 1 CARA MDF 18 + REGRUESO 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</si>
</sst>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9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170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47325.194974474092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13</v>
      </c>
      <c r="C21" s="334" t="s">
        <v>175</v>
      </c>
      <c r="D21" s="332">
        <v>1.55</v>
      </c>
      <c r="E21" s="332">
        <v>0.6</v>
      </c>
      <c r="F21" s="329" t="s">
        <v>174</v>
      </c>
      <c r="G21" s="330">
        <v>51066</v>
      </c>
      <c r="H21" s="330">
        <f>G21*B21</f>
        <v>663858</v>
      </c>
      <c r="I21" s="319"/>
      <c r="J21" s="265"/>
      <c r="K21" s="47"/>
      <c r="L21" s="331">
        <f>B21</f>
        <v>13</v>
      </c>
      <c r="M21" s="39">
        <f>D21+M$19</f>
        <v>1.57</v>
      </c>
      <c r="N21" s="39">
        <f>E21+$N$19</f>
        <v>0.62</v>
      </c>
      <c r="O21" s="261">
        <f t="shared" ref="O21" si="1">M21*N21</f>
        <v>0.97340000000000004</v>
      </c>
      <c r="P21" s="259">
        <f t="shared" ref="P21" si="2">O21*L21</f>
        <v>12.654200000000001</v>
      </c>
      <c r="Q21" s="252">
        <f t="shared" ref="Q21" si="3">Q$20*O21</f>
        <v>46066.344788153081</v>
      </c>
      <c r="R21" s="318">
        <f t="shared" ref="R21" si="4">Q21+R$20</f>
        <v>51066.344788153081</v>
      </c>
      <c r="S21" s="297">
        <f>M21*L21*2</f>
        <v>40.82</v>
      </c>
      <c r="T21" s="46">
        <f>N21*L21*2</f>
        <v>16.12</v>
      </c>
      <c r="U21" s="9"/>
      <c r="X21" s="4"/>
    </row>
    <row r="22" spans="2:25" ht="17.399999999999999" x14ac:dyDescent="0.3">
      <c r="B22" s="329">
        <v>13</v>
      </c>
      <c r="C22" s="334" t="s">
        <v>175</v>
      </c>
      <c r="D22" s="332">
        <v>1</v>
      </c>
      <c r="E22" s="332">
        <v>0.42</v>
      </c>
      <c r="F22" s="329" t="s">
        <v>174</v>
      </c>
      <c r="G22" s="330">
        <v>26240</v>
      </c>
      <c r="H22" s="330">
        <f>G22*B22</f>
        <v>341120</v>
      </c>
      <c r="I22" s="319"/>
      <c r="J22" s="265"/>
      <c r="K22" s="336"/>
      <c r="L22" s="331">
        <f>B22</f>
        <v>13</v>
      </c>
      <c r="M22" s="39">
        <f>D22+M$19</f>
        <v>1.02</v>
      </c>
      <c r="N22" s="39">
        <f>E22+$N$19</f>
        <v>0.44</v>
      </c>
      <c r="O22" s="261">
        <f t="shared" ref="O22" si="5">M22*N22</f>
        <v>0.44880000000000003</v>
      </c>
      <c r="P22" s="259">
        <f t="shared" ref="P22" si="6">O22*L22</f>
        <v>5.8344000000000005</v>
      </c>
      <c r="Q22" s="252">
        <f t="shared" ref="Q22" si="7">Q$20*O22</f>
        <v>21239.547504543974</v>
      </c>
      <c r="R22" s="318">
        <f t="shared" ref="R22" si="8">Q22+R$20</f>
        <v>26239.547504543974</v>
      </c>
      <c r="S22" s="297">
        <f t="shared" ref="S22:S25" si="9">M22*L22*2</f>
        <v>26.52</v>
      </c>
      <c r="T22" s="46">
        <f t="shared" ref="T22:T25" si="10">N22*L22*2</f>
        <v>11.44</v>
      </c>
      <c r="U22" s="9"/>
      <c r="X22" s="4"/>
    </row>
    <row r="23" spans="2:25" ht="17.399999999999999" x14ac:dyDescent="0.3">
      <c r="B23" s="329">
        <v>2</v>
      </c>
      <c r="C23" s="334" t="s">
        <v>175</v>
      </c>
      <c r="D23" s="332">
        <v>1.55</v>
      </c>
      <c r="E23" s="332">
        <v>0.6</v>
      </c>
      <c r="F23" s="329" t="s">
        <v>174</v>
      </c>
      <c r="G23" s="330">
        <v>51066</v>
      </c>
      <c r="H23" s="330">
        <f t="shared" ref="H23:H25" si="11">G23*B23</f>
        <v>102132</v>
      </c>
      <c r="I23" s="319"/>
      <c r="J23" s="265"/>
      <c r="K23" s="47"/>
      <c r="L23" s="331">
        <f t="shared" ref="L23:L25" si="12">B23</f>
        <v>2</v>
      </c>
      <c r="M23" s="39">
        <f t="shared" ref="M23:M25" si="13">D23+M$19</f>
        <v>1.57</v>
      </c>
      <c r="N23" s="39">
        <f t="shared" ref="N23:N25" si="14">E23+$N$19</f>
        <v>0.62</v>
      </c>
      <c r="O23" s="261">
        <f t="shared" ref="O23:O25" si="15">M23*N23</f>
        <v>0.97340000000000004</v>
      </c>
      <c r="P23" s="259">
        <f t="shared" ref="P23:P25" si="16">O23*L23</f>
        <v>1.9468000000000001</v>
      </c>
      <c r="Q23" s="252">
        <f t="shared" ref="Q23:Q25" si="17">Q$20*O23</f>
        <v>46066.344788153081</v>
      </c>
      <c r="R23" s="318">
        <f t="shared" ref="R23:R25" si="18">Q23+R$20</f>
        <v>51066.344788153081</v>
      </c>
      <c r="S23" s="297">
        <f t="shared" si="9"/>
        <v>6.28</v>
      </c>
      <c r="T23" s="46">
        <f t="shared" si="10"/>
        <v>2.48</v>
      </c>
      <c r="U23" s="9"/>
      <c r="X23" s="4"/>
    </row>
    <row r="24" spans="2:25" ht="17.399999999999999" x14ac:dyDescent="0.3">
      <c r="B24" s="329">
        <v>2</v>
      </c>
      <c r="C24" s="334" t="s">
        <v>175</v>
      </c>
      <c r="D24" s="332">
        <v>0.76</v>
      </c>
      <c r="E24" s="332">
        <v>0.42</v>
      </c>
      <c r="F24" s="329" t="s">
        <v>174</v>
      </c>
      <c r="G24" s="330">
        <v>21242</v>
      </c>
      <c r="H24" s="330">
        <f t="shared" si="11"/>
        <v>42484</v>
      </c>
      <c r="I24" s="319"/>
      <c r="J24" s="265"/>
      <c r="K24" s="47"/>
      <c r="L24" s="331">
        <f t="shared" si="12"/>
        <v>2</v>
      </c>
      <c r="M24" s="39">
        <f t="shared" si="13"/>
        <v>0.78</v>
      </c>
      <c r="N24" s="39">
        <f t="shared" si="14"/>
        <v>0.44</v>
      </c>
      <c r="O24" s="261">
        <f t="shared" si="15"/>
        <v>0.34320000000000001</v>
      </c>
      <c r="P24" s="259">
        <f t="shared" si="16"/>
        <v>0.68640000000000001</v>
      </c>
      <c r="Q24" s="252">
        <f t="shared" si="17"/>
        <v>16242.006915239508</v>
      </c>
      <c r="R24" s="318">
        <f t="shared" si="18"/>
        <v>21242.006915239508</v>
      </c>
      <c r="S24" s="297">
        <f t="shared" si="9"/>
        <v>3.12</v>
      </c>
      <c r="T24" s="46">
        <f t="shared" si="10"/>
        <v>1.76</v>
      </c>
      <c r="U24" s="9"/>
      <c r="X24" s="4"/>
    </row>
    <row r="25" spans="2:25" ht="17.399999999999999" x14ac:dyDescent="0.3">
      <c r="B25" s="329">
        <v>1</v>
      </c>
      <c r="C25" s="334" t="s">
        <v>175</v>
      </c>
      <c r="D25" s="332">
        <v>1.55</v>
      </c>
      <c r="E25" s="332">
        <v>0.6</v>
      </c>
      <c r="F25" s="329" t="s">
        <v>174</v>
      </c>
      <c r="G25" s="330">
        <v>51066</v>
      </c>
      <c r="H25" s="330">
        <f t="shared" si="11"/>
        <v>51066</v>
      </c>
      <c r="I25" s="319"/>
      <c r="J25" s="265"/>
      <c r="K25" s="47"/>
      <c r="L25" s="331">
        <f t="shared" si="12"/>
        <v>1</v>
      </c>
      <c r="M25" s="39">
        <f t="shared" si="13"/>
        <v>1.57</v>
      </c>
      <c r="N25" s="39">
        <f t="shared" si="14"/>
        <v>0.62</v>
      </c>
      <c r="O25" s="261">
        <f t="shared" si="15"/>
        <v>0.97340000000000004</v>
      </c>
      <c r="P25" s="259">
        <f t="shared" si="16"/>
        <v>0.97340000000000004</v>
      </c>
      <c r="Q25" s="252">
        <f t="shared" si="17"/>
        <v>46066.344788153081</v>
      </c>
      <c r="R25" s="318">
        <f t="shared" si="18"/>
        <v>51066.344788153081</v>
      </c>
      <c r="S25" s="297">
        <f t="shared" si="9"/>
        <v>3.14</v>
      </c>
      <c r="T25" s="46">
        <f t="shared" si="10"/>
        <v>1.24</v>
      </c>
      <c r="U25" s="9"/>
      <c r="X25" s="4"/>
    </row>
    <row r="26" spans="2:25" ht="17.399999999999999" x14ac:dyDescent="0.3">
      <c r="B26" s="285"/>
      <c r="C26" s="335"/>
      <c r="D26" s="286"/>
      <c r="E26" s="286"/>
      <c r="F26" s="285"/>
      <c r="G26" s="319"/>
      <c r="H26" s="319"/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1200660</v>
      </c>
      <c r="I28" s="321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33.040000000000006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228125.4</v>
      </c>
      <c r="I29" s="321"/>
      <c r="J29" s="265"/>
      <c r="K29" s="47"/>
      <c r="L29" s="47"/>
      <c r="M29" s="39">
        <f>SUM(M21:M21)</f>
        <v>1.57</v>
      </c>
      <c r="N29" s="12"/>
      <c r="O29" s="12"/>
      <c r="P29" s="253">
        <f>SUM(P21:P27)</f>
        <v>22.095200000000002</v>
      </c>
      <c r="Q29" s="14"/>
      <c r="R29" s="12"/>
      <c r="S29" s="239">
        <f>SUM(S21:S28)</f>
        <v>79.88000000000001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1428785.4</v>
      </c>
      <c r="I30" s="321"/>
      <c r="J30" s="265"/>
      <c r="K30" s="47"/>
      <c r="L30" s="47"/>
      <c r="M30" s="39"/>
      <c r="N30" s="12"/>
      <c r="O30" s="12"/>
      <c r="P30" s="253">
        <f>P29</f>
        <v>22.095200000000002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4.4190400000000007</v>
      </c>
      <c r="Q31" s="39" t="s">
        <v>129</v>
      </c>
      <c r="R31" s="42"/>
      <c r="S31" s="240">
        <f>T28+S29</f>
        <v>112.92000000000002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26.514240000000001</v>
      </c>
      <c r="Q32" s="14"/>
      <c r="R32" s="14"/>
      <c r="S32" s="238">
        <f>S31*20%</f>
        <v>22.584000000000003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135.50400000000002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26.514240000000001</v>
      </c>
      <c r="N34" s="12">
        <v>3500</v>
      </c>
      <c r="O34" s="12">
        <f t="shared" ref="O34:O39" si="19">M34*N34</f>
        <v>92799.84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15</v>
      </c>
      <c r="N35" s="12">
        <v>23500</v>
      </c>
      <c r="O35" s="12">
        <f t="shared" si="19"/>
        <v>352500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9"/>
        <v>0</v>
      </c>
      <c r="P36" s="39" t="s">
        <v>172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8</v>
      </c>
      <c r="N37" s="250">
        <v>40000</v>
      </c>
      <c r="O37" s="12">
        <v>0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9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>
        <v>150</v>
      </c>
      <c r="N39" s="12">
        <v>200</v>
      </c>
      <c r="O39" s="12">
        <f t="shared" si="19"/>
        <v>30000</v>
      </c>
      <c r="P39" s="14" t="s">
        <v>173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475299.83999999997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1045659.648</v>
      </c>
      <c r="P41" s="14" t="s">
        <v>139</v>
      </c>
      <c r="Q41" s="14"/>
      <c r="R41" s="40">
        <f>P32/R40</f>
        <v>7.1490077653149271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47325.194974474092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CONSTRUCTORA HALTRA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97</v>
      </c>
      <c r="I7" s="344"/>
      <c r="J7" s="344"/>
      <c r="K7" s="345"/>
      <c r="N7" s="75"/>
      <c r="O7" s="3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11705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-69448.169033454134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1200660</v>
      </c>
      <c r="E11" s="132">
        <f>D11*0.19</f>
        <v>228125.4</v>
      </c>
      <c r="F11" s="131">
        <f>E11+D11</f>
        <v>1428785.4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36541.830966545866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475133.93078743957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18541.830966545866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725526.06921256043</v>
      </c>
      <c r="E13" s="221">
        <f>(D11/D12)-1</f>
        <v>1.5269927534119607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9541.8309665458655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-29458.169033454134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783970.98579927522</v>
      </c>
      <c r="F15" s="216">
        <f>E15-D12</f>
        <v>308837.05501183565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-29458.169033454134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10541.830966545866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352500</v>
      </c>
      <c r="E19" s="123">
        <f>D19*0.19</f>
        <v>66975</v>
      </c>
      <c r="F19" s="120">
        <f>SUM(D19:E19)</f>
        <v>419475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92799.84</v>
      </c>
      <c r="E20" s="121">
        <f>D20*0.19</f>
        <v>17631.9696</v>
      </c>
      <c r="F20" s="120">
        <f>SUM(D20:E20)</f>
        <v>110431.80959999999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445299.83999999997</v>
      </c>
      <c r="E21" s="116">
        <f>SUM(E18:E20)</f>
        <v>84606.969599999997</v>
      </c>
      <c r="F21" s="115">
        <f>SUM(F18:F20)</f>
        <v>529906.80960000004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143518.43040000001</v>
      </c>
    </row>
    <row r="41" spans="2:16" ht="15" thickBot="1" x14ac:dyDescent="0.35">
      <c r="H41" s="346" t="s">
        <v>59</v>
      </c>
      <c r="I41" s="347"/>
      <c r="J41" s="347"/>
      <c r="K41" s="347"/>
      <c r="L41" s="347"/>
      <c r="M41" s="3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1200660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445299.83999999997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725526.06921256043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725526.06921256043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2025-10-27T21:26:13Z</dcterms:modified>
</cp:coreProperties>
</file>