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E5DA2B20-F634-4C2F-97DE-2B20170BB2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1" l="1"/>
  <c r="O33" i="1"/>
  <c r="O34" i="1"/>
  <c r="O35" i="1"/>
  <c r="J38" i="1"/>
  <c r="J15" i="1"/>
  <c r="J10" i="1"/>
  <c r="N21" i="1" l="1"/>
  <c r="T21" i="1" s="1"/>
  <c r="M21" i="1" l="1"/>
  <c r="S21" i="1" s="1"/>
  <c r="S25" i="1" s="1"/>
  <c r="M25" i="1" l="1"/>
  <c r="T24" i="1"/>
  <c r="S27" i="1" s="1"/>
  <c r="O21" i="1"/>
  <c r="P21" i="1" s="1"/>
  <c r="P25" i="1" s="1"/>
  <c r="S28" i="1" l="1"/>
  <c r="S29" i="1" s="1"/>
  <c r="V32" i="1"/>
  <c r="V33" i="1" s="1"/>
  <c r="O31" i="1" l="1"/>
  <c r="P26" i="1" l="1"/>
  <c r="N20" i="1"/>
  <c r="L20" i="1"/>
  <c r="P27" i="1" l="1"/>
  <c r="P28" i="1" s="1"/>
  <c r="M30" i="1" s="1"/>
  <c r="R36" i="1"/>
  <c r="R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<sst xmlns="http://schemas.openxmlformats.org/spreadsheetml/2006/main" count="231" uniqueCount="176">
  <si>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</si>
  <si>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</si>
  <si>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</si>
  <si>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</si>
  <si>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</si>
  <si>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</si>
  <si>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</si>
  <si>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</si>
  <si>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</si>
  <si>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</si>
  <si>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</si>
  <si>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</si>
  <si>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</si>
  <si>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</si>
  <si>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</si>
  <si>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</si>
  <si>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</si>
  <si>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</si>
  <si>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</si>
  <si>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</si>
  <si>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</si>
  <si>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</si>
  <si>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</si>
  <si>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</si>
  <si>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</si>
  <si>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</si>
  <si>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</si>
  <si>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</si>
  <si>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</si>
  <si>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</si>
  <si>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</si>
  <si>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</si>
  <si>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</si>
  <si>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</si>
  <si>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</si>
  <si>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</si>
  <si>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</si>
  <si>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</si>
  <si>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</si>
  <si>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</si>
  <si>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</si>
  <si>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</si>
  <si>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</si>
  <si>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</si>
  <si>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</si>
  <si>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</si>
  <si>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</si>
  <si>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</si>
  <si>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</si>
  <si>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</si>
  <si>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</si>
  <si>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</si>
  <si>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</si>
  <si>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</si>
  <si>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</si>
  <si>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</si>
  <si>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</si>
  <si>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</si>
  <si>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</si>
  <si>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</si>
  <si>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</si>
  <si>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</si>
  <si>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</si>
  <si>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</si>
  <si>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</si>
  <si>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</si>
  <si>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</si>
  <si>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</si>
  <si>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</si>
  <si>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</si>
  <si>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</si>
  <si>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</si>
  <si>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</si>
  <si>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</si>
  <si>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</si>
  <si>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</si>
  <si>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</si>
  <si>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</si>
  <si>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</si>
  <si>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</si>
  <si>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</si>
  <si>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</si>
  <si>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</si>
  <si>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</si>
  <si>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</si>
  <si>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</si>
  <si>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</si>
  <si>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</si>
  <si>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</si>
  <si>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</si>
  <si>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</si>
  <si>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</si>
  <si>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</si>
  <si>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</si>
  <si>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</si>
  <si>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</si>
  <si>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</si>
  <si>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</si>
  <si>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</si>
  <si>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</si>
  <si>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</si>
  <si>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</si>
  <si>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</si>
  <si>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</si>
  <si>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</si>
  <si>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</si>
  <si>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</si>
  <si>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</si>
  <si>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</si>
  <si>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</si>
  <si>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</si>
  <si>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</si>
  <si>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</si>
  <si>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</si>
  <si>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</si>
  <si>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</si>
  <si>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</si>
  <si>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</si>
  <si>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</si>
  <si>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</si>
  <si>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</si>
  <si>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</si>
  <si>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</si>
  <si>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</si>
  <si>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</si>
  <si>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</si>
  <si>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</si>
  <si>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</si>
  <si>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</si>
  <si>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</si>
  <si>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</si>
  <si>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</si>
  <si>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</si>
  <si>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</si>
  <si>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</si>
  <si>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</si>
  <si>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</si>
  <si>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</si>
  <si>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</si>
  <si>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</si>
  <si>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</si>
  <si>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</si>
  <si>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</si>
  <si>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</si>
  <si>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</si>
  <si>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</si>
  <si>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</si>
  <si>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</si>
  <si>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</si>
  <si>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</si>
  <si>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</si>
  <si>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</si>
  <si>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</si>
  <si>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</si>
  <si>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</si>
  <si>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</si>
  <si>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</si>
  <si>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</si>
  <si>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</si>
  <si>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</si>
  <si>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</si>
  <si>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</si>
  <si>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</si>
  <si>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</si>
  <si>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</si>
  <si>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</si>
  <si>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</si>
  <si>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</si>
  <si>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MDF 30MM</t>
  </si>
  <si>
    <t>SI</t>
  </si>
  <si>
    <t>7 DIAS HABILES</t>
  </si>
  <si>
    <t>N° 11715</t>
  </si>
  <si>
    <t>MARIO BARS</t>
  </si>
  <si>
    <t>5698769 9132</t>
  </si>
  <si>
    <t xml:space="preserve">CUB C/R 90° 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</si>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</sst>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34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 EN EL LARGO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7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171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172</v>
      </c>
      <c r="D10" s="243"/>
      <c r="E10" s="243"/>
      <c r="F10" s="244" t="s">
        <v>0</v>
      </c>
      <c r="G10" s="276">
        <v>45952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170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169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173</v>
      </c>
      <c r="D15" s="309"/>
      <c r="F15" t="s">
        <v>133</v>
      </c>
      <c r="G15" s="308" t="s">
        <v>134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162</v>
      </c>
      <c r="H16" s="248"/>
    </row>
    <row r="17" spans="1:25" ht="15" thickBot="1" x14ac:dyDescent="0.35">
      <c r="B17" s="310" t="s">
        <v>13</v>
      </c>
      <c r="C17" s="311" t="s">
        <v>165</v>
      </c>
      <c r="D17" s="312"/>
      <c r="E17" s="119"/>
      <c r="F17" s="335" t="s">
        <v>164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94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O38</f>
        <v>69227.725501947862</v>
      </c>
      <c r="R20" s="258">
        <v>5000</v>
      </c>
      <c r="S20" s="38"/>
      <c r="T20" s="14" t="s">
        <v>127</v>
      </c>
      <c r="U20" s="9"/>
      <c r="X20" s="4"/>
    </row>
    <row r="21" spans="1:25" ht="17.399999999999999" x14ac:dyDescent="0.3">
      <c r="B21" s="329">
        <v>1</v>
      </c>
      <c r="C21" s="329" t="s">
        <v>174</v>
      </c>
      <c r="D21" s="332">
        <v>1.8</v>
      </c>
      <c r="E21" s="332">
        <v>0.71</v>
      </c>
      <c r="F21" s="329" t="s">
        <v>175</v>
      </c>
      <c r="G21" s="330">
        <v>95405</v>
      </c>
      <c r="H21" s="330">
        <f>G21*B21</f>
        <v>95405</v>
      </c>
      <c r="I21" s="319"/>
      <c r="J21" s="265"/>
      <c r="K21" s="47"/>
      <c r="L21" s="331">
        <v>1</v>
      </c>
      <c r="M21" s="39">
        <f>D21+M$19</f>
        <v>1.8800000000000001</v>
      </c>
      <c r="N21" s="39">
        <f>E21+$N$19</f>
        <v>0.71</v>
      </c>
      <c r="O21" s="261">
        <f t="shared" ref="O21" si="1">M21*N21</f>
        <v>1.3348</v>
      </c>
      <c r="P21" s="259">
        <f t="shared" ref="P21" si="2">O21*L21</f>
        <v>1.3348</v>
      </c>
      <c r="Q21" s="252">
        <f t="shared" ref="Q21" si="3">Q$20*O21</f>
        <v>92405.168000000005</v>
      </c>
      <c r="R21" s="318">
        <f t="shared" ref="R21" si="4">Q21+R$20</f>
        <v>97405.168000000005</v>
      </c>
      <c r="S21" s="297">
        <f>M21*L21*2</f>
        <v>3.7600000000000002</v>
      </c>
      <c r="T21" s="46">
        <f>N21*L21*2</f>
        <v>1.42</v>
      </c>
      <c r="U21" s="9"/>
      <c r="X21" s="4"/>
    </row>
    <row r="22" spans="1:25" ht="17.399999999999999" x14ac:dyDescent="0.3">
      <c r="B22" s="285"/>
      <c r="C22" s="334"/>
      <c r="D22" s="286"/>
      <c r="E22" s="286"/>
      <c r="F22" s="285"/>
      <c r="G22" s="319"/>
      <c r="H22" s="319"/>
      <c r="I22" s="319"/>
      <c r="J22" s="265"/>
      <c r="K22" s="47"/>
      <c r="L22" s="47"/>
      <c r="M22" s="39"/>
      <c r="N22" s="39"/>
      <c r="O22" s="261"/>
      <c r="P22" s="259"/>
      <c r="Q22" s="252"/>
      <c r="R22" s="318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0"/>
      <c r="I23" s="322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3" t="s">
        <v>28</v>
      </c>
      <c r="H24" s="324">
        <f>SUM(H21:H23)</f>
        <v>95405</v>
      </c>
      <c r="I24" s="321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1.42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50</v>
      </c>
      <c r="H25" s="294">
        <f>H24*19%</f>
        <v>18126.95</v>
      </c>
      <c r="I25" s="321"/>
      <c r="J25" s="265"/>
      <c r="K25" s="47"/>
      <c r="L25" s="47"/>
      <c r="M25" s="39">
        <f>SUM(M21:M21)</f>
        <v>1.8800000000000001</v>
      </c>
      <c r="N25" s="12"/>
      <c r="O25" s="12"/>
      <c r="P25" s="253">
        <f>SUM(P21:P23)</f>
        <v>1.3348</v>
      </c>
      <c r="Q25" s="14"/>
      <c r="R25" s="12"/>
      <c r="S25" s="239">
        <f>SUM(S21:S24)</f>
        <v>3.7600000000000002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113531.95</v>
      </c>
      <c r="I26" s="321"/>
      <c r="J26" s="265"/>
      <c r="K26" s="47"/>
      <c r="L26" s="47"/>
      <c r="M26" s="39"/>
      <c r="N26" s="12"/>
      <c r="O26" s="12"/>
      <c r="P26" s="253">
        <f>P25</f>
        <v>1.3348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0.26696000000000003</v>
      </c>
      <c r="Q27" s="39" t="s">
        <v>129</v>
      </c>
      <c r="R27" s="42"/>
      <c r="S27" s="240">
        <f>T24+S25</f>
        <v>5.18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1.6017600000000001</v>
      </c>
      <c r="Q28" s="14"/>
      <c r="R28" s="14"/>
      <c r="S28" s="238">
        <f>S27*20%</f>
        <v>1.036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6.2159999999999993</v>
      </c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1.6017600000000001</v>
      </c>
      <c r="N30" s="12">
        <v>3500</v>
      </c>
      <c r="O30" s="12">
        <f t="shared" ref="O30:O35" si="5">M30*N30</f>
        <v>5606.16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0.5</v>
      </c>
      <c r="N31" s="12">
        <v>23500</v>
      </c>
      <c r="O31" s="12">
        <f t="shared" si="5"/>
        <v>11750</v>
      </c>
      <c r="P31" s="39" t="s">
        <v>30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/>
      <c r="N32" s="250">
        <v>42000</v>
      </c>
      <c r="O32" s="12">
        <f t="shared" si="5"/>
        <v>0</v>
      </c>
      <c r="P32" s="39" t="s">
        <v>168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143</v>
      </c>
      <c r="C33"/>
      <c r="D33"/>
      <c r="E33"/>
      <c r="F33"/>
      <c r="J33" s="262"/>
      <c r="K33" s="232"/>
      <c r="L33" s="250"/>
      <c r="M33" s="14">
        <v>1</v>
      </c>
      <c r="N33" s="250">
        <v>20000</v>
      </c>
      <c r="O33" s="12">
        <f t="shared" si="5"/>
        <v>20000</v>
      </c>
      <c r="P33" s="14" t="s">
        <v>140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124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31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 t="s">
        <v>167</v>
      </c>
      <c r="K35" s="260">
        <v>38300</v>
      </c>
      <c r="L35" s="250"/>
      <c r="M35" s="266">
        <v>1.88</v>
      </c>
      <c r="N35" s="12">
        <v>1500</v>
      </c>
      <c r="O35" s="12">
        <f t="shared" si="5"/>
        <v>2820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J36" s="230" t="s">
        <v>166</v>
      </c>
      <c r="K36" s="260">
        <v>31000</v>
      </c>
      <c r="L36" s="250"/>
      <c r="M36" s="14"/>
      <c r="N36" s="12"/>
      <c r="O36" s="12">
        <f>SUM(O30:O35)</f>
        <v>40176.160000000003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J37" s="230">
        <v>73340</v>
      </c>
      <c r="L37" s="250"/>
      <c r="M37" s="254" t="s">
        <v>32</v>
      </c>
      <c r="N37" s="12"/>
      <c r="O37" s="255">
        <f>O36*2.3</f>
        <v>92405.168000000005</v>
      </c>
      <c r="P37" s="14" t="s">
        <v>139</v>
      </c>
      <c r="Q37" s="14"/>
      <c r="R37" s="40">
        <f>P28/R36</f>
        <v>0.43188093183779119</v>
      </c>
      <c r="S37"/>
      <c r="T37" s="257"/>
    </row>
    <row r="38" spans="2:24" s="230" customFormat="1" ht="17.399999999999999" x14ac:dyDescent="0.35">
      <c r="G38"/>
      <c r="H38" s="260"/>
      <c r="I38" s="260"/>
      <c r="J38" s="260">
        <f>J37/1.19</f>
        <v>61630.252100840342</v>
      </c>
      <c r="L38" s="250"/>
      <c r="M38" s="14"/>
      <c r="N38" s="12"/>
      <c r="O38" s="12">
        <f>O37/P26</f>
        <v>69227.725501947862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L39" s="250"/>
      <c r="M39" s="13"/>
      <c r="N39" s="14"/>
      <c r="O39" s="17">
        <f>O37/O36</f>
        <v>2.2999999999999998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45952</v>
      </c>
    </row>
    <row r="6" spans="2:31" ht="16.2" thickBot="1" x14ac:dyDescent="0.35">
      <c r="B6" s="140" t="s">
        <v>2</v>
      </c>
      <c r="C6" s="139" t="str">
        <f>'2229'!C10</f>
        <v>MARIO BARS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97</v>
      </c>
      <c r="I7" s="342"/>
      <c r="J7" s="342"/>
      <c r="K7" s="343"/>
      <c r="N7" s="75"/>
      <c r="O7" s="340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11715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40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-2923.5143667874413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'2229'!H24</f>
        <v>95405</v>
      </c>
      <c r="E11" s="132">
        <f>D11*0.19</f>
        <v>18126.95</v>
      </c>
      <c r="F11" s="131">
        <f>E11+D11</f>
        <v>113531.95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103066.48563321256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47190.250787439611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85066.485633212564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48214.749212560389</v>
      </c>
      <c r="E13" s="221">
        <f>(D11/D12)-1</f>
        <v>1.0217099593247649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76066.485633212564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37066.485633212556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77863.913799275353</v>
      </c>
      <c r="F15" s="216">
        <f>E15-D12</f>
        <v>30673.663011835743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37066.485633212556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77066.485633212564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'2229'!O31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5606.16</v>
      </c>
      <c r="E20" s="121">
        <f>D20*0.19</f>
        <v>1065.1704</v>
      </c>
      <c r="F20" s="120">
        <f>SUM(D20:E20)</f>
        <v>6671.3303999999998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17356.16</v>
      </c>
      <c r="E21" s="116">
        <f>SUM(E18:E20)</f>
        <v>3297.6704</v>
      </c>
      <c r="F21" s="115">
        <f>SUM(F18:F20)</f>
        <v>20653.830399999999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14829.279600000002</v>
      </c>
    </row>
    <row r="41" spans="2:16" ht="15" thickBot="1" x14ac:dyDescent="0.35">
      <c r="H41" s="344" t="s">
        <v>59</v>
      </c>
      <c r="I41" s="345"/>
      <c r="J41" s="345"/>
      <c r="K41" s="345"/>
      <c r="L41" s="345"/>
      <c r="M41" s="346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95405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17356.16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48214.749212560389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48214.749212560389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2025-10-23T19:29:47Z</dcterms:modified>
</cp:coreProperties>
</file>