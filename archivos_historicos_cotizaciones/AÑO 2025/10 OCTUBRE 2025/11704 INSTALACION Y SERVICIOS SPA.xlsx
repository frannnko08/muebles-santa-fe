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6965AE7C-5C0B-453E-9B8C-FED26BD8D6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O40" i="1"/>
  <c r="M22" i="1"/>
  <c r="N22" i="1"/>
  <c r="O22" i="1"/>
  <c r="P22" i="1"/>
  <c r="M23" i="1"/>
  <c r="N23" i="1"/>
  <c r="O23" i="1" s="1"/>
  <c r="P23" i="1" s="1"/>
  <c r="J41" i="1"/>
  <c r="J15" i="1"/>
  <c r="J10" i="1"/>
  <c r="N21" i="1" l="1"/>
  <c r="M21" i="1" l="1"/>
  <c r="S21" i="1" s="1"/>
  <c r="M28" i="1" l="1"/>
  <c r="T21" i="1"/>
  <c r="T27" i="1" s="1"/>
  <c r="S29" i="1"/>
  <c r="O21" i="1"/>
  <c r="P21" i="1" s="1"/>
  <c r="P28" i="1" s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R22" i="1" s="1"/>
  <c r="Q23" i="1"/>
  <c r="R23" i="1" s="1"/>
  <c r="O42" i="1"/>
  <c r="E15" i="3"/>
  <c r="Q21" i="1" l="1"/>
  <c r="F15" i="3"/>
  <c r="R21" i="1" l="1"/>
  <c r="H21" i="1" l="1"/>
  <c r="H27" i="1" s="1"/>
  <c r="H28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<sst xmlns="http://schemas.openxmlformats.org/spreadsheetml/2006/main" count="236" uniqueCount="178">
  <si>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</si>
  <si>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</si>
  <si>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</si>
  <si>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</si>
  <si>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</si>
  <si>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</si>
  <si>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</si>
  <si>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</si>
  <si>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</si>
  <si>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</si>
  <si>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</si>
  <si>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</si>
  <si>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</si>
  <si>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</si>
  <si>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</si>
  <si>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</si>
  <si>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</si>
  <si>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</si>
  <si>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</si>
  <si>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</si>
  <si>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</si>
  <si>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</si>
  <si>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</si>
  <si>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</si>
  <si>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</si>
  <si>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</si>
  <si>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</si>
  <si>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</si>
  <si>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</si>
  <si>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</si>
  <si>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</si>
  <si>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</si>
  <si>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</si>
  <si>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</si>
  <si>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</si>
  <si>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</si>
  <si>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</si>
  <si>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</si>
  <si>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</si>
  <si>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</si>
  <si>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</si>
  <si>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</si>
  <si>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</si>
  <si>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</si>
  <si>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</si>
  <si>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</si>
  <si>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</si>
  <si>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</si>
  <si>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</si>
  <si>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</si>
  <si>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</si>
  <si>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</si>
  <si>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</si>
  <si>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</si>
  <si>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</si>
  <si>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</si>
  <si>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</si>
  <si>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</si>
  <si>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</si>
  <si>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</si>
  <si>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</si>
  <si>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</si>
  <si>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</si>
  <si>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</si>
  <si>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</si>
  <si>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</si>
  <si>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</si>
  <si>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</si>
  <si>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</si>
  <si>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</si>
  <si>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</si>
  <si>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</si>
  <si>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</si>
  <si>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</si>
  <si>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</si>
  <si>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</si>
  <si>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</si>
  <si>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</si>
  <si>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</si>
  <si>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</si>
  <si>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</si>
  <si>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</si>
  <si>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</si>
  <si>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</si>
  <si>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</si>
  <si>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</si>
  <si>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</si>
  <si>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</si>
  <si>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</si>
  <si>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</si>
  <si>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</si>
  <si>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</si>
  <si>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</si>
  <si>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</si>
  <si>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</si>
  <si>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</si>
  <si>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</si>
  <si>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</si>
  <si>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</si>
  <si>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</si>
  <si>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</si>
  <si>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</si>
  <si>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</si>
  <si>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</si>
  <si>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</si>
  <si>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</si>
  <si>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</si>
  <si>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</si>
  <si>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</si>
  <si>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</si>
  <si>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</si>
  <si>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</si>
  <si>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</si>
  <si>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</si>
  <si>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</si>
  <si>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</si>
  <si>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</si>
  <si>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</si>
  <si>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</si>
  <si>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</si>
  <si>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</si>
  <si>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</si>
  <si>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</si>
  <si>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</si>
  <si>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</si>
  <si>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</si>
  <si>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</si>
  <si>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</si>
  <si>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</si>
  <si>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</si>
  <si>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</si>
  <si>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</si>
  <si>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</si>
  <si>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</si>
  <si>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</si>
  <si>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</si>
  <si>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</si>
  <si>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</si>
  <si>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</si>
  <si>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</si>
  <si>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</si>
  <si>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</si>
  <si>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</si>
  <si>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</si>
  <si>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</si>
  <si>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</si>
  <si>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</si>
  <si>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</si>
  <si>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</si>
  <si>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</si>
  <si>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</si>
  <si>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</si>
  <si>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</si>
  <si>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</si>
  <si>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</si>
  <si>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</si>
  <si>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</si>
  <si>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</si>
  <si>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</si>
  <si>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</si>
  <si>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</si>
  <si>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</si>
  <si>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</si>
  <si>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</si>
  <si>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</si>
  <si>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</si>
  <si>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</si>
  <si>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</si>
  <si>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</si>
  <si>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INSTALACION Y SERVICIOS SPA</t>
  </si>
  <si>
    <t>76.553.287-6</t>
  </si>
  <si>
    <t>SAINT</t>
  </si>
  <si>
    <t>CUB SIN RESPALDO FRENTE 180°</t>
  </si>
  <si>
    <t>CUB MESA FRENTE 180° 4 LADOS</t>
  </si>
  <si>
    <t>CUB MESA FRENTE 180° 2 LADOS UN LARGO Y LADO IZQUIERDO</t>
  </si>
  <si>
    <t>SHELL WHITE 22011 OPACO</t>
  </si>
  <si>
    <t>7 DIAS HABILES</t>
  </si>
  <si>
    <t>N° 11704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</si>
</sst>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2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7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177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45949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170</v>
      </c>
      <c r="F11" t="s">
        <v>123</v>
      </c>
      <c r="G11" s="288" t="s">
        <v>176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171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56964395293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47284.301281004264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29">
        <v>1</v>
      </c>
      <c r="C21" s="329" t="s">
        <v>172</v>
      </c>
      <c r="D21" s="332">
        <v>2.83</v>
      </c>
      <c r="E21" s="332">
        <v>0.65</v>
      </c>
      <c r="F21" s="329" t="s">
        <v>175</v>
      </c>
      <c r="G21" s="330">
        <v>94438</v>
      </c>
      <c r="H21" s="330">
        <f>G21*B21</f>
        <v>94438</v>
      </c>
      <c r="I21" s="319"/>
      <c r="J21" s="265"/>
      <c r="K21" s="47"/>
      <c r="L21" s="331">
        <v>1</v>
      </c>
      <c r="M21" s="39">
        <f>D21+M$19</f>
        <v>2.91</v>
      </c>
      <c r="N21" s="39">
        <f>E21+$N$19</f>
        <v>0.65</v>
      </c>
      <c r="O21" s="261">
        <f t="shared" ref="O21" si="1">M21*N21</f>
        <v>1.8915000000000002</v>
      </c>
      <c r="P21" s="259">
        <f t="shared" ref="P21" si="2">O21*L21</f>
        <v>1.8915000000000002</v>
      </c>
      <c r="Q21" s="252">
        <f t="shared" ref="Q21" si="3">Q$20*O21</f>
        <v>89438.255873019574</v>
      </c>
      <c r="R21" s="318">
        <f t="shared" ref="R21" si="4">Q21+R$20</f>
        <v>94438.255873019574</v>
      </c>
      <c r="S21" s="297">
        <f>M21*L21</f>
        <v>2.91</v>
      </c>
      <c r="T21" s="46">
        <f>M21*L21</f>
        <v>2.91</v>
      </c>
      <c r="U21" s="9"/>
      <c r="X21" s="4"/>
    </row>
    <row r="22" spans="2:25" ht="17.399999999999999" x14ac:dyDescent="0.3">
      <c r="B22" s="329">
        <v>1</v>
      </c>
      <c r="C22" s="329" t="s">
        <v>173</v>
      </c>
      <c r="D22" s="332">
        <v>2.52</v>
      </c>
      <c r="E22" s="332">
        <v>0.6</v>
      </c>
      <c r="F22" s="329" t="s">
        <v>175</v>
      </c>
      <c r="G22" s="330">
        <v>78764</v>
      </c>
      <c r="H22" s="330">
        <f t="shared" ref="H22:H23" si="5">G22*B22</f>
        <v>78764</v>
      </c>
      <c r="I22" s="319"/>
      <c r="J22" s="265"/>
      <c r="K22" s="47"/>
      <c r="L22" s="331">
        <v>1</v>
      </c>
      <c r="M22" s="39">
        <f t="shared" ref="M22:M23" si="6">D22+M$19</f>
        <v>2.6</v>
      </c>
      <c r="N22" s="39">
        <f t="shared" ref="N22:N23" si="7">E22+$N$19</f>
        <v>0.6</v>
      </c>
      <c r="O22" s="261">
        <f t="shared" ref="O22:O23" si="8">M22*N22</f>
        <v>1.56</v>
      </c>
      <c r="P22" s="259">
        <f t="shared" ref="P22:P23" si="9">O22*L22</f>
        <v>1.56</v>
      </c>
      <c r="Q22" s="252">
        <f t="shared" ref="Q22:Q23" si="10">Q$20*O22</f>
        <v>73763.509998366659</v>
      </c>
      <c r="R22" s="318">
        <f t="shared" ref="R22:R23" si="11">Q22+R$20</f>
        <v>78763.509998366659</v>
      </c>
      <c r="S22" s="297"/>
      <c r="T22" s="46"/>
      <c r="U22" s="9"/>
      <c r="X22" s="4"/>
    </row>
    <row r="23" spans="2:25" ht="17.399999999999999" x14ac:dyDescent="0.3">
      <c r="B23" s="329">
        <v>1</v>
      </c>
      <c r="C23" s="346" t="s">
        <v>174</v>
      </c>
      <c r="D23" s="332">
        <v>1.86</v>
      </c>
      <c r="E23" s="332">
        <v>0.43</v>
      </c>
      <c r="F23" s="329" t="s">
        <v>175</v>
      </c>
      <c r="G23" s="330">
        <v>44445</v>
      </c>
      <c r="H23" s="330">
        <f t="shared" si="5"/>
        <v>44445</v>
      </c>
      <c r="I23" s="319"/>
      <c r="J23" s="265"/>
      <c r="K23" s="47"/>
      <c r="L23" s="331">
        <v>1</v>
      </c>
      <c r="M23" s="39">
        <f t="shared" si="6"/>
        <v>1.9400000000000002</v>
      </c>
      <c r="N23" s="39">
        <f t="shared" si="7"/>
        <v>0.43</v>
      </c>
      <c r="O23" s="261">
        <f t="shared" si="8"/>
        <v>0.83420000000000005</v>
      </c>
      <c r="P23" s="259">
        <f t="shared" si="9"/>
        <v>0.83420000000000005</v>
      </c>
      <c r="Q23" s="252">
        <f t="shared" si="10"/>
        <v>39444.564128613762</v>
      </c>
      <c r="R23" s="318">
        <f t="shared" si="11"/>
        <v>44444.564128613762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19"/>
      <c r="H24" s="319"/>
      <c r="I24" s="319"/>
      <c r="J24" s="265"/>
      <c r="K24" s="47"/>
      <c r="L24" s="331"/>
      <c r="M24" s="39"/>
      <c r="N24" s="39"/>
      <c r="O24" s="261"/>
      <c r="P24" s="259"/>
      <c r="Q24" s="252"/>
      <c r="R24" s="318"/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19"/>
      <c r="H25" s="319"/>
      <c r="I25" s="319"/>
      <c r="J25" s="265"/>
      <c r="K25" s="47"/>
      <c r="L25" s="47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0"/>
      <c r="I26" s="322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3" t="s">
        <v>28</v>
      </c>
      <c r="H27" s="324">
        <f>SUM(H21:H26)</f>
        <v>217647</v>
      </c>
      <c r="I27" s="321"/>
      <c r="J27" s="265"/>
      <c r="K27" s="47"/>
      <c r="L27" s="47"/>
      <c r="M27" s="39"/>
      <c r="N27" s="39"/>
      <c r="O27" s="261"/>
      <c r="P27" s="259"/>
      <c r="Q27" s="252"/>
      <c r="R27" s="258"/>
      <c r="S27" s="297"/>
      <c r="T27" s="46">
        <f>SUM(T21:T26)</f>
        <v>2.91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41352.93</v>
      </c>
      <c r="I28" s="321"/>
      <c r="J28" s="265"/>
      <c r="K28" s="47"/>
      <c r="L28" s="47"/>
      <c r="M28" s="39">
        <f>SUM(M21:M27)</f>
        <v>7.45</v>
      </c>
      <c r="N28" s="12"/>
      <c r="O28" s="12"/>
      <c r="P28" s="253">
        <f>SUM(P21:P26)</f>
        <v>4.2857000000000003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258999.93</v>
      </c>
      <c r="I29" s="321"/>
      <c r="J29" s="265"/>
      <c r="K29" s="47"/>
      <c r="L29" s="47"/>
      <c r="M29" s="39"/>
      <c r="N29" s="12"/>
      <c r="O29" s="12"/>
      <c r="P29" s="253">
        <f>P28</f>
        <v>4.2857000000000003</v>
      </c>
      <c r="Q29" s="14"/>
      <c r="R29" s="12"/>
      <c r="S29" s="239">
        <f>SUM(S21:S28)</f>
        <v>2.91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0.85714000000000012</v>
      </c>
      <c r="Q30" s="39" t="s">
        <v>130</v>
      </c>
      <c r="R30" s="42"/>
      <c r="S30" s="240">
        <f>S29+T27</f>
        <v>5.82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5.1428400000000005</v>
      </c>
      <c r="Q31" s="14"/>
      <c r="R31" s="14"/>
      <c r="S31" s="238">
        <f>S30*20%</f>
        <v>1.1640000000000001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6.984</v>
      </c>
      <c r="T32" s="14"/>
      <c r="U32" s="302" t="s">
        <v>21</v>
      </c>
      <c r="V32" s="299" t="s">
        <v>152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5.1428400000000005</v>
      </c>
      <c r="N33" s="12">
        <v>2500</v>
      </c>
      <c r="O33" s="12">
        <f t="shared" ref="O33:O38" si="12">M33*N33</f>
        <v>12857.100000000002</v>
      </c>
      <c r="P33" s="14" t="s">
        <v>21</v>
      </c>
      <c r="Q33" s="14"/>
      <c r="R33" s="14"/>
      <c r="S33" s="241"/>
      <c r="T33" s="14"/>
      <c r="U33" s="302" t="s">
        <v>153</v>
      </c>
      <c r="V33" s="299">
        <v>3625</v>
      </c>
      <c r="W33" s="59" t="s">
        <v>154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1.5</v>
      </c>
      <c r="N34" s="12">
        <v>23500</v>
      </c>
      <c r="O34" s="12">
        <f t="shared" si="12"/>
        <v>35250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155</v>
      </c>
      <c r="X34" s="304"/>
    </row>
    <row r="35" spans="1:24" s="230" customFormat="1" ht="17.399999999999999" x14ac:dyDescent="0.35">
      <c r="B35" s="24" t="s">
        <v>151</v>
      </c>
      <c r="J35" s="262"/>
      <c r="K35" s="232"/>
      <c r="L35" s="250"/>
      <c r="M35" s="14"/>
      <c r="N35" s="250">
        <v>35000</v>
      </c>
      <c r="O35" s="12">
        <f t="shared" si="12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156</v>
      </c>
      <c r="X35" s="59"/>
    </row>
    <row r="36" spans="1:24" s="230" customFormat="1" ht="17.399999999999999" x14ac:dyDescent="0.35">
      <c r="B36" s="24" t="s">
        <v>144</v>
      </c>
      <c r="C36"/>
      <c r="D36"/>
      <c r="E36"/>
      <c r="F36"/>
      <c r="J36" s="262"/>
      <c r="K36" s="232"/>
      <c r="L36" s="250"/>
      <c r="M36" s="14">
        <v>2</v>
      </c>
      <c r="N36" s="250">
        <v>20000</v>
      </c>
      <c r="O36" s="12">
        <f t="shared" si="12"/>
        <v>40000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157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12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 t="s">
        <v>168</v>
      </c>
      <c r="K38" s="260">
        <v>38300</v>
      </c>
      <c r="L38" s="250"/>
      <c r="M38" s="266"/>
      <c r="N38" s="12">
        <v>1000</v>
      </c>
      <c r="O38" s="12">
        <f t="shared" si="12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J39" s="230" t="s">
        <v>167</v>
      </c>
      <c r="K39" s="260">
        <v>31000</v>
      </c>
      <c r="L39" s="250"/>
      <c r="M39" s="14"/>
      <c r="N39" s="12"/>
      <c r="O39" s="12">
        <f>SUM(O33:O38)</f>
        <v>88107.1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J40" s="230">
        <v>49560</v>
      </c>
      <c r="L40" s="250"/>
      <c r="M40" s="254" t="s">
        <v>33</v>
      </c>
      <c r="N40" s="12"/>
      <c r="O40" s="255">
        <f>O39*2.3</f>
        <v>202646.33</v>
      </c>
      <c r="P40" s="14" t="s">
        <v>140</v>
      </c>
      <c r="Q40" s="14"/>
      <c r="R40" s="40">
        <f>P31/R39</f>
        <v>1.3866587575496119</v>
      </c>
      <c r="S40"/>
      <c r="T40" s="257"/>
    </row>
    <row r="41" spans="1:24" s="230" customFormat="1" ht="17.399999999999999" x14ac:dyDescent="0.35">
      <c r="G41"/>
      <c r="H41" s="260"/>
      <c r="I41" s="260"/>
      <c r="J41" s="260">
        <f>J40/1.19</f>
        <v>41647.058823529413</v>
      </c>
      <c r="L41" s="250"/>
      <c r="M41" s="14"/>
      <c r="N41" s="12"/>
      <c r="O41" s="12">
        <f>O40/P29</f>
        <v>47284.301281004264</v>
      </c>
      <c r="P41" s="45" t="s">
        <v>24</v>
      </c>
      <c r="Q41" s="14"/>
      <c r="R41" s="14"/>
      <c r="S41"/>
      <c r="T41" s="238"/>
      <c r="U41" s="59" t="s">
        <v>158</v>
      </c>
      <c r="V41" s="299">
        <v>43650</v>
      </c>
    </row>
    <row r="42" spans="1:24" s="230" customFormat="1" ht="17.399999999999999" x14ac:dyDescent="0.35">
      <c r="G42"/>
      <c r="L42" s="250"/>
      <c r="M42" s="13"/>
      <c r="N42" s="14"/>
      <c r="O42" s="17">
        <f>O40/O39</f>
        <v>2.2999999999999998</v>
      </c>
      <c r="P42" s="15"/>
      <c r="Q42"/>
      <c r="R42"/>
      <c r="S42"/>
      <c r="T42" s="238"/>
      <c r="U42" s="59" t="s">
        <v>160</v>
      </c>
      <c r="V42" s="300" t="s">
        <v>159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161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148</v>
      </c>
    </row>
    <row r="77" spans="3:15" x14ac:dyDescent="0.3">
      <c r="C77" t="s">
        <v>147</v>
      </c>
    </row>
    <row r="80" spans="3:15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45949</v>
      </c>
    </row>
    <row r="6" spans="2:31" ht="16.2" thickBot="1" x14ac:dyDescent="0.35">
      <c r="B6" s="140" t="s">
        <v>2</v>
      </c>
      <c r="C6" s="139" t="str">
        <f>'2229'!C10</f>
        <v>INSTALACION Y SERVICIOS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11704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-14840.672533454106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217647</v>
      </c>
      <c r="E11" s="132">
        <f>D11*0.19</f>
        <v>41352.93</v>
      </c>
      <c r="F11" s="131">
        <f>E11+D11</f>
        <v>258999.93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91149.327466545888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77941.190787439613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73149.327466545888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139705.80921256039</v>
      </c>
      <c r="E13" s="221">
        <f>(D11/D12)-1</f>
        <v>1.7924515625321225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64149.327466545896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25149.327466545896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128602.96479927536</v>
      </c>
      <c r="F15" s="216">
        <f>E15-D12</f>
        <v>50661.774011835747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25149.327466545896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65149.327466545896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35250</v>
      </c>
      <c r="E19" s="123">
        <f>D19*0.19</f>
        <v>6697.5</v>
      </c>
      <c r="F19" s="120">
        <f>SUM(D19:E19)</f>
        <v>41947.5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12857.100000000002</v>
      </c>
      <c r="E20" s="121">
        <f>D20*0.19</f>
        <v>2442.8490000000006</v>
      </c>
      <c r="F20" s="120">
        <f>SUM(D20:E20)</f>
        <v>15299.949000000002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48107.100000000006</v>
      </c>
      <c r="E21" s="116">
        <f>SUM(E18:E20)</f>
        <v>9140.3490000000002</v>
      </c>
      <c r="F21" s="115">
        <f>SUM(F18:F20)</f>
        <v>57247.449000000001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32212.580999999998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217647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48107.100000000006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139705.80921256039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139705.80921256039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2025-10-19T13:40:43Z</cp:lastPrinted>
  <dcterms:created xsi:type="dcterms:W3CDTF">2013-03-18T13:35:42Z</dcterms:created>
  <dcterms:modified xsi:type="dcterms:W3CDTF">2025-10-19T13:44:36Z</dcterms:modified>
</cp:coreProperties>
</file>