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3F85D9E1-5064-4E2F-97DA-204A52215F93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G" sheetId="10" r:id="rId1"/>
    <sheet name="F" sheetId="9" r:id="rId2"/>
    <sheet name="C" sheetId="8" r:id="rId3"/>
    <sheet name="A2" sheetId="7" r:id="rId4"/>
    <sheet name="E" sheetId="6" r:id="rId5"/>
    <sheet name="D" sheetId="5" r:id="rId6"/>
    <sheet name="B" sheetId="4" r:id="rId7"/>
    <sheet name="A1" sheetId="1" r:id="rId8"/>
    <sheet name="COSTOS" sheetId="3" r:id="rId9"/>
  </sheets>
  <definedNames>
    <definedName name="_xlnm.Print_Area" localSheetId="7">'A1'!$B$1:$H$39</definedName>
    <definedName name="_xlnm.Print_Area" localSheetId="3">'A2'!$B$1:$H$39</definedName>
    <definedName name="_xlnm.Print_Area" localSheetId="6">B!$B$1:$H$39</definedName>
    <definedName name="_xlnm.Print_Area" localSheetId="2">'C'!$B$1:$H$39</definedName>
    <definedName name="_xlnm.Print_Area" localSheetId="5">D!$B$1:$H$39</definedName>
    <definedName name="_xlnm.Print_Area" localSheetId="4">E!$B$1:$H$39</definedName>
    <definedName name="_xlnm.Print_Area" localSheetId="1">F!$B$1:$H$39</definedName>
    <definedName name="_xlnm.Print_Area" localSheetId="0">G!$B$1:$H$39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30" i="4"/>
  <c r="I29" i="4"/>
  <c r="I29" i="5"/>
  <c r="I29" i="6"/>
  <c r="I29" i="7"/>
  <c r="I29" i="8"/>
  <c r="I29" i="9"/>
  <c r="I29" i="10"/>
  <c r="M34" i="9"/>
  <c r="O41" i="4"/>
  <c r="M34" i="4"/>
  <c r="J42" i="10"/>
  <c r="R40" i="10"/>
  <c r="O39" i="10"/>
  <c r="O38" i="10"/>
  <c r="O37" i="10"/>
  <c r="V36" i="10"/>
  <c r="V37" i="10" s="1"/>
  <c r="O36" i="10"/>
  <c r="O35" i="10"/>
  <c r="H26" i="10"/>
  <c r="H25" i="10"/>
  <c r="N24" i="10"/>
  <c r="M24" i="10"/>
  <c r="S24" i="10" s="1"/>
  <c r="H24" i="10"/>
  <c r="N23" i="10"/>
  <c r="M23" i="10"/>
  <c r="L23" i="10"/>
  <c r="S23" i="10" s="1"/>
  <c r="H23" i="10"/>
  <c r="N22" i="10"/>
  <c r="M22" i="10"/>
  <c r="S22" i="10" s="1"/>
  <c r="L22" i="10"/>
  <c r="T22" i="10" s="1"/>
  <c r="H22" i="10"/>
  <c r="S21" i="10"/>
  <c r="N21" i="10"/>
  <c r="O21" i="10" s="1"/>
  <c r="P21" i="10" s="1"/>
  <c r="M21" i="10"/>
  <c r="M29" i="10" s="1"/>
  <c r="H21" i="10"/>
  <c r="N20" i="10"/>
  <c r="L20" i="10"/>
  <c r="J15" i="10"/>
  <c r="J10" i="10"/>
  <c r="S23" i="9"/>
  <c r="J42" i="9"/>
  <c r="R40" i="9"/>
  <c r="O39" i="9"/>
  <c r="O38" i="9"/>
  <c r="O37" i="9"/>
  <c r="V36" i="9"/>
  <c r="V37" i="9" s="1"/>
  <c r="O36" i="9"/>
  <c r="O35" i="9"/>
  <c r="H26" i="9"/>
  <c r="H25" i="9"/>
  <c r="N24" i="9"/>
  <c r="M24" i="9"/>
  <c r="S24" i="9" s="1"/>
  <c r="H24" i="9"/>
  <c r="N23" i="9"/>
  <c r="T23" i="9" s="1"/>
  <c r="M23" i="9"/>
  <c r="H23" i="9"/>
  <c r="O22" i="9"/>
  <c r="P22" i="9" s="1"/>
  <c r="N22" i="9"/>
  <c r="M22" i="9"/>
  <c r="T22" i="9"/>
  <c r="H22" i="9"/>
  <c r="N21" i="9"/>
  <c r="T21" i="9" s="1"/>
  <c r="M21" i="9"/>
  <c r="S21" i="9" s="1"/>
  <c r="H21" i="9"/>
  <c r="N20" i="9"/>
  <c r="L20" i="9"/>
  <c r="J15" i="9"/>
  <c r="J10" i="9"/>
  <c r="L22" i="8"/>
  <c r="L23" i="8"/>
  <c r="L24" i="8"/>
  <c r="J42" i="8"/>
  <c r="R40" i="8"/>
  <c r="O39" i="8"/>
  <c r="O38" i="8"/>
  <c r="O37" i="8"/>
  <c r="V36" i="8"/>
  <c r="V37" i="8" s="1"/>
  <c r="O36" i="8"/>
  <c r="O35" i="8"/>
  <c r="H26" i="8"/>
  <c r="H25" i="8"/>
  <c r="N24" i="8"/>
  <c r="M24" i="8"/>
  <c r="S24" i="8" s="1"/>
  <c r="H24" i="8"/>
  <c r="N23" i="8"/>
  <c r="T23" i="8" s="1"/>
  <c r="M23" i="8"/>
  <c r="S23" i="8" s="1"/>
  <c r="H23" i="8"/>
  <c r="S22" i="8"/>
  <c r="N22" i="8"/>
  <c r="T22" i="8" s="1"/>
  <c r="M22" i="8"/>
  <c r="H22" i="8"/>
  <c r="T21" i="8"/>
  <c r="N21" i="8"/>
  <c r="M21" i="8"/>
  <c r="H21" i="8"/>
  <c r="N20" i="8"/>
  <c r="L20" i="8"/>
  <c r="J15" i="8"/>
  <c r="J10" i="8"/>
  <c r="M34" i="7"/>
  <c r="J42" i="7"/>
  <c r="R40" i="7"/>
  <c r="O39" i="7"/>
  <c r="O38" i="7"/>
  <c r="O37" i="7"/>
  <c r="V36" i="7"/>
  <c r="V37" i="7" s="1"/>
  <c r="O36" i="7"/>
  <c r="O35" i="7"/>
  <c r="H26" i="7"/>
  <c r="H25" i="7"/>
  <c r="N24" i="7"/>
  <c r="M24" i="7"/>
  <c r="S24" i="7" s="1"/>
  <c r="H24" i="7"/>
  <c r="S23" i="7"/>
  <c r="N23" i="7"/>
  <c r="T23" i="7" s="1"/>
  <c r="M23" i="7"/>
  <c r="H23" i="7"/>
  <c r="T22" i="7"/>
  <c r="S22" i="7"/>
  <c r="O22" i="7"/>
  <c r="P22" i="7" s="1"/>
  <c r="N22" i="7"/>
  <c r="M22" i="7"/>
  <c r="H22" i="7"/>
  <c r="T21" i="7"/>
  <c r="T28" i="7" s="1"/>
  <c r="N21" i="7"/>
  <c r="M21" i="7"/>
  <c r="S21" i="7" s="1"/>
  <c r="H21" i="7"/>
  <c r="N20" i="7"/>
  <c r="L20" i="7"/>
  <c r="J15" i="7"/>
  <c r="J10" i="7"/>
  <c r="M34" i="6"/>
  <c r="L22" i="6"/>
  <c r="T22" i="6" s="1"/>
  <c r="J42" i="6"/>
  <c r="R40" i="6"/>
  <c r="O39" i="6"/>
  <c r="O38" i="6"/>
  <c r="O37" i="6"/>
  <c r="V36" i="6"/>
  <c r="V37" i="6" s="1"/>
  <c r="O36" i="6"/>
  <c r="O35" i="6"/>
  <c r="H26" i="6"/>
  <c r="H25" i="6"/>
  <c r="N24" i="6"/>
  <c r="M24" i="6"/>
  <c r="S24" i="6" s="1"/>
  <c r="H24" i="6"/>
  <c r="S23" i="6"/>
  <c r="N23" i="6"/>
  <c r="T23" i="6" s="1"/>
  <c r="M23" i="6"/>
  <c r="H23" i="6"/>
  <c r="S22" i="6"/>
  <c r="O22" i="6"/>
  <c r="P22" i="6" s="1"/>
  <c r="N22" i="6"/>
  <c r="M22" i="6"/>
  <c r="H22" i="6"/>
  <c r="T21" i="6"/>
  <c r="N21" i="6"/>
  <c r="M21" i="6"/>
  <c r="S21" i="6" s="1"/>
  <c r="H21" i="6"/>
  <c r="N20" i="6"/>
  <c r="L20" i="6"/>
  <c r="J15" i="6"/>
  <c r="J10" i="6"/>
  <c r="M34" i="1"/>
  <c r="M34" i="5"/>
  <c r="J42" i="5"/>
  <c r="R40" i="5"/>
  <c r="O39" i="5"/>
  <c r="O38" i="5"/>
  <c r="O37" i="5"/>
  <c r="V36" i="5"/>
  <c r="V37" i="5" s="1"/>
  <c r="O36" i="5"/>
  <c r="O35" i="5"/>
  <c r="H26" i="5"/>
  <c r="H25" i="5"/>
  <c r="N24" i="5"/>
  <c r="M24" i="5"/>
  <c r="S24" i="5" s="1"/>
  <c r="H24" i="5"/>
  <c r="N23" i="5"/>
  <c r="T23" i="5" s="1"/>
  <c r="M23" i="5"/>
  <c r="S23" i="5" s="1"/>
  <c r="H23" i="5"/>
  <c r="S22" i="5"/>
  <c r="O22" i="5"/>
  <c r="P22" i="5" s="1"/>
  <c r="N22" i="5"/>
  <c r="T22" i="5" s="1"/>
  <c r="M22" i="5"/>
  <c r="H22" i="5"/>
  <c r="T21" i="5"/>
  <c r="N21" i="5"/>
  <c r="M21" i="5"/>
  <c r="S21" i="5" s="1"/>
  <c r="S29" i="5" s="1"/>
  <c r="H21" i="5"/>
  <c r="H28" i="5" s="1"/>
  <c r="N20" i="5"/>
  <c r="L20" i="5"/>
  <c r="J15" i="5"/>
  <c r="J10" i="5"/>
  <c r="J42" i="4"/>
  <c r="R40" i="4"/>
  <c r="O39" i="4"/>
  <c r="O38" i="4"/>
  <c r="O37" i="4"/>
  <c r="V36" i="4"/>
  <c r="V37" i="4" s="1"/>
  <c r="O36" i="4"/>
  <c r="O35" i="4"/>
  <c r="H26" i="4"/>
  <c r="H25" i="4"/>
  <c r="N24" i="4"/>
  <c r="M24" i="4"/>
  <c r="S24" i="4" s="1"/>
  <c r="H24" i="4"/>
  <c r="S23" i="4"/>
  <c r="O23" i="4"/>
  <c r="P23" i="4" s="1"/>
  <c r="N23" i="4"/>
  <c r="T23" i="4" s="1"/>
  <c r="M23" i="4"/>
  <c r="H23" i="4"/>
  <c r="N22" i="4"/>
  <c r="M22" i="4"/>
  <c r="S22" i="4" s="1"/>
  <c r="T22" i="4"/>
  <c r="H22" i="4"/>
  <c r="N21" i="4"/>
  <c r="T21" i="4" s="1"/>
  <c r="M21" i="4"/>
  <c r="M29" i="4" s="1"/>
  <c r="H21" i="4"/>
  <c r="N20" i="4"/>
  <c r="L20" i="4"/>
  <c r="J15" i="4"/>
  <c r="J10" i="4"/>
  <c r="H24" i="1"/>
  <c r="H25" i="1"/>
  <c r="H26" i="1"/>
  <c r="O38" i="1"/>
  <c r="O37" i="1"/>
  <c r="O36" i="1"/>
  <c r="M24" i="1"/>
  <c r="N24" i="1"/>
  <c r="O24" i="1"/>
  <c r="P24" i="1" s="1"/>
  <c r="S24" i="1"/>
  <c r="H23" i="1"/>
  <c r="M23" i="1"/>
  <c r="N23" i="1"/>
  <c r="H22" i="1"/>
  <c r="M22" i="1"/>
  <c r="N22" i="1"/>
  <c r="J42" i="1"/>
  <c r="J15" i="1"/>
  <c r="J10" i="1"/>
  <c r="T28" i="9" l="1"/>
  <c r="T23" i="10"/>
  <c r="S29" i="10"/>
  <c r="H28" i="10"/>
  <c r="I30" i="10" s="1"/>
  <c r="H29" i="10"/>
  <c r="O23" i="10"/>
  <c r="P23" i="10" s="1"/>
  <c r="T21" i="10"/>
  <c r="T28" i="10" s="1"/>
  <c r="S31" i="10" s="1"/>
  <c r="O24" i="10"/>
  <c r="P24" i="10" s="1"/>
  <c r="O22" i="10"/>
  <c r="P22" i="10" s="1"/>
  <c r="H28" i="9"/>
  <c r="H29" i="9" s="1"/>
  <c r="S22" i="9"/>
  <c r="S29" i="9" s="1"/>
  <c r="S31" i="9" s="1"/>
  <c r="I30" i="9"/>
  <c r="O23" i="9"/>
  <c r="P23" i="9" s="1"/>
  <c r="M29" i="9"/>
  <c r="O21" i="9"/>
  <c r="P21" i="9" s="1"/>
  <c r="O24" i="9"/>
  <c r="P24" i="9" s="1"/>
  <c r="H28" i="8"/>
  <c r="O22" i="8"/>
  <c r="P22" i="8" s="1"/>
  <c r="T28" i="8"/>
  <c r="S21" i="8"/>
  <c r="S29" i="8" s="1"/>
  <c r="S31" i="8" s="1"/>
  <c r="H29" i="8"/>
  <c r="H30" i="8" s="1"/>
  <c r="I30" i="8"/>
  <c r="O23" i="8"/>
  <c r="P23" i="8" s="1"/>
  <c r="M29" i="8"/>
  <c r="O21" i="8"/>
  <c r="P21" i="8" s="1"/>
  <c r="O24" i="8"/>
  <c r="P24" i="8" s="1"/>
  <c r="H28" i="7"/>
  <c r="H29" i="7"/>
  <c r="H30" i="7"/>
  <c r="I30" i="7"/>
  <c r="S29" i="7"/>
  <c r="S31" i="7" s="1"/>
  <c r="O23" i="7"/>
  <c r="P23" i="7" s="1"/>
  <c r="O24" i="7"/>
  <c r="P24" i="7" s="1"/>
  <c r="M29" i="7"/>
  <c r="O21" i="7"/>
  <c r="P21" i="7" s="1"/>
  <c r="H28" i="6"/>
  <c r="T28" i="6"/>
  <c r="H29" i="6"/>
  <c r="H30" i="6" s="1"/>
  <c r="I30" i="6"/>
  <c r="S29" i="6"/>
  <c r="S31" i="6" s="1"/>
  <c r="O23" i="6"/>
  <c r="P23" i="6" s="1"/>
  <c r="O24" i="6"/>
  <c r="P24" i="6" s="1"/>
  <c r="M29" i="6"/>
  <c r="O21" i="6"/>
  <c r="P21" i="6" s="1"/>
  <c r="T28" i="5"/>
  <c r="S31" i="5" s="1"/>
  <c r="H29" i="5"/>
  <c r="I30" i="5"/>
  <c r="H30" i="5"/>
  <c r="O23" i="5"/>
  <c r="P23" i="5" s="1"/>
  <c r="M29" i="5"/>
  <c r="O24" i="5"/>
  <c r="P24" i="5" s="1"/>
  <c r="O21" i="5"/>
  <c r="P21" i="5" s="1"/>
  <c r="H28" i="4"/>
  <c r="T28" i="4"/>
  <c r="O21" i="4"/>
  <c r="P21" i="4" s="1"/>
  <c r="S21" i="4"/>
  <c r="S29" i="4" s="1"/>
  <c r="H29" i="4"/>
  <c r="H30" i="4" s="1"/>
  <c r="O22" i="4"/>
  <c r="P22" i="4" s="1"/>
  <c r="O24" i="4"/>
  <c r="P24" i="4" s="1"/>
  <c r="S22" i="1"/>
  <c r="T22" i="1"/>
  <c r="T23" i="1"/>
  <c r="S23" i="1"/>
  <c r="O23" i="1"/>
  <c r="P23" i="1" s="1"/>
  <c r="O22" i="1"/>
  <c r="P22" i="1" s="1"/>
  <c r="N21" i="1"/>
  <c r="T21" i="1" s="1"/>
  <c r="P29" i="10" l="1"/>
  <c r="P30" i="10" s="1"/>
  <c r="H30" i="10"/>
  <c r="P31" i="10"/>
  <c r="P32" i="10"/>
  <c r="S32" i="10"/>
  <c r="S33" i="10" s="1"/>
  <c r="H30" i="9"/>
  <c r="P29" i="9"/>
  <c r="P30" i="9" s="1"/>
  <c r="P31" i="9" s="1"/>
  <c r="S32" i="9"/>
  <c r="S33" i="9" s="1"/>
  <c r="S32" i="8"/>
  <c r="S33" i="8" s="1"/>
  <c r="P29" i="8"/>
  <c r="P30" i="8" s="1"/>
  <c r="S32" i="7"/>
  <c r="S33" i="7" s="1"/>
  <c r="P29" i="7"/>
  <c r="P30" i="7" s="1"/>
  <c r="S32" i="6"/>
  <c r="S33" i="6" s="1"/>
  <c r="P29" i="6"/>
  <c r="P30" i="6" s="1"/>
  <c r="P29" i="5"/>
  <c r="P30" i="5" s="1"/>
  <c r="S32" i="5"/>
  <c r="S33" i="5" s="1"/>
  <c r="S31" i="4"/>
  <c r="S32" i="4" s="1"/>
  <c r="S33" i="4" s="1"/>
  <c r="P29" i="4"/>
  <c r="P30" i="4" s="1"/>
  <c r="P31" i="4" s="1"/>
  <c r="P32" i="4" s="1"/>
  <c r="M21" i="1"/>
  <c r="S21" i="1" s="1"/>
  <c r="S29" i="1" s="1"/>
  <c r="R41" i="10" l="1"/>
  <c r="M34" i="10"/>
  <c r="O34" i="10" s="1"/>
  <c r="O40" i="10" s="1"/>
  <c r="O41" i="10" s="1"/>
  <c r="P32" i="9"/>
  <c r="O34" i="9" s="1"/>
  <c r="O40" i="9" s="1"/>
  <c r="O41" i="9" s="1"/>
  <c r="R41" i="9"/>
  <c r="P31" i="8"/>
  <c r="P32" i="8"/>
  <c r="M34" i="8" s="1"/>
  <c r="P31" i="7"/>
  <c r="P32" i="7"/>
  <c r="P31" i="6"/>
  <c r="P32" i="6"/>
  <c r="P31" i="5"/>
  <c r="P32" i="5" s="1"/>
  <c r="R41" i="4"/>
  <c r="O34" i="4"/>
  <c r="O40" i="4" s="1"/>
  <c r="M29" i="1"/>
  <c r="T28" i="1"/>
  <c r="S31" i="1" s="1"/>
  <c r="O21" i="1"/>
  <c r="P21" i="1" s="1"/>
  <c r="P29" i="1" s="1"/>
  <c r="O43" i="10" l="1"/>
  <c r="O42" i="10"/>
  <c r="Q20" i="10" s="1"/>
  <c r="O43" i="9"/>
  <c r="O42" i="9"/>
  <c r="Q20" i="9" s="1"/>
  <c r="R41" i="8"/>
  <c r="O34" i="8"/>
  <c r="O40" i="8" s="1"/>
  <c r="O41" i="8" s="1"/>
  <c r="R41" i="7"/>
  <c r="O34" i="7"/>
  <c r="O40" i="7" s="1"/>
  <c r="O41" i="7" s="1"/>
  <c r="R41" i="6"/>
  <c r="O34" i="6"/>
  <c r="O40" i="6" s="1"/>
  <c r="O41" i="6" s="1"/>
  <c r="R41" i="5"/>
  <c r="O34" i="5"/>
  <c r="O40" i="5" s="1"/>
  <c r="O41" i="5" s="1"/>
  <c r="O43" i="4"/>
  <c r="O42" i="4"/>
  <c r="Q20" i="4" s="1"/>
  <c r="S32" i="1"/>
  <c r="S33" i="1" s="1"/>
  <c r="V36" i="1"/>
  <c r="V37" i="1" s="1"/>
  <c r="Q23" i="10" l="1"/>
  <c r="R23" i="10" s="1"/>
  <c r="Q21" i="10"/>
  <c r="R21" i="10" s="1"/>
  <c r="Q22" i="10"/>
  <c r="R22" i="10" s="1"/>
  <c r="Q24" i="10"/>
  <c r="R24" i="10" s="1"/>
  <c r="Q23" i="9"/>
  <c r="R23" i="9" s="1"/>
  <c r="Q21" i="9"/>
  <c r="R21" i="9" s="1"/>
  <c r="Q22" i="9"/>
  <c r="R22" i="9" s="1"/>
  <c r="Q24" i="9"/>
  <c r="R24" i="9" s="1"/>
  <c r="O43" i="8"/>
  <c r="O42" i="8"/>
  <c r="Q20" i="8" s="1"/>
  <c r="O43" i="7"/>
  <c r="O42" i="7"/>
  <c r="Q20" i="7" s="1"/>
  <c r="O43" i="6"/>
  <c r="O42" i="6"/>
  <c r="Q20" i="6" s="1"/>
  <c r="O43" i="5"/>
  <c r="O42" i="5"/>
  <c r="Q20" i="5" s="1"/>
  <c r="Q23" i="4"/>
  <c r="R23" i="4" s="1"/>
  <c r="Q21" i="4"/>
  <c r="R21" i="4" s="1"/>
  <c r="Q22" i="4"/>
  <c r="R22" i="4" s="1"/>
  <c r="Q24" i="4"/>
  <c r="R24" i="4" s="1"/>
  <c r="O35" i="1"/>
  <c r="Q23" i="8" l="1"/>
  <c r="R23" i="8" s="1"/>
  <c r="Q22" i="8"/>
  <c r="R22" i="8" s="1"/>
  <c r="Q24" i="8"/>
  <c r="R24" i="8" s="1"/>
  <c r="Q21" i="8"/>
  <c r="R21" i="8" s="1"/>
  <c r="Q23" i="7"/>
  <c r="R23" i="7" s="1"/>
  <c r="Q22" i="7"/>
  <c r="R22" i="7" s="1"/>
  <c r="Q21" i="7"/>
  <c r="R21" i="7" s="1"/>
  <c r="Q24" i="7"/>
  <c r="R24" i="7" s="1"/>
  <c r="Q23" i="6"/>
  <c r="R23" i="6" s="1"/>
  <c r="Q24" i="6"/>
  <c r="R24" i="6" s="1"/>
  <c r="Q22" i="6"/>
  <c r="R22" i="6" s="1"/>
  <c r="Q21" i="6"/>
  <c r="R21" i="6" s="1"/>
  <c r="Q23" i="5"/>
  <c r="R23" i="5" s="1"/>
  <c r="Q24" i="5"/>
  <c r="R24" i="5" s="1"/>
  <c r="Q22" i="5"/>
  <c r="R22" i="5" s="1"/>
  <c r="Q21" i="5"/>
  <c r="R21" i="5" s="1"/>
  <c r="P30" i="1"/>
  <c r="N20" i="1"/>
  <c r="L20" i="1"/>
  <c r="P31" i="1" l="1"/>
  <c r="P32" i="1" s="1"/>
  <c r="R40" i="1"/>
  <c r="R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F18" i="3" l="1"/>
  <c r="O34" i="1" l="1"/>
  <c r="O40" i="1" s="1"/>
  <c r="O41" i="1" s="1"/>
  <c r="D20" i="3" l="1"/>
  <c r="E20" i="3" s="1"/>
  <c r="E21" i="3" s="1"/>
  <c r="O42" i="1" l="1"/>
  <c r="Q20" i="1" s="1"/>
  <c r="Q24" i="1" s="1"/>
  <c r="R24" i="1" s="1"/>
  <c r="D21" i="3"/>
  <c r="M43" i="3" s="1"/>
  <c r="D12" i="3" s="1"/>
  <c r="F20" i="3"/>
  <c r="F21" i="3" s="1"/>
  <c r="Q22" i="1" l="1"/>
  <c r="R22" i="1" s="1"/>
  <c r="Q23" i="1"/>
  <c r="R23" i="1" s="1"/>
  <c r="O43" i="1"/>
  <c r="E15" i="3"/>
  <c r="Q21" i="1" l="1"/>
  <c r="F15" i="3"/>
  <c r="R21" i="1" l="1"/>
  <c r="H21" i="1" l="1"/>
  <c r="H28" i="1" s="1"/>
  <c r="H29" i="1" l="1"/>
  <c r="I30" i="1"/>
  <c r="H30" i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<sst xmlns="http://schemas.openxmlformats.org/spreadsheetml/2006/main" count="964" uniqueCount="185">
  <si>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</si>
  <si>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</si>
  <si>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</si>
  <si>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</si>
  <si>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</si>
  <si>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</si>
  <si>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</si>
  <si>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</si>
  <si>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</si>
  <si>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</si>
  <si>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</si>
  <si>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</si>
  <si>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</si>
  <si>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</si>
  <si>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</si>
  <si>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</si>
  <si>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</si>
  <si>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</si>
  <si>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</si>
  <si>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</si>
  <si>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</si>
  <si>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</si>
  <si>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</si>
  <si>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</si>
  <si>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</si>
  <si>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</si>
  <si>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</si>
  <si>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</si>
  <si>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</si>
  <si>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</si>
  <si>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</si>
  <si>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</si>
  <si>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</si>
  <si>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</si>
  <si>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</si>
  <si>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</si>
  <si>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</si>
  <si>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</si>
  <si>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</si>
  <si>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</si>
  <si>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</si>
  <si>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</si>
  <si>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</si>
  <si>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</si>
  <si>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</si>
  <si>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</si>
  <si>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</si>
  <si>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</si>
  <si>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</si>
  <si>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</si>
  <si>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</si>
  <si>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</si>
  <si>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</si>
  <si>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</si>
  <si>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</si>
  <si>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</si>
  <si>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</si>
  <si>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</si>
  <si>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</si>
  <si>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</si>
  <si>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</si>
  <si>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</si>
  <si>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</si>
  <si>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</si>
  <si>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</si>
  <si>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</si>
  <si>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</si>
  <si>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</si>
  <si>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</si>
  <si>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</si>
  <si>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</si>
  <si>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</si>
  <si>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</si>
  <si>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</si>
  <si>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</si>
  <si>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</si>
  <si>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</si>
  <si>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</si>
  <si>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</si>
  <si>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</si>
  <si>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</si>
  <si>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</si>
  <si>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</si>
  <si>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</si>
  <si>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</si>
  <si>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</si>
  <si>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</si>
  <si>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</si>
  <si>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</si>
  <si>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</si>
  <si>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</si>
  <si>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</si>
  <si>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</si>
  <si>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</si>
  <si>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</si>
  <si>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</si>
  <si>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</si>
  <si>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</si>
  <si>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</si>
  <si>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</si>
  <si>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</si>
  <si>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</si>
  <si>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</si>
  <si>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</si>
  <si>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</si>
  <si>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</si>
  <si>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</si>
  <si>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</si>
  <si>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</si>
  <si>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</si>
  <si>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</si>
  <si>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</si>
  <si>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</si>
  <si>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</si>
  <si>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</si>
  <si>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</si>
  <si>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</si>
  <si>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</si>
  <si>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</si>
  <si>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</si>
  <si>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</si>
  <si>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</si>
  <si>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</si>
  <si>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</si>
  <si>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</si>
  <si>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</si>
  <si>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</si>
  <si>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</si>
  <si>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</si>
  <si>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</si>
  <si>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</si>
  <si>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</si>
  <si>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</si>
  <si>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</si>
  <si>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</si>
  <si>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</si>
  <si>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</si>
  <si>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</si>
  <si>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</si>
  <si>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</si>
  <si>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</si>
  <si>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</si>
  <si>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</si>
  <si>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</si>
  <si>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</si>
  <si>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</si>
  <si>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</si>
  <si>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</si>
  <si>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</si>
  <si>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</si>
  <si>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</si>
  <si>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</si>
  <si>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</si>
  <si>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</si>
  <si>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</si>
  <si>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</si>
  <si>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</si>
  <si>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</si>
  <si>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</si>
  <si>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</si>
  <si>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</si>
  <si>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</si>
  <si>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</si>
  <si>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</si>
  <si>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</si>
  <si>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</si>
  <si>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</si>
  <si>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</si>
  <si>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8 DIAS HABILES</t>
  </si>
  <si>
    <t>5699833 5638</t>
  </si>
  <si>
    <t>CONSTRUCTORA HALTRA</t>
  </si>
  <si>
    <t>MDF 30MM</t>
  </si>
  <si>
    <t>TAPACANTO PVC 0,45 X 50MM</t>
  </si>
  <si>
    <t>N° 11720</t>
  </si>
  <si>
    <t>27-10-20255</t>
  </si>
  <si>
    <t>CUBIERTA MDF 18 + REGRUESO MDF 18MM</t>
  </si>
  <si>
    <t>FASHION GREY 21371 GL</t>
  </si>
  <si>
    <t>SEPARADOR 2 CARAS MDF 18 + MDF 18MM</t>
  </si>
  <si>
    <t>WINTER SAMSARA MAPLE 14689 SF</t>
  </si>
  <si>
    <t xml:space="preserve">COSTADO 2 CARAS MDF 18 + MDF 18MM </t>
  </si>
  <si>
    <t>FRENTE MDF 18 MM 1 CARA</t>
  </si>
  <si>
    <t>ZOCALO</t>
  </si>
  <si>
    <t>LAMINA ALUMINIUN</t>
  </si>
  <si>
    <t>PERFIL 30X30 1MM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</si>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</sst>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34" fillId="0" borderId="1" xfId="0" applyFont="1" applyBorder="1" applyAlignment="1">
      <alignment horizontal="center" vertical="center"/>
    </xf>
    <xf numFmtId="165" fontId="0" fillId="0" borderId="0" xfId="0" applyNumberFormat="1"/>
    <xf numFmtId="9" fontId="33" fillId="0" borderId="0" xfId="8" applyNumberFormat="1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1C7DF99-5AD8-4DD6-9337-E00DD0F95B07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64917BE6-281A-428D-9628-DF3AA520A1C7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CA0B06B-D834-48EF-B0CD-BC70644E8818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76A0E32-2A0C-432E-8F82-248A4C14053E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672A128-CBCC-49E8-BAE7-FF5316988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085DF3E-1046-4229-89C7-14574FAF24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86CE4E3-DCF9-48B7-ADCE-DB13A6EC6727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7A1C9FE-A520-4F21-8559-A92D806C6196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48F927D-0AE8-4A15-9272-DFE45F604B3C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0CE071A-4752-445A-836E-E5059DCC39B0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D881A9C-447B-40AE-8557-D638A73D9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923F9B7-64D5-4392-B176-66B98E30B3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7ECB2B1-53F3-48AC-9F5A-52C74BEDF522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EFB7FD6-0910-4D12-9F70-CA9C2CF54879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096611D-CBEF-4EF8-8A62-C697370EF65A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5181B2AE-7BAB-407F-A311-92900A8CB2F7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4C52CF3-2D8B-4567-8372-E0DA09AC4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AFFF5C-C6C8-4C84-A051-8331107E19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382E6B7-2699-4220-BA7F-18C2E030FD31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32FD204-1037-449C-A436-0BDEE171E156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E769838-4C4D-4753-AC28-2A981513C1D0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912D7A5-B4F8-477E-A63B-C1E7063A03D7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23B8517-DD7A-430C-BC2B-FF70A3835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D8BDCEE-7669-4FB6-AA1D-C7EE3F5D4C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6898EEE-D889-440F-89D3-0A0F045AB4E7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123D94F-D8D9-48DE-AD0C-DC5B7CFE9EFC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F39FB29-256D-4D48-BCE6-D775DEB0A876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239EDA6-B763-466B-BA02-B92540ADFFB2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6A2A058-3012-4016-A8D6-E94FF409F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F20D245-DA01-4B0F-904E-DE5CD4274D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792F7DA-9405-47ED-AACC-AAC9D664BFDF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AB2E1EC-093D-4835-B4F9-76C4C295EC56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5D7A6657-B35F-4744-B053-F0FE21C09BD8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E81F4C4-A041-4DBE-9E55-8B776F0AF98C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1F16FED-8C0E-44AE-A665-6AADDAB3F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9BC69C1-2778-444B-82C1-328316D773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D3BE234-17EF-4BBB-A748-1C7B08D121E9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3177D8B-2042-46EB-A804-B0BAB8502EE2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5047F3B-79DB-40E3-A496-C225C271B345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27D8593-4A37-4016-B258-875604E29005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20F51F8-9A31-4218-9A07-ED368CC7EF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F313DA5-BF2B-489A-B174-D7CBC71393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topmobilichile.cl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topmobilichile.cl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topmobilichile.c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C32A-C167-40D0-BFAA-303C5F82A58F}">
  <sheetPr>
    <pageSetUpPr fitToPage="1"/>
  </sheetPr>
  <dimension ref="A2:Y585"/>
  <sheetViews>
    <sheetView topLeftCell="D18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116169.01365705614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1.65</v>
      </c>
      <c r="E21" s="332">
        <v>0.7</v>
      </c>
      <c r="F21" s="329" t="s">
        <v>176</v>
      </c>
      <c r="G21" s="330">
        <v>83732</v>
      </c>
      <c r="H21" s="330">
        <f>G21*B21</f>
        <v>83732</v>
      </c>
      <c r="I21" s="319"/>
      <c r="J21" s="265"/>
      <c r="K21" s="47"/>
      <c r="L21" s="331"/>
      <c r="M21" s="39">
        <f>D21+M$19</f>
        <v>1.7</v>
      </c>
      <c r="N21" s="39">
        <f>E21+$N$19</f>
        <v>0.72</v>
      </c>
      <c r="O21" s="261">
        <f t="shared" ref="O21:O24" si="1">M21*N21</f>
        <v>1.224</v>
      </c>
      <c r="P21" s="259">
        <f t="shared" ref="P21:P24" si="2">O21*L21</f>
        <v>0</v>
      </c>
      <c r="Q21" s="252">
        <f t="shared" ref="Q21:Q24" si="3">Q$20*O21</f>
        <v>142190.87271623671</v>
      </c>
      <c r="R21" s="318">
        <f t="shared" ref="R21:R24" si="4">Q21+R$20</f>
        <v>152190.87271623671</v>
      </c>
      <c r="S21" s="297">
        <f>M21*L21*2</f>
        <v>0</v>
      </c>
      <c r="T21" s="46">
        <f>N21*L21*2</f>
        <v>0</v>
      </c>
      <c r="U21" s="9"/>
      <c r="X21" s="4"/>
    </row>
    <row r="22" spans="2:25" ht="17.399999999999999" x14ac:dyDescent="0.3">
      <c r="B22" s="329">
        <v>2</v>
      </c>
      <c r="C22" s="334" t="s">
        <v>177</v>
      </c>
      <c r="D22" s="332">
        <v>1.5</v>
      </c>
      <c r="E22" s="332">
        <v>1.1000000000000001</v>
      </c>
      <c r="F22" s="329" t="s">
        <v>178</v>
      </c>
      <c r="G22" s="330">
        <v>211669</v>
      </c>
      <c r="H22" s="330">
        <f>G22*B22</f>
        <v>423338</v>
      </c>
      <c r="I22" s="319"/>
      <c r="J22" s="265"/>
      <c r="K22" s="335"/>
      <c r="L22" s="331">
        <f>B22</f>
        <v>2</v>
      </c>
      <c r="M22" s="39">
        <f>D22+M$19</f>
        <v>1.55</v>
      </c>
      <c r="N22" s="39">
        <f>E22+$N$19</f>
        <v>1.1200000000000001</v>
      </c>
      <c r="O22" s="261">
        <f t="shared" si="1"/>
        <v>1.7360000000000002</v>
      </c>
      <c r="P22" s="259">
        <f t="shared" si="2"/>
        <v>3.4720000000000004</v>
      </c>
      <c r="Q22" s="252">
        <f t="shared" si="3"/>
        <v>201669.40770864949</v>
      </c>
      <c r="R22" s="318">
        <f t="shared" si="4"/>
        <v>211669.40770864949</v>
      </c>
      <c r="S22" s="297">
        <f t="shared" ref="S22:S24" si="5">M22*L22*2</f>
        <v>6.2</v>
      </c>
      <c r="T22" s="46">
        <f t="shared" ref="T22:T23" si="6">N22*L22*2</f>
        <v>4.4800000000000004</v>
      </c>
      <c r="U22" s="9"/>
      <c r="X22" s="4"/>
    </row>
    <row r="23" spans="2:25" ht="17.399999999999999" x14ac:dyDescent="0.3">
      <c r="B23" s="329">
        <v>1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76913</v>
      </c>
      <c r="H23" s="330">
        <f t="shared" ref="H23:H26" si="7">G23*B23</f>
        <v>76913</v>
      </c>
      <c r="I23" s="319"/>
      <c r="J23" s="265"/>
      <c r="K23" s="47"/>
      <c r="L23" s="331">
        <f>B23</f>
        <v>1</v>
      </c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0.57599999999999996</v>
      </c>
      <c r="Q23" s="252">
        <f t="shared" si="3"/>
        <v>66913.351866464334</v>
      </c>
      <c r="R23" s="318">
        <f t="shared" si="4"/>
        <v>76913.351866464334</v>
      </c>
      <c r="S23" s="297">
        <f t="shared" si="5"/>
        <v>1.6</v>
      </c>
      <c r="T23" s="46">
        <f t="shared" si="6"/>
        <v>1.44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1.65</v>
      </c>
      <c r="E24" s="332">
        <v>0.7</v>
      </c>
      <c r="F24" s="329" t="s">
        <v>178</v>
      </c>
      <c r="G24" s="330">
        <v>152191</v>
      </c>
      <c r="H24" s="330">
        <f t="shared" si="7"/>
        <v>152191</v>
      </c>
      <c r="I24" s="319"/>
      <c r="J24" s="265"/>
      <c r="K24" s="47"/>
      <c r="L24" s="331">
        <v>1</v>
      </c>
      <c r="M24" s="39">
        <f t="shared" si="8"/>
        <v>1.7</v>
      </c>
      <c r="N24" s="39">
        <f t="shared" si="9"/>
        <v>0.72</v>
      </c>
      <c r="O24" s="261">
        <f t="shared" si="1"/>
        <v>1.224</v>
      </c>
      <c r="P24" s="259">
        <f t="shared" si="2"/>
        <v>1.224</v>
      </c>
      <c r="Q24" s="252">
        <f t="shared" si="3"/>
        <v>142190.87271623671</v>
      </c>
      <c r="R24" s="318">
        <f t="shared" si="4"/>
        <v>152190.87271623671</v>
      </c>
      <c r="S24" s="297">
        <f t="shared" si="5"/>
        <v>3.4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1.6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758264</v>
      </c>
      <c r="I28" s="336">
        <v>0.15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5.92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144070.16</v>
      </c>
      <c r="I29" s="321">
        <f>H28*15%</f>
        <v>113739.59999999999</v>
      </c>
      <c r="J29" s="265"/>
      <c r="K29" s="47"/>
      <c r="L29" s="47"/>
      <c r="M29" s="39">
        <f>SUM(M21:M21)</f>
        <v>1.7</v>
      </c>
      <c r="N29" s="12"/>
      <c r="O29" s="12"/>
      <c r="P29" s="253">
        <f>SUM(P21:P27)</f>
        <v>5.2720000000000002</v>
      </c>
      <c r="Q29" s="14"/>
      <c r="R29" s="12"/>
      <c r="S29" s="239">
        <f>SUM(S21:S28)</f>
        <v>11.200000000000001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902334.16</v>
      </c>
      <c r="I30" s="321">
        <f>H28+I29</f>
        <v>872003.6</v>
      </c>
      <c r="J30" s="265"/>
      <c r="K30" s="47"/>
      <c r="L30" s="47"/>
      <c r="M30" s="39"/>
      <c r="N30" s="12"/>
      <c r="O30" s="12"/>
      <c r="P30" s="253">
        <f>P29</f>
        <v>5.2720000000000002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1.0544</v>
      </c>
      <c r="Q31" s="39" t="s">
        <v>129</v>
      </c>
      <c r="R31" s="42"/>
      <c r="S31" s="240">
        <f>T28+S29</f>
        <v>17.12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6.3264000000000005</v>
      </c>
      <c r="Q32" s="14"/>
      <c r="R32" s="14"/>
      <c r="S32" s="238">
        <f>S31*20%</f>
        <v>3.4240000000000004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20.544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P32*3</f>
        <v>18.979200000000002</v>
      </c>
      <c r="N34" s="12">
        <v>3500</v>
      </c>
      <c r="O34" s="12">
        <f t="shared" ref="O34:O39" si="10">M34*N34</f>
        <v>66427.200000000012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3</v>
      </c>
      <c r="N35" s="12">
        <v>23500</v>
      </c>
      <c r="O35" s="12">
        <f t="shared" si="10"/>
        <v>70500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4</v>
      </c>
      <c r="N37" s="250">
        <v>35364</v>
      </c>
      <c r="O37" s="12">
        <f t="shared" si="10"/>
        <v>141456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278383.2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612443.04</v>
      </c>
      <c r="P41" s="14" t="s">
        <v>139</v>
      </c>
      <c r="Q41" s="14"/>
      <c r="R41" s="40">
        <f>P32/R40</f>
        <v>1.7057808455565142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116169.01365705614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694DFD42-0035-48EA-8E2A-59016D3B3316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EA6F-B679-420D-8F84-F949025410A2}">
  <sheetPr>
    <pageSetUpPr fitToPage="1"/>
  </sheetPr>
  <dimension ref="A2:Y585"/>
  <sheetViews>
    <sheetView topLeftCell="D18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63743.703703703708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1.6</v>
      </c>
      <c r="E21" s="332">
        <v>0.7</v>
      </c>
      <c r="F21" s="329" t="s">
        <v>176</v>
      </c>
      <c r="G21" s="330">
        <v>85728</v>
      </c>
      <c r="H21" s="330">
        <f>G21*B21</f>
        <v>85728</v>
      </c>
      <c r="I21" s="319"/>
      <c r="J21" s="265"/>
      <c r="K21" s="47"/>
      <c r="L21" s="331">
        <v>1</v>
      </c>
      <c r="M21" s="39">
        <f>D21+M$19</f>
        <v>1.6500000000000001</v>
      </c>
      <c r="N21" s="39">
        <f>E21+$N$19</f>
        <v>0.72</v>
      </c>
      <c r="O21" s="261">
        <f t="shared" ref="O21:O24" si="1">M21*N21</f>
        <v>1.1879999999999999</v>
      </c>
      <c r="P21" s="259">
        <f t="shared" ref="P21:P24" si="2">O21*L21</f>
        <v>1.1879999999999999</v>
      </c>
      <c r="Q21" s="252">
        <f t="shared" ref="Q21:Q24" si="3">Q$20*O21</f>
        <v>75727.520000000004</v>
      </c>
      <c r="R21" s="318">
        <f t="shared" ref="R21:R24" si="4">Q21+R$20</f>
        <v>85727.52</v>
      </c>
      <c r="S21" s="297">
        <f>M21*L21*2</f>
        <v>3.3000000000000003</v>
      </c>
      <c r="T21" s="46">
        <f>N21*L21*2</f>
        <v>1.44</v>
      </c>
      <c r="U21" s="9"/>
      <c r="X21" s="4"/>
    </row>
    <row r="22" spans="2:25" ht="17.399999999999999" x14ac:dyDescent="0.3">
      <c r="B22" s="329"/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206123</v>
      </c>
      <c r="H22" s="330">
        <f>G22*B22</f>
        <v>0</v>
      </c>
      <c r="I22" s="319"/>
      <c r="J22" s="265"/>
      <c r="K22" s="335"/>
      <c r="L22" s="331"/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0</v>
      </c>
      <c r="Q22" s="252">
        <f t="shared" si="3"/>
        <v>96380.480000000025</v>
      </c>
      <c r="R22" s="318">
        <f t="shared" si="4"/>
        <v>106380.48000000003</v>
      </c>
      <c r="S22" s="297">
        <f t="shared" ref="S22:S24" si="5">M22*L22*2</f>
        <v>0</v>
      </c>
      <c r="T22" s="46">
        <f t="shared" ref="T22:T23" si="6">N22*L22*2</f>
        <v>0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89721</v>
      </c>
      <c r="H23" s="330">
        <f t="shared" ref="H23:H26" si="7">G23*B23</f>
        <v>179442</v>
      </c>
      <c r="I23" s="319"/>
      <c r="J23" s="265"/>
      <c r="K23" s="47"/>
      <c r="L23" s="331"/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</v>
      </c>
      <c r="Q23" s="252">
        <f t="shared" si="3"/>
        <v>36716.373333333337</v>
      </c>
      <c r="R23" s="318">
        <f t="shared" si="4"/>
        <v>46716.373333333337</v>
      </c>
      <c r="S23" s="297">
        <f t="shared" si="5"/>
        <v>0</v>
      </c>
      <c r="T23" s="46">
        <f t="shared" si="6"/>
        <v>0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1.6</v>
      </c>
      <c r="E24" s="332">
        <v>0.7</v>
      </c>
      <c r="F24" s="329" t="s">
        <v>178</v>
      </c>
      <c r="G24" s="330">
        <v>174424</v>
      </c>
      <c r="H24" s="330">
        <f t="shared" si="7"/>
        <v>174424</v>
      </c>
      <c r="I24" s="319"/>
      <c r="J24" s="265"/>
      <c r="K24" s="47"/>
      <c r="L24" s="331"/>
      <c r="M24" s="39">
        <f t="shared" si="8"/>
        <v>1.6500000000000001</v>
      </c>
      <c r="N24" s="39">
        <f t="shared" si="9"/>
        <v>0.72</v>
      </c>
      <c r="O24" s="261">
        <f t="shared" si="1"/>
        <v>1.1879999999999999</v>
      </c>
      <c r="P24" s="259">
        <f t="shared" si="2"/>
        <v>0</v>
      </c>
      <c r="Q24" s="252">
        <f t="shared" si="3"/>
        <v>75727.520000000004</v>
      </c>
      <c r="R24" s="318">
        <f t="shared" si="4"/>
        <v>85727.52</v>
      </c>
      <c r="S24" s="297">
        <f t="shared" si="5"/>
        <v>0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1.6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461684</v>
      </c>
      <c r="I28" s="336">
        <v>0.15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1.44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87719.96</v>
      </c>
      <c r="I29" s="321">
        <f>H28*15%</f>
        <v>69252.599999999991</v>
      </c>
      <c r="J29" s="265"/>
      <c r="K29" s="47"/>
      <c r="L29" s="47"/>
      <c r="M29" s="39">
        <f>SUM(M21:M21)</f>
        <v>1.6500000000000001</v>
      </c>
      <c r="N29" s="12"/>
      <c r="O29" s="12"/>
      <c r="P29" s="253">
        <f>SUM(P21:P27)</f>
        <v>1.1879999999999999</v>
      </c>
      <c r="Q29" s="14"/>
      <c r="R29" s="12"/>
      <c r="S29" s="239">
        <f>SUM(S21:S28)</f>
        <v>3.3000000000000003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549403.96</v>
      </c>
      <c r="I30" s="321">
        <f>H28+I29</f>
        <v>530936.6</v>
      </c>
      <c r="J30" s="265"/>
      <c r="K30" s="47"/>
      <c r="L30" s="47"/>
      <c r="M30" s="39"/>
      <c r="N30" s="12"/>
      <c r="O30" s="12"/>
      <c r="P30" s="253">
        <f>P29</f>
        <v>1.1879999999999999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0.23760000000000001</v>
      </c>
      <c r="Q31" s="39" t="s">
        <v>129</v>
      </c>
      <c r="R31" s="42"/>
      <c r="S31" s="240">
        <f>T28+S29</f>
        <v>4.74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1.4256</v>
      </c>
      <c r="Q32" s="14"/>
      <c r="R32" s="14"/>
      <c r="S32" s="238">
        <f>S31*20%</f>
        <v>0.94800000000000006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5.6880000000000006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1.4256</v>
      </c>
      <c r="N34" s="12">
        <v>3500</v>
      </c>
      <c r="O34" s="12">
        <f t="shared" ref="O34:O39" si="10">M34*N34</f>
        <v>4989.6000000000004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0.5</v>
      </c>
      <c r="N35" s="12">
        <v>23500</v>
      </c>
      <c r="O35" s="12">
        <f t="shared" si="10"/>
        <v>11750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0.5</v>
      </c>
      <c r="N37" s="250">
        <v>35364</v>
      </c>
      <c r="O37" s="12">
        <f t="shared" si="10"/>
        <v>17682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34421.599999999999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75727.520000000004</v>
      </c>
      <c r="P41" s="14" t="s">
        <v>139</v>
      </c>
      <c r="Q41" s="14"/>
      <c r="R41" s="40">
        <f>P32/R40</f>
        <v>0.38438308886971528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63743.703703703708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2BCB3764-8163-4C65-803D-8D5354AFB7E4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0EB0-040E-4CC2-950C-8A174811D663}">
  <sheetPr>
    <pageSetUpPr fitToPage="1"/>
  </sheetPr>
  <dimension ref="A2:Y585"/>
  <sheetViews>
    <sheetView topLeftCell="D18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142896.7375886525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0.7</v>
      </c>
      <c r="E21" s="332">
        <v>0.7</v>
      </c>
      <c r="F21" s="329" t="s">
        <v>176</v>
      </c>
      <c r="G21" s="330">
        <v>66815</v>
      </c>
      <c r="H21" s="330">
        <f>G21*B21</f>
        <v>66815</v>
      </c>
      <c r="I21" s="319"/>
      <c r="J21" s="265"/>
      <c r="K21" s="47"/>
      <c r="L21" s="331"/>
      <c r="M21" s="39">
        <f>D21+M$19</f>
        <v>0.75</v>
      </c>
      <c r="N21" s="39">
        <f>E21+$N$19</f>
        <v>0.72</v>
      </c>
      <c r="O21" s="261">
        <f t="shared" ref="O21:O24" si="1">M21*N21</f>
        <v>0.54</v>
      </c>
      <c r="P21" s="259">
        <f t="shared" ref="P21:P24" si="2">O21*L21</f>
        <v>0</v>
      </c>
      <c r="Q21" s="252">
        <f t="shared" ref="Q21:Q24" si="3">Q$20*O21</f>
        <v>77164.238297872347</v>
      </c>
      <c r="R21" s="318">
        <f t="shared" ref="R21:R24" si="4">Q21+R$20</f>
        <v>87164.238297872347</v>
      </c>
      <c r="S21" s="297">
        <f>M21*L21*2</f>
        <v>0</v>
      </c>
      <c r="T21" s="46">
        <f>N21*L21*2</f>
        <v>0</v>
      </c>
      <c r="U21" s="9"/>
      <c r="X21" s="4"/>
    </row>
    <row r="22" spans="2:25" ht="17.399999999999999" x14ac:dyDescent="0.3">
      <c r="B22" s="329">
        <v>2</v>
      </c>
      <c r="C22" s="334" t="s">
        <v>177</v>
      </c>
      <c r="D22" s="332">
        <v>0.3</v>
      </c>
      <c r="E22" s="332">
        <v>0.55000000000000004</v>
      </c>
      <c r="F22" s="329" t="s">
        <v>178</v>
      </c>
      <c r="G22" s="330">
        <v>38508</v>
      </c>
      <c r="H22" s="330">
        <f>G22*B22</f>
        <v>77016</v>
      </c>
      <c r="I22" s="319"/>
      <c r="J22" s="265"/>
      <c r="K22" s="335"/>
      <c r="L22" s="331">
        <f t="shared" ref="L22:L24" si="5">B22</f>
        <v>2</v>
      </c>
      <c r="M22" s="39">
        <f>D22+M$19</f>
        <v>0.35</v>
      </c>
      <c r="N22" s="39">
        <f>E22+$N$19</f>
        <v>0.57000000000000006</v>
      </c>
      <c r="O22" s="261">
        <f t="shared" si="1"/>
        <v>0.19950000000000001</v>
      </c>
      <c r="P22" s="259">
        <f t="shared" si="2"/>
        <v>0.39900000000000002</v>
      </c>
      <c r="Q22" s="252">
        <f t="shared" si="3"/>
        <v>28507.899148936176</v>
      </c>
      <c r="R22" s="318">
        <f t="shared" si="4"/>
        <v>38507.89914893618</v>
      </c>
      <c r="S22" s="297">
        <f t="shared" ref="S22:S24" si="6">M22*L22*2</f>
        <v>1.4</v>
      </c>
      <c r="T22" s="46">
        <f t="shared" ref="T22:T23" si="7">N22*L22*2</f>
        <v>2.2800000000000002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92309</v>
      </c>
      <c r="H23" s="330">
        <f t="shared" ref="H23:H26" si="8">G23*B23</f>
        <v>184618</v>
      </c>
      <c r="I23" s="319"/>
      <c r="J23" s="265"/>
      <c r="K23" s="47"/>
      <c r="L23" s="331">
        <f t="shared" si="5"/>
        <v>2</v>
      </c>
      <c r="M23" s="39">
        <f t="shared" ref="M23:M24" si="9">D23+M$19</f>
        <v>0.8</v>
      </c>
      <c r="N23" s="39">
        <f t="shared" ref="N23:N24" si="10">E23+$N$19</f>
        <v>0.72</v>
      </c>
      <c r="O23" s="261">
        <f t="shared" si="1"/>
        <v>0.57599999999999996</v>
      </c>
      <c r="P23" s="259">
        <f t="shared" si="2"/>
        <v>1.1519999999999999</v>
      </c>
      <c r="Q23" s="252">
        <f t="shared" si="3"/>
        <v>82308.520851063833</v>
      </c>
      <c r="R23" s="318">
        <f t="shared" si="4"/>
        <v>92308.520851063833</v>
      </c>
      <c r="S23" s="297">
        <f t="shared" si="6"/>
        <v>3.2</v>
      </c>
      <c r="T23" s="46">
        <f t="shared" si="7"/>
        <v>2.88</v>
      </c>
      <c r="U23" s="9"/>
      <c r="X23" s="4"/>
    </row>
    <row r="24" spans="2:25" ht="17.399999999999999" x14ac:dyDescent="0.3">
      <c r="B24" s="329"/>
      <c r="C24" s="334" t="s">
        <v>180</v>
      </c>
      <c r="D24" s="332">
        <v>1.3</v>
      </c>
      <c r="E24" s="332">
        <v>0.7</v>
      </c>
      <c r="F24" s="329" t="s">
        <v>178</v>
      </c>
      <c r="G24" s="330">
        <v>136079</v>
      </c>
      <c r="H24" s="330">
        <f t="shared" si="8"/>
        <v>0</v>
      </c>
      <c r="I24" s="319"/>
      <c r="J24" s="265"/>
      <c r="K24" s="47"/>
      <c r="L24" s="331">
        <f t="shared" si="5"/>
        <v>0</v>
      </c>
      <c r="M24" s="39">
        <f t="shared" si="9"/>
        <v>1.35</v>
      </c>
      <c r="N24" s="39">
        <f t="shared" si="10"/>
        <v>0.72</v>
      </c>
      <c r="O24" s="261">
        <f t="shared" si="1"/>
        <v>0.97199999999999998</v>
      </c>
      <c r="P24" s="259">
        <f t="shared" si="2"/>
        <v>0</v>
      </c>
      <c r="Q24" s="252">
        <f t="shared" si="3"/>
        <v>138895.62893617022</v>
      </c>
      <c r="R24" s="318">
        <f t="shared" si="4"/>
        <v>148895.62893617022</v>
      </c>
      <c r="S24" s="297">
        <f t="shared" si="6"/>
        <v>0</v>
      </c>
      <c r="T24" s="46"/>
      <c r="U24" s="9"/>
      <c r="X24" s="4"/>
    </row>
    <row r="25" spans="2:25" ht="17.399999999999999" x14ac:dyDescent="0.3">
      <c r="B25" s="329"/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8"/>
        <v>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8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336539</v>
      </c>
      <c r="I28" s="336">
        <v>0.15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5.16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63942.41</v>
      </c>
      <c r="I29" s="321">
        <f>H28*15%</f>
        <v>50480.85</v>
      </c>
      <c r="J29" s="265"/>
      <c r="K29" s="47"/>
      <c r="L29" s="47"/>
      <c r="M29" s="39">
        <f>SUM(M21:M21)</f>
        <v>0.75</v>
      </c>
      <c r="N29" s="12"/>
      <c r="O29" s="12"/>
      <c r="P29" s="253">
        <f>SUM(P21:P27)</f>
        <v>1.5509999999999999</v>
      </c>
      <c r="Q29" s="14"/>
      <c r="R29" s="12"/>
      <c r="S29" s="239">
        <f>SUM(S21:S28)</f>
        <v>4.5999999999999996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400481.41000000003</v>
      </c>
      <c r="I30" s="321">
        <f>H28+I29</f>
        <v>387019.85</v>
      </c>
      <c r="J30" s="265"/>
      <c r="K30" s="47"/>
      <c r="L30" s="47"/>
      <c r="M30" s="39"/>
      <c r="N30" s="12"/>
      <c r="O30" s="12"/>
      <c r="P30" s="253">
        <f>P29</f>
        <v>1.5509999999999999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0.31020000000000003</v>
      </c>
      <c r="Q31" s="39" t="s">
        <v>129</v>
      </c>
      <c r="R31" s="42"/>
      <c r="S31" s="240">
        <f>T28+S29</f>
        <v>9.76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1.8612</v>
      </c>
      <c r="Q32" s="14"/>
      <c r="R32" s="14"/>
      <c r="S32" s="238">
        <f>S31*20%</f>
        <v>1.952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11.712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1.8612</v>
      </c>
      <c r="N34" s="12">
        <v>3500</v>
      </c>
      <c r="O34" s="12">
        <f t="shared" ref="O34:O39" si="11">M34*N34</f>
        <v>6514.2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1</v>
      </c>
      <c r="N35" s="12">
        <v>23500</v>
      </c>
      <c r="O35" s="12">
        <f t="shared" si="11"/>
        <v>23500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1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2</v>
      </c>
      <c r="N37" s="250">
        <v>35364</v>
      </c>
      <c r="O37" s="12">
        <f t="shared" si="11"/>
        <v>70728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1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1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100742.2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221632.84000000003</v>
      </c>
      <c r="P41" s="14" t="s">
        <v>139</v>
      </c>
      <c r="Q41" s="14"/>
      <c r="R41" s="40">
        <f>P32/R40</f>
        <v>0.50183347713546156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142896.7375886525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E02EC38D-D658-4E9C-99C2-1CC96A23482E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9032-60FA-4283-B32E-35A68C4D075B}">
  <sheetPr>
    <pageSetUpPr fitToPage="1"/>
  </sheetPr>
  <dimension ref="A2:Y585"/>
  <sheetViews>
    <sheetView topLeftCell="D11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137786.14379084969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1.45</v>
      </c>
      <c r="E21" s="332">
        <v>0.7</v>
      </c>
      <c r="F21" s="329" t="s">
        <v>176</v>
      </c>
      <c r="G21" s="330">
        <v>84730</v>
      </c>
      <c r="H21" s="330">
        <f>G21*B21</f>
        <v>84730</v>
      </c>
      <c r="I21" s="319"/>
      <c r="J21" s="265"/>
      <c r="K21" s="47"/>
      <c r="L21" s="331"/>
      <c r="M21" s="39">
        <f>D21+M$19</f>
        <v>1.5</v>
      </c>
      <c r="N21" s="39">
        <f>E21+$N$19</f>
        <v>0.72</v>
      </c>
      <c r="O21" s="261">
        <f t="shared" ref="O21:O24" si="1">M21*N21</f>
        <v>1.08</v>
      </c>
      <c r="P21" s="259">
        <f t="shared" ref="P21:P24" si="2">O21*L21</f>
        <v>0</v>
      </c>
      <c r="Q21" s="252">
        <f t="shared" ref="Q21:Q24" si="3">Q$20*O21</f>
        <v>148809.03529411767</v>
      </c>
      <c r="R21" s="318">
        <f t="shared" ref="R21:R24" si="4">Q21+R$20</f>
        <v>158809.03529411767</v>
      </c>
      <c r="S21" s="297">
        <f>M21*L21*2</f>
        <v>0</v>
      </c>
      <c r="T21" s="46">
        <f>N21*L21*2</f>
        <v>0</v>
      </c>
      <c r="U21" s="9"/>
      <c r="X21" s="4"/>
    </row>
    <row r="22" spans="2:25" ht="17.399999999999999" x14ac:dyDescent="0.3">
      <c r="B22" s="329">
        <v>1</v>
      </c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218333</v>
      </c>
      <c r="H22" s="330">
        <f>G22*B22</f>
        <v>218333</v>
      </c>
      <c r="I22" s="319"/>
      <c r="J22" s="265"/>
      <c r="K22" s="335"/>
      <c r="L22" s="331">
        <v>1</v>
      </c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1.5120000000000002</v>
      </c>
      <c r="Q22" s="252">
        <f t="shared" si="3"/>
        <v>208332.64941176475</v>
      </c>
      <c r="R22" s="318">
        <f t="shared" si="4"/>
        <v>218332.64941176475</v>
      </c>
      <c r="S22" s="297">
        <f t="shared" ref="S22:S24" si="5">M22*L22*2</f>
        <v>2.7</v>
      </c>
      <c r="T22" s="46">
        <f t="shared" ref="T22:T23" si="6">N22*L22*2</f>
        <v>2.2400000000000002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89365</v>
      </c>
      <c r="H23" s="330">
        <f t="shared" ref="H23:H26" si="7">G23*B23</f>
        <v>178730</v>
      </c>
      <c r="I23" s="319"/>
      <c r="J23" s="265"/>
      <c r="K23" s="47"/>
      <c r="L23" s="331">
        <v>1</v>
      </c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0.57599999999999996</v>
      </c>
      <c r="Q23" s="252">
        <f t="shared" si="3"/>
        <v>79364.818823529407</v>
      </c>
      <c r="R23" s="318">
        <f t="shared" si="4"/>
        <v>89364.818823529407</v>
      </c>
      <c r="S23" s="297">
        <f t="shared" si="5"/>
        <v>1.6</v>
      </c>
      <c r="T23" s="46">
        <f t="shared" si="6"/>
        <v>1.44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1.3</v>
      </c>
      <c r="E24" s="332">
        <v>0.7</v>
      </c>
      <c r="F24" s="329" t="s">
        <v>178</v>
      </c>
      <c r="G24" s="330">
        <v>143928</v>
      </c>
      <c r="H24" s="330">
        <f t="shared" si="7"/>
        <v>143928</v>
      </c>
      <c r="I24" s="319"/>
      <c r="J24" s="265"/>
      <c r="K24" s="47"/>
      <c r="L24" s="331">
        <v>1</v>
      </c>
      <c r="M24" s="39">
        <f t="shared" si="8"/>
        <v>1.35</v>
      </c>
      <c r="N24" s="39">
        <f t="shared" si="9"/>
        <v>0.72</v>
      </c>
      <c r="O24" s="261">
        <f t="shared" si="1"/>
        <v>0.97199999999999998</v>
      </c>
      <c r="P24" s="259">
        <f t="shared" si="2"/>
        <v>0.97199999999999998</v>
      </c>
      <c r="Q24" s="252">
        <f t="shared" si="3"/>
        <v>133928.1317647059</v>
      </c>
      <c r="R24" s="318">
        <f t="shared" si="4"/>
        <v>143928.1317647059</v>
      </c>
      <c r="S24" s="297">
        <f t="shared" si="5"/>
        <v>2.7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647811</v>
      </c>
      <c r="I28" s="336">
        <v>0.15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3.68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123084.09</v>
      </c>
      <c r="I29" s="321">
        <f>H28*15%</f>
        <v>97171.65</v>
      </c>
      <c r="J29" s="265"/>
      <c r="K29" s="47"/>
      <c r="L29" s="47"/>
      <c r="M29" s="39">
        <f>SUM(M21:M21)</f>
        <v>1.5</v>
      </c>
      <c r="N29" s="12"/>
      <c r="O29" s="12"/>
      <c r="P29" s="253">
        <f>SUM(P21:P27)</f>
        <v>3.06</v>
      </c>
      <c r="Q29" s="14"/>
      <c r="R29" s="12"/>
      <c r="S29" s="239">
        <f>SUM(S21:S28)</f>
        <v>7.0000000000000009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770895.09</v>
      </c>
      <c r="I30" s="321">
        <f>H28+I29</f>
        <v>744982.65</v>
      </c>
      <c r="J30" s="265"/>
      <c r="K30" s="47"/>
      <c r="L30" s="47"/>
      <c r="M30" s="39"/>
      <c r="N30" s="12"/>
      <c r="O30" s="12"/>
      <c r="P30" s="253">
        <f>P29</f>
        <v>3.06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0.6120000000000001</v>
      </c>
      <c r="Q31" s="39" t="s">
        <v>129</v>
      </c>
      <c r="R31" s="42"/>
      <c r="S31" s="240">
        <f>T28+S29</f>
        <v>10.680000000000001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3.6720000000000002</v>
      </c>
      <c r="Q32" s="14"/>
      <c r="R32" s="14"/>
      <c r="S32" s="238">
        <f>S31*20%</f>
        <v>2.1360000000000006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12.816000000000003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P32*3</f>
        <v>11.016</v>
      </c>
      <c r="N34" s="12">
        <v>3500</v>
      </c>
      <c r="O34" s="12">
        <f t="shared" ref="O34:O39" si="10">M34*N34</f>
        <v>38556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2</v>
      </c>
      <c r="N35" s="12">
        <v>23500</v>
      </c>
      <c r="O35" s="12">
        <f t="shared" si="10"/>
        <v>47000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3</v>
      </c>
      <c r="N37" s="250">
        <v>35364</v>
      </c>
      <c r="O37" s="12">
        <f t="shared" si="10"/>
        <v>106092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191648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421625.60000000003</v>
      </c>
      <c r="P41" s="14" t="s">
        <v>139</v>
      </c>
      <c r="Q41" s="14"/>
      <c r="R41" s="40">
        <f>P32/R40</f>
        <v>0.99007765314926666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137786.14379084969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AC478B01-F36F-4A3F-A852-7E8FD58ABCB8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3D4F-4E62-4475-9395-8FBCA3F1EB8B}">
  <sheetPr>
    <pageSetUpPr fitToPage="1"/>
  </sheetPr>
  <dimension ref="A2:Y585"/>
  <sheetViews>
    <sheetView topLeftCell="D18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129711.07611548554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1.3</v>
      </c>
      <c r="E21" s="332">
        <v>0.7</v>
      </c>
      <c r="F21" s="329" t="s">
        <v>176</v>
      </c>
      <c r="G21" s="330">
        <v>83732</v>
      </c>
      <c r="H21" s="330">
        <f>G21*B21</f>
        <v>83732</v>
      </c>
      <c r="I21" s="319"/>
      <c r="J21" s="265"/>
      <c r="K21" s="47"/>
      <c r="L21" s="331"/>
      <c r="M21" s="39">
        <f>D21+M$19</f>
        <v>1.35</v>
      </c>
      <c r="N21" s="39">
        <f>E21+$N$19</f>
        <v>0.72</v>
      </c>
      <c r="O21" s="261">
        <f t="shared" ref="O21:O24" si="1">M21*N21</f>
        <v>0.97199999999999998</v>
      </c>
      <c r="P21" s="259">
        <f t="shared" ref="P21:P24" si="2">O21*L21</f>
        <v>0</v>
      </c>
      <c r="Q21" s="252">
        <f t="shared" ref="Q21:Q24" si="3">Q$20*O21</f>
        <v>126079.16598425194</v>
      </c>
      <c r="R21" s="318">
        <f t="shared" ref="R21:R24" si="4">Q21+R$20</f>
        <v>136079.16598425194</v>
      </c>
      <c r="S21" s="297">
        <f>M21*L21*2</f>
        <v>0</v>
      </c>
      <c r="T21" s="46">
        <f>N21*L21*2</f>
        <v>0</v>
      </c>
      <c r="U21" s="9"/>
      <c r="X21" s="4"/>
    </row>
    <row r="22" spans="2:25" ht="17.399999999999999" x14ac:dyDescent="0.3">
      <c r="B22" s="329">
        <v>2</v>
      </c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206123</v>
      </c>
      <c r="H22" s="330">
        <f>G22*B22</f>
        <v>412246</v>
      </c>
      <c r="I22" s="319"/>
      <c r="J22" s="265"/>
      <c r="K22" s="335"/>
      <c r="L22" s="331">
        <f>B22</f>
        <v>2</v>
      </c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3.0240000000000005</v>
      </c>
      <c r="Q22" s="252">
        <f t="shared" si="3"/>
        <v>196123.14708661416</v>
      </c>
      <c r="R22" s="318">
        <f t="shared" si="4"/>
        <v>206123.14708661416</v>
      </c>
      <c r="S22" s="297">
        <f t="shared" ref="S22:S24" si="5">M22*L22*2</f>
        <v>5.4</v>
      </c>
      <c r="T22" s="46">
        <f t="shared" ref="T22:T23" si="6">N22*L22*2</f>
        <v>4.4800000000000004</v>
      </c>
      <c r="U22" s="9"/>
      <c r="X22" s="4"/>
    </row>
    <row r="23" spans="2:25" ht="17.399999999999999" x14ac:dyDescent="0.3">
      <c r="B23" s="329">
        <v>1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84714</v>
      </c>
      <c r="H23" s="330">
        <f t="shared" ref="H23:H26" si="7">G23*B23</f>
        <v>84714</v>
      </c>
      <c r="I23" s="319"/>
      <c r="J23" s="265"/>
      <c r="K23" s="47"/>
      <c r="L23" s="331">
        <v>1</v>
      </c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0.57599999999999996</v>
      </c>
      <c r="Q23" s="252">
        <f t="shared" si="3"/>
        <v>74713.57984251967</v>
      </c>
      <c r="R23" s="318">
        <f t="shared" si="4"/>
        <v>84713.57984251967</v>
      </c>
      <c r="S23" s="297">
        <f t="shared" si="5"/>
        <v>1.6</v>
      </c>
      <c r="T23" s="46">
        <f t="shared" si="6"/>
        <v>1.44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1.3</v>
      </c>
      <c r="E24" s="332">
        <v>0.7</v>
      </c>
      <c r="F24" s="329" t="s">
        <v>178</v>
      </c>
      <c r="G24" s="330">
        <v>136079</v>
      </c>
      <c r="H24" s="330">
        <f t="shared" si="7"/>
        <v>136079</v>
      </c>
      <c r="I24" s="319"/>
      <c r="J24" s="265"/>
      <c r="K24" s="47"/>
      <c r="L24" s="331">
        <v>1</v>
      </c>
      <c r="M24" s="39">
        <f t="shared" si="8"/>
        <v>1.35</v>
      </c>
      <c r="N24" s="39">
        <f t="shared" si="9"/>
        <v>0.72</v>
      </c>
      <c r="O24" s="261">
        <f t="shared" si="1"/>
        <v>0.97199999999999998</v>
      </c>
      <c r="P24" s="259">
        <f t="shared" si="2"/>
        <v>0.97199999999999998</v>
      </c>
      <c r="Q24" s="252">
        <f t="shared" si="3"/>
        <v>126079.16598425194</v>
      </c>
      <c r="R24" s="318">
        <f t="shared" si="4"/>
        <v>136079.16598425194</v>
      </c>
      <c r="S24" s="297">
        <f t="shared" si="5"/>
        <v>2.7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738861</v>
      </c>
      <c r="I28" s="336">
        <v>0.15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5.92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140383.59</v>
      </c>
      <c r="I29" s="321">
        <f>H28*15%</f>
        <v>110829.15</v>
      </c>
      <c r="J29" s="265"/>
      <c r="K29" s="47"/>
      <c r="L29" s="47"/>
      <c r="M29" s="39">
        <f>SUM(M21:M21)</f>
        <v>1.35</v>
      </c>
      <c r="N29" s="12"/>
      <c r="O29" s="12"/>
      <c r="P29" s="253">
        <f>SUM(P21:P27)</f>
        <v>4.572000000000001</v>
      </c>
      <c r="Q29" s="14"/>
      <c r="R29" s="12"/>
      <c r="S29" s="239">
        <f>SUM(S21:S28)</f>
        <v>9.6999999999999993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879244.59</v>
      </c>
      <c r="I30" s="321">
        <f>H28+I29</f>
        <v>849690.15</v>
      </c>
      <c r="J30" s="265"/>
      <c r="K30" s="47"/>
      <c r="L30" s="47"/>
      <c r="M30" s="39"/>
      <c r="N30" s="12"/>
      <c r="O30" s="12"/>
      <c r="P30" s="253">
        <f>P29</f>
        <v>4.572000000000001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0.91440000000000021</v>
      </c>
      <c r="Q31" s="39" t="s">
        <v>129</v>
      </c>
      <c r="R31" s="42"/>
      <c r="S31" s="240">
        <f>T28+S29</f>
        <v>15.62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5.4864000000000015</v>
      </c>
      <c r="Q32" s="14"/>
      <c r="R32" s="14"/>
      <c r="S32" s="238">
        <f>S31*20%</f>
        <v>3.1240000000000001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18.744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P32*3</f>
        <v>16.459200000000003</v>
      </c>
      <c r="N34" s="12">
        <v>3500</v>
      </c>
      <c r="O34" s="12">
        <f t="shared" ref="O34:O39" si="10">M34*N34</f>
        <v>57607.200000000012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3</v>
      </c>
      <c r="N35" s="12">
        <v>23500</v>
      </c>
      <c r="O35" s="12">
        <f t="shared" si="10"/>
        <v>70500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4</v>
      </c>
      <c r="N37" s="250">
        <v>35364</v>
      </c>
      <c r="O37" s="12">
        <f t="shared" si="10"/>
        <v>141456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269563.2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593039.04</v>
      </c>
      <c r="P41" s="14" t="s">
        <v>139</v>
      </c>
      <c r="Q41" s="14"/>
      <c r="R41" s="40">
        <f>P32/R40</f>
        <v>1.4792924935289047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129711.07611548554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85008F91-8DC5-4AE7-AF8B-F55645374697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1A30-6E09-47CF-9354-EA922FC5CA60}">
  <sheetPr>
    <pageSetUpPr fitToPage="1"/>
  </sheetPr>
  <dimension ref="A2:Y585"/>
  <sheetViews>
    <sheetView topLeftCell="A18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78417.777777777781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1.25</v>
      </c>
      <c r="E21" s="332">
        <v>0.7</v>
      </c>
      <c r="F21" s="329" t="s">
        <v>176</v>
      </c>
      <c r="G21" s="330">
        <v>83399</v>
      </c>
      <c r="H21" s="330">
        <f>G21*B21</f>
        <v>83399</v>
      </c>
      <c r="I21" s="319"/>
      <c r="J21" s="265"/>
      <c r="K21" s="47"/>
      <c r="L21" s="331">
        <v>1</v>
      </c>
      <c r="M21" s="39">
        <f>D21+M$19</f>
        <v>1.3</v>
      </c>
      <c r="N21" s="39">
        <f>E21+$N$19</f>
        <v>0.72</v>
      </c>
      <c r="O21" s="261">
        <f t="shared" ref="O21:O24" si="1">M21*N21</f>
        <v>0.93599999999999994</v>
      </c>
      <c r="P21" s="259">
        <f t="shared" ref="P21:P24" si="2">O21*L21</f>
        <v>0.93599999999999994</v>
      </c>
      <c r="Q21" s="252">
        <f t="shared" ref="Q21:Q24" si="3">Q$20*O21</f>
        <v>73399.039999999994</v>
      </c>
      <c r="R21" s="318">
        <f t="shared" ref="R21:R24" si="4">Q21+R$20</f>
        <v>83399.039999999994</v>
      </c>
      <c r="S21" s="297">
        <f>M21*L21*2</f>
        <v>2.6</v>
      </c>
      <c r="T21" s="46">
        <f>N21*L21*2</f>
        <v>1.44</v>
      </c>
      <c r="U21" s="9"/>
      <c r="X21" s="4"/>
    </row>
    <row r="22" spans="2:25" ht="17.399999999999999" x14ac:dyDescent="0.3">
      <c r="B22" s="329"/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214507</v>
      </c>
      <c r="H22" s="330">
        <f>G22*B22</f>
        <v>0</v>
      </c>
      <c r="I22" s="319"/>
      <c r="J22" s="265"/>
      <c r="K22" s="335"/>
      <c r="L22" s="331"/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0</v>
      </c>
      <c r="Q22" s="252">
        <f t="shared" si="3"/>
        <v>118567.68000000002</v>
      </c>
      <c r="R22" s="318">
        <f t="shared" si="4"/>
        <v>128567.68000000002</v>
      </c>
      <c r="S22" s="297">
        <f t="shared" ref="S22:S24" si="5">M22*L22*2</f>
        <v>0</v>
      </c>
      <c r="T22" s="46">
        <f t="shared" ref="T22:T23" si="6">N22*L22*2</f>
        <v>0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99674</v>
      </c>
      <c r="H23" s="330">
        <f t="shared" ref="H23:H26" si="7">G23*B23</f>
        <v>199348</v>
      </c>
      <c r="I23" s="319"/>
      <c r="J23" s="265"/>
      <c r="K23" s="47"/>
      <c r="L23" s="331"/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</v>
      </c>
      <c r="Q23" s="252">
        <f t="shared" si="3"/>
        <v>45168.639999999999</v>
      </c>
      <c r="R23" s="318">
        <f t="shared" si="4"/>
        <v>55168.639999999999</v>
      </c>
      <c r="S23" s="297">
        <f t="shared" si="5"/>
        <v>0</v>
      </c>
      <c r="T23" s="46">
        <f t="shared" si="6"/>
        <v>0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1.4</v>
      </c>
      <c r="E24" s="332">
        <v>0.7</v>
      </c>
      <c r="F24" s="329" t="s">
        <v>178</v>
      </c>
      <c r="G24" s="330">
        <v>172534</v>
      </c>
      <c r="H24" s="330">
        <f t="shared" si="7"/>
        <v>172534</v>
      </c>
      <c r="I24" s="319"/>
      <c r="J24" s="265"/>
      <c r="K24" s="47"/>
      <c r="L24" s="331"/>
      <c r="M24" s="39">
        <f t="shared" si="8"/>
        <v>1.45</v>
      </c>
      <c r="N24" s="39">
        <f t="shared" si="9"/>
        <v>0.72</v>
      </c>
      <c r="O24" s="261">
        <f t="shared" si="1"/>
        <v>1.044</v>
      </c>
      <c r="P24" s="259">
        <f t="shared" si="2"/>
        <v>0</v>
      </c>
      <c r="Q24" s="252">
        <f t="shared" si="3"/>
        <v>81868.160000000003</v>
      </c>
      <c r="R24" s="318">
        <f t="shared" si="4"/>
        <v>91868.160000000003</v>
      </c>
      <c r="S24" s="297">
        <f t="shared" si="5"/>
        <v>0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477371</v>
      </c>
      <c r="I28" s="336">
        <v>0.15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1.44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90700.49</v>
      </c>
      <c r="I29" s="321">
        <f>H28*15%</f>
        <v>71605.649999999994</v>
      </c>
      <c r="J29" s="265"/>
      <c r="K29" s="47"/>
      <c r="L29" s="47"/>
      <c r="M29" s="39">
        <f>SUM(M21:M21)</f>
        <v>1.3</v>
      </c>
      <c r="N29" s="12"/>
      <c r="O29" s="12"/>
      <c r="P29" s="253">
        <f>SUM(P21:P27)</f>
        <v>0.93599999999999994</v>
      </c>
      <c r="Q29" s="14"/>
      <c r="R29" s="12"/>
      <c r="S29" s="239">
        <f>SUM(S21:S28)</f>
        <v>2.6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568071.49</v>
      </c>
      <c r="I30" s="321">
        <f>H28+I29</f>
        <v>548976.65</v>
      </c>
      <c r="J30" s="265"/>
      <c r="K30" s="47"/>
      <c r="L30" s="47"/>
      <c r="M30" s="39"/>
      <c r="N30" s="12"/>
      <c r="O30" s="12"/>
      <c r="P30" s="253">
        <f>P29</f>
        <v>0.93599999999999994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0.18720000000000001</v>
      </c>
      <c r="Q31" s="39" t="s">
        <v>129</v>
      </c>
      <c r="R31" s="42"/>
      <c r="S31" s="240">
        <f>T28+S29</f>
        <v>4.04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1.1232</v>
      </c>
      <c r="Q32" s="14"/>
      <c r="R32" s="14"/>
      <c r="S32" s="238">
        <f>S31*20%</f>
        <v>0.80800000000000005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4.8479999999999999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1.1232</v>
      </c>
      <c r="N34" s="12">
        <v>3500</v>
      </c>
      <c r="O34" s="12">
        <f t="shared" ref="O34:O39" si="10">M34*N34</f>
        <v>3931.2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0.5</v>
      </c>
      <c r="N35" s="12">
        <v>23500</v>
      </c>
      <c r="O35" s="12">
        <f t="shared" si="10"/>
        <v>11750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 t="s">
        <v>184</v>
      </c>
      <c r="J37" s="262"/>
      <c r="K37" s="232"/>
      <c r="L37" s="250"/>
      <c r="M37" s="14">
        <v>0.5</v>
      </c>
      <c r="N37" s="250">
        <v>35364</v>
      </c>
      <c r="O37" s="12">
        <f t="shared" si="10"/>
        <v>17682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33363.199999999997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73399.039999999994</v>
      </c>
      <c r="P41" s="14" t="s">
        <v>139</v>
      </c>
      <c r="Q41" s="14"/>
      <c r="R41" s="40">
        <f>P32/R40</f>
        <v>0.30284728213977563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78417.777777777781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B08389EB-6BAD-4AF0-BEA1-3BC97C2EF7CA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CC98-129F-4356-820A-8F3AF42ABD6C}">
  <sheetPr>
    <pageSetUpPr fitToPage="1"/>
  </sheetPr>
  <dimension ref="A2:Y585"/>
  <sheetViews>
    <sheetView topLeftCell="D11" zoomScale="93" zoomScaleNormal="93" workbookViewId="0">
      <selection activeCell="I31" sqref="I31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71261.455938697327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1.4</v>
      </c>
      <c r="E21" s="332">
        <v>0.7</v>
      </c>
      <c r="F21" s="329" t="s">
        <v>176</v>
      </c>
      <c r="G21" s="330">
        <v>74397</v>
      </c>
      <c r="H21" s="330">
        <f>G21*B21</f>
        <v>74397</v>
      </c>
      <c r="I21" s="319"/>
      <c r="J21" s="265"/>
      <c r="K21" s="47"/>
      <c r="L21" s="331">
        <v>1</v>
      </c>
      <c r="M21" s="39">
        <f>D21+M$19</f>
        <v>1.45</v>
      </c>
      <c r="N21" s="39">
        <f>E21+$N$19</f>
        <v>0.72</v>
      </c>
      <c r="O21" s="261">
        <f t="shared" ref="O21:O24" si="1">M21*N21</f>
        <v>1.044</v>
      </c>
      <c r="P21" s="259">
        <f t="shared" ref="P21:P24" si="2">O21*L21</f>
        <v>1.044</v>
      </c>
      <c r="Q21" s="252">
        <f t="shared" ref="Q21:Q24" si="3">Q$20*O21</f>
        <v>74396.960000000006</v>
      </c>
      <c r="R21" s="318">
        <f t="shared" ref="R21:R24" si="4">Q21+R$20</f>
        <v>84396.96</v>
      </c>
      <c r="S21" s="297">
        <f>M21*L21*2</f>
        <v>2.9</v>
      </c>
      <c r="T21" s="46">
        <f>N21*L21*2</f>
        <v>1.44</v>
      </c>
      <c r="U21" s="9"/>
      <c r="X21" s="4"/>
    </row>
    <row r="22" spans="2:25" ht="17.399999999999999" x14ac:dyDescent="0.3">
      <c r="B22" s="329"/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214507</v>
      </c>
      <c r="H22" s="330">
        <f>G22*B22</f>
        <v>0</v>
      </c>
      <c r="I22" s="319"/>
      <c r="J22" s="265"/>
      <c r="K22" s="335"/>
      <c r="L22" s="331"/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0</v>
      </c>
      <c r="Q22" s="252">
        <f t="shared" si="3"/>
        <v>107747.32137931038</v>
      </c>
      <c r="R22" s="318">
        <f t="shared" si="4"/>
        <v>117747.32137931038</v>
      </c>
      <c r="S22" s="297">
        <f t="shared" ref="S22:S24" si="5">M22*L22*2</f>
        <v>0</v>
      </c>
      <c r="T22" s="46">
        <f t="shared" ref="T22:T23" si="6">N22*L22*2</f>
        <v>0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99674</v>
      </c>
      <c r="H23" s="330">
        <f t="shared" ref="H23:H26" si="7">G23*B23</f>
        <v>199348</v>
      </c>
      <c r="I23" s="319"/>
      <c r="J23" s="265"/>
      <c r="K23" s="47"/>
      <c r="L23" s="331"/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</v>
      </c>
      <c r="Q23" s="252">
        <f t="shared" si="3"/>
        <v>41046.598620689656</v>
      </c>
      <c r="R23" s="318">
        <f t="shared" si="4"/>
        <v>51046.598620689656</v>
      </c>
      <c r="S23" s="297">
        <f t="shared" si="5"/>
        <v>0</v>
      </c>
      <c r="T23" s="46">
        <f t="shared" si="6"/>
        <v>0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1.4</v>
      </c>
      <c r="E24" s="332">
        <v>0.7</v>
      </c>
      <c r="F24" s="329" t="s">
        <v>178</v>
      </c>
      <c r="G24" s="330">
        <v>172534</v>
      </c>
      <c r="H24" s="330">
        <f t="shared" si="7"/>
        <v>172534</v>
      </c>
      <c r="I24" s="319"/>
      <c r="J24" s="265"/>
      <c r="K24" s="47"/>
      <c r="L24" s="331"/>
      <c r="M24" s="39">
        <f t="shared" si="8"/>
        <v>1.45</v>
      </c>
      <c r="N24" s="39">
        <f t="shared" si="9"/>
        <v>0.72</v>
      </c>
      <c r="O24" s="261">
        <f t="shared" si="1"/>
        <v>1.044</v>
      </c>
      <c r="P24" s="259">
        <f t="shared" si="2"/>
        <v>0</v>
      </c>
      <c r="Q24" s="252">
        <f t="shared" si="3"/>
        <v>74396.960000000006</v>
      </c>
      <c r="R24" s="318">
        <f t="shared" si="4"/>
        <v>84396.96</v>
      </c>
      <c r="S24" s="297">
        <f t="shared" si="5"/>
        <v>0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468369</v>
      </c>
      <c r="I28" s="336">
        <v>0.15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1.44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88990.11</v>
      </c>
      <c r="I29" s="321">
        <f>H28*15%</f>
        <v>70255.349999999991</v>
      </c>
      <c r="J29" s="265"/>
      <c r="K29" s="47"/>
      <c r="L29" s="47"/>
      <c r="M29" s="39">
        <f>SUM(M21:M21)</f>
        <v>1.45</v>
      </c>
      <c r="N29" s="12"/>
      <c r="O29" s="12"/>
      <c r="P29" s="253">
        <f>SUM(P21:P27)</f>
        <v>1.044</v>
      </c>
      <c r="Q29" s="14"/>
      <c r="R29" s="12"/>
      <c r="S29" s="239">
        <f>SUM(S21:S28)</f>
        <v>2.9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557359.11</v>
      </c>
      <c r="I30" s="321">
        <f>H28+I29</f>
        <v>538624.35</v>
      </c>
      <c r="J30" s="265"/>
      <c r="K30" s="47"/>
      <c r="L30" s="47"/>
      <c r="M30" s="39"/>
      <c r="N30" s="12"/>
      <c r="O30" s="12"/>
      <c r="P30" s="253">
        <f>P29</f>
        <v>1.044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0.20880000000000001</v>
      </c>
      <c r="Q31" s="39" t="s">
        <v>129</v>
      </c>
      <c r="R31" s="42"/>
      <c r="S31" s="240">
        <f>T28+S29</f>
        <v>4.34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1.2528000000000001</v>
      </c>
      <c r="Q32" s="14"/>
      <c r="R32" s="14"/>
      <c r="S32" s="238">
        <f>S31*20%</f>
        <v>0.86799999999999999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5.2080000000000002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1.2528000000000001</v>
      </c>
      <c r="N34" s="12">
        <v>3500</v>
      </c>
      <c r="O34" s="12">
        <f t="shared" ref="O34:O39" si="10">M34*N34</f>
        <v>4384.8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0.5</v>
      </c>
      <c r="N35" s="12">
        <v>23500</v>
      </c>
      <c r="O35" s="12">
        <f t="shared" si="10"/>
        <v>11750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 t="s">
        <v>184</v>
      </c>
      <c r="J37" s="262"/>
      <c r="K37" s="232"/>
      <c r="L37" s="250"/>
      <c r="M37" s="14">
        <v>0.5</v>
      </c>
      <c r="N37" s="250">
        <v>35364</v>
      </c>
      <c r="O37" s="12">
        <f t="shared" si="10"/>
        <v>17682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33816.800000000003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74396.960000000006</v>
      </c>
      <c r="P41" s="14" t="s">
        <v>139</v>
      </c>
      <c r="Q41" s="14"/>
      <c r="R41" s="40">
        <f>P32/R40</f>
        <v>0.33779119930974982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71261.455938697327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786D0F2A-80F9-417E-83E4-E6867DBB4772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D19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69194.074074074073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1.45</v>
      </c>
      <c r="E21" s="332">
        <v>0.7</v>
      </c>
      <c r="F21" s="329" t="s">
        <v>176</v>
      </c>
      <c r="G21" s="330">
        <v>84730</v>
      </c>
      <c r="H21" s="330">
        <f>G21*B21</f>
        <v>84730</v>
      </c>
      <c r="I21" s="319"/>
      <c r="J21" s="265"/>
      <c r="K21" s="47"/>
      <c r="L21" s="331">
        <v>1</v>
      </c>
      <c r="M21" s="39">
        <f>D21+M$19</f>
        <v>1.5</v>
      </c>
      <c r="N21" s="39">
        <f>E21+$N$19</f>
        <v>0.72</v>
      </c>
      <c r="O21" s="261">
        <f t="shared" ref="O21" si="1">M21*N21</f>
        <v>1.08</v>
      </c>
      <c r="P21" s="259">
        <f t="shared" ref="P21" si="2">O21*L21</f>
        <v>1.08</v>
      </c>
      <c r="Q21" s="252">
        <f t="shared" ref="Q21" si="3">Q$20*O21</f>
        <v>74729.600000000006</v>
      </c>
      <c r="R21" s="318">
        <f t="shared" ref="R21" si="4">Q21+R$20</f>
        <v>84729.600000000006</v>
      </c>
      <c r="S21" s="297">
        <f>M21*L21*2</f>
        <v>3</v>
      </c>
      <c r="T21" s="46">
        <f>N21*L21*2</f>
        <v>1.44</v>
      </c>
      <c r="U21" s="9"/>
      <c r="X21" s="4"/>
    </row>
    <row r="22" spans="2:25" ht="17.399999999999999" x14ac:dyDescent="0.3">
      <c r="B22" s="329">
        <v>1</v>
      </c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214134</v>
      </c>
      <c r="H22" s="330">
        <f>G22*B22</f>
        <v>214134</v>
      </c>
      <c r="I22" s="319"/>
      <c r="J22" s="265"/>
      <c r="K22" s="335"/>
      <c r="L22" s="331"/>
      <c r="M22" s="39">
        <f>D22+M$19</f>
        <v>1.35</v>
      </c>
      <c r="N22" s="39">
        <f>E22+$N$19</f>
        <v>1.1200000000000001</v>
      </c>
      <c r="O22" s="261">
        <f t="shared" ref="O22" si="5">M22*N22</f>
        <v>1.5120000000000002</v>
      </c>
      <c r="P22" s="259">
        <f t="shared" ref="P22" si="6">O22*L22</f>
        <v>0</v>
      </c>
      <c r="Q22" s="252">
        <f t="shared" ref="Q22" si="7">Q$20*O22</f>
        <v>104621.44000000002</v>
      </c>
      <c r="R22" s="318">
        <f t="shared" ref="R22" si="8">Q22+R$20</f>
        <v>114621.44000000002</v>
      </c>
      <c r="S22" s="297">
        <f t="shared" ref="S22:S23" si="9">M22*L22*2</f>
        <v>0</v>
      </c>
      <c r="T22" s="46">
        <f t="shared" ref="T22:T23" si="10">N22*L22*2</f>
        <v>0</v>
      </c>
      <c r="U22" s="9"/>
      <c r="X22" s="4"/>
    </row>
    <row r="23" spans="2:25" ht="17.399999999999999" x14ac:dyDescent="0.3">
      <c r="B23" s="329">
        <v>1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87765</v>
      </c>
      <c r="H23" s="330">
        <f t="shared" ref="H23:H26" si="11">G23*B23</f>
        <v>87765</v>
      </c>
      <c r="I23" s="319"/>
      <c r="J23" s="265"/>
      <c r="K23" s="47"/>
      <c r="L23" s="331"/>
      <c r="M23" s="39">
        <f t="shared" ref="M23" si="12">D23+M$19</f>
        <v>0.8</v>
      </c>
      <c r="N23" s="39">
        <f t="shared" ref="N23" si="13">E23+$N$19</f>
        <v>0.72</v>
      </c>
      <c r="O23" s="261">
        <f t="shared" ref="O23" si="14">M23*N23</f>
        <v>0.57599999999999996</v>
      </c>
      <c r="P23" s="259">
        <f t="shared" ref="P23" si="15">O23*L23</f>
        <v>0</v>
      </c>
      <c r="Q23" s="252">
        <f t="shared" ref="Q23" si="16">Q$20*O23</f>
        <v>39855.78666666666</v>
      </c>
      <c r="R23" s="318">
        <f t="shared" ref="R23" si="17">Q23+R$20</f>
        <v>49855.78666666666</v>
      </c>
      <c r="S23" s="297">
        <f t="shared" si="9"/>
        <v>0</v>
      </c>
      <c r="T23" s="46">
        <f t="shared" si="10"/>
        <v>0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1.41</v>
      </c>
      <c r="E24" s="332">
        <v>0.7</v>
      </c>
      <c r="F24" s="329" t="s">
        <v>178</v>
      </c>
      <c r="G24" s="330">
        <v>151922</v>
      </c>
      <c r="H24" s="330">
        <f t="shared" si="11"/>
        <v>151922</v>
      </c>
      <c r="I24" s="319"/>
      <c r="J24" s="265"/>
      <c r="K24" s="47"/>
      <c r="L24" s="331"/>
      <c r="M24" s="39">
        <f t="shared" ref="M24" si="18">D24+M$19</f>
        <v>1.46</v>
      </c>
      <c r="N24" s="39">
        <f t="shared" ref="N24" si="19">E24+$N$19</f>
        <v>0.72</v>
      </c>
      <c r="O24" s="261">
        <f t="shared" ref="O24" si="20">M24*N24</f>
        <v>1.0511999999999999</v>
      </c>
      <c r="P24" s="259">
        <f t="shared" ref="P24" si="21">O24*L24</f>
        <v>0</v>
      </c>
      <c r="Q24" s="252">
        <f t="shared" ref="Q24" si="22">Q$20*O24</f>
        <v>72736.810666666657</v>
      </c>
      <c r="R24" s="318">
        <f t="shared" ref="R24" si="23">Q24+R$20</f>
        <v>82736.810666666657</v>
      </c>
      <c r="S24" s="297">
        <f t="shared" ref="S24" si="24">M24*L24*2</f>
        <v>0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11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11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560641</v>
      </c>
      <c r="I28" s="336">
        <v>0.15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1.44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106521.79000000001</v>
      </c>
      <c r="I29" s="321">
        <f>H28*15%</f>
        <v>84096.15</v>
      </c>
      <c r="J29" s="265"/>
      <c r="K29" s="47"/>
      <c r="L29" s="47"/>
      <c r="M29" s="39">
        <f>SUM(M21:M21)</f>
        <v>1.5</v>
      </c>
      <c r="N29" s="12"/>
      <c r="O29" s="12"/>
      <c r="P29" s="253">
        <f>SUM(P21:P27)</f>
        <v>1.08</v>
      </c>
      <c r="Q29" s="14"/>
      <c r="R29" s="12"/>
      <c r="S29" s="239">
        <f>SUM(S21:S28)</f>
        <v>3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667162.79</v>
      </c>
      <c r="I30" s="321">
        <f>H28+I29</f>
        <v>644737.15</v>
      </c>
      <c r="J30" s="265"/>
      <c r="K30" s="47"/>
      <c r="L30" s="47"/>
      <c r="M30" s="39"/>
      <c r="N30" s="12"/>
      <c r="O30" s="12"/>
      <c r="P30" s="253">
        <f>P29</f>
        <v>1.08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0.21600000000000003</v>
      </c>
      <c r="Q31" s="39" t="s">
        <v>129</v>
      </c>
      <c r="R31" s="42"/>
      <c r="S31" s="240">
        <f>T28+S29</f>
        <v>4.4399999999999995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1.296</v>
      </c>
      <c r="Q32" s="14"/>
      <c r="R32" s="14"/>
      <c r="S32" s="238">
        <f>S31*20%</f>
        <v>0.8879999999999999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5.3279999999999994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1.296</v>
      </c>
      <c r="N34" s="12">
        <v>3500</v>
      </c>
      <c r="O34" s="12">
        <f t="shared" ref="O34:O39" si="25">M34*N34</f>
        <v>4536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0.5</v>
      </c>
      <c r="N35" s="12">
        <v>23500</v>
      </c>
      <c r="O35" s="12">
        <f t="shared" si="25"/>
        <v>11750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25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0.5</v>
      </c>
      <c r="N37" s="250">
        <v>35364</v>
      </c>
      <c r="O37" s="12">
        <f t="shared" si="25"/>
        <v>17682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25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25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33968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74729.600000000006</v>
      </c>
      <c r="P41" s="14" t="s">
        <v>139</v>
      </c>
      <c r="Q41" s="14"/>
      <c r="R41" s="40">
        <f>P32/R40</f>
        <v>0.34943917169974115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69194.074074074073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'A1'!G10</f>
        <v>27-10-20255</v>
      </c>
    </row>
    <row r="6" spans="2:31" ht="16.2" thickBot="1" x14ac:dyDescent="0.35">
      <c r="B6" s="140" t="s">
        <v>2</v>
      </c>
      <c r="C6" s="139" t="str">
        <f>'A1'!C10</f>
        <v>CONSTRUCTORA HALTRA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'A1'!#REF!</f>
        <v>#REF!</v>
      </c>
      <c r="D7" s="138"/>
      <c r="E7" s="138"/>
      <c r="F7" s="138"/>
      <c r="H7" s="343" t="s">
        <v>97</v>
      </c>
      <c r="I7" s="344"/>
      <c r="J7" s="344"/>
      <c r="K7" s="345"/>
      <c r="N7" s="75"/>
      <c r="O7" s="3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'A1'!D8</f>
        <v>N° 11720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-80757.141700120774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'A1'!H28</f>
        <v>560641</v>
      </c>
      <c r="E11" s="132">
        <f>D11*0.19</f>
        <v>106521.79000000001</v>
      </c>
      <c r="F11" s="131">
        <f>E11+D11</f>
        <v>667162.79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25232.858299879226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46120.090787439614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7232.8582998792263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514520.90921256039</v>
      </c>
      <c r="E13" s="221">
        <f>(D11/D12)-1</f>
        <v>11.156112237157293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-1767.1417001207737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-40767.141700120774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76098.149799275358</v>
      </c>
      <c r="F15" s="216">
        <f>E15-D12</f>
        <v>29978.059011835743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-40767.141700120774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-767.14170012077375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'A1'!O36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'A1'!O35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'A1'!O34</f>
        <v>4536</v>
      </c>
      <c r="E20" s="121">
        <f>D20*0.19</f>
        <v>861.84</v>
      </c>
      <c r="F20" s="120">
        <f>SUM(D20:E20)</f>
        <v>5397.84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16286</v>
      </c>
      <c r="E21" s="116">
        <f>SUM(E18:E20)</f>
        <v>3094.34</v>
      </c>
      <c r="F21" s="115">
        <f>SUM(F18:F20)</f>
        <v>19380.34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103427.45000000001</v>
      </c>
    </row>
    <row r="41" spans="2:16" ht="15" thickBot="1" x14ac:dyDescent="0.35">
      <c r="H41" s="346" t="s">
        <v>59</v>
      </c>
      <c r="I41" s="347"/>
      <c r="J41" s="347"/>
      <c r="K41" s="347"/>
      <c r="L41" s="347"/>
      <c r="M41" s="3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560641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16286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514520.90921256039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514520.90921256039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G</vt:lpstr>
      <vt:lpstr>F</vt:lpstr>
      <vt:lpstr>C</vt:lpstr>
      <vt:lpstr>A2</vt:lpstr>
      <vt:lpstr>E</vt:lpstr>
      <vt:lpstr>D</vt:lpstr>
      <vt:lpstr>B</vt:lpstr>
      <vt:lpstr>A1</vt:lpstr>
      <vt:lpstr>COSTOS</vt:lpstr>
      <vt:lpstr>'A1'!Área_de_impresión</vt:lpstr>
      <vt:lpstr>'A2'!Área_de_impresión</vt:lpstr>
      <vt:lpstr>B!Área_de_impresión</vt:lpstr>
      <vt:lpstr>'C'!Área_de_impresión</vt:lpstr>
      <vt:lpstr>D!Área_de_impresión</vt:lpstr>
      <vt:lpstr>E!Área_de_impresión</vt:lpstr>
      <vt:lpstr>'F'!Área_de_impresión</vt:lpstr>
      <vt:lpstr>G!Área_de_impresión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2025-10-29T23:51:58Z</dcterms:modified>
</cp:coreProperties>
</file>