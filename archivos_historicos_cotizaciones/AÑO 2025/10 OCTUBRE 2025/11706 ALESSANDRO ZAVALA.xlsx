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0 OCTUBRE 2025\"/>
    </mc:Choice>
  </mc:AlternateContent>
  <xr:revisionPtr revIDLastSave="0" documentId="13_ncr:1_{1A91D558-BAA6-406F-A46D-D9B8E826D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38" i="1"/>
  <c r="J15" i="1"/>
  <c r="J10" i="1"/>
  <c r="N21" i="1" l="1"/>
  <c r="M21" i="1" l="1"/>
  <c r="S21" i="1" l="1"/>
  <c r="S26" i="1" s="1"/>
  <c r="M25" i="1"/>
  <c r="T21" i="1"/>
  <c r="T24" i="1" s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<sst xmlns="http://schemas.openxmlformats.org/spreadsheetml/2006/main" count="231" uniqueCount="175">
  <si>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</si>
  <si>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</si>
  <si>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</si>
  <si>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</si>
  <si>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</si>
  <si>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</si>
  <si>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</si>
  <si>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</si>
  <si>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</si>
  <si>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</si>
  <si>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</si>
  <si>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</si>
  <si>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</si>
  <si>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</si>
  <si>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</si>
  <si>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</si>
  <si>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</si>
  <si>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</si>
  <si>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</si>
  <si>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</si>
  <si>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</si>
  <si>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</si>
  <si>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</si>
  <si>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</si>
  <si>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</si>
  <si>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</si>
  <si>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</si>
  <si>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</si>
  <si>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</si>
  <si>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</si>
  <si>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</si>
  <si>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</si>
  <si>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</si>
  <si>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</si>
  <si>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</si>
  <si>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</si>
  <si>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</si>
  <si>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</si>
  <si>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</si>
  <si>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</si>
  <si>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</si>
  <si>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</si>
  <si>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</si>
  <si>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</si>
  <si>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</si>
  <si>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</si>
  <si>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</si>
  <si>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</si>
  <si>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</si>
  <si>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</si>
  <si>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</si>
  <si>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</si>
  <si>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</si>
  <si>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</si>
  <si>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</si>
  <si>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</si>
  <si>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</si>
  <si>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</si>
  <si>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</si>
  <si>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</si>
  <si>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</si>
  <si>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</si>
  <si>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</si>
  <si>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</si>
  <si>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</si>
  <si>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</si>
  <si>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</si>
  <si>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</si>
  <si>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</si>
  <si>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</si>
  <si>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</si>
  <si>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</si>
  <si>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</si>
  <si>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</si>
  <si>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</si>
  <si>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</si>
  <si>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</si>
  <si>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</si>
  <si>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</si>
  <si>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</si>
  <si>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</si>
  <si>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</si>
  <si>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</si>
  <si>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</si>
  <si>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</si>
  <si>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</si>
  <si>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</si>
  <si>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</si>
  <si>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</si>
  <si>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</si>
  <si>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</si>
  <si>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</si>
  <si>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</si>
  <si>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</si>
  <si>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</si>
  <si>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</si>
  <si>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</si>
  <si>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</si>
  <si>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</si>
  <si>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</si>
  <si>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</si>
  <si>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</si>
  <si>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</si>
  <si>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</si>
  <si>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</si>
  <si>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</si>
  <si>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</si>
  <si>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</si>
  <si>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</si>
  <si>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</si>
  <si>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</si>
  <si>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</si>
  <si>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</si>
  <si>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</si>
  <si>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</si>
  <si>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</si>
  <si>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</si>
  <si>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</si>
  <si>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</si>
  <si>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</si>
  <si>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</si>
  <si>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</si>
  <si>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</si>
  <si>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</si>
  <si>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</si>
  <si>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</si>
  <si>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</si>
  <si>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</si>
  <si>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</si>
  <si>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</si>
  <si>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</si>
  <si>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</si>
  <si>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</si>
  <si>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</si>
  <si>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</si>
  <si>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</si>
  <si>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</si>
  <si>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</si>
  <si>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</si>
  <si>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</si>
  <si>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</si>
  <si>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</si>
  <si>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</si>
  <si>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</si>
  <si>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</si>
  <si>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</si>
  <si>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</si>
  <si>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</si>
  <si>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</si>
  <si>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</si>
  <si>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</si>
  <si>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</si>
  <si>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</si>
  <si>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</si>
  <si>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</si>
  <si>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</si>
  <si>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</si>
  <si>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</si>
  <si>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</si>
  <si>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</si>
  <si>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</si>
  <si>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</si>
  <si>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</si>
  <si>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</si>
  <si>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</si>
  <si>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</si>
  <si>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</si>
  <si>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</si>
  <si>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</si>
  <si>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8 DIAS HABILES</t>
  </si>
  <si>
    <t>N° 11705</t>
  </si>
  <si>
    <t>CUB CON RESPALDO FRENTE 90°</t>
  </si>
  <si>
    <t>ALESSANDRO ZAVALA</t>
  </si>
  <si>
    <t>+56 9 3143 2325</t>
  </si>
  <si>
    <t>OFFICE GRAY PP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</si>
</sst>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F14" zoomScale="93" zoomScaleNormal="93" workbookViewId="0">
      <selection activeCell="N34" sqref="N3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172</v>
      </c>
      <c r="D10" s="243"/>
      <c r="E10" s="243"/>
      <c r="F10" s="244" t="s">
        <v>0</v>
      </c>
      <c r="G10" s="276">
        <v>45950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37714.813432835821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171</v>
      </c>
      <c r="D21" s="332">
        <v>2.6</v>
      </c>
      <c r="E21" s="332">
        <v>0.32</v>
      </c>
      <c r="F21" s="329" t="s">
        <v>174</v>
      </c>
      <c r="G21" s="330">
        <f>Q21</f>
        <v>32344.224000000002</v>
      </c>
      <c r="H21" s="330">
        <f>G21*B21</f>
        <v>32344.224000000002</v>
      </c>
      <c r="I21" s="319"/>
      <c r="J21" s="265"/>
      <c r="K21" s="47"/>
      <c r="L21" s="331">
        <f>B21</f>
        <v>1</v>
      </c>
      <c r="M21" s="39">
        <f>D21+M$19</f>
        <v>2.68</v>
      </c>
      <c r="N21" s="39">
        <f>E21+$N$19</f>
        <v>0.32</v>
      </c>
      <c r="O21" s="261">
        <f t="shared" ref="O21" si="1">M21*N21</f>
        <v>0.85760000000000003</v>
      </c>
      <c r="P21" s="259">
        <f t="shared" ref="P21" si="2">O21*L21</f>
        <v>0.85760000000000003</v>
      </c>
      <c r="Q21" s="252">
        <f t="shared" ref="Q21" si="3">Q$20*O21</f>
        <v>32344.224000000002</v>
      </c>
      <c r="R21" s="318">
        <f t="shared" ref="R21" si="4">Q21+R$20</f>
        <v>37344.224000000002</v>
      </c>
      <c r="S21" s="297">
        <f>M21*L21</f>
        <v>2.68</v>
      </c>
      <c r="T21" s="46">
        <f>M21*L21</f>
        <v>2.68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32344.224000000002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2.68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6145.4025600000004</v>
      </c>
      <c r="I25" s="321"/>
      <c r="J25" s="265"/>
      <c r="K25" s="47"/>
      <c r="L25" s="47"/>
      <c r="M25" s="39">
        <f>SUM(M21:M21)</f>
        <v>2.68</v>
      </c>
      <c r="N25" s="12"/>
      <c r="O25" s="12"/>
      <c r="P25" s="253">
        <f>SUM(P21:P23)</f>
        <v>0.85760000000000003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38489.626560000004</v>
      </c>
      <c r="I26" s="321"/>
      <c r="J26" s="265"/>
      <c r="K26" s="47"/>
      <c r="L26" s="47"/>
      <c r="M26" s="39"/>
      <c r="N26" s="12"/>
      <c r="O26" s="12"/>
      <c r="P26" s="253">
        <f>P25</f>
        <v>0.85760000000000003</v>
      </c>
      <c r="Q26" s="14"/>
      <c r="R26" s="12"/>
      <c r="S26" s="239">
        <f>SUM(S21:S25)</f>
        <v>2.68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0.17152000000000001</v>
      </c>
      <c r="Q27" s="39" t="s">
        <v>130</v>
      </c>
      <c r="R27" s="42"/>
      <c r="S27" s="240">
        <f>S26+T24</f>
        <v>5.36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1.02912</v>
      </c>
      <c r="Q28" s="14"/>
      <c r="R28" s="14"/>
      <c r="S28" s="238">
        <f>S27*20%</f>
        <v>1.0720000000000001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6.4320000000000004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1.02912</v>
      </c>
      <c r="N30" s="12">
        <v>3500</v>
      </c>
      <c r="O30" s="12">
        <f t="shared" ref="O30:O35" si="5">M30*N30</f>
        <v>3601.92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23500</v>
      </c>
      <c r="O31" s="12">
        <f t="shared" si="5"/>
        <v>7050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/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38300</v>
      </c>
      <c r="L35" s="250"/>
      <c r="M35" s="266">
        <v>2.7</v>
      </c>
      <c r="N35" s="12">
        <v>1500</v>
      </c>
      <c r="O35" s="12">
        <f t="shared" si="5"/>
        <v>4050.0000000000005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v>31000</v>
      </c>
      <c r="L36" s="250"/>
      <c r="M36" s="14"/>
      <c r="N36" s="12"/>
      <c r="O36" s="12">
        <f>SUM(O30:O35)</f>
        <v>14701.92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O36*2.2</f>
        <v>32344.224000000002</v>
      </c>
      <c r="P37" s="14" t="s">
        <v>140</v>
      </c>
      <c r="Q37" s="14"/>
      <c r="R37" s="40">
        <f>P28/R36</f>
        <v>0.27748058671268333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37714.813432835821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45950</v>
      </c>
    </row>
    <row r="6" spans="2:31" ht="16.2" thickBot="1" x14ac:dyDescent="0.35">
      <c r="B6" s="140" t="s">
        <v>2</v>
      </c>
      <c r="C6" s="139" t="str">
        <f>'2229'!C10</f>
        <v>ALESSANDRO ZAVALA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5742.9489665458923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32344.224000000002</v>
      </c>
      <c r="E11" s="132">
        <f>D11*0.19</f>
        <v>6145.4025600000004</v>
      </c>
      <c r="F11" s="131">
        <f>E11+D11</f>
        <v>38489.626560000004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111732.9489665459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40486.010787439613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93732.948966545897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-8141.7867874396106</v>
      </c>
      <c r="E13" s="221">
        <f>(D11/D12)-1</f>
        <v>-0.20110123544119396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84732.948966545897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45732.94896654589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66801.917799275354</v>
      </c>
      <c r="F15" s="216">
        <f>E15-D12</f>
        <v>26315.907011835741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45732.94896654589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85732.948966545897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3601.92</v>
      </c>
      <c r="E20" s="121">
        <f>D20*0.19</f>
        <v>684.36480000000006</v>
      </c>
      <c r="F20" s="120">
        <f>SUM(D20:E20)</f>
        <v>4286.2848000000004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10651.92</v>
      </c>
      <c r="E21" s="116">
        <f>SUM(E18:E20)</f>
        <v>2023.8648000000001</v>
      </c>
      <c r="F21" s="115">
        <f>SUM(F18:F20)</f>
        <v>12675.784800000001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4121.5377600000002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32344.224000000002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10651.92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-8141.7867874396106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-8141.7867874396106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2025-04-03T19:02:46Z</cp:lastPrinted>
  <dcterms:created xsi:type="dcterms:W3CDTF">2013-03-18T13:35:42Z</dcterms:created>
  <dcterms:modified xsi:type="dcterms:W3CDTF">2025-10-20T15:03:08Z</dcterms:modified>
</cp:coreProperties>
</file>