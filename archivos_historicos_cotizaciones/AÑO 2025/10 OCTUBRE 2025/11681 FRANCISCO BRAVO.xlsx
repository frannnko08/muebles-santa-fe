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69C6EBDE-6DC2-46BE-8937-B28EE397A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G21" i="1"/>
  <c r="L22" i="1"/>
  <c r="M22" i="1"/>
  <c r="N22" i="1"/>
  <c r="O22" i="1"/>
  <c r="P22" i="1" s="1"/>
  <c r="S22" i="1"/>
  <c r="L21" i="1" l="1"/>
  <c r="K36" i="1" l="1"/>
  <c r="M21" i="1"/>
  <c r="N21" i="1"/>
  <c r="M26" i="1" l="1"/>
  <c r="O21" i="1"/>
  <c r="P21" i="1" s="1"/>
  <c r="S21" i="1"/>
  <c r="P26" i="1" l="1"/>
  <c r="S26" i="1"/>
  <c r="T25" i="1"/>
  <c r="V33" i="1" l="1"/>
  <c r="V34" i="1" s="1"/>
  <c r="O32" i="1" l="1"/>
  <c r="P27" i="1" l="1"/>
  <c r="N20" i="1"/>
  <c r="L20" i="1"/>
  <c r="P28" i="1" l="1"/>
  <c r="O33" i="1"/>
  <c r="R37" i="1"/>
  <c r="P29" i="1" l="1"/>
  <c r="M31" i="1" s="1"/>
  <c r="O34" i="1"/>
  <c r="R38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Q21" i="1" l="1"/>
  <c r="O40" i="1"/>
  <c r="R21" i="1" l="1"/>
  <c r="H21" i="1" s="1"/>
  <c r="F15" i="3"/>
  <c r="H25" i="1" l="1"/>
  <c r="H26" i="1" s="1"/>
  <c r="D11" i="3" l="1"/>
  <c r="X9" i="3" s="1"/>
  <c r="X15" i="3" s="1"/>
  <c r="H27" i="1"/>
  <c r="E11" i="3"/>
  <c r="D40" i="3" s="1"/>
  <c r="X12" i="3" l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<sst xmlns="http://schemas.openxmlformats.org/spreadsheetml/2006/main" count="231" uniqueCount="176">
  <si>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</si>
  <si>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</si>
  <si>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</si>
  <si>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</si>
  <si>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</si>
  <si>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</si>
  <si>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</si>
  <si>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</si>
  <si>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</si>
  <si>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</si>
  <si>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</si>
  <si>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</si>
  <si>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</si>
  <si>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</si>
  <si>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</si>
  <si>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</si>
  <si>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</si>
  <si>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</si>
  <si>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</si>
  <si>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</si>
  <si>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</si>
  <si>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</si>
  <si>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</si>
  <si>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</si>
  <si>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</si>
  <si>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</si>
  <si>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</si>
  <si>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</si>
  <si>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</si>
  <si>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</si>
  <si>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</si>
  <si>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</si>
  <si>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</si>
  <si>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</si>
  <si>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</si>
  <si>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</si>
  <si>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</si>
  <si>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</si>
  <si>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</si>
  <si>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</si>
  <si>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</si>
  <si>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</si>
  <si>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</si>
  <si>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</si>
  <si>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</si>
  <si>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</si>
  <si>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</si>
  <si>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</si>
  <si>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</si>
  <si>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</si>
  <si>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</si>
  <si>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</si>
  <si>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</si>
  <si>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</si>
  <si>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</si>
  <si>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</si>
  <si>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</si>
  <si>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</si>
  <si>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</si>
  <si>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</si>
  <si>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</si>
  <si>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</si>
  <si>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</si>
  <si>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</si>
  <si>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</si>
  <si>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</si>
  <si>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</si>
  <si>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</si>
  <si>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</si>
  <si>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</si>
  <si>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</si>
  <si>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</si>
  <si>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</si>
  <si>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</si>
  <si>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</si>
  <si>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</si>
  <si>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</si>
  <si>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</si>
  <si>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</si>
  <si>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</si>
  <si>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</si>
  <si>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</si>
  <si>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</si>
  <si>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</si>
  <si>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</si>
  <si>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</si>
  <si>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</si>
  <si>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</si>
  <si>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</si>
  <si>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</si>
  <si>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</si>
  <si>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</si>
  <si>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</si>
  <si>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</si>
  <si>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</si>
  <si>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</si>
  <si>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</si>
  <si>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</si>
  <si>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</si>
  <si>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</si>
  <si>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</si>
  <si>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</si>
  <si>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</si>
  <si>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</si>
  <si>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</si>
  <si>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</si>
  <si>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</si>
  <si>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</si>
  <si>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</si>
  <si>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</si>
  <si>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</si>
  <si>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</si>
  <si>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</si>
  <si>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</si>
  <si>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</si>
  <si>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</si>
  <si>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</si>
  <si>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</si>
  <si>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</si>
  <si>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</si>
  <si>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</si>
  <si>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</si>
  <si>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</si>
  <si>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</si>
  <si>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</si>
  <si>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</si>
  <si>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</si>
  <si>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</si>
  <si>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</si>
  <si>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</si>
  <si>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</si>
  <si>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</si>
  <si>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</si>
  <si>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</si>
  <si>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</si>
  <si>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</si>
  <si>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</si>
  <si>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</si>
  <si>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</si>
  <si>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</si>
  <si>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</si>
  <si>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</si>
  <si>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</si>
  <si>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</si>
  <si>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</si>
  <si>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</si>
  <si>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</si>
  <si>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</si>
  <si>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</si>
  <si>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</si>
  <si>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</si>
  <si>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</si>
  <si>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</si>
  <si>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</si>
  <si>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</si>
  <si>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</si>
  <si>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</si>
  <si>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</si>
  <si>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</si>
  <si>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</si>
  <si>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</si>
  <si>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</si>
  <si>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</si>
  <si>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</si>
  <si>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</si>
  <si>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</si>
  <si>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</si>
  <si>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</si>
  <si>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</si>
  <si>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</si>
  <si>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FRANCISCO BRAVO</t>
  </si>
  <si>
    <t>+56 9 6776 3037</t>
  </si>
  <si>
    <t>CUBIERTA CON RESPALDO FRENTE 90° R6</t>
  </si>
  <si>
    <t>ASTRAL 3030 MT</t>
  </si>
  <si>
    <t>N° 11681</t>
  </si>
  <si>
    <t xml:space="preserve">SERVICIO INSTALACIÓN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</si>
</sst>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H24" sqref="H24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170</v>
      </c>
      <c r="D10" s="240"/>
      <c r="E10" s="240"/>
      <c r="F10" s="241" t="s">
        <v>164</v>
      </c>
      <c r="G10" s="271">
        <v>45936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163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162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165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 t="s">
        <v>160</v>
      </c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O39</f>
        <v>68792.69565019013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46">
        <v>1</v>
      </c>
      <c r="C21" s="347" t="s">
        <v>172</v>
      </c>
      <c r="D21" s="348">
        <v>2.2549999999999999</v>
      </c>
      <c r="E21" s="348">
        <v>0.55700000000000005</v>
      </c>
      <c r="F21" s="347" t="s">
        <v>173</v>
      </c>
      <c r="G21" s="349">
        <f>Q21</f>
        <v>89471.435999159046</v>
      </c>
      <c r="H21" s="350">
        <f t="shared" ref="H21" si="1">G21*B21</f>
        <v>89471.435999159046</v>
      </c>
      <c r="I21" s="299"/>
      <c r="J21" s="260"/>
      <c r="K21" s="44"/>
      <c r="L21" s="44">
        <f>B21</f>
        <v>1</v>
      </c>
      <c r="M21" s="36">
        <f t="shared" ref="M21" si="2">D21+M$19</f>
        <v>2.335</v>
      </c>
      <c r="N21" s="36">
        <f t="shared" ref="N21" si="3">E21+$N$19</f>
        <v>0.55700000000000005</v>
      </c>
      <c r="O21" s="256">
        <f t="shared" ref="O21" si="4">M21*N21</f>
        <v>1.3005950000000002</v>
      </c>
      <c r="P21" s="254">
        <f>O21*L21</f>
        <v>1.3005950000000002</v>
      </c>
      <c r="Q21" s="247">
        <f t="shared" ref="Q21" si="5">Q$20*O21</f>
        <v>89471.435999159046</v>
      </c>
      <c r="R21" s="298">
        <f t="shared" ref="R21" si="6">Q21+R$20</f>
        <v>92471.435999159046</v>
      </c>
      <c r="S21" s="286">
        <f t="shared" ref="S21" si="7">M21*L21</f>
        <v>2.335</v>
      </c>
      <c r="T21" s="43"/>
      <c r="U21" s="9"/>
      <c r="X21" s="4"/>
    </row>
    <row r="22" spans="1:25" ht="17.399999999999999" x14ac:dyDescent="0.3">
      <c r="B22" s="344">
        <v>1</v>
      </c>
      <c r="C22" s="344" t="s">
        <v>172</v>
      </c>
      <c r="D22" s="345">
        <v>2.1960000000000002</v>
      </c>
      <c r="E22" s="345">
        <v>0.35299999999999998</v>
      </c>
      <c r="F22" s="344" t="s">
        <v>173</v>
      </c>
      <c r="G22" s="331">
        <f>Q22</f>
        <v>55269.977880840961</v>
      </c>
      <c r="H22" s="331">
        <f>G22</f>
        <v>55269.977880840961</v>
      </c>
      <c r="I22" s="299"/>
      <c r="J22" s="260"/>
      <c r="K22" s="44"/>
      <c r="L22" s="44">
        <f>B22</f>
        <v>1</v>
      </c>
      <c r="M22" s="36">
        <f t="shared" ref="M22" si="8">D22+M$19</f>
        <v>2.2760000000000002</v>
      </c>
      <c r="N22" s="36">
        <f t="shared" ref="N22" si="9">E22+$N$19</f>
        <v>0.35299999999999998</v>
      </c>
      <c r="O22" s="256">
        <f t="shared" ref="O22" si="10">M22*N22</f>
        <v>0.80342800000000003</v>
      </c>
      <c r="P22" s="254">
        <f>O22*L22</f>
        <v>0.80342800000000003</v>
      </c>
      <c r="Q22" s="247">
        <f t="shared" ref="Q22" si="11">Q$20*O22</f>
        <v>55269.977880840961</v>
      </c>
      <c r="R22" s="298">
        <f t="shared" ref="R22" si="12">Q22+R$20</f>
        <v>58269.977880840961</v>
      </c>
      <c r="S22" s="286">
        <f t="shared" ref="S22" si="13">M22*L22</f>
        <v>2.2760000000000002</v>
      </c>
      <c r="T22" s="43"/>
      <c r="U22" s="9"/>
      <c r="X22" s="4"/>
    </row>
    <row r="23" spans="1:25" ht="17.399999999999999" x14ac:dyDescent="0.3">
      <c r="B23" s="329">
        <v>1</v>
      </c>
      <c r="C23" s="329" t="s">
        <v>175</v>
      </c>
      <c r="D23" s="330"/>
      <c r="E23" s="330"/>
      <c r="F23" s="329"/>
      <c r="G23" s="331"/>
      <c r="H23" s="331">
        <v>100000</v>
      </c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30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244741.41388000001</v>
      </c>
      <c r="I25" s="301"/>
      <c r="J25" s="260"/>
      <c r="K25" s="44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50</v>
      </c>
      <c r="H26" s="283">
        <f>H25*0.19</f>
        <v>46500.868637200001</v>
      </c>
      <c r="I26" s="301"/>
      <c r="J26" s="260"/>
      <c r="K26" s="44"/>
      <c r="L26" s="44"/>
      <c r="M26" s="36">
        <f>SUM(M21:M21)</f>
        <v>2.335</v>
      </c>
      <c r="N26" s="12"/>
      <c r="O26" s="12"/>
      <c r="P26" s="248">
        <f>SUM(P21:P24)</f>
        <v>2.1040230000000002</v>
      </c>
      <c r="Q26" s="14"/>
      <c r="R26" s="12"/>
      <c r="S26" s="236">
        <f>SUM(S21:S25)</f>
        <v>4.6110000000000007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291242.28251719999</v>
      </c>
      <c r="I27" s="301"/>
      <c r="J27" s="260"/>
      <c r="K27" s="44"/>
      <c r="L27" s="44"/>
      <c r="M27" s="36"/>
      <c r="N27" s="12"/>
      <c r="O27" s="12"/>
      <c r="P27" s="248">
        <f>P26</f>
        <v>2.1040230000000002</v>
      </c>
      <c r="Q27" s="14"/>
      <c r="R27" s="12"/>
      <c r="S27" s="236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44"/>
      <c r="L28" s="44"/>
      <c r="M28" s="14"/>
      <c r="N28" s="12"/>
      <c r="O28" s="12"/>
      <c r="P28" s="36">
        <f>P27*20%</f>
        <v>0.42080460000000008</v>
      </c>
      <c r="Q28" s="36" t="s">
        <v>128</v>
      </c>
      <c r="R28" s="39"/>
      <c r="S28" s="237"/>
      <c r="T28" s="14"/>
      <c r="U28" s="9"/>
      <c r="X28" s="4"/>
    </row>
    <row r="29" spans="1:25" ht="17.399999999999999" x14ac:dyDescent="0.35">
      <c r="B29" s="264"/>
      <c r="C29" s="227"/>
      <c r="D29" s="227"/>
      <c r="E29" s="230"/>
      <c r="F29" s="231"/>
      <c r="G29" s="227"/>
      <c r="H29" s="269"/>
      <c r="I29" s="269"/>
      <c r="J29" s="260"/>
      <c r="K29" s="44"/>
      <c r="L29" s="44"/>
      <c r="M29" s="14"/>
      <c r="N29" s="12"/>
      <c r="O29" s="12"/>
      <c r="P29" s="43">
        <f>P27+P28</f>
        <v>2.5248276000000001</v>
      </c>
      <c r="Q29" s="14"/>
      <c r="R29" s="14"/>
      <c r="S29" s="235"/>
      <c r="T29" s="14"/>
      <c r="U29" s="9"/>
      <c r="X29" s="4"/>
    </row>
    <row r="30" spans="1:25" ht="17.399999999999999" x14ac:dyDescent="0.35">
      <c r="B30" s="232"/>
      <c r="C30" s="233"/>
      <c r="D30" s="234"/>
      <c r="E30" s="232"/>
      <c r="F30" s="227"/>
      <c r="G30" s="227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7"/>
      <c r="T30" s="14"/>
      <c r="U30" s="290" t="s">
        <v>21</v>
      </c>
      <c r="V30" s="287" t="s">
        <v>146</v>
      </c>
      <c r="W30" s="291">
        <v>44971</v>
      </c>
      <c r="X30" s="292"/>
    </row>
    <row r="31" spans="1:25" ht="17.399999999999999" x14ac:dyDescent="0.35">
      <c r="B31" s="227"/>
      <c r="C31" s="227"/>
      <c r="D31" s="227"/>
      <c r="E31" s="227"/>
      <c r="F31" s="227"/>
      <c r="G31" s="227"/>
      <c r="J31" s="260"/>
      <c r="K31" s="44"/>
      <c r="L31" s="44"/>
      <c r="M31" s="36">
        <f>P29</f>
        <v>2.5248276000000001</v>
      </c>
      <c r="N31" s="12">
        <v>3000</v>
      </c>
      <c r="O31" s="12">
        <f t="shared" ref="O31:O36" si="14">M31*N31</f>
        <v>7574.4827999999998</v>
      </c>
      <c r="P31" s="14" t="s">
        <v>21</v>
      </c>
      <c r="Q31" s="14"/>
      <c r="R31" s="14"/>
      <c r="S31" s="238"/>
      <c r="T31" s="14"/>
      <c r="U31" s="290" t="s">
        <v>147</v>
      </c>
      <c r="V31" s="287">
        <v>3625</v>
      </c>
      <c r="W31" s="56" t="s">
        <v>148</v>
      </c>
      <c r="X31" s="292"/>
    </row>
    <row r="32" spans="1:25" ht="17.399999999999999" x14ac:dyDescent="0.35">
      <c r="A32" s="227"/>
      <c r="B32" s="227"/>
      <c r="C32" s="227"/>
      <c r="D32" s="227"/>
      <c r="E32" s="227"/>
      <c r="F32" s="227"/>
      <c r="G32" s="227"/>
      <c r="H32" s="227"/>
      <c r="J32" s="260"/>
      <c r="K32" s="44"/>
      <c r="L32" s="44"/>
      <c r="M32" s="244">
        <v>0.7</v>
      </c>
      <c r="N32" s="12">
        <v>23500</v>
      </c>
      <c r="O32" s="12">
        <f t="shared" si="14"/>
        <v>16450</v>
      </c>
      <c r="P32" s="36" t="s">
        <v>166</v>
      </c>
      <c r="Q32" s="39"/>
      <c r="R32" s="14"/>
      <c r="S32" s="237"/>
      <c r="T32" s="14"/>
      <c r="U32" s="290"/>
      <c r="V32" s="56">
        <v>906.25</v>
      </c>
      <c r="W32" s="56" t="s">
        <v>149</v>
      </c>
      <c r="X32" s="292"/>
    </row>
    <row r="33" spans="2:24" s="227" customFormat="1" ht="17.399999999999999" x14ac:dyDescent="0.35">
      <c r="B33" s="21" t="s">
        <v>145</v>
      </c>
      <c r="J33" s="257"/>
      <c r="K33" s="229"/>
      <c r="L33" s="245"/>
      <c r="M33" s="14"/>
      <c r="N33" s="245">
        <v>20000</v>
      </c>
      <c r="O33" s="12">
        <f t="shared" si="14"/>
        <v>0</v>
      </c>
      <c r="P33" s="36" t="s">
        <v>168</v>
      </c>
      <c r="Q33" s="39"/>
      <c r="S33" s="237"/>
      <c r="T33" s="251"/>
      <c r="U33" s="56"/>
      <c r="V33" s="56">
        <f>V32*20%</f>
        <v>181.25</v>
      </c>
      <c r="W33" s="292" t="s">
        <v>150</v>
      </c>
      <c r="X33" s="56"/>
    </row>
    <row r="34" spans="2:24" s="227" customFormat="1" ht="17.399999999999999" x14ac:dyDescent="0.35">
      <c r="B34" s="21" t="s">
        <v>161</v>
      </c>
      <c r="C34"/>
      <c r="D34"/>
      <c r="E34"/>
      <c r="F34"/>
      <c r="J34" s="257"/>
      <c r="K34" s="229"/>
      <c r="L34" s="245"/>
      <c r="M34" s="14">
        <v>1</v>
      </c>
      <c r="N34" s="245">
        <v>38000</v>
      </c>
      <c r="O34" s="12">
        <f t="shared" si="14"/>
        <v>38000</v>
      </c>
      <c r="P34" s="14" t="s">
        <v>167</v>
      </c>
      <c r="Q34" s="17"/>
      <c r="S34" s="235"/>
      <c r="T34" s="251"/>
      <c r="U34" s="56"/>
      <c r="V34" s="56">
        <f>V32+V33</f>
        <v>1087.5</v>
      </c>
      <c r="W34" s="292" t="s">
        <v>151</v>
      </c>
      <c r="X34" s="56"/>
    </row>
    <row r="35" spans="2:24" s="227" customFormat="1" ht="17.399999999999999" x14ac:dyDescent="0.35">
      <c r="B35" s="26" t="s">
        <v>123</v>
      </c>
      <c r="C35"/>
      <c r="D35"/>
      <c r="E35"/>
      <c r="F35" s="226" t="s">
        <v>15</v>
      </c>
      <c r="J35" s="257"/>
      <c r="K35" s="255">
        <v>30840</v>
      </c>
      <c r="L35" s="245"/>
      <c r="M35" s="244"/>
      <c r="N35" s="245">
        <v>900</v>
      </c>
      <c r="O35" s="12">
        <f t="shared" si="14"/>
        <v>0</v>
      </c>
      <c r="P35" s="14" t="s">
        <v>31</v>
      </c>
      <c r="Q35" s="14"/>
      <c r="R35" s="227">
        <v>1.52</v>
      </c>
      <c r="S35" s="235"/>
      <c r="T35" s="235"/>
    </row>
    <row r="36" spans="2:24" s="227" customFormat="1" ht="17.399999999999999" x14ac:dyDescent="0.35">
      <c r="J36" s="282"/>
      <c r="K36" s="255">
        <f>K35/1.19</f>
        <v>25915.966386554624</v>
      </c>
      <c r="L36" s="245"/>
      <c r="M36" s="261">
        <v>4.5999999999999996</v>
      </c>
      <c r="N36" s="12">
        <v>1500</v>
      </c>
      <c r="O36" s="12">
        <f t="shared" si="14"/>
        <v>6899.9999999999991</v>
      </c>
      <c r="P36" s="14" t="s">
        <v>22</v>
      </c>
      <c r="Q36" s="14"/>
      <c r="R36">
        <v>2.44</v>
      </c>
      <c r="S36"/>
      <c r="T36" s="235"/>
      <c r="X36" s="228"/>
    </row>
    <row r="37" spans="2:24" s="227" customFormat="1" ht="17.399999999999999" x14ac:dyDescent="0.35">
      <c r="K37" s="255"/>
      <c r="L37" s="245"/>
      <c r="M37" s="14"/>
      <c r="N37" s="12"/>
      <c r="O37" s="12">
        <f>SUM(O31:O36)</f>
        <v>68924.482799999998</v>
      </c>
      <c r="P37" s="36" t="s">
        <v>23</v>
      </c>
      <c r="Q37" s="14"/>
      <c r="R37">
        <f>R35*R36</f>
        <v>3.7088000000000001</v>
      </c>
      <c r="S37"/>
      <c r="T37" s="235"/>
      <c r="X37" s="228"/>
    </row>
    <row r="38" spans="2:24" s="227" customFormat="1" ht="17.399999999999999" x14ac:dyDescent="0.35">
      <c r="L38" s="245"/>
      <c r="M38" s="249" t="s">
        <v>32</v>
      </c>
      <c r="N38" s="12"/>
      <c r="O38" s="250">
        <f>O37*2.1</f>
        <v>144741.41388000001</v>
      </c>
      <c r="P38" s="14" t="s">
        <v>137</v>
      </c>
      <c r="Q38" s="14"/>
      <c r="R38" s="37">
        <f>P29/R37</f>
        <v>0.68076671699741154</v>
      </c>
      <c r="S38"/>
      <c r="T38" s="252"/>
    </row>
    <row r="39" spans="2:24" s="227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68792.69565019013</v>
      </c>
      <c r="P39" s="42" t="s">
        <v>24</v>
      </c>
      <c r="Q39" s="14"/>
      <c r="R39" s="14"/>
      <c r="S39"/>
      <c r="T39" s="235"/>
      <c r="U39" s="56" t="s">
        <v>152</v>
      </c>
      <c r="V39" s="287">
        <v>43650</v>
      </c>
    </row>
    <row r="40" spans="2:24" s="227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5"/>
      <c r="U40" s="56" t="s">
        <v>154</v>
      </c>
      <c r="V40" s="288" t="s">
        <v>153</v>
      </c>
      <c r="W40" s="56">
        <v>2.4</v>
      </c>
    </row>
    <row r="41" spans="2:24" s="227" customFormat="1" ht="17.399999999999999" x14ac:dyDescent="0.35">
      <c r="D41" s="279"/>
      <c r="E41" s="279"/>
      <c r="F41" s="278"/>
      <c r="G41" s="321"/>
      <c r="H41" s="320"/>
      <c r="L41" s="12"/>
      <c r="T41" s="235"/>
      <c r="U41" s="56" t="s">
        <v>155</v>
      </c>
      <c r="V41" s="289">
        <v>395.37</v>
      </c>
    </row>
    <row r="42" spans="2:24" s="227" customFormat="1" ht="17.399999999999999" x14ac:dyDescent="0.35">
      <c r="B42"/>
      <c r="C42" s="225"/>
      <c r="D42" s="279"/>
      <c r="E42" s="279"/>
      <c r="F42" s="278"/>
      <c r="G42" s="321"/>
      <c r="H42" s="320"/>
      <c r="L42" s="12"/>
      <c r="T42" s="235"/>
      <c r="U42" s="56" t="s">
        <v>150</v>
      </c>
      <c r="V42" s="56">
        <v>474.45</v>
      </c>
    </row>
    <row r="43" spans="2:24" ht="14.4" customHeight="1" x14ac:dyDescent="0.35">
      <c r="D43" s="279"/>
      <c r="E43" s="279"/>
      <c r="F43" s="278"/>
      <c r="G43" s="321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7.399999999999999" x14ac:dyDescent="0.35">
      <c r="D45" s="279"/>
      <c r="E45" s="279"/>
      <c r="F45" s="278"/>
      <c r="G45" s="321"/>
      <c r="H45" s="320"/>
      <c r="L45" s="245"/>
      <c r="T45" s="265"/>
    </row>
    <row r="46" spans="2:24" ht="17.399999999999999" x14ac:dyDescent="0.35">
      <c r="D46" s="279"/>
      <c r="E46" s="279"/>
      <c r="F46" s="278"/>
      <c r="G46" s="321"/>
      <c r="H46" s="320"/>
      <c r="L46" s="245"/>
    </row>
    <row r="47" spans="2:24" ht="15" customHeight="1" x14ac:dyDescent="0.35">
      <c r="D47" s="279"/>
      <c r="E47" s="279"/>
      <c r="F47" s="278"/>
      <c r="G47" s="321"/>
      <c r="H47" s="320"/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1"/>
      <c r="H50" s="320"/>
    </row>
    <row r="51" spans="4:20" ht="17.399999999999999" x14ac:dyDescent="0.35">
      <c r="D51" s="279"/>
      <c r="E51" s="279"/>
      <c r="F51" s="278"/>
      <c r="G51" s="321"/>
      <c r="H51" s="320"/>
      <c r="O51" s="51"/>
      <c r="P51" s="51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15:15" x14ac:dyDescent="0.3">
      <c r="O65" s="6"/>
    </row>
    <row r="66" spans="15:15" x14ac:dyDescent="0.3">
      <c r="O66" s="6"/>
    </row>
    <row r="155" spans="3:3" x14ac:dyDescent="0.3">
      <c r="C155" t="s">
        <v>142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142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45936</v>
      </c>
    </row>
    <row r="6" spans="1:31" ht="16.2" thickBot="1" x14ac:dyDescent="0.35">
      <c r="B6" s="137" t="s">
        <v>2</v>
      </c>
      <c r="C6" s="136" t="str">
        <f>'2229'!C10</f>
        <v>FRANCISCO BRAVO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11681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-16629.276010676331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'2229'!H25</f>
        <v>244741.41388000001</v>
      </c>
      <c r="E11" s="129">
        <f>D11*0.19</f>
        <v>46500.868637200001</v>
      </c>
      <c r="F11" s="128">
        <f>E11+D11</f>
        <v>291242.28251719999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89360.723989323669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96643.838543961348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71360.723989323669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148097.57533603866</v>
      </c>
      <c r="E13" s="218">
        <f>(D11/D12)-1</f>
        <v>1.5324057649952723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62360.723989323669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23360.723989323669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172509.25180097099</v>
      </c>
      <c r="C15" s="210" t="s">
        <v>120</v>
      </c>
      <c r="D15" s="211">
        <v>0.5</v>
      </c>
      <c r="E15" s="212">
        <f>(100%+D15)*D12</f>
        <v>144965.75781594202</v>
      </c>
      <c r="F15" s="213">
        <f>E15-D12</f>
        <v>48321.919271980674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23360.723989323669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63360.723989323669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'2229'!O32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7574.4827999999998</v>
      </c>
      <c r="E20" s="118">
        <f>D20*0.19</f>
        <v>1439.151732</v>
      </c>
      <c r="F20" s="117">
        <f>SUM(D20:E20)</f>
        <v>9013.634532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24024.482799999998</v>
      </c>
      <c r="E21" s="113">
        <f>SUM(E18:E20)</f>
        <v>4564.6517320000003</v>
      </c>
      <c r="F21" s="112">
        <f>SUM(F18:F20)</f>
        <v>28589.134532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41936.216905200003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244741.41388000001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24024.482799999998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148097.57533603866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148097.57533603866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2025-10-06T12:29:16Z</cp:lastPrinted>
  <dcterms:created xsi:type="dcterms:W3CDTF">2013-03-18T13:35:42Z</dcterms:created>
  <dcterms:modified xsi:type="dcterms:W3CDTF">2025-10-06T14:13:09Z</dcterms:modified>
</cp:coreProperties>
</file>