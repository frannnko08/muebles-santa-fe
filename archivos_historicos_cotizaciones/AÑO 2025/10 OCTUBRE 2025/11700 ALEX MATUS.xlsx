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BA6117A6-DE4B-4623-A683-92F709A10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H44" i="1"/>
  <c r="G45" i="1"/>
  <c r="H45" i="1"/>
  <c r="G46" i="1"/>
  <c r="H46" i="1"/>
  <c r="G47" i="1"/>
  <c r="H47" i="1"/>
  <c r="H43" i="1"/>
  <c r="G43" i="1"/>
  <c r="M21" i="1"/>
  <c r="L21" i="1" l="1"/>
  <c r="N21" i="1"/>
  <c r="M25" i="1" l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l="1"/>
  <c r="O38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<sst xmlns="http://schemas.openxmlformats.org/spreadsheetml/2006/main" count="231" uniqueCount="176">
  <si>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</si>
  <si>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</si>
  <si>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</si>
  <si>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</si>
  <si>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</si>
  <si>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</si>
  <si>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</si>
  <si>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</si>
  <si>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</si>
  <si>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</si>
  <si>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</si>
  <si>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</si>
  <si>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</si>
  <si>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</si>
  <si>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</si>
  <si>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</si>
  <si>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</si>
  <si>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</si>
  <si>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</si>
  <si>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</si>
  <si>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</si>
  <si>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</si>
  <si>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</si>
  <si>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</si>
  <si>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</si>
  <si>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</si>
  <si>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</si>
  <si>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</si>
  <si>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</si>
  <si>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</si>
  <si>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</si>
  <si>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</si>
  <si>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</si>
  <si>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</si>
  <si>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</si>
  <si>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</si>
  <si>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</si>
  <si>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</si>
  <si>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</si>
  <si>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</si>
  <si>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</si>
  <si>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</si>
  <si>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</si>
  <si>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</si>
  <si>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</si>
  <si>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</si>
  <si>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</si>
  <si>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</si>
  <si>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</si>
  <si>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</si>
  <si>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</si>
  <si>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</si>
  <si>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</si>
  <si>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</si>
  <si>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</si>
  <si>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</si>
  <si>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</si>
  <si>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</si>
  <si>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</si>
  <si>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</si>
  <si>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</si>
  <si>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</si>
  <si>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</si>
  <si>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</si>
  <si>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</si>
  <si>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</si>
  <si>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</si>
  <si>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</si>
  <si>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</si>
  <si>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</si>
  <si>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</si>
  <si>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</si>
  <si>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</si>
  <si>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</si>
  <si>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</si>
  <si>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</si>
  <si>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</si>
  <si>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</si>
  <si>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</si>
  <si>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</si>
  <si>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</si>
  <si>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</si>
  <si>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</si>
  <si>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</si>
  <si>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</si>
  <si>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</si>
  <si>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</si>
  <si>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</si>
  <si>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</si>
  <si>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</si>
  <si>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</si>
  <si>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</si>
  <si>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</si>
  <si>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</si>
  <si>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</si>
  <si>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</si>
  <si>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</si>
  <si>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</si>
  <si>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</si>
  <si>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</si>
  <si>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</si>
  <si>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</si>
  <si>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</si>
  <si>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</si>
  <si>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</si>
  <si>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</si>
  <si>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</si>
  <si>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</si>
  <si>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</si>
  <si>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</si>
  <si>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</si>
  <si>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</si>
  <si>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</si>
  <si>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</si>
  <si>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</si>
  <si>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</si>
  <si>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</si>
  <si>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</si>
  <si>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</si>
  <si>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</si>
  <si>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</si>
  <si>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</si>
  <si>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</si>
  <si>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</si>
  <si>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</si>
  <si>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</si>
  <si>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</si>
  <si>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</si>
  <si>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</si>
  <si>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</si>
  <si>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</si>
  <si>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</si>
  <si>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</si>
  <si>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</si>
  <si>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</si>
  <si>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</si>
  <si>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</si>
  <si>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</si>
  <si>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</si>
  <si>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</si>
  <si>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</si>
  <si>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</si>
  <si>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</si>
  <si>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</si>
  <si>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</si>
  <si>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</si>
  <si>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</si>
  <si>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</si>
  <si>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</si>
  <si>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</si>
  <si>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</si>
  <si>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</si>
  <si>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</si>
  <si>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</si>
  <si>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</si>
  <si>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</si>
  <si>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</si>
  <si>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</si>
  <si>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</si>
  <si>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</si>
  <si>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</si>
  <si>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</si>
  <si>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</si>
  <si>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</si>
  <si>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</si>
  <si>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</si>
  <si>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</si>
  <si>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</si>
  <si>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ALEX MATUS</t>
  </si>
  <si>
    <t>+569 7335 4882</t>
  </si>
  <si>
    <t>PUERTA R6</t>
  </si>
  <si>
    <t>MELAMIL 18MM</t>
  </si>
  <si>
    <t>LAMINA 122 X 306</t>
  </si>
  <si>
    <t>NATURAL ELM 1499</t>
  </si>
  <si>
    <t>N° 11700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</si>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</sst>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PUERTAS SE ENTREGAN CORTADAS A LA MEDIDA Y ENCHAPADAS</a:t>
          </a:r>
          <a:endParaRPr lang="es-CL" sz="120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2" sqref="A22:XFD25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239" t="s">
        <v>168</v>
      </c>
      <c r="D10" s="239"/>
      <c r="E10" s="239"/>
      <c r="F10" s="240" t="s">
        <v>166</v>
      </c>
      <c r="G10" s="271">
        <v>45945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165</v>
      </c>
      <c r="G11" s="306" t="s">
        <v>175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142</v>
      </c>
      <c r="F13" t="s">
        <v>164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169</v>
      </c>
      <c r="D15" s="314"/>
      <c r="F15" t="s">
        <v>167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159</v>
      </c>
      <c r="H16" s="243"/>
    </row>
    <row r="17" spans="1:25" ht="15" thickBot="1" x14ac:dyDescent="0.35">
      <c r="B17" s="294" t="s">
        <v>13</v>
      </c>
      <c r="C17" s="295" t="s">
        <v>162</v>
      </c>
      <c r="D17" s="296"/>
      <c r="E17" s="116"/>
      <c r="F17" s="336" t="s">
        <v>161</v>
      </c>
      <c r="G17" s="336"/>
      <c r="H17" s="337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466749.48263642815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0">
        <v>1</v>
      </c>
      <c r="C21" s="331" t="s">
        <v>170</v>
      </c>
      <c r="D21" s="332">
        <v>0.6</v>
      </c>
      <c r="E21" s="332">
        <v>0.41499999999999998</v>
      </c>
      <c r="F21" s="331" t="s">
        <v>173</v>
      </c>
      <c r="G21" s="333">
        <v>22950</v>
      </c>
      <c r="H21" s="334">
        <f>G21*B21</f>
        <v>22950</v>
      </c>
      <c r="I21" s="299"/>
      <c r="J21" s="260"/>
      <c r="K21" s="44"/>
      <c r="L21" s="44">
        <f>B21</f>
        <v>1</v>
      </c>
      <c r="M21" s="36">
        <f>D21+M$19</f>
        <v>0.67999999999999994</v>
      </c>
      <c r="N21" s="36">
        <f>E21+$N$19</f>
        <v>0.41499999999999998</v>
      </c>
      <c r="O21" s="256">
        <f t="shared" ref="O21" si="1">M21*N21</f>
        <v>0.28219999999999995</v>
      </c>
      <c r="P21" s="254">
        <f t="shared" ref="P21" si="2">O21*L21</f>
        <v>0.28219999999999995</v>
      </c>
      <c r="Q21" s="247">
        <f t="shared" ref="Q21" si="3">Q$20*O21</f>
        <v>131716.704</v>
      </c>
      <c r="R21" s="298">
        <f t="shared" ref="R21" si="4">Q21+R$20</f>
        <v>134716.704</v>
      </c>
      <c r="S21" s="286">
        <f>M21*L21</f>
        <v>0.67999999999999994</v>
      </c>
      <c r="T21" s="43">
        <f>N21*2*L21*2</f>
        <v>1.66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9"/>
      <c r="H22" s="299"/>
      <c r="I22" s="299"/>
      <c r="J22" s="260"/>
      <c r="K22" s="44"/>
      <c r="L22" s="44"/>
      <c r="M22" s="36"/>
      <c r="N22" s="36"/>
      <c r="O22" s="256"/>
      <c r="P22" s="254"/>
      <c r="Q22" s="247"/>
      <c r="R22" s="298"/>
      <c r="S22" s="286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300"/>
      <c r="I23" s="302"/>
      <c r="J23" s="229"/>
      <c r="K23" s="44"/>
      <c r="L23" s="44"/>
      <c r="M23" s="36"/>
      <c r="N23" s="36"/>
      <c r="O23" s="256"/>
      <c r="P23" s="254"/>
      <c r="Q23" s="247"/>
      <c r="R23" s="253"/>
      <c r="S23" s="286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3" t="s">
        <v>28</v>
      </c>
      <c r="H24" s="304">
        <f>SUM(H21:H23)</f>
        <v>22950</v>
      </c>
      <c r="I24" s="301"/>
      <c r="J24" s="260"/>
      <c r="K24" s="319"/>
      <c r="L24" s="44"/>
      <c r="M24" s="36"/>
      <c r="N24" s="36"/>
      <c r="O24" s="256"/>
      <c r="P24" s="254"/>
      <c r="Q24" s="247"/>
      <c r="R24" s="253"/>
      <c r="S24" s="286"/>
      <c r="T24" s="43">
        <f>SUM(T21:T23)</f>
        <v>1.66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5" t="s">
        <v>51</v>
      </c>
      <c r="H25" s="283">
        <f>H24*19%</f>
        <v>4360.5</v>
      </c>
      <c r="I25" s="301"/>
      <c r="J25" s="260"/>
      <c r="K25" s="319"/>
      <c r="L25" s="44"/>
      <c r="M25" s="36">
        <f>SUM(M21:M21)</f>
        <v>0.67999999999999994</v>
      </c>
      <c r="N25" s="12"/>
      <c r="O25" s="12"/>
      <c r="P25" s="248">
        <f>SUM(P21:P23)</f>
        <v>0.28219999999999995</v>
      </c>
      <c r="Q25" s="14"/>
      <c r="R25" s="12"/>
      <c r="S25" s="235">
        <f>SUM(S21:S24)</f>
        <v>0.67999999999999994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284">
        <f>H24+H25</f>
        <v>27310.5</v>
      </c>
      <c r="I26" s="301"/>
      <c r="J26" s="260"/>
      <c r="K26" s="319"/>
      <c r="L26" s="44"/>
      <c r="M26" s="36"/>
      <c r="N26" s="12"/>
      <c r="O26" s="12"/>
      <c r="P26" s="248">
        <f>P25</f>
        <v>0.28219999999999995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9"/>
      <c r="L27" s="44"/>
      <c r="M27" s="14"/>
      <c r="N27" s="12"/>
      <c r="O27" s="12"/>
      <c r="P27" s="36">
        <f>P26*20%</f>
        <v>5.643999999999999E-2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0.33863999999999994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90" t="s">
        <v>21</v>
      </c>
      <c r="V29" s="287" t="s">
        <v>148</v>
      </c>
      <c r="W29" s="291">
        <v>44971</v>
      </c>
      <c r="X29" s="292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0.33863999999999994</v>
      </c>
      <c r="N30" s="12">
        <v>3500</v>
      </c>
      <c r="O30" s="12">
        <f t="shared" ref="O30:O35" si="5">M30*N30</f>
        <v>1185.2399999999998</v>
      </c>
      <c r="P30" s="14" t="s">
        <v>21</v>
      </c>
      <c r="Q30" s="14"/>
      <c r="R30" s="14"/>
      <c r="S30" s="237"/>
      <c r="T30" s="14"/>
      <c r="U30" s="290" t="s">
        <v>149</v>
      </c>
      <c r="V30" s="287">
        <v>3625</v>
      </c>
      <c r="W30" s="56" t="s">
        <v>150</v>
      </c>
      <c r="X30" s="292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0.6</v>
      </c>
      <c r="N31" s="12">
        <v>40000</v>
      </c>
      <c r="O31" s="12">
        <f t="shared" si="5"/>
        <v>24000</v>
      </c>
      <c r="P31" s="36" t="s">
        <v>171</v>
      </c>
      <c r="Q31" s="39"/>
      <c r="R31" s="14"/>
      <c r="S31" s="236"/>
      <c r="T31" s="14"/>
      <c r="U31" s="290"/>
      <c r="V31" s="56">
        <v>906.25</v>
      </c>
      <c r="W31" s="56" t="s">
        <v>151</v>
      </c>
      <c r="X31" s="292"/>
    </row>
    <row r="32" spans="1:25" s="226" customFormat="1" ht="17.399999999999999" x14ac:dyDescent="0.35">
      <c r="B32" s="21" t="s">
        <v>147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2" t="s">
        <v>152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/>
      <c r="K33" s="228"/>
      <c r="L33" s="245"/>
      <c r="M33" s="14">
        <v>1</v>
      </c>
      <c r="N33" s="245">
        <v>37537</v>
      </c>
      <c r="O33" s="12">
        <f t="shared" si="5"/>
        <v>37537</v>
      </c>
      <c r="P33" s="14" t="s">
        <v>172</v>
      </c>
      <c r="Q33" s="17"/>
      <c r="S33" s="234"/>
      <c r="T33" s="251"/>
      <c r="U33" s="56"/>
      <c r="V33" s="56">
        <f>V31+V32</f>
        <v>1087.5</v>
      </c>
      <c r="W33" s="292" t="s">
        <v>153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/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62722.239999999998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131716.704</v>
      </c>
      <c r="P37" s="14" t="s">
        <v>138</v>
      </c>
      <c r="Q37" s="14"/>
      <c r="R37" s="37">
        <f>P28/R36</f>
        <v>9.1307161345987903E-2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466749.48263642815</v>
      </c>
      <c r="P38" s="42" t="s">
        <v>24</v>
      </c>
      <c r="Q38" s="14"/>
      <c r="R38" s="14"/>
      <c r="S38"/>
      <c r="T38" s="234"/>
      <c r="U38" s="56" t="s">
        <v>154</v>
      </c>
      <c r="V38" s="287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156</v>
      </c>
      <c r="V39" s="288" t="s">
        <v>155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20"/>
      <c r="H40" s="327"/>
      <c r="L40" s="12"/>
      <c r="T40" s="234"/>
      <c r="U40" s="56" t="s">
        <v>157</v>
      </c>
      <c r="V40" s="289">
        <v>395.37</v>
      </c>
    </row>
    <row r="41" spans="2:24" s="226" customFormat="1" ht="17.399999999999999" x14ac:dyDescent="0.35">
      <c r="B41"/>
      <c r="C41" s="328"/>
      <c r="D41" s="279"/>
      <c r="E41" s="279"/>
      <c r="F41" s="278"/>
      <c r="G41" s="320"/>
      <c r="H41" s="327"/>
      <c r="L41" s="12"/>
      <c r="T41" s="234"/>
      <c r="U41" s="56" t="s">
        <v>152</v>
      </c>
      <c r="V41" s="56">
        <v>474.45</v>
      </c>
    </row>
    <row r="42" spans="2:24" ht="14.4" customHeight="1" thickBot="1" x14ac:dyDescent="0.4">
      <c r="D42" s="279"/>
      <c r="E42" s="279"/>
      <c r="F42" s="278"/>
      <c r="G42" s="320"/>
      <c r="H42" s="327"/>
      <c r="L42" s="12"/>
      <c r="U42" s="56"/>
      <c r="V42" s="56"/>
    </row>
    <row r="43" spans="2:24" ht="17.399999999999999" x14ac:dyDescent="0.35">
      <c r="D43" s="332">
        <v>0.44700000000000001</v>
      </c>
      <c r="E43" s="332">
        <v>0.30299999999999999</v>
      </c>
      <c r="F43" s="278"/>
      <c r="G43" s="320">
        <f>D43+0.04</f>
        <v>0.48699999999999999</v>
      </c>
      <c r="H43" s="327">
        <f>E43+0.06</f>
        <v>0.36299999999999999</v>
      </c>
      <c r="L43" s="245"/>
    </row>
    <row r="44" spans="2:24" ht="17.399999999999999" x14ac:dyDescent="0.35">
      <c r="D44" s="329">
        <v>0.6</v>
      </c>
      <c r="E44" s="329">
        <v>0.39700000000000002</v>
      </c>
      <c r="F44" s="278"/>
      <c r="G44" s="320">
        <f t="shared" ref="G44:G47" si="6">D44+0.04</f>
        <v>0.64</v>
      </c>
      <c r="H44" s="327">
        <f t="shared" ref="H44:H47" si="7">E44+0.06</f>
        <v>0.45700000000000002</v>
      </c>
      <c r="L44" s="245"/>
      <c r="T44" s="265"/>
    </row>
    <row r="45" spans="2:24" ht="17.399999999999999" x14ac:dyDescent="0.35">
      <c r="D45" s="329">
        <v>0.6</v>
      </c>
      <c r="E45" s="329">
        <v>0.41299999999999998</v>
      </c>
      <c r="F45" s="278"/>
      <c r="G45" s="320">
        <f t="shared" si="6"/>
        <v>0.64</v>
      </c>
      <c r="H45" s="327">
        <f t="shared" si="7"/>
        <v>0.47299999999999998</v>
      </c>
      <c r="L45" s="245"/>
    </row>
    <row r="46" spans="2:24" ht="15" customHeight="1" x14ac:dyDescent="0.35">
      <c r="D46" s="329">
        <v>0.70499999999999996</v>
      </c>
      <c r="E46" s="329">
        <v>0.39</v>
      </c>
      <c r="F46" s="278"/>
      <c r="G46" s="320">
        <f t="shared" si="6"/>
        <v>0.745</v>
      </c>
      <c r="H46" s="327">
        <f t="shared" si="7"/>
        <v>0.45</v>
      </c>
    </row>
    <row r="47" spans="2:24" ht="18" thickBot="1" x14ac:dyDescent="0.4">
      <c r="D47" s="335">
        <v>0.70499999999999996</v>
      </c>
      <c r="E47" s="335">
        <v>0.442</v>
      </c>
      <c r="F47" s="278"/>
      <c r="G47" s="320">
        <f t="shared" si="6"/>
        <v>0.745</v>
      </c>
      <c r="H47" s="327">
        <f t="shared" si="7"/>
        <v>0.502</v>
      </c>
    </row>
    <row r="48" spans="2:24" ht="17.399999999999999" x14ac:dyDescent="0.35">
      <c r="D48" s="279"/>
      <c r="E48" s="279"/>
      <c r="F48" s="278"/>
      <c r="G48" s="320"/>
      <c r="H48" s="327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20"/>
      <c r="H49" s="327"/>
    </row>
    <row r="50" spans="4:20" ht="17.399999999999999" x14ac:dyDescent="0.35">
      <c r="D50" s="279"/>
      <c r="E50" s="279"/>
      <c r="F50" s="278"/>
      <c r="G50" s="320"/>
      <c r="H50" s="327"/>
      <c r="O50" s="51"/>
      <c r="P50" s="51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ht="17.399999999999999" x14ac:dyDescent="0.35">
      <c r="D53" s="279"/>
      <c r="E53" s="279"/>
      <c r="F53" s="278"/>
      <c r="G53" s="320"/>
      <c r="H53" s="327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144</v>
      </c>
    </row>
    <row r="74" spans="3:15" x14ac:dyDescent="0.3">
      <c r="C74" t="s">
        <v>143</v>
      </c>
    </row>
    <row r="77" spans="3:15" x14ac:dyDescent="0.3">
      <c r="C77" t="s">
        <v>143</v>
      </c>
    </row>
    <row r="154" spans="3:3" x14ac:dyDescent="0.3">
      <c r="C154" t="s">
        <v>143</v>
      </c>
    </row>
    <row r="155" spans="3:3" x14ac:dyDescent="0.3">
      <c r="C155" t="s">
        <v>145</v>
      </c>
    </row>
    <row r="156" spans="3:3" x14ac:dyDescent="0.3">
      <c r="C156" t="s">
        <v>146</v>
      </c>
    </row>
    <row r="581" spans="3:3" x14ac:dyDescent="0.3">
      <c r="C581" t="s">
        <v>143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45945</v>
      </c>
    </row>
    <row r="6" spans="1:31" ht="16.2" thickBot="1" x14ac:dyDescent="0.35">
      <c r="B6" s="137" t="s">
        <v>2</v>
      </c>
      <c r="C6" s="136" t="str">
        <f>'2229'!C10</f>
        <v>ALEX MATUS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2" t="s">
        <v>98</v>
      </c>
      <c r="I7" s="343"/>
      <c r="J7" s="343"/>
      <c r="K7" s="344"/>
      <c r="N7" s="72"/>
      <c r="O7" s="341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11700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1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8218.7734067632864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22950</v>
      </c>
      <c r="E11" s="129">
        <f>D11*0.19</f>
        <v>4360.5</v>
      </c>
      <c r="F11" s="128">
        <f>E11+D11</f>
        <v>27310.5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114208.77340676328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45164.150275362321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96208.773406763285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-22214.150275362321</v>
      </c>
      <c r="E13" s="218">
        <f>(D11/D12)-1</f>
        <v>-0.49185360822520452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87208.773406763285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48208.773406763285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85992.542124289859</v>
      </c>
      <c r="C15" s="210" t="s">
        <v>121</v>
      </c>
      <c r="D15" s="211">
        <v>0.6</v>
      </c>
      <c r="E15" s="212">
        <f>(100%+D15)*D12</f>
        <v>72262.640440579722</v>
      </c>
      <c r="F15" s="213">
        <f>E15-D12</f>
        <v>27098.490165217401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48208.773406763285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88208.773406763285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24000</v>
      </c>
      <c r="E19" s="120">
        <f>D19*0.19</f>
        <v>4560</v>
      </c>
      <c r="F19" s="117">
        <f>SUM(D19:E19)</f>
        <v>28560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1185.2399999999998</v>
      </c>
      <c r="E20" s="118">
        <f>D20*0.19</f>
        <v>225.19559999999996</v>
      </c>
      <c r="F20" s="117">
        <f>SUM(D20:E20)</f>
        <v>1410.4355999999998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25185.239999999998</v>
      </c>
      <c r="E21" s="113">
        <f>SUM(E18:E20)</f>
        <v>4785.1956</v>
      </c>
      <c r="F21" s="112">
        <f>SUM(F18:F20)</f>
        <v>29970.435600000001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-424.69560000000001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22950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25185.239999999998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-22214.150275362321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-22214.150275362321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2025-07-21T20:09:34Z</cp:lastPrinted>
  <dcterms:created xsi:type="dcterms:W3CDTF">2013-03-18T13:35:42Z</dcterms:created>
  <dcterms:modified xsi:type="dcterms:W3CDTF">2025-10-15T21:24:15Z</dcterms:modified>
</cp:coreProperties>
</file>