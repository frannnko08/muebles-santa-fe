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07393A1C-BA0A-41DA-800D-900832B507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'2229'!$B$1:$I$104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" i="1" l="1"/>
  <c r="I90" i="1"/>
  <c r="I89" i="1"/>
  <c r="I88" i="1"/>
  <c r="K43" i="1"/>
  <c r="I41" i="1"/>
  <c r="I40" i="1"/>
  <c r="O41" i="1"/>
  <c r="N41" i="1"/>
  <c r="T41" i="1" s="1"/>
  <c r="O40" i="1"/>
  <c r="N40" i="1"/>
  <c r="T40" i="1" s="1"/>
  <c r="I87" i="1"/>
  <c r="I86" i="1"/>
  <c r="I85" i="1"/>
  <c r="I84" i="1"/>
  <c r="I83" i="1"/>
  <c r="I82" i="1"/>
  <c r="I39" i="1"/>
  <c r="I38" i="1"/>
  <c r="I37" i="1"/>
  <c r="I36" i="1"/>
  <c r="I35" i="1"/>
  <c r="I34" i="1"/>
  <c r="I33" i="1"/>
  <c r="I32" i="1"/>
  <c r="O39" i="1"/>
  <c r="N39" i="1"/>
  <c r="T39" i="1" s="1"/>
  <c r="O38" i="1"/>
  <c r="N38" i="1"/>
  <c r="T38" i="1" s="1"/>
  <c r="O37" i="1"/>
  <c r="N37" i="1"/>
  <c r="T37" i="1" s="1"/>
  <c r="O36" i="1"/>
  <c r="N36" i="1"/>
  <c r="T36" i="1" s="1"/>
  <c r="O35" i="1"/>
  <c r="N35" i="1"/>
  <c r="T35" i="1" s="1"/>
  <c r="O34" i="1"/>
  <c r="N34" i="1"/>
  <c r="T34" i="1" s="1"/>
  <c r="O33" i="1"/>
  <c r="N33" i="1"/>
  <c r="T33" i="1" s="1"/>
  <c r="O32" i="1"/>
  <c r="N32" i="1"/>
  <c r="T32" i="1" s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M42" i="1"/>
  <c r="M43" i="1"/>
  <c r="M44" i="1"/>
  <c r="M45" i="1"/>
  <c r="M46" i="1"/>
  <c r="M47" i="1"/>
  <c r="M48" i="1"/>
  <c r="M49" i="1"/>
  <c r="M50" i="1"/>
  <c r="M51" i="1"/>
  <c r="M52" i="1"/>
  <c r="M53" i="1"/>
  <c r="I53" i="1"/>
  <c r="I52" i="1"/>
  <c r="I51" i="1"/>
  <c r="I50" i="1"/>
  <c r="I47" i="1"/>
  <c r="I44" i="1"/>
  <c r="I23" i="1"/>
  <c r="I24" i="1"/>
  <c r="I25" i="1"/>
  <c r="I26" i="1"/>
  <c r="I27" i="1"/>
  <c r="I28" i="1"/>
  <c r="I29" i="1"/>
  <c r="I30" i="1"/>
  <c r="N22" i="1"/>
  <c r="T22" i="1" s="1"/>
  <c r="O22" i="1"/>
  <c r="N23" i="1"/>
  <c r="O23" i="1"/>
  <c r="N24" i="1"/>
  <c r="O24" i="1"/>
  <c r="N25" i="1"/>
  <c r="T25" i="1" s="1"/>
  <c r="O25" i="1"/>
  <c r="N26" i="1"/>
  <c r="T26" i="1" s="1"/>
  <c r="O26" i="1"/>
  <c r="N27" i="1"/>
  <c r="O27" i="1"/>
  <c r="N28" i="1"/>
  <c r="O28" i="1"/>
  <c r="N29" i="1"/>
  <c r="O29" i="1"/>
  <c r="N30" i="1"/>
  <c r="O30" i="1"/>
  <c r="I43" i="1"/>
  <c r="I45" i="1"/>
  <c r="I49" i="1"/>
  <c r="I48" i="1"/>
  <c r="O60" i="1"/>
  <c r="O59" i="1"/>
  <c r="I46" i="1"/>
  <c r="O58" i="1"/>
  <c r="O57" i="1"/>
  <c r="O56" i="1"/>
  <c r="O55" i="1"/>
  <c r="I60" i="1"/>
  <c r="I59" i="1"/>
  <c r="I58" i="1"/>
  <c r="I57" i="1"/>
  <c r="N54" i="1"/>
  <c r="O54" i="1"/>
  <c r="I55" i="1"/>
  <c r="I56" i="1"/>
  <c r="I54" i="1"/>
  <c r="I42" i="1"/>
  <c r="N31" i="1"/>
  <c r="O31" i="1"/>
  <c r="N42" i="1"/>
  <c r="N58" i="1" s="1"/>
  <c r="O42" i="1"/>
  <c r="L97" i="1"/>
  <c r="P41" i="1" l="1"/>
  <c r="Q41" i="1" s="1"/>
  <c r="P40" i="1"/>
  <c r="Q40" i="1" s="1"/>
  <c r="P38" i="1"/>
  <c r="Q38" i="1" s="1"/>
  <c r="P39" i="1"/>
  <c r="Q39" i="1" s="1"/>
  <c r="P36" i="1"/>
  <c r="Q36" i="1" s="1"/>
  <c r="P37" i="1"/>
  <c r="Q37" i="1" s="1"/>
  <c r="P34" i="1"/>
  <c r="Q34" i="1" s="1"/>
  <c r="P35" i="1"/>
  <c r="Q35" i="1" s="1"/>
  <c r="P32" i="1"/>
  <c r="Q32" i="1" s="1"/>
  <c r="P33" i="1"/>
  <c r="Q33" i="1" s="1"/>
  <c r="P53" i="1"/>
  <c r="Q53" i="1" s="1"/>
  <c r="P51" i="1"/>
  <c r="Q51" i="1" s="1"/>
  <c r="P49" i="1"/>
  <c r="Q49" i="1" s="1"/>
  <c r="P47" i="1"/>
  <c r="Q47" i="1" s="1"/>
  <c r="P45" i="1"/>
  <c r="Q45" i="1" s="1"/>
  <c r="P52" i="1"/>
  <c r="Q52" i="1" s="1"/>
  <c r="P50" i="1"/>
  <c r="Q50" i="1" s="1"/>
  <c r="P48" i="1"/>
  <c r="Q48" i="1" s="1"/>
  <c r="P46" i="1"/>
  <c r="Q46" i="1" s="1"/>
  <c r="P44" i="1"/>
  <c r="Q44" i="1" s="1"/>
  <c r="P43" i="1"/>
  <c r="Q43" i="1" s="1"/>
  <c r="P24" i="1"/>
  <c r="Q24" i="1" s="1"/>
  <c r="T27" i="1"/>
  <c r="P28" i="1"/>
  <c r="Q28" i="1" s="1"/>
  <c r="P29" i="1"/>
  <c r="Q29" i="1" s="1"/>
  <c r="P26" i="1"/>
  <c r="Q26" i="1" s="1"/>
  <c r="T30" i="1"/>
  <c r="T24" i="1"/>
  <c r="T29" i="1"/>
  <c r="P23" i="1"/>
  <c r="Q23" i="1" s="1"/>
  <c r="T28" i="1"/>
  <c r="P25" i="1"/>
  <c r="Q25" i="1" s="1"/>
  <c r="T23" i="1"/>
  <c r="P30" i="1"/>
  <c r="Q30" i="1" s="1"/>
  <c r="P27" i="1"/>
  <c r="Q27" i="1" s="1"/>
  <c r="P22" i="1"/>
  <c r="Q22" i="1" s="1"/>
  <c r="P55" i="1"/>
  <c r="Q55" i="1" s="1"/>
  <c r="P42" i="1"/>
  <c r="Q42" i="1" s="1"/>
  <c r="P58" i="1"/>
  <c r="Q58" i="1" s="1"/>
  <c r="P54" i="1"/>
  <c r="Q54" i="1" s="1"/>
  <c r="P31" i="1"/>
  <c r="Q31" i="1" s="1"/>
  <c r="L104" i="1"/>
  <c r="N57" i="1"/>
  <c r="P57" i="1" s="1"/>
  <c r="Q57" i="1" s="1"/>
  <c r="N21" i="1"/>
  <c r="N56" i="1" s="1"/>
  <c r="P56" i="1" s="1"/>
  <c r="Q56" i="1" s="1"/>
  <c r="O21" i="1"/>
  <c r="N94" i="1" l="1"/>
  <c r="T31" i="1"/>
  <c r="P21" i="1"/>
  <c r="Q21" i="1" s="1"/>
  <c r="T21" i="1"/>
  <c r="Q94" i="1" l="1"/>
  <c r="T94" i="1"/>
  <c r="U93" i="1"/>
  <c r="W101" i="1" l="1"/>
  <c r="W102" i="1" s="1"/>
  <c r="P100" i="1" l="1"/>
  <c r="Q95" i="1" l="1"/>
  <c r="O20" i="1"/>
  <c r="M20" i="1"/>
  <c r="Q96" i="1" l="1"/>
  <c r="P101" i="1"/>
  <c r="S105" i="1"/>
  <c r="Q97" i="1" l="1"/>
  <c r="N99" i="1" s="1"/>
  <c r="P102" i="1"/>
  <c r="S106" i="1" l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104" i="1"/>
  <c r="P103" i="1"/>
  <c r="F18" i="3" l="1"/>
  <c r="P99" i="1" l="1"/>
  <c r="P105" i="1" s="1"/>
  <c r="P106" i="1" s="1"/>
  <c r="P107" i="1" l="1"/>
  <c r="D20" i="3"/>
  <c r="E20" i="3" s="1"/>
  <c r="E21" i="3" s="1"/>
  <c r="R20" i="1" l="1"/>
  <c r="D21" i="3"/>
  <c r="M43" i="3" s="1"/>
  <c r="D12" i="3" s="1"/>
  <c r="E15" i="3" s="1"/>
  <c r="A15" i="3" s="1"/>
  <c r="F20" i="3"/>
  <c r="F21" i="3" s="1"/>
  <c r="R40" i="1" l="1"/>
  <c r="S40" i="1" s="1"/>
  <c r="R41" i="1"/>
  <c r="S41" i="1" s="1"/>
  <c r="R38" i="1"/>
  <c r="S38" i="1" s="1"/>
  <c r="R39" i="1"/>
  <c r="S39" i="1" s="1"/>
  <c r="R36" i="1"/>
  <c r="S36" i="1" s="1"/>
  <c r="R37" i="1"/>
  <c r="S37" i="1" s="1"/>
  <c r="R34" i="1"/>
  <c r="S34" i="1" s="1"/>
  <c r="R35" i="1"/>
  <c r="S35" i="1" s="1"/>
  <c r="R32" i="1"/>
  <c r="S32" i="1" s="1"/>
  <c r="R33" i="1"/>
  <c r="S33" i="1" s="1"/>
  <c r="R43" i="1"/>
  <c r="S43" i="1" s="1"/>
  <c r="R45" i="1"/>
  <c r="S45" i="1" s="1"/>
  <c r="R47" i="1"/>
  <c r="S47" i="1" s="1"/>
  <c r="R49" i="1"/>
  <c r="S49" i="1" s="1"/>
  <c r="R51" i="1"/>
  <c r="S51" i="1" s="1"/>
  <c r="R53" i="1"/>
  <c r="S53" i="1" s="1"/>
  <c r="R44" i="1"/>
  <c r="S44" i="1" s="1"/>
  <c r="R46" i="1"/>
  <c r="S46" i="1" s="1"/>
  <c r="R48" i="1"/>
  <c r="S48" i="1" s="1"/>
  <c r="R50" i="1"/>
  <c r="S50" i="1" s="1"/>
  <c r="R52" i="1"/>
  <c r="S52" i="1" s="1"/>
  <c r="R22" i="1"/>
  <c r="R24" i="1"/>
  <c r="S24" i="1" s="1"/>
  <c r="R26" i="1"/>
  <c r="S26" i="1" s="1"/>
  <c r="R28" i="1"/>
  <c r="S28" i="1" s="1"/>
  <c r="R30" i="1"/>
  <c r="S30" i="1" s="1"/>
  <c r="R23" i="1"/>
  <c r="S23" i="1" s="1"/>
  <c r="R25" i="1"/>
  <c r="S25" i="1" s="1"/>
  <c r="R27" i="1"/>
  <c r="S27" i="1" s="1"/>
  <c r="R29" i="1"/>
  <c r="S29" i="1" s="1"/>
  <c r="R58" i="1"/>
  <c r="S58" i="1" s="1"/>
  <c r="R57" i="1"/>
  <c r="S57" i="1" s="1"/>
  <c r="R55" i="1"/>
  <c r="S55" i="1" s="1"/>
  <c r="R56" i="1"/>
  <c r="S56" i="1" s="1"/>
  <c r="R54" i="1"/>
  <c r="S54" i="1" s="1"/>
  <c r="R31" i="1"/>
  <c r="S31" i="1" s="1"/>
  <c r="R42" i="1"/>
  <c r="S42" i="1" s="1"/>
  <c r="R21" i="1"/>
  <c r="P108" i="1"/>
  <c r="S22" i="1" l="1"/>
  <c r="I22" i="1"/>
  <c r="I31" i="1"/>
  <c r="S21" i="1"/>
  <c r="I21" i="1" s="1"/>
  <c r="F15" i="3"/>
  <c r="I93" i="1" l="1"/>
  <c r="I94" i="1" s="1"/>
  <c r="D11" i="3" l="1"/>
  <c r="X9" i="3" s="1"/>
  <c r="X15" i="3" s="1"/>
  <c r="I95" i="1"/>
  <c r="E11" i="3" l="1"/>
  <c r="D40" i="3" s="1"/>
  <c r="X12" i="3"/>
  <c r="M42" i="3"/>
  <c r="M46" i="3" s="1"/>
  <c r="M49" i="3" s="1"/>
  <c r="E13" i="3"/>
  <c r="X11" i="3"/>
  <c r="X14" i="3"/>
  <c r="D13" i="3"/>
  <c r="X13" i="3"/>
  <c r="X16" i="3"/>
  <c r="F11" i="3" l="1"/>
</calcChain>
</file>

<file path=xl/sharedStrings.xml><?xml version="1.0" encoding="utf-8"?>
<sst xmlns="http://schemas.openxmlformats.org/spreadsheetml/2006/main" count="443" uniqueCount="213">
  <si>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</si>
  <si>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</si>
  <si>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</si>
  <si>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</si>
  <si>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</si>
  <si>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</si>
  <si>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</si>
  <si>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</si>
  <si>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</si>
  <si>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</si>
  <si>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</si>
  <si>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</si>
  <si>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</si>
  <si>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</si>
  <si>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</si>
  <si>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</si>
  <si>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</si>
  <si>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</si>
  <si>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</si>
  <si>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</si>
  <si>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</si>
  <si>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</si>
  <si>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</si>
  <si>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</si>
  <si>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</si>
  <si>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</si>
  <si>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</si>
  <si>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</si>
  <si>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</si>
  <si>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</si>
  <si>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</si>
  <si>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</si>
  <si>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</si>
  <si>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</si>
  <si>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</si>
  <si>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</si>
  <si>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</si>
  <si>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</si>
  <si>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</si>
  <si>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</si>
  <si>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</si>
  <si>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</si>
  <si>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</si>
  <si>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</si>
  <si>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</si>
  <si>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</si>
  <si>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</si>
  <si>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</si>
  <si>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</si>
  <si>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</si>
  <si>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</si>
  <si>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</si>
  <si>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</si>
  <si>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</si>
  <si>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</si>
  <si>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</si>
  <si>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</si>
  <si>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</si>
  <si>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</si>
  <si>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</si>
  <si>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</si>
  <si>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</si>
  <si>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</si>
  <si>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</si>
  <si>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</si>
  <si>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</si>
  <si>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</si>
  <si>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</si>
  <si>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</si>
  <si>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</si>
  <si>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</si>
  <si>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</si>
  <si>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</si>
  <si>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</si>
  <si>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</si>
  <si>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</si>
  <si>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</si>
  <si>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</si>
  <si>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</si>
  <si>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</si>
  <si>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</si>
  <si>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</si>
  <si>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</si>
  <si>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</si>
  <si>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</si>
  <si>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</si>
  <si>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</si>
  <si>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</si>
  <si>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</si>
  <si>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</si>
  <si>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</si>
  <si>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</si>
  <si>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</si>
  <si>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</si>
  <si>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</si>
  <si>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</si>
  <si>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</si>
  <si>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</si>
  <si>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</si>
  <si>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</si>
  <si>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</si>
  <si>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</si>
  <si>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</si>
  <si>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</si>
  <si>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</si>
  <si>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</si>
  <si>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</si>
  <si>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</si>
  <si>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</si>
  <si>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</si>
  <si>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</si>
  <si>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</si>
  <si>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</si>
  <si>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</si>
  <si>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</si>
  <si>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</si>
  <si>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</si>
  <si>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</si>
  <si>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</si>
  <si>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</si>
  <si>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</si>
  <si>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</si>
  <si>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</si>
  <si>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</si>
  <si>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</si>
  <si>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</si>
  <si>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</si>
  <si>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</si>
  <si>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</si>
  <si>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</si>
  <si>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</si>
  <si>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</si>
  <si>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</si>
  <si>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</si>
  <si>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</si>
  <si>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</si>
  <si>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</si>
  <si>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</si>
  <si>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</si>
  <si>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</si>
  <si>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</si>
  <si>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</si>
  <si>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</si>
  <si>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</si>
  <si>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</si>
  <si>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</si>
  <si>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</si>
  <si>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</si>
  <si>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</si>
  <si>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</si>
  <si>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</si>
  <si>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</si>
  <si>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</si>
  <si>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</si>
  <si>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</si>
  <si>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</si>
  <si>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</si>
  <si>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</si>
  <si>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</si>
  <si>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</si>
  <si>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</si>
  <si>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</si>
  <si>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</si>
  <si>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</si>
  <si>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</si>
  <si>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</si>
  <si>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</si>
  <si>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SISTEMA MUEBLES</t>
  </si>
  <si>
    <t>LAMINA 153X366</t>
  </si>
  <si>
    <t>LAMINA 122X 305</t>
  </si>
  <si>
    <t>N° 11686</t>
  </si>
  <si>
    <t>MARIOLI CONCHA</t>
  </si>
  <si>
    <t>+56 9 9408 2633</t>
  </si>
  <si>
    <t>PUMIC GREY 21321 SF TRASCARA BLANCA</t>
  </si>
  <si>
    <t xml:space="preserve">CUBIERTA CON RESPALDO FRENTE 180° MDF 18MM </t>
  </si>
  <si>
    <t>M09</t>
  </si>
  <si>
    <t>CUBIERTA SIN RESPALDO FRENTE 180° MDF 18MM</t>
  </si>
  <si>
    <t>M13</t>
  </si>
  <si>
    <t>LAMINAS</t>
  </si>
  <si>
    <t xml:space="preserve">MELAMIL </t>
  </si>
  <si>
    <t>M18</t>
  </si>
  <si>
    <t>CUBIERTA FRONTON</t>
  </si>
  <si>
    <t>GLACIAL WHITE 22191 SF TRASCARA BLANCA</t>
  </si>
  <si>
    <t>CUB SIN RESPALDO FRENTE 180° MDF 25MM</t>
  </si>
  <si>
    <t xml:space="preserve">FRENTE 2 LADOS R6 </t>
  </si>
  <si>
    <t>M06</t>
  </si>
  <si>
    <t>CUB SIN RESPALDO FRENTE 180° MDF 18MM</t>
  </si>
  <si>
    <t>KITCHENETTE M21</t>
  </si>
  <si>
    <t>KITCHENETTE M22</t>
  </si>
  <si>
    <t>SHELL WHITE</t>
  </si>
  <si>
    <t>PUMIC GREY</t>
  </si>
  <si>
    <t xml:space="preserve">M13 </t>
  </si>
  <si>
    <t>M13 "L" D</t>
  </si>
  <si>
    <t>M13 "L" I</t>
  </si>
  <si>
    <t xml:space="preserve">CUBIERTA SIN RESPALDO FRENTE 180° MDF 18MM </t>
  </si>
  <si>
    <t>M07</t>
  </si>
  <si>
    <t>M07 "L" I</t>
  </si>
  <si>
    <t>M07 "L" D</t>
  </si>
  <si>
    <t xml:space="preserve">M07 </t>
  </si>
  <si>
    <t>M14 "L" D</t>
  </si>
  <si>
    <t>M14 "L" I</t>
  </si>
  <si>
    <t>CUB SIN RESPALDO FRENTE 180° MDF 18MM UNION DE LAMINA</t>
  </si>
  <si>
    <t>20 DIAS HABILES POR PISO</t>
  </si>
  <si>
    <t>M09 "L" I</t>
  </si>
  <si>
    <t>M09 "L" D</t>
  </si>
  <si>
    <t xml:space="preserve">CUB SIN RESPALDO FRENTE 180° MDF 18MM </t>
  </si>
  <si>
    <t>M14</t>
  </si>
  <si>
    <t xml:space="preserve">PUMIC GREY 21321 SF </t>
  </si>
  <si>
    <t>GLACIAL WHITE 22191 SF</t>
  </si>
  <si>
    <t>FORMATO 122X305</t>
  </si>
  <si>
    <t>FORMTO 155 X 366</t>
  </si>
  <si>
    <t>SHELL WHITE 20011 SF</t>
  </si>
  <si>
    <t>LAMINAS TRASCARA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</si>
</sst>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7" fontId="0" fillId="8" borderId="53" xfId="0" applyNumberFormat="1" applyFill="1" applyBorder="1"/>
    <xf numFmtId="0" fontId="32" fillId="0" borderId="1" xfId="0" applyFont="1" applyBorder="1" applyAlignment="1">
      <alignment horizontal="center" vertical="center"/>
    </xf>
    <xf numFmtId="167" fontId="0" fillId="20" borderId="0" xfId="0" applyNumberFormat="1" applyFill="1"/>
    <xf numFmtId="166" fontId="3" fillId="20" borderId="0" xfId="0" applyNumberFormat="1" applyFont="1" applyFill="1"/>
    <xf numFmtId="167" fontId="0" fillId="21" borderId="0" xfId="0" applyNumberFormat="1" applyFill="1"/>
    <xf numFmtId="0" fontId="32" fillId="0" borderId="4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166" fontId="38" fillId="0" borderId="1" xfId="0" applyNumberFormat="1" applyFont="1" applyBorder="1" applyAlignment="1">
      <alignment horizontal="center" vertical="center"/>
    </xf>
    <xf numFmtId="166" fontId="38" fillId="0" borderId="4" xfId="0" applyNumberFormat="1" applyFont="1" applyBorder="1" applyAlignment="1">
      <alignment horizontal="center" vertical="center"/>
    </xf>
    <xf numFmtId="42" fontId="39" fillId="0" borderId="27" xfId="8" applyFont="1" applyFill="1" applyBorder="1"/>
    <xf numFmtId="42" fontId="39" fillId="18" borderId="20" xfId="8" applyFont="1" applyFill="1" applyBorder="1"/>
    <xf numFmtId="42" fontId="39" fillId="0" borderId="29" xfId="8" applyFont="1" applyFill="1" applyBorder="1"/>
    <xf numFmtId="167" fontId="5" fillId="0" borderId="1" xfId="2" applyNumberFormat="1" applyFont="1" applyFill="1" applyBorder="1" applyAlignment="1">
      <alignment horizontal="center" vertical="center"/>
    </xf>
    <xf numFmtId="167" fontId="5" fillId="0" borderId="4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21" fillId="2" borderId="0" xfId="0" applyFont="1" applyFill="1" applyAlignment="1">
      <alignment horizontal="center" vertical="center"/>
    </xf>
    <xf numFmtId="0" fontId="21" fillId="22" borderId="0" xfId="0" applyFont="1" applyFill="1" applyAlignment="1">
      <alignment horizontal="center" vertical="center"/>
    </xf>
    <xf numFmtId="0" fontId="21" fillId="23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166" fontId="38" fillId="0" borderId="1" xfId="0" applyNumberFormat="1" applyFont="1" applyFill="1" applyBorder="1" applyAlignment="1">
      <alignment horizontal="center" vertical="center"/>
    </xf>
    <xf numFmtId="166" fontId="38" fillId="0" borderId="4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96</xdr:row>
      <xdr:rowOff>8194</xdr:rowOff>
    </xdr:from>
    <xdr:to>
      <xdr:col>9</xdr:col>
      <xdr:colOff>8193</xdr:colOff>
      <xdr:row>99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98</xdr:row>
      <xdr:rowOff>154305</xdr:rowOff>
    </xdr:from>
    <xdr:to>
      <xdr:col>8</xdr:col>
      <xdr:colOff>853440</xdr:colOff>
      <xdr:row>98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96</xdr:row>
      <xdr:rowOff>9525</xdr:rowOff>
    </xdr:from>
    <xdr:to>
      <xdr:col>6</xdr:col>
      <xdr:colOff>1745226</xdr:colOff>
      <xdr:row>99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92</xdr:row>
      <xdr:rowOff>9525</xdr:rowOff>
    </xdr:from>
    <xdr:to>
      <xdr:col>6</xdr:col>
      <xdr:colOff>1728839</xdr:colOff>
      <xdr:row>95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 SEGUN LO INDICADO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650"/>
  <sheetViews>
    <sheetView tabSelected="1" zoomScale="93" zoomScaleNormal="93" workbookViewId="0">
      <selection activeCell="H11" sqref="H11"/>
    </sheetView>
  </sheetViews>
  <sheetFormatPr baseColWidth="10" defaultRowHeight="14.4" x14ac:dyDescent="0.3"/>
  <cols>
    <col min="1" max="1" width="6" customWidth="1"/>
    <col min="2" max="2" width="10.5546875" customWidth="1"/>
    <col min="3" max="3" width="53.21875" customWidth="1"/>
    <col min="4" max="4" width="10.6640625" customWidth="1"/>
    <col min="5" max="5" width="10.88671875" customWidth="1"/>
    <col min="6" max="6" width="15.6640625" customWidth="1"/>
    <col min="7" max="7" width="39.6640625" customWidth="1"/>
    <col min="8" max="8" width="11.44140625" customWidth="1"/>
    <col min="9" max="9" width="12.6640625" customWidth="1"/>
    <col min="10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39" t="s">
        <v>138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6" t="s">
        <v>135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6" t="s">
        <v>139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6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6" t="s">
        <v>158</v>
      </c>
      <c r="P6" s="30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6" t="s">
        <v>122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319" t="s">
        <v>124</v>
      </c>
      <c r="C8" s="320"/>
      <c r="D8" s="321" t="s">
        <v>170</v>
      </c>
      <c r="G8" s="56"/>
      <c r="L8" s="49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291" t="s">
        <v>156</v>
      </c>
      <c r="C10" s="302" t="s">
        <v>167</v>
      </c>
      <c r="D10" s="240"/>
      <c r="E10" s="240"/>
      <c r="F10" s="240"/>
      <c r="G10" s="241" t="s">
        <v>164</v>
      </c>
      <c r="H10" s="271">
        <v>45966</v>
      </c>
      <c r="I10" s="325"/>
      <c r="L10" s="1"/>
      <c r="S10" s="2"/>
      <c r="T10" s="3"/>
      <c r="U10" s="3"/>
      <c r="V10" s="4"/>
      <c r="W10" s="2"/>
      <c r="X10" s="3"/>
    </row>
    <row r="11" spans="2:25" ht="16.8" x14ac:dyDescent="0.4">
      <c r="B11" s="280" t="s">
        <v>12</v>
      </c>
      <c r="C11" s="303"/>
      <c r="G11" t="s">
        <v>163</v>
      </c>
      <c r="H11" s="304" t="s">
        <v>202</v>
      </c>
      <c r="I11" s="281"/>
      <c r="R11" s="19"/>
      <c r="S11" s="22" t="s">
        <v>18</v>
      </c>
      <c r="T11" s="19"/>
    </row>
    <row r="12" spans="2:25" x14ac:dyDescent="0.3">
      <c r="B12" s="242" t="s">
        <v>140</v>
      </c>
      <c r="C12" s="305"/>
      <c r="D12" s="306"/>
      <c r="E12" s="306"/>
      <c r="F12" s="306"/>
      <c r="G12" s="306" t="s">
        <v>125</v>
      </c>
      <c r="H12" s="307" t="s">
        <v>132</v>
      </c>
      <c r="I12" s="243"/>
      <c r="R12" s="19"/>
      <c r="S12" s="22"/>
      <c r="T12" s="19"/>
    </row>
    <row r="13" spans="2:25" x14ac:dyDescent="0.3">
      <c r="B13" s="280" t="s">
        <v>141</v>
      </c>
      <c r="C13" t="s">
        <v>171</v>
      </c>
      <c r="G13" t="s">
        <v>162</v>
      </c>
      <c r="H13" s="308" t="s">
        <v>132</v>
      </c>
      <c r="I13" s="281"/>
      <c r="R13" s="19"/>
      <c r="S13" s="22"/>
      <c r="T13" s="19"/>
    </row>
    <row r="14" spans="2:25" x14ac:dyDescent="0.3">
      <c r="B14" s="242" t="s">
        <v>136</v>
      </c>
      <c r="C14" s="309"/>
      <c r="D14" s="306"/>
      <c r="E14" s="306"/>
      <c r="F14" s="306"/>
      <c r="G14" s="306" t="s">
        <v>133</v>
      </c>
      <c r="H14" s="310" t="s">
        <v>132</v>
      </c>
      <c r="I14" s="243"/>
      <c r="L14" s="26"/>
      <c r="R14" s="20"/>
      <c r="S14" s="23" t="s">
        <v>17</v>
      </c>
      <c r="T14" s="20"/>
    </row>
    <row r="15" spans="2:25" ht="15.6" x14ac:dyDescent="0.3">
      <c r="B15" s="280" t="s">
        <v>4</v>
      </c>
      <c r="C15" s="311" t="s">
        <v>172</v>
      </c>
      <c r="D15" s="312"/>
      <c r="G15" t="s">
        <v>165</v>
      </c>
      <c r="H15" s="313" t="s">
        <v>132</v>
      </c>
      <c r="I15" s="281"/>
    </row>
    <row r="16" spans="2:25" ht="16.8" x14ac:dyDescent="0.4">
      <c r="B16" s="295" t="s">
        <v>3</v>
      </c>
      <c r="C16" s="314"/>
      <c r="D16" s="306"/>
      <c r="E16" s="306"/>
      <c r="F16" s="306"/>
      <c r="G16" s="315" t="s">
        <v>127</v>
      </c>
      <c r="H16" s="316" t="s">
        <v>157</v>
      </c>
      <c r="I16" s="243"/>
    </row>
    <row r="17" spans="2:26" ht="15" thickBot="1" x14ac:dyDescent="0.35">
      <c r="B17" s="292" t="s">
        <v>13</v>
      </c>
      <c r="C17" s="293" t="s">
        <v>160</v>
      </c>
      <c r="D17" s="294"/>
      <c r="E17" s="116"/>
      <c r="F17" s="116"/>
      <c r="G17" s="339" t="s">
        <v>159</v>
      </c>
      <c r="H17" s="339"/>
      <c r="I17" s="340"/>
      <c r="J17" s="258"/>
      <c r="K17" s="258"/>
      <c r="U17" s="6"/>
      <c r="V17" s="6"/>
    </row>
    <row r="18" spans="2:26" ht="15.75" customHeight="1" thickBot="1" x14ac:dyDescent="0.35">
      <c r="K18" s="44"/>
      <c r="L18" s="5"/>
      <c r="W18" s="9"/>
      <c r="Y18" s="6"/>
      <c r="Z18" s="6"/>
    </row>
    <row r="19" spans="2:26" ht="13.5" customHeight="1" thickBot="1" x14ac:dyDescent="0.35">
      <c r="B19" s="341" t="s">
        <v>94</v>
      </c>
      <c r="C19" s="342"/>
      <c r="D19" s="342"/>
      <c r="E19" s="342"/>
      <c r="F19" s="342"/>
      <c r="G19" s="342"/>
      <c r="H19" s="342"/>
      <c r="I19" s="343"/>
      <c r="J19" s="259"/>
      <c r="K19" s="259"/>
      <c r="L19" s="5"/>
      <c r="M19" s="245"/>
      <c r="N19" s="14">
        <v>0.08</v>
      </c>
      <c r="O19" s="14"/>
      <c r="P19" s="14"/>
      <c r="Q19" s="246" t="s">
        <v>6</v>
      </c>
      <c r="R19" s="33" t="s">
        <v>20</v>
      </c>
      <c r="S19" s="34" t="s">
        <v>131</v>
      </c>
      <c r="T19" s="10" t="s">
        <v>134</v>
      </c>
      <c r="V19" s="9"/>
      <c r="W19" s="9"/>
      <c r="Y19" s="6"/>
      <c r="Z19" s="6"/>
    </row>
    <row r="20" spans="2:26" ht="17.399999999999999" x14ac:dyDescent="0.3">
      <c r="B20" s="322" t="s">
        <v>7</v>
      </c>
      <c r="C20" s="323" t="s">
        <v>1</v>
      </c>
      <c r="D20" s="323" t="s">
        <v>129</v>
      </c>
      <c r="E20" s="323" t="s">
        <v>11</v>
      </c>
      <c r="F20" s="323" t="s">
        <v>1</v>
      </c>
      <c r="G20" s="323" t="s">
        <v>8</v>
      </c>
      <c r="H20" s="323" t="s">
        <v>5</v>
      </c>
      <c r="I20" s="324" t="s">
        <v>6</v>
      </c>
      <c r="J20" s="260"/>
      <c r="K20" s="260"/>
      <c r="L20" s="44"/>
      <c r="M20" s="263" t="str">
        <f>B20</f>
        <v>UNIDAD</v>
      </c>
      <c r="N20" s="262" t="s">
        <v>129</v>
      </c>
      <c r="O20" s="36" t="str">
        <f t="shared" ref="O20" si="0">E20</f>
        <v>ANCHO</v>
      </c>
      <c r="P20" s="256" t="s">
        <v>130</v>
      </c>
      <c r="Q20" s="254" t="s">
        <v>16</v>
      </c>
      <c r="R20" s="247">
        <f>P107</f>
        <v>91532.992535271813</v>
      </c>
      <c r="S20" s="253">
        <v>2000</v>
      </c>
      <c r="T20" s="35"/>
      <c r="U20" s="14" t="s">
        <v>126</v>
      </c>
      <c r="V20" s="9"/>
      <c r="Y20" s="4"/>
    </row>
    <row r="21" spans="2:26" ht="17.399999999999999" x14ac:dyDescent="0.3">
      <c r="B21" s="326">
        <v>1</v>
      </c>
      <c r="C21" s="331" t="s">
        <v>174</v>
      </c>
      <c r="D21" s="355">
        <v>2.734</v>
      </c>
      <c r="E21" s="355">
        <v>0.6</v>
      </c>
      <c r="F21" s="332" t="s">
        <v>187</v>
      </c>
      <c r="G21" s="331" t="s">
        <v>173</v>
      </c>
      <c r="H21" s="337">
        <v>190576</v>
      </c>
      <c r="I21" s="337">
        <f t="shared" ref="I21:I45" si="1">H21*B21</f>
        <v>190576</v>
      </c>
      <c r="J21" s="297"/>
      <c r="K21" s="260"/>
      <c r="L21" s="44"/>
      <c r="M21" s="327"/>
      <c r="N21" s="328">
        <f t="shared" ref="N21" si="2">D21+N$19</f>
        <v>2.8140000000000001</v>
      </c>
      <c r="O21" s="36">
        <f t="shared" ref="O21" si="3">E21+$O$19</f>
        <v>0.6</v>
      </c>
      <c r="P21" s="256">
        <f t="shared" ref="P21" si="4">N21*O21</f>
        <v>1.6883999999999999</v>
      </c>
      <c r="Q21" s="254">
        <f>P21*M21</f>
        <v>0</v>
      </c>
      <c r="R21" s="247">
        <f t="shared" ref="R21" si="5">R$20*P21</f>
        <v>154544.30459655292</v>
      </c>
      <c r="S21" s="296">
        <f t="shared" ref="S21" si="6">R21+S$20</f>
        <v>156544.30459655292</v>
      </c>
      <c r="T21" s="284">
        <f t="shared" ref="T21:T30" si="7">N21*M21</f>
        <v>0</v>
      </c>
      <c r="U21" s="43"/>
      <c r="V21" s="9"/>
      <c r="Y21" s="4"/>
    </row>
    <row r="22" spans="2:26" ht="17.399999999999999" x14ac:dyDescent="0.3">
      <c r="B22" s="326">
        <v>1</v>
      </c>
      <c r="C22" s="331" t="s">
        <v>174</v>
      </c>
      <c r="D22" s="355">
        <v>1.546</v>
      </c>
      <c r="E22" s="355">
        <v>0.6</v>
      </c>
      <c r="F22" s="332" t="s">
        <v>187</v>
      </c>
      <c r="G22" s="331" t="s">
        <v>173</v>
      </c>
      <c r="H22" s="337">
        <v>107765</v>
      </c>
      <c r="I22" s="337">
        <f t="shared" si="1"/>
        <v>107765</v>
      </c>
      <c r="J22" s="297"/>
      <c r="K22" s="260" t="s">
        <v>178</v>
      </c>
      <c r="L22" s="44"/>
      <c r="M22" s="327"/>
      <c r="N22" s="328">
        <f t="shared" ref="N22:N30" si="8">D22+N$19</f>
        <v>1.6260000000000001</v>
      </c>
      <c r="O22" s="36">
        <f t="shared" ref="O22:O30" si="9">E22+$O$19</f>
        <v>0.6</v>
      </c>
      <c r="P22" s="256">
        <f t="shared" ref="P22:P30" si="10">N22*O22</f>
        <v>0.97560000000000002</v>
      </c>
      <c r="Q22" s="254">
        <f t="shared" ref="Q22:Q30" si="11">P22*M22</f>
        <v>0</v>
      </c>
      <c r="R22" s="247">
        <f t="shared" ref="R22:R30" si="12">R$20*P22</f>
        <v>89299.587517411186</v>
      </c>
      <c r="S22" s="296">
        <f t="shared" ref="S22:S30" si="13">R22+S$20</f>
        <v>91299.587517411186</v>
      </c>
      <c r="T22" s="284">
        <f t="shared" si="7"/>
        <v>0</v>
      </c>
      <c r="U22" s="43"/>
      <c r="V22" s="9"/>
      <c r="Y22" s="4"/>
    </row>
    <row r="23" spans="2:26" ht="17.399999999999999" x14ac:dyDescent="0.3">
      <c r="B23" s="326">
        <v>1</v>
      </c>
      <c r="C23" s="331" t="s">
        <v>174</v>
      </c>
      <c r="D23" s="355">
        <v>2.4500000000000002</v>
      </c>
      <c r="E23" s="355">
        <v>0.6</v>
      </c>
      <c r="F23" s="332" t="s">
        <v>187</v>
      </c>
      <c r="G23" s="331" t="s">
        <v>173</v>
      </c>
      <c r="H23" s="337">
        <v>170780</v>
      </c>
      <c r="I23" s="337">
        <f t="shared" si="1"/>
        <v>170780</v>
      </c>
      <c r="J23" s="297"/>
      <c r="K23" s="260"/>
      <c r="L23" s="44"/>
      <c r="M23" s="327"/>
      <c r="N23" s="328">
        <f t="shared" si="8"/>
        <v>2.5300000000000002</v>
      </c>
      <c r="O23" s="36">
        <f t="shared" si="9"/>
        <v>0.6</v>
      </c>
      <c r="P23" s="256">
        <f t="shared" si="10"/>
        <v>1.518</v>
      </c>
      <c r="Q23" s="254">
        <f t="shared" si="11"/>
        <v>0</v>
      </c>
      <c r="R23" s="247">
        <f t="shared" si="12"/>
        <v>138947.0826685426</v>
      </c>
      <c r="S23" s="296">
        <f t="shared" si="13"/>
        <v>140947.0826685426</v>
      </c>
      <c r="T23" s="284">
        <f t="shared" si="7"/>
        <v>0</v>
      </c>
      <c r="U23" s="43"/>
      <c r="V23" s="9"/>
      <c r="Y23" s="4"/>
    </row>
    <row r="24" spans="2:26" ht="17.399999999999999" x14ac:dyDescent="0.3">
      <c r="B24" s="326">
        <v>1</v>
      </c>
      <c r="C24" s="331" t="s">
        <v>174</v>
      </c>
      <c r="D24" s="355">
        <v>2.57</v>
      </c>
      <c r="E24" s="355">
        <v>0.6</v>
      </c>
      <c r="F24" s="332" t="s">
        <v>187</v>
      </c>
      <c r="G24" s="331" t="s">
        <v>173</v>
      </c>
      <c r="H24" s="337">
        <v>179144</v>
      </c>
      <c r="I24" s="337">
        <f t="shared" si="1"/>
        <v>179144</v>
      </c>
      <c r="J24" s="297"/>
      <c r="K24" s="260"/>
      <c r="L24" s="44"/>
      <c r="M24" s="327"/>
      <c r="N24" s="328">
        <f t="shared" si="8"/>
        <v>2.65</v>
      </c>
      <c r="O24" s="36">
        <f t="shared" si="9"/>
        <v>0.6</v>
      </c>
      <c r="P24" s="256">
        <f t="shared" si="10"/>
        <v>1.5899999999999999</v>
      </c>
      <c r="Q24" s="254">
        <f t="shared" si="11"/>
        <v>0</v>
      </c>
      <c r="R24" s="247">
        <f t="shared" si="12"/>
        <v>145537.45813108218</v>
      </c>
      <c r="S24" s="296">
        <f t="shared" si="13"/>
        <v>147537.45813108218</v>
      </c>
      <c r="T24" s="284">
        <f t="shared" si="7"/>
        <v>0</v>
      </c>
      <c r="U24" s="43"/>
      <c r="V24" s="9"/>
      <c r="Y24" s="4"/>
    </row>
    <row r="25" spans="2:26" ht="17.399999999999999" x14ac:dyDescent="0.3">
      <c r="B25" s="326">
        <v>1</v>
      </c>
      <c r="C25" s="331" t="s">
        <v>174</v>
      </c>
      <c r="D25" s="355">
        <v>2.5099999999999998</v>
      </c>
      <c r="E25" s="355">
        <v>0.6</v>
      </c>
      <c r="F25" s="332" t="s">
        <v>187</v>
      </c>
      <c r="G25" s="331" t="s">
        <v>173</v>
      </c>
      <c r="H25" s="337">
        <v>174962</v>
      </c>
      <c r="I25" s="337">
        <f t="shared" si="1"/>
        <v>174962</v>
      </c>
      <c r="J25" s="297"/>
      <c r="K25" s="260"/>
      <c r="L25" s="44"/>
      <c r="M25" s="327"/>
      <c r="N25" s="328">
        <f t="shared" si="8"/>
        <v>2.59</v>
      </c>
      <c r="O25" s="36">
        <f t="shared" si="9"/>
        <v>0.6</v>
      </c>
      <c r="P25" s="256">
        <f t="shared" si="10"/>
        <v>1.5539999999999998</v>
      </c>
      <c r="Q25" s="254">
        <f t="shared" si="11"/>
        <v>0</v>
      </c>
      <c r="R25" s="247">
        <f t="shared" si="12"/>
        <v>142242.27039981238</v>
      </c>
      <c r="S25" s="296">
        <f t="shared" si="13"/>
        <v>144242.27039981238</v>
      </c>
      <c r="T25" s="284">
        <f t="shared" si="7"/>
        <v>0</v>
      </c>
      <c r="U25" s="43"/>
      <c r="V25" s="9"/>
      <c r="Y25" s="4"/>
    </row>
    <row r="26" spans="2:26" ht="17.399999999999999" x14ac:dyDescent="0.3">
      <c r="B26" s="326">
        <v>1</v>
      </c>
      <c r="C26" s="331" t="s">
        <v>174</v>
      </c>
      <c r="D26" s="355">
        <v>2.5960000000000001</v>
      </c>
      <c r="E26" s="355">
        <v>0.6</v>
      </c>
      <c r="F26" s="332" t="s">
        <v>187</v>
      </c>
      <c r="G26" s="331" t="s">
        <v>173</v>
      </c>
      <c r="H26" s="337">
        <v>180957</v>
      </c>
      <c r="I26" s="337">
        <f t="shared" si="1"/>
        <v>180957</v>
      </c>
      <c r="J26" s="297"/>
      <c r="K26" s="260"/>
      <c r="L26" s="44"/>
      <c r="M26" s="327"/>
      <c r="N26" s="328">
        <f t="shared" si="8"/>
        <v>2.6760000000000002</v>
      </c>
      <c r="O26" s="36">
        <f t="shared" si="9"/>
        <v>0.6</v>
      </c>
      <c r="P26" s="256">
        <f t="shared" si="10"/>
        <v>1.6056000000000001</v>
      </c>
      <c r="Q26" s="254">
        <f t="shared" si="11"/>
        <v>0</v>
      </c>
      <c r="R26" s="247">
        <f t="shared" si="12"/>
        <v>146965.37281463243</v>
      </c>
      <c r="S26" s="296">
        <f t="shared" si="13"/>
        <v>148965.37281463243</v>
      </c>
      <c r="T26" s="284">
        <f t="shared" si="7"/>
        <v>0</v>
      </c>
      <c r="U26" s="43"/>
      <c r="V26" s="9"/>
      <c r="Y26" s="4"/>
    </row>
    <row r="27" spans="2:26" ht="17.399999999999999" x14ac:dyDescent="0.3">
      <c r="B27" s="326">
        <v>1</v>
      </c>
      <c r="C27" s="331" t="s">
        <v>174</v>
      </c>
      <c r="D27" s="355">
        <v>2.2599999999999998</v>
      </c>
      <c r="E27" s="355">
        <v>0.6</v>
      </c>
      <c r="F27" s="332" t="s">
        <v>187</v>
      </c>
      <c r="G27" s="331" t="s">
        <v>173</v>
      </c>
      <c r="H27" s="337">
        <v>157536</v>
      </c>
      <c r="I27" s="337">
        <f t="shared" si="1"/>
        <v>157536</v>
      </c>
      <c r="J27" s="297"/>
      <c r="K27" s="260"/>
      <c r="L27" s="44"/>
      <c r="M27" s="327"/>
      <c r="N27" s="328">
        <f t="shared" si="8"/>
        <v>2.34</v>
      </c>
      <c r="O27" s="36">
        <f t="shared" si="9"/>
        <v>0.6</v>
      </c>
      <c r="P27" s="256">
        <f t="shared" si="10"/>
        <v>1.4039999999999999</v>
      </c>
      <c r="Q27" s="254">
        <f t="shared" si="11"/>
        <v>0</v>
      </c>
      <c r="R27" s="247">
        <f t="shared" si="12"/>
        <v>128512.32151952162</v>
      </c>
      <c r="S27" s="296">
        <f t="shared" si="13"/>
        <v>130512.32151952162</v>
      </c>
      <c r="T27" s="284">
        <f t="shared" si="7"/>
        <v>0</v>
      </c>
      <c r="U27" s="43"/>
      <c r="V27" s="9"/>
      <c r="Y27" s="4"/>
    </row>
    <row r="28" spans="2:26" ht="17.399999999999999" x14ac:dyDescent="0.3">
      <c r="B28" s="326">
        <v>1</v>
      </c>
      <c r="C28" s="331" t="s">
        <v>174</v>
      </c>
      <c r="D28" s="355">
        <v>2.4</v>
      </c>
      <c r="E28" s="355">
        <v>0.6</v>
      </c>
      <c r="F28" s="332" t="s">
        <v>187</v>
      </c>
      <c r="G28" s="331" t="s">
        <v>173</v>
      </c>
      <c r="H28" s="337">
        <v>167294</v>
      </c>
      <c r="I28" s="337">
        <f t="shared" si="1"/>
        <v>167294</v>
      </c>
      <c r="J28" s="297"/>
      <c r="K28" s="260"/>
      <c r="L28" s="44"/>
      <c r="M28" s="327"/>
      <c r="N28" s="328">
        <f t="shared" si="8"/>
        <v>2.48</v>
      </c>
      <c r="O28" s="36">
        <f t="shared" si="9"/>
        <v>0.6</v>
      </c>
      <c r="P28" s="256">
        <f t="shared" si="10"/>
        <v>1.488</v>
      </c>
      <c r="Q28" s="254">
        <f t="shared" si="11"/>
        <v>0</v>
      </c>
      <c r="R28" s="247">
        <f t="shared" si="12"/>
        <v>136201.09289248445</v>
      </c>
      <c r="S28" s="296">
        <f t="shared" si="13"/>
        <v>138201.09289248445</v>
      </c>
      <c r="T28" s="284">
        <f t="shared" si="7"/>
        <v>0</v>
      </c>
      <c r="U28" s="43"/>
      <c r="V28" s="9"/>
      <c r="Y28" s="4"/>
    </row>
    <row r="29" spans="2:26" ht="17.399999999999999" x14ac:dyDescent="0.3">
      <c r="B29" s="326">
        <v>1</v>
      </c>
      <c r="C29" s="331" t="s">
        <v>174</v>
      </c>
      <c r="D29" s="355">
        <v>1.893</v>
      </c>
      <c r="E29" s="355">
        <v>0.6</v>
      </c>
      <c r="F29" s="332" t="s">
        <v>188</v>
      </c>
      <c r="G29" s="331" t="s">
        <v>173</v>
      </c>
      <c r="H29" s="337">
        <v>131954</v>
      </c>
      <c r="I29" s="337">
        <f t="shared" si="1"/>
        <v>131954</v>
      </c>
      <c r="J29" s="297"/>
      <c r="K29" s="260"/>
      <c r="L29" s="44"/>
      <c r="M29" s="327"/>
      <c r="N29" s="328">
        <f t="shared" si="8"/>
        <v>1.9730000000000001</v>
      </c>
      <c r="O29" s="36">
        <f t="shared" si="9"/>
        <v>0.6</v>
      </c>
      <c r="P29" s="256">
        <f t="shared" si="10"/>
        <v>1.1838</v>
      </c>
      <c r="Q29" s="254">
        <f t="shared" si="11"/>
        <v>0</v>
      </c>
      <c r="R29" s="247">
        <f t="shared" si="12"/>
        <v>108356.75656325476</v>
      </c>
      <c r="S29" s="296">
        <f t="shared" si="13"/>
        <v>110356.75656325476</v>
      </c>
      <c r="T29" s="284">
        <f t="shared" si="7"/>
        <v>0</v>
      </c>
      <c r="U29" s="43"/>
      <c r="V29" s="9"/>
      <c r="Y29" s="4"/>
    </row>
    <row r="30" spans="2:26" ht="17.399999999999999" x14ac:dyDescent="0.3">
      <c r="B30" s="326">
        <v>1</v>
      </c>
      <c r="C30" s="331" t="s">
        <v>174</v>
      </c>
      <c r="D30" s="355">
        <v>1.61</v>
      </c>
      <c r="E30" s="355">
        <v>0.6</v>
      </c>
      <c r="F30" s="332" t="s">
        <v>188</v>
      </c>
      <c r="G30" s="331" t="s">
        <v>173</v>
      </c>
      <c r="H30" s="337">
        <v>114775</v>
      </c>
      <c r="I30" s="337">
        <f t="shared" si="1"/>
        <v>114775</v>
      </c>
      <c r="J30" s="297"/>
      <c r="K30" s="260"/>
      <c r="L30" s="44"/>
      <c r="M30" s="327"/>
      <c r="N30" s="328">
        <f t="shared" si="8"/>
        <v>1.6900000000000002</v>
      </c>
      <c r="O30" s="36">
        <f t="shared" si="9"/>
        <v>0.6</v>
      </c>
      <c r="P30" s="256">
        <f t="shared" si="10"/>
        <v>1.014</v>
      </c>
      <c r="Q30" s="254">
        <f t="shared" si="11"/>
        <v>0</v>
      </c>
      <c r="R30" s="247">
        <f t="shared" si="12"/>
        <v>92814.454430765618</v>
      </c>
      <c r="S30" s="296">
        <f t="shared" si="13"/>
        <v>94814.454430765618</v>
      </c>
      <c r="T30" s="284">
        <f t="shared" si="7"/>
        <v>0</v>
      </c>
      <c r="U30" s="43"/>
      <c r="V30" s="9"/>
      <c r="Y30" s="4"/>
    </row>
    <row r="31" spans="2:26" ht="17.399999999999999" x14ac:dyDescent="0.3">
      <c r="B31" s="326">
        <v>3</v>
      </c>
      <c r="C31" s="331" t="s">
        <v>176</v>
      </c>
      <c r="D31" s="355">
        <v>0.9</v>
      </c>
      <c r="E31" s="355">
        <v>0.6</v>
      </c>
      <c r="F31" s="332" t="s">
        <v>175</v>
      </c>
      <c r="G31" s="331" t="s">
        <v>173</v>
      </c>
      <c r="H31" s="337">
        <v>55759</v>
      </c>
      <c r="I31" s="337">
        <f t="shared" si="1"/>
        <v>167277</v>
      </c>
      <c r="J31" s="297"/>
      <c r="K31" s="260" t="s">
        <v>179</v>
      </c>
      <c r="L31" s="44"/>
      <c r="M31" s="327"/>
      <c r="N31" s="36">
        <f t="shared" ref="N31:N42" si="14">D31+N$19</f>
        <v>0.98</v>
      </c>
      <c r="O31" s="36">
        <f t="shared" ref="O31:O42" si="15">E31+$O$19</f>
        <v>0.6</v>
      </c>
      <c r="P31" s="256">
        <f t="shared" ref="P31:P42" si="16">N31*O31</f>
        <v>0.58799999999999997</v>
      </c>
      <c r="Q31" s="254">
        <f t="shared" ref="Q31:Q42" si="17">P31*M31</f>
        <v>0</v>
      </c>
      <c r="R31" s="247">
        <f t="shared" ref="R31:R42" si="18">R$20*P31</f>
        <v>53821.39961073982</v>
      </c>
      <c r="S31" s="296">
        <f t="shared" ref="S31:S42" si="19">R31+S$20</f>
        <v>55821.39961073982</v>
      </c>
      <c r="T31" s="284">
        <f t="shared" ref="T31:T41" si="20">N31*M31</f>
        <v>0</v>
      </c>
      <c r="U31" s="43"/>
      <c r="V31" s="9"/>
      <c r="Y31" s="4"/>
    </row>
    <row r="32" spans="2:26" ht="17.399999999999999" x14ac:dyDescent="0.3">
      <c r="B32" s="326">
        <v>1</v>
      </c>
      <c r="C32" s="331" t="s">
        <v>176</v>
      </c>
      <c r="D32" s="355">
        <v>2.16</v>
      </c>
      <c r="E32" s="355">
        <v>0.6</v>
      </c>
      <c r="F32" s="332" t="s">
        <v>175</v>
      </c>
      <c r="G32" s="331" t="s">
        <v>173</v>
      </c>
      <c r="H32" s="337">
        <v>108395</v>
      </c>
      <c r="I32" s="337">
        <f t="shared" si="1"/>
        <v>108395</v>
      </c>
      <c r="J32" s="297"/>
      <c r="K32" s="260"/>
      <c r="L32" s="44"/>
      <c r="M32" s="327"/>
      <c r="N32" s="36">
        <f t="shared" si="14"/>
        <v>2.2400000000000002</v>
      </c>
      <c r="O32" s="36">
        <f t="shared" si="15"/>
        <v>0.6</v>
      </c>
      <c r="P32" s="256">
        <f t="shared" si="16"/>
        <v>1.3440000000000001</v>
      </c>
      <c r="Q32" s="254">
        <f t="shared" si="17"/>
        <v>0</v>
      </c>
      <c r="R32" s="247">
        <f t="shared" si="18"/>
        <v>123020.34196740533</v>
      </c>
      <c r="S32" s="296">
        <f t="shared" si="19"/>
        <v>125020.34196740533</v>
      </c>
      <c r="T32" s="284">
        <f t="shared" si="20"/>
        <v>0</v>
      </c>
      <c r="U32" s="43"/>
      <c r="V32" s="9"/>
      <c r="Y32" s="4"/>
    </row>
    <row r="33" spans="2:25" ht="17.399999999999999" x14ac:dyDescent="0.3">
      <c r="B33" s="326">
        <v>1</v>
      </c>
      <c r="C33" s="331" t="s">
        <v>176</v>
      </c>
      <c r="D33" s="355">
        <v>2.62</v>
      </c>
      <c r="E33" s="355">
        <v>0.6</v>
      </c>
      <c r="F33" s="332" t="s">
        <v>175</v>
      </c>
      <c r="G33" s="331" t="s">
        <v>173</v>
      </c>
      <c r="H33" s="337">
        <v>131479</v>
      </c>
      <c r="I33" s="337">
        <f t="shared" si="1"/>
        <v>131479</v>
      </c>
      <c r="J33" s="297"/>
      <c r="K33" s="260"/>
      <c r="L33" s="44"/>
      <c r="M33" s="327"/>
      <c r="N33" s="36">
        <f t="shared" si="14"/>
        <v>2.7</v>
      </c>
      <c r="O33" s="36">
        <f t="shared" si="15"/>
        <v>0.6</v>
      </c>
      <c r="P33" s="256">
        <f t="shared" si="16"/>
        <v>1.62</v>
      </c>
      <c r="Q33" s="254">
        <f t="shared" si="17"/>
        <v>0</v>
      </c>
      <c r="R33" s="247">
        <f t="shared" si="18"/>
        <v>148283.44790714033</v>
      </c>
      <c r="S33" s="296">
        <f t="shared" si="19"/>
        <v>150283.44790714033</v>
      </c>
      <c r="T33" s="284">
        <f t="shared" si="20"/>
        <v>0</v>
      </c>
      <c r="U33" s="43"/>
      <c r="V33" s="9"/>
      <c r="Y33" s="4"/>
    </row>
    <row r="34" spans="2:25" ht="17.399999999999999" x14ac:dyDescent="0.3">
      <c r="B34" s="326">
        <v>1</v>
      </c>
      <c r="C34" s="331" t="s">
        <v>176</v>
      </c>
      <c r="D34" s="355">
        <v>1.92</v>
      </c>
      <c r="E34" s="355">
        <v>0.6</v>
      </c>
      <c r="F34" s="332" t="s">
        <v>175</v>
      </c>
      <c r="G34" s="331" t="s">
        <v>173</v>
      </c>
      <c r="H34" s="337">
        <v>96351</v>
      </c>
      <c r="I34" s="337">
        <f t="shared" si="1"/>
        <v>96351</v>
      </c>
      <c r="J34" s="297"/>
      <c r="K34" s="260"/>
      <c r="L34" s="44"/>
      <c r="M34" s="327"/>
      <c r="N34" s="36">
        <f t="shared" si="14"/>
        <v>2</v>
      </c>
      <c r="O34" s="36">
        <f t="shared" si="15"/>
        <v>0.6</v>
      </c>
      <c r="P34" s="256">
        <f t="shared" si="16"/>
        <v>1.2</v>
      </c>
      <c r="Q34" s="254">
        <f t="shared" si="17"/>
        <v>0</v>
      </c>
      <c r="R34" s="247">
        <f t="shared" si="18"/>
        <v>109839.59104232617</v>
      </c>
      <c r="S34" s="296">
        <f t="shared" si="19"/>
        <v>111839.59104232617</v>
      </c>
      <c r="T34" s="284">
        <f t="shared" si="20"/>
        <v>0</v>
      </c>
      <c r="U34" s="43"/>
      <c r="V34" s="9"/>
      <c r="Y34" s="4"/>
    </row>
    <row r="35" spans="2:25" ht="17.399999999999999" x14ac:dyDescent="0.3">
      <c r="B35" s="326">
        <v>1</v>
      </c>
      <c r="C35" s="331" t="s">
        <v>176</v>
      </c>
      <c r="D35" s="355">
        <v>1.0289999999999999</v>
      </c>
      <c r="E35" s="355">
        <v>0.6</v>
      </c>
      <c r="F35" s="332" t="s">
        <v>175</v>
      </c>
      <c r="G35" s="331" t="s">
        <v>173</v>
      </c>
      <c r="H35" s="337">
        <v>51638</v>
      </c>
      <c r="I35" s="337">
        <f t="shared" si="1"/>
        <v>51638</v>
      </c>
      <c r="J35" s="297"/>
      <c r="K35" s="260"/>
      <c r="L35" s="44"/>
      <c r="M35" s="327"/>
      <c r="N35" s="36">
        <f t="shared" si="14"/>
        <v>1.109</v>
      </c>
      <c r="O35" s="36">
        <f t="shared" si="15"/>
        <v>0.6</v>
      </c>
      <c r="P35" s="256">
        <f t="shared" si="16"/>
        <v>0.66539999999999999</v>
      </c>
      <c r="Q35" s="254">
        <f t="shared" si="17"/>
        <v>0</v>
      </c>
      <c r="R35" s="247">
        <f t="shared" si="18"/>
        <v>60906.053232969862</v>
      </c>
      <c r="S35" s="296">
        <f t="shared" si="19"/>
        <v>62906.053232969862</v>
      </c>
      <c r="T35" s="284">
        <f t="shared" si="20"/>
        <v>0</v>
      </c>
      <c r="U35" s="43"/>
      <c r="V35" s="9"/>
      <c r="Y35" s="4"/>
    </row>
    <row r="36" spans="2:25" ht="17.399999999999999" x14ac:dyDescent="0.3">
      <c r="B36" s="326">
        <v>1</v>
      </c>
      <c r="C36" s="331" t="s">
        <v>176</v>
      </c>
      <c r="D36" s="355">
        <v>1.925</v>
      </c>
      <c r="E36" s="355">
        <v>0.6</v>
      </c>
      <c r="F36" s="332" t="s">
        <v>203</v>
      </c>
      <c r="G36" s="331" t="s">
        <v>173</v>
      </c>
      <c r="H36" s="337">
        <v>96602</v>
      </c>
      <c r="I36" s="337">
        <f t="shared" si="1"/>
        <v>96602</v>
      </c>
      <c r="J36" s="297"/>
      <c r="K36" s="260"/>
      <c r="L36" s="44"/>
      <c r="M36" s="327"/>
      <c r="N36" s="36">
        <f t="shared" si="14"/>
        <v>2.0049999999999999</v>
      </c>
      <c r="O36" s="36">
        <f t="shared" si="15"/>
        <v>0.6</v>
      </c>
      <c r="P36" s="256">
        <f t="shared" si="16"/>
        <v>1.2029999999999998</v>
      </c>
      <c r="Q36" s="254">
        <f t="shared" si="17"/>
        <v>0</v>
      </c>
      <c r="R36" s="247">
        <f t="shared" si="18"/>
        <v>110114.19001993198</v>
      </c>
      <c r="S36" s="296">
        <f t="shared" si="19"/>
        <v>112114.19001993198</v>
      </c>
      <c r="T36" s="284">
        <f t="shared" si="20"/>
        <v>0</v>
      </c>
      <c r="U36" s="43"/>
      <c r="V36" s="9"/>
      <c r="Y36" s="4"/>
    </row>
    <row r="37" spans="2:25" ht="17.399999999999999" x14ac:dyDescent="0.3">
      <c r="B37" s="326">
        <v>1</v>
      </c>
      <c r="C37" s="331" t="s">
        <v>176</v>
      </c>
      <c r="D37" s="355">
        <v>1.5529999999999999</v>
      </c>
      <c r="E37" s="355">
        <v>0.6</v>
      </c>
      <c r="F37" s="332" t="s">
        <v>204</v>
      </c>
      <c r="G37" s="331" t="s">
        <v>173</v>
      </c>
      <c r="H37" s="337">
        <v>77934</v>
      </c>
      <c r="I37" s="337">
        <f t="shared" si="1"/>
        <v>77934</v>
      </c>
      <c r="J37" s="297"/>
      <c r="K37" s="260"/>
      <c r="L37" s="44"/>
      <c r="M37" s="327"/>
      <c r="N37" s="36">
        <f t="shared" si="14"/>
        <v>1.633</v>
      </c>
      <c r="O37" s="36">
        <f t="shared" si="15"/>
        <v>0.6</v>
      </c>
      <c r="P37" s="256">
        <f t="shared" si="16"/>
        <v>0.9798</v>
      </c>
      <c r="Q37" s="254">
        <f t="shared" si="17"/>
        <v>0</v>
      </c>
      <c r="R37" s="247">
        <f t="shared" si="18"/>
        <v>89684.026086059326</v>
      </c>
      <c r="S37" s="296">
        <f t="shared" si="19"/>
        <v>91684.026086059326</v>
      </c>
      <c r="T37" s="284">
        <f t="shared" si="20"/>
        <v>0</v>
      </c>
      <c r="U37" s="43"/>
      <c r="V37" s="9"/>
      <c r="Y37" s="4"/>
    </row>
    <row r="38" spans="2:25" ht="17.399999999999999" x14ac:dyDescent="0.3">
      <c r="B38" s="326">
        <v>1</v>
      </c>
      <c r="C38" s="331" t="s">
        <v>176</v>
      </c>
      <c r="D38" s="355">
        <v>1.966</v>
      </c>
      <c r="E38" s="355">
        <v>0.6</v>
      </c>
      <c r="F38" s="332" t="s">
        <v>175</v>
      </c>
      <c r="G38" s="331" t="s">
        <v>173</v>
      </c>
      <c r="H38" s="337">
        <v>98660</v>
      </c>
      <c r="I38" s="337">
        <f t="shared" si="1"/>
        <v>98660</v>
      </c>
      <c r="J38" s="297"/>
      <c r="K38" s="260"/>
      <c r="L38" s="44"/>
      <c r="M38" s="327"/>
      <c r="N38" s="36">
        <f t="shared" si="14"/>
        <v>2.0459999999999998</v>
      </c>
      <c r="O38" s="36">
        <f t="shared" si="15"/>
        <v>0.6</v>
      </c>
      <c r="P38" s="256">
        <f t="shared" si="16"/>
        <v>1.2275999999999998</v>
      </c>
      <c r="Q38" s="254">
        <f t="shared" si="17"/>
        <v>0</v>
      </c>
      <c r="R38" s="247">
        <f t="shared" si="18"/>
        <v>112365.90163629966</v>
      </c>
      <c r="S38" s="296">
        <f t="shared" si="19"/>
        <v>114365.90163629966</v>
      </c>
      <c r="T38" s="284">
        <f t="shared" si="20"/>
        <v>0</v>
      </c>
      <c r="U38" s="43"/>
      <c r="V38" s="9"/>
      <c r="Y38" s="4"/>
    </row>
    <row r="39" spans="2:25" ht="17.399999999999999" x14ac:dyDescent="0.3">
      <c r="B39" s="326">
        <v>1</v>
      </c>
      <c r="C39" s="331" t="s">
        <v>176</v>
      </c>
      <c r="D39" s="355">
        <v>1.032</v>
      </c>
      <c r="E39" s="355">
        <v>0.6</v>
      </c>
      <c r="F39" s="332" t="s">
        <v>175</v>
      </c>
      <c r="G39" s="331" t="s">
        <v>173</v>
      </c>
      <c r="H39" s="337">
        <v>51789</v>
      </c>
      <c r="I39" s="337">
        <f t="shared" si="1"/>
        <v>51789</v>
      </c>
      <c r="J39" s="297"/>
      <c r="K39" s="353">
        <v>3</v>
      </c>
      <c r="L39" s="44"/>
      <c r="M39" s="327"/>
      <c r="N39" s="36">
        <f t="shared" si="14"/>
        <v>1.1120000000000001</v>
      </c>
      <c r="O39" s="36">
        <f t="shared" si="15"/>
        <v>0.6</v>
      </c>
      <c r="P39" s="256">
        <f t="shared" si="16"/>
        <v>0.66720000000000002</v>
      </c>
      <c r="Q39" s="254">
        <f t="shared" si="17"/>
        <v>0</v>
      </c>
      <c r="R39" s="247">
        <f t="shared" si="18"/>
        <v>61070.812619533353</v>
      </c>
      <c r="S39" s="296">
        <f t="shared" si="19"/>
        <v>63070.812619533353</v>
      </c>
      <c r="T39" s="284">
        <f t="shared" si="20"/>
        <v>0</v>
      </c>
      <c r="U39" s="43"/>
      <c r="V39" s="9"/>
      <c r="Y39" s="4"/>
    </row>
    <row r="40" spans="2:25" ht="17.399999999999999" x14ac:dyDescent="0.3">
      <c r="B40" s="326">
        <v>1</v>
      </c>
      <c r="C40" s="331" t="s">
        <v>176</v>
      </c>
      <c r="D40" s="355">
        <v>2.7090000000000001</v>
      </c>
      <c r="E40" s="355">
        <v>0.6</v>
      </c>
      <c r="F40" s="332" t="s">
        <v>175</v>
      </c>
      <c r="G40" s="331" t="s">
        <v>173</v>
      </c>
      <c r="H40" s="337">
        <v>168085</v>
      </c>
      <c r="I40" s="337">
        <f t="shared" si="1"/>
        <v>168085</v>
      </c>
      <c r="J40" s="297"/>
      <c r="K40" s="352">
        <v>17</v>
      </c>
      <c r="L40" s="44"/>
      <c r="M40" s="327"/>
      <c r="N40" s="36">
        <f t="shared" si="14"/>
        <v>2.7890000000000001</v>
      </c>
      <c r="O40" s="36">
        <f t="shared" si="15"/>
        <v>0.6</v>
      </c>
      <c r="P40" s="256">
        <f t="shared" si="16"/>
        <v>1.6734</v>
      </c>
      <c r="Q40" s="254">
        <f t="shared" si="17"/>
        <v>0</v>
      </c>
      <c r="R40" s="247">
        <f t="shared" si="18"/>
        <v>153171.30970852386</v>
      </c>
      <c r="S40" s="296">
        <f t="shared" si="19"/>
        <v>155171.30970852386</v>
      </c>
      <c r="T40" s="284">
        <f t="shared" si="20"/>
        <v>0</v>
      </c>
      <c r="U40" s="43"/>
      <c r="V40" s="9"/>
      <c r="Y40" s="4"/>
    </row>
    <row r="41" spans="2:25" ht="17.399999999999999" x14ac:dyDescent="0.3">
      <c r="B41" s="326">
        <v>1</v>
      </c>
      <c r="C41" s="331" t="s">
        <v>176</v>
      </c>
      <c r="D41" s="355">
        <v>1.121</v>
      </c>
      <c r="E41" s="355">
        <v>0.6</v>
      </c>
      <c r="F41" s="332" t="s">
        <v>175</v>
      </c>
      <c r="G41" s="331" t="s">
        <v>173</v>
      </c>
      <c r="H41" s="337">
        <v>69555</v>
      </c>
      <c r="I41" s="337">
        <f t="shared" si="1"/>
        <v>69555</v>
      </c>
      <c r="J41" s="297"/>
      <c r="K41" s="351">
        <v>12</v>
      </c>
      <c r="L41" s="44"/>
      <c r="M41" s="327"/>
      <c r="N41" s="36">
        <f t="shared" si="14"/>
        <v>1.2010000000000001</v>
      </c>
      <c r="O41" s="36">
        <f t="shared" si="15"/>
        <v>0.6</v>
      </c>
      <c r="P41" s="256">
        <f t="shared" si="16"/>
        <v>0.72060000000000002</v>
      </c>
      <c r="Q41" s="254">
        <f t="shared" si="17"/>
        <v>0</v>
      </c>
      <c r="R41" s="247">
        <f t="shared" si="18"/>
        <v>65958.674420916868</v>
      </c>
      <c r="S41" s="296">
        <f t="shared" si="19"/>
        <v>67958.674420916868</v>
      </c>
      <c r="T41" s="284">
        <f t="shared" si="20"/>
        <v>0</v>
      </c>
      <c r="U41" s="43"/>
      <c r="V41" s="9"/>
      <c r="Y41" s="4"/>
    </row>
    <row r="42" spans="2:25" ht="17.399999999999999" x14ac:dyDescent="0.3">
      <c r="B42" s="326">
        <v>1</v>
      </c>
      <c r="C42" s="331" t="s">
        <v>176</v>
      </c>
      <c r="D42" s="355">
        <v>1.2969999999999999</v>
      </c>
      <c r="E42" s="355">
        <v>0.6</v>
      </c>
      <c r="F42" s="332" t="s">
        <v>191</v>
      </c>
      <c r="G42" s="331" t="s">
        <v>173</v>
      </c>
      <c r="H42" s="337">
        <v>77537</v>
      </c>
      <c r="I42" s="337">
        <f t="shared" si="1"/>
        <v>77537</v>
      </c>
      <c r="J42" s="297"/>
      <c r="K42" s="354">
        <v>0.5</v>
      </c>
      <c r="L42" s="44"/>
      <c r="M42" s="327">
        <f t="shared" ref="M42:M53" si="21">B42</f>
        <v>1</v>
      </c>
      <c r="N42" s="36">
        <f t="shared" si="14"/>
        <v>1.377</v>
      </c>
      <c r="O42" s="36">
        <f t="shared" si="15"/>
        <v>0.6</v>
      </c>
      <c r="P42" s="256">
        <f t="shared" si="16"/>
        <v>0.82619999999999993</v>
      </c>
      <c r="Q42" s="254">
        <f t="shared" si="17"/>
        <v>0.82619999999999993</v>
      </c>
      <c r="R42" s="247">
        <f t="shared" si="18"/>
        <v>75624.55843264157</v>
      </c>
      <c r="S42" s="296">
        <f t="shared" si="19"/>
        <v>77624.55843264157</v>
      </c>
      <c r="T42" s="284"/>
      <c r="U42" s="43"/>
      <c r="V42" s="9"/>
      <c r="Y42" s="4"/>
    </row>
    <row r="43" spans="2:25" ht="17.399999999999999" x14ac:dyDescent="0.3">
      <c r="B43" s="326">
        <v>1</v>
      </c>
      <c r="C43" s="331" t="s">
        <v>194</v>
      </c>
      <c r="D43" s="355">
        <v>2.0329999999999999</v>
      </c>
      <c r="E43" s="355">
        <v>0.6</v>
      </c>
      <c r="F43" s="332" t="s">
        <v>192</v>
      </c>
      <c r="G43" s="331" t="s">
        <v>173</v>
      </c>
      <c r="H43" s="337">
        <v>125953</v>
      </c>
      <c r="I43" s="337">
        <f>H43*B43</f>
        <v>125953</v>
      </c>
      <c r="J43" s="297"/>
      <c r="K43" s="260">
        <f>SUM(K39:K42)</f>
        <v>32.5</v>
      </c>
      <c r="L43" s="44"/>
      <c r="M43" s="327">
        <f t="shared" si="21"/>
        <v>1</v>
      </c>
      <c r="N43" s="36">
        <f t="shared" ref="N43:N53" si="22">D43+N$19</f>
        <v>2.113</v>
      </c>
      <c r="O43" s="36">
        <f t="shared" ref="O43:O53" si="23">E43+$O$19</f>
        <v>0.6</v>
      </c>
      <c r="P43" s="256">
        <f t="shared" ref="P43:P53" si="24">N43*O43</f>
        <v>1.2678</v>
      </c>
      <c r="Q43" s="254">
        <f t="shared" ref="Q43:Q53" si="25">P43*M43</f>
        <v>1.2678</v>
      </c>
      <c r="R43" s="247">
        <f t="shared" ref="R43:R53" si="26">R$20*P43</f>
        <v>116045.52793621761</v>
      </c>
      <c r="S43" s="296">
        <f t="shared" ref="S43:S53" si="27">R43+S$20</f>
        <v>118045.52793621761</v>
      </c>
      <c r="T43" s="284"/>
      <c r="U43" s="43"/>
      <c r="V43" s="9"/>
      <c r="Y43" s="4"/>
    </row>
    <row r="44" spans="2:25" ht="17.399999999999999" x14ac:dyDescent="0.3">
      <c r="B44" s="326">
        <v>1</v>
      </c>
      <c r="C44" s="331" t="s">
        <v>194</v>
      </c>
      <c r="D44" s="355">
        <v>1.7</v>
      </c>
      <c r="E44" s="355">
        <v>0.6</v>
      </c>
      <c r="F44" s="332" t="s">
        <v>193</v>
      </c>
      <c r="G44" s="331" t="s">
        <v>173</v>
      </c>
      <c r="H44" s="337">
        <v>99645</v>
      </c>
      <c r="I44" s="337">
        <f t="shared" ref="I44" si="28">H44*B44</f>
        <v>99645</v>
      </c>
      <c r="J44" s="297"/>
      <c r="K44" s="260"/>
      <c r="L44" s="44"/>
      <c r="M44" s="327">
        <f t="shared" si="21"/>
        <v>1</v>
      </c>
      <c r="N44" s="36">
        <f t="shared" si="22"/>
        <v>1.78</v>
      </c>
      <c r="O44" s="36">
        <f t="shared" si="23"/>
        <v>0.6</v>
      </c>
      <c r="P44" s="256">
        <f t="shared" si="24"/>
        <v>1.0680000000000001</v>
      </c>
      <c r="Q44" s="254">
        <f t="shared" si="25"/>
        <v>1.0680000000000001</v>
      </c>
      <c r="R44" s="247">
        <f t="shared" si="26"/>
        <v>97757.236027670297</v>
      </c>
      <c r="S44" s="296">
        <f t="shared" si="27"/>
        <v>99757.236027670297</v>
      </c>
      <c r="T44" s="284"/>
      <c r="U44" s="43"/>
      <c r="V44" s="9"/>
      <c r="Y44" s="4"/>
    </row>
    <row r="45" spans="2:25" ht="17.399999999999999" x14ac:dyDescent="0.3">
      <c r="B45" s="326">
        <v>2</v>
      </c>
      <c r="C45" s="331" t="s">
        <v>176</v>
      </c>
      <c r="D45" s="355">
        <v>1.83</v>
      </c>
      <c r="E45" s="355">
        <v>0.6</v>
      </c>
      <c r="F45" s="332" t="s">
        <v>177</v>
      </c>
      <c r="G45" s="331" t="s">
        <v>173</v>
      </c>
      <c r="H45" s="337">
        <v>113377</v>
      </c>
      <c r="I45" s="337">
        <f t="shared" si="1"/>
        <v>226754</v>
      </c>
      <c r="J45" s="297"/>
      <c r="K45" s="260"/>
      <c r="L45" s="44"/>
      <c r="M45" s="327">
        <f t="shared" si="21"/>
        <v>2</v>
      </c>
      <c r="N45" s="36">
        <f t="shared" si="22"/>
        <v>1.9100000000000001</v>
      </c>
      <c r="O45" s="36">
        <f t="shared" si="23"/>
        <v>0.6</v>
      </c>
      <c r="P45" s="256">
        <f t="shared" si="24"/>
        <v>1.1460000000000001</v>
      </c>
      <c r="Q45" s="254">
        <f t="shared" si="25"/>
        <v>2.2920000000000003</v>
      </c>
      <c r="R45" s="247">
        <f t="shared" si="26"/>
        <v>104896.8094454215</v>
      </c>
      <c r="S45" s="296">
        <f t="shared" si="27"/>
        <v>106896.8094454215</v>
      </c>
      <c r="T45" s="284"/>
      <c r="U45" s="43"/>
      <c r="V45" s="9"/>
      <c r="Y45" s="4"/>
    </row>
    <row r="46" spans="2:25" ht="17.399999999999999" x14ac:dyDescent="0.3">
      <c r="B46" s="326">
        <v>2</v>
      </c>
      <c r="C46" s="331" t="s">
        <v>186</v>
      </c>
      <c r="D46" s="355">
        <v>1.5</v>
      </c>
      <c r="E46" s="355">
        <v>0.6</v>
      </c>
      <c r="F46" s="332" t="s">
        <v>177</v>
      </c>
      <c r="G46" s="331" t="s">
        <v>173</v>
      </c>
      <c r="H46" s="337">
        <v>88433</v>
      </c>
      <c r="I46" s="337">
        <f t="shared" ref="I46:I57" si="29">H46*B46</f>
        <v>176866</v>
      </c>
      <c r="J46" s="297"/>
      <c r="K46" s="260"/>
      <c r="L46" s="44"/>
      <c r="M46" s="327">
        <f t="shared" si="21"/>
        <v>2</v>
      </c>
      <c r="N46" s="36">
        <f t="shared" si="22"/>
        <v>1.58</v>
      </c>
      <c r="O46" s="36">
        <f t="shared" si="23"/>
        <v>0.6</v>
      </c>
      <c r="P46" s="256">
        <f t="shared" si="24"/>
        <v>0.94799999999999995</v>
      </c>
      <c r="Q46" s="254">
        <f t="shared" si="25"/>
        <v>1.8959999999999999</v>
      </c>
      <c r="R46" s="247">
        <f t="shared" si="26"/>
        <v>86773.276923437676</v>
      </c>
      <c r="S46" s="296">
        <f t="shared" si="27"/>
        <v>88773.276923437676</v>
      </c>
      <c r="T46" s="284"/>
      <c r="U46" s="43"/>
      <c r="V46" s="9"/>
      <c r="Y46" s="4"/>
    </row>
    <row r="47" spans="2:25" ht="17.399999999999999" x14ac:dyDescent="0.3">
      <c r="B47" s="326">
        <v>1</v>
      </c>
      <c r="C47" s="331" t="s">
        <v>186</v>
      </c>
      <c r="D47" s="355">
        <v>1.45</v>
      </c>
      <c r="E47" s="355">
        <v>0.6</v>
      </c>
      <c r="F47" s="332" t="s">
        <v>177</v>
      </c>
      <c r="G47" s="331" t="s">
        <v>173</v>
      </c>
      <c r="H47" s="337">
        <v>85485</v>
      </c>
      <c r="I47" s="337">
        <f t="shared" si="29"/>
        <v>85485</v>
      </c>
      <c r="J47" s="297"/>
      <c r="K47" s="260"/>
      <c r="L47" s="44"/>
      <c r="M47" s="327">
        <f t="shared" si="21"/>
        <v>1</v>
      </c>
      <c r="N47" s="36">
        <f t="shared" si="22"/>
        <v>1.53</v>
      </c>
      <c r="O47" s="36">
        <f t="shared" si="23"/>
        <v>0.6</v>
      </c>
      <c r="P47" s="256">
        <f t="shared" si="24"/>
        <v>0.91799999999999993</v>
      </c>
      <c r="Q47" s="254">
        <f t="shared" si="25"/>
        <v>0.91799999999999993</v>
      </c>
      <c r="R47" s="247">
        <f t="shared" si="26"/>
        <v>84027.287147379524</v>
      </c>
      <c r="S47" s="296">
        <f t="shared" si="27"/>
        <v>86027.287147379524</v>
      </c>
      <c r="T47" s="284"/>
      <c r="U47" s="43"/>
      <c r="V47" s="9"/>
      <c r="Y47" s="4"/>
    </row>
    <row r="48" spans="2:25" ht="17.399999999999999" x14ac:dyDescent="0.3">
      <c r="B48" s="326">
        <v>1</v>
      </c>
      <c r="C48" s="331" t="s">
        <v>186</v>
      </c>
      <c r="D48" s="355">
        <v>2.1120000000000001</v>
      </c>
      <c r="E48" s="355">
        <v>0.6</v>
      </c>
      <c r="F48" s="332" t="s">
        <v>177</v>
      </c>
      <c r="G48" s="331" t="s">
        <v>173</v>
      </c>
      <c r="H48" s="337">
        <v>124514</v>
      </c>
      <c r="I48" s="337">
        <f t="shared" si="29"/>
        <v>124514</v>
      </c>
      <c r="J48" s="297"/>
      <c r="K48" s="260"/>
      <c r="L48" s="44"/>
      <c r="M48" s="327">
        <f t="shared" si="21"/>
        <v>1</v>
      </c>
      <c r="N48" s="36">
        <f t="shared" si="22"/>
        <v>2.1920000000000002</v>
      </c>
      <c r="O48" s="36">
        <f t="shared" si="23"/>
        <v>0.6</v>
      </c>
      <c r="P48" s="256">
        <f t="shared" si="24"/>
        <v>1.3152000000000001</v>
      </c>
      <c r="Q48" s="254">
        <f t="shared" si="25"/>
        <v>1.3152000000000001</v>
      </c>
      <c r="R48" s="247">
        <f t="shared" si="26"/>
        <v>120384.19178238951</v>
      </c>
      <c r="S48" s="296">
        <f t="shared" si="27"/>
        <v>122384.19178238951</v>
      </c>
      <c r="T48" s="284"/>
      <c r="U48" s="43"/>
      <c r="V48" s="9"/>
      <c r="Y48" s="4"/>
    </row>
    <row r="49" spans="2:25" ht="17.399999999999999" x14ac:dyDescent="0.3">
      <c r="B49" s="326">
        <v>1</v>
      </c>
      <c r="C49" s="331" t="s">
        <v>186</v>
      </c>
      <c r="D49" s="355">
        <v>1.0549999999999999</v>
      </c>
      <c r="E49" s="355">
        <v>0.6</v>
      </c>
      <c r="F49" s="332" t="s">
        <v>177</v>
      </c>
      <c r="G49" s="331" t="s">
        <v>173</v>
      </c>
      <c r="H49" s="337">
        <v>65146</v>
      </c>
      <c r="I49" s="337">
        <f t="shared" si="29"/>
        <v>65146</v>
      </c>
      <c r="J49" s="297"/>
      <c r="K49" s="260"/>
      <c r="L49" s="44"/>
      <c r="M49" s="327">
        <f t="shared" si="21"/>
        <v>1</v>
      </c>
      <c r="N49" s="36">
        <f t="shared" si="22"/>
        <v>1.135</v>
      </c>
      <c r="O49" s="36">
        <f t="shared" si="23"/>
        <v>0.6</v>
      </c>
      <c r="P49" s="256">
        <f t="shared" si="24"/>
        <v>0.68099999999999994</v>
      </c>
      <c r="Q49" s="254">
        <f t="shared" si="25"/>
        <v>0.68099999999999994</v>
      </c>
      <c r="R49" s="247">
        <f t="shared" si="26"/>
        <v>62333.967916520101</v>
      </c>
      <c r="S49" s="296">
        <f t="shared" si="27"/>
        <v>64333.967916520101</v>
      </c>
      <c r="T49" s="284"/>
      <c r="U49" s="43"/>
      <c r="V49" s="9"/>
      <c r="Y49" s="4"/>
    </row>
    <row r="50" spans="2:25" ht="17.399999999999999" x14ac:dyDescent="0.3">
      <c r="B50" s="330">
        <v>1</v>
      </c>
      <c r="C50" s="331" t="s">
        <v>186</v>
      </c>
      <c r="D50" s="356">
        <v>2.62</v>
      </c>
      <c r="E50" s="355">
        <v>0.6</v>
      </c>
      <c r="F50" s="333" t="s">
        <v>177</v>
      </c>
      <c r="G50" s="331" t="s">
        <v>173</v>
      </c>
      <c r="H50" s="338">
        <v>154462</v>
      </c>
      <c r="I50" s="338">
        <f t="shared" si="29"/>
        <v>154462</v>
      </c>
      <c r="J50" s="297"/>
      <c r="K50" s="260"/>
      <c r="L50" s="44"/>
      <c r="M50" s="327">
        <f t="shared" si="21"/>
        <v>1</v>
      </c>
      <c r="N50" s="36">
        <f t="shared" si="22"/>
        <v>2.7</v>
      </c>
      <c r="O50" s="36">
        <f t="shared" si="23"/>
        <v>0.6</v>
      </c>
      <c r="P50" s="256">
        <f t="shared" si="24"/>
        <v>1.62</v>
      </c>
      <c r="Q50" s="254">
        <f t="shared" si="25"/>
        <v>1.62</v>
      </c>
      <c r="R50" s="247">
        <f t="shared" si="26"/>
        <v>148283.44790714033</v>
      </c>
      <c r="S50" s="296">
        <f t="shared" si="27"/>
        <v>150283.44790714033</v>
      </c>
      <c r="T50" s="284"/>
      <c r="U50" s="43"/>
      <c r="V50" s="9"/>
      <c r="Y50" s="4"/>
    </row>
    <row r="51" spans="2:25" ht="17.399999999999999" x14ac:dyDescent="0.3">
      <c r="B51" s="330">
        <v>1</v>
      </c>
      <c r="C51" s="331" t="s">
        <v>186</v>
      </c>
      <c r="D51" s="356">
        <v>2.294</v>
      </c>
      <c r="E51" s="355">
        <v>0.6</v>
      </c>
      <c r="F51" s="333" t="s">
        <v>177</v>
      </c>
      <c r="G51" s="331" t="s">
        <v>173</v>
      </c>
      <c r="H51" s="338">
        <v>135243</v>
      </c>
      <c r="I51" s="338">
        <f t="shared" si="29"/>
        <v>135243</v>
      </c>
      <c r="J51" s="297"/>
      <c r="K51" s="260"/>
      <c r="L51" s="44"/>
      <c r="M51" s="327">
        <f t="shared" si="21"/>
        <v>1</v>
      </c>
      <c r="N51" s="36">
        <f t="shared" si="22"/>
        <v>2.3740000000000001</v>
      </c>
      <c r="O51" s="36">
        <f t="shared" si="23"/>
        <v>0.6</v>
      </c>
      <c r="P51" s="256">
        <f t="shared" si="24"/>
        <v>1.4244000000000001</v>
      </c>
      <c r="Q51" s="254">
        <f t="shared" si="25"/>
        <v>1.4244000000000001</v>
      </c>
      <c r="R51" s="247">
        <f t="shared" si="26"/>
        <v>130379.59456724118</v>
      </c>
      <c r="S51" s="296">
        <f t="shared" si="27"/>
        <v>132379.59456724118</v>
      </c>
      <c r="T51" s="284"/>
      <c r="U51" s="43"/>
      <c r="V51" s="9"/>
      <c r="Y51" s="4"/>
    </row>
    <row r="52" spans="2:25" ht="17.399999999999999" x14ac:dyDescent="0.3">
      <c r="B52" s="330">
        <v>1</v>
      </c>
      <c r="C52" s="331" t="s">
        <v>186</v>
      </c>
      <c r="D52" s="356">
        <v>1.1459999999999999</v>
      </c>
      <c r="E52" s="355">
        <v>0.6</v>
      </c>
      <c r="F52" s="333" t="s">
        <v>177</v>
      </c>
      <c r="G52" s="331" t="s">
        <v>173</v>
      </c>
      <c r="H52" s="338">
        <v>69332</v>
      </c>
      <c r="I52" s="338">
        <f t="shared" si="29"/>
        <v>69332</v>
      </c>
      <c r="J52" s="297"/>
      <c r="K52" s="260"/>
      <c r="L52" s="44"/>
      <c r="M52" s="327">
        <f t="shared" si="21"/>
        <v>1</v>
      </c>
      <c r="N52" s="36">
        <f t="shared" si="22"/>
        <v>1.226</v>
      </c>
      <c r="O52" s="36">
        <f t="shared" si="23"/>
        <v>0.6</v>
      </c>
      <c r="P52" s="256">
        <f t="shared" si="24"/>
        <v>0.73559999999999992</v>
      </c>
      <c r="Q52" s="254">
        <f t="shared" si="25"/>
        <v>0.73559999999999992</v>
      </c>
      <c r="R52" s="247">
        <f t="shared" si="26"/>
        <v>67331.669308945944</v>
      </c>
      <c r="S52" s="296">
        <f t="shared" si="27"/>
        <v>69331.669308945944</v>
      </c>
      <c r="T52" s="284"/>
      <c r="U52" s="43"/>
      <c r="V52" s="9"/>
      <c r="Y52" s="4"/>
    </row>
    <row r="53" spans="2:25" ht="17.399999999999999" x14ac:dyDescent="0.3">
      <c r="B53" s="330">
        <v>1</v>
      </c>
      <c r="C53" s="331" t="s">
        <v>186</v>
      </c>
      <c r="D53" s="356">
        <v>2.1</v>
      </c>
      <c r="E53" s="355">
        <v>0.6</v>
      </c>
      <c r="F53" s="333" t="s">
        <v>177</v>
      </c>
      <c r="G53" s="331" t="s">
        <v>173</v>
      </c>
      <c r="H53" s="338">
        <v>123806</v>
      </c>
      <c r="I53" s="338">
        <f t="shared" si="29"/>
        <v>123806</v>
      </c>
      <c r="J53" s="297"/>
      <c r="K53" s="260"/>
      <c r="L53" s="44"/>
      <c r="M53" s="327">
        <f t="shared" si="21"/>
        <v>1</v>
      </c>
      <c r="N53" s="36">
        <f t="shared" si="22"/>
        <v>2.1800000000000002</v>
      </c>
      <c r="O53" s="36">
        <f t="shared" si="23"/>
        <v>0.6</v>
      </c>
      <c r="P53" s="256">
        <f t="shared" si="24"/>
        <v>1.3080000000000001</v>
      </c>
      <c r="Q53" s="254">
        <f t="shared" si="25"/>
        <v>1.3080000000000001</v>
      </c>
      <c r="R53" s="247">
        <f t="shared" si="26"/>
        <v>119725.15423613554</v>
      </c>
      <c r="S53" s="296">
        <f t="shared" si="27"/>
        <v>121725.15423613554</v>
      </c>
      <c r="T53" s="284"/>
      <c r="U53" s="43"/>
      <c r="V53" s="9"/>
      <c r="Y53" s="4"/>
    </row>
    <row r="54" spans="2:25" ht="17.399999999999999" x14ac:dyDescent="0.3">
      <c r="B54" s="326">
        <v>1</v>
      </c>
      <c r="C54" s="331" t="s">
        <v>181</v>
      </c>
      <c r="D54" s="355">
        <v>2.968</v>
      </c>
      <c r="E54" s="355">
        <v>0.46</v>
      </c>
      <c r="F54" s="332" t="s">
        <v>180</v>
      </c>
      <c r="G54" s="331" t="s">
        <v>182</v>
      </c>
      <c r="H54" s="337">
        <v>227836</v>
      </c>
      <c r="I54" s="337">
        <f t="shared" si="29"/>
        <v>227836</v>
      </c>
      <c r="J54" s="297"/>
      <c r="K54" s="260"/>
      <c r="L54" s="44"/>
      <c r="M54" s="329"/>
      <c r="N54" s="36">
        <f>D57+N19</f>
        <v>3.048</v>
      </c>
      <c r="O54" s="36">
        <f>E57+$O$19</f>
        <v>0.26500000000000001</v>
      </c>
      <c r="P54" s="256">
        <f t="shared" ref="P54" si="30">N54*O54</f>
        <v>0.8077200000000001</v>
      </c>
      <c r="Q54" s="254">
        <f t="shared" ref="Q54" si="31">P54*M54</f>
        <v>0</v>
      </c>
      <c r="R54" s="247">
        <f t="shared" ref="R54" si="32">R$20*P54</f>
        <v>73933.028730589765</v>
      </c>
      <c r="S54" s="296">
        <f t="shared" ref="S54" si="33">R54+S$20</f>
        <v>75933.028730589765</v>
      </c>
      <c r="T54" s="284"/>
      <c r="U54" s="43"/>
      <c r="V54" s="9"/>
      <c r="Y54" s="4"/>
    </row>
    <row r="55" spans="2:25" ht="17.399999999999999" x14ac:dyDescent="0.3">
      <c r="B55" s="326">
        <v>1</v>
      </c>
      <c r="C55" s="331" t="s">
        <v>183</v>
      </c>
      <c r="D55" s="355">
        <v>1.611</v>
      </c>
      <c r="E55" s="355">
        <v>0.68</v>
      </c>
      <c r="F55" s="332" t="s">
        <v>180</v>
      </c>
      <c r="G55" s="331" t="s">
        <v>182</v>
      </c>
      <c r="H55" s="337">
        <v>147640</v>
      </c>
      <c r="I55" s="337">
        <f t="shared" si="29"/>
        <v>147640</v>
      </c>
      <c r="J55" s="297"/>
      <c r="K55" s="260"/>
      <c r="L55" s="44"/>
      <c r="M55" s="329"/>
      <c r="N55" s="36"/>
      <c r="O55" s="36">
        <f>E58+$O$19</f>
        <v>0.46</v>
      </c>
      <c r="P55" s="256">
        <f t="shared" ref="P55:P58" si="34">N55*O55</f>
        <v>0</v>
      </c>
      <c r="Q55" s="254">
        <f t="shared" ref="Q55:Q58" si="35">P55*M55</f>
        <v>0</v>
      </c>
      <c r="R55" s="247">
        <f t="shared" ref="R55:R58" si="36">R$20*P55</f>
        <v>0</v>
      </c>
      <c r="S55" s="296">
        <f t="shared" ref="S55:S58" si="37">R55+S$20</f>
        <v>2000</v>
      </c>
      <c r="T55" s="284"/>
      <c r="U55" s="43"/>
      <c r="V55" s="9"/>
      <c r="Y55" s="4"/>
    </row>
    <row r="56" spans="2:25" ht="17.399999999999999" x14ac:dyDescent="0.3">
      <c r="B56" s="326">
        <v>1</v>
      </c>
      <c r="C56" s="331" t="s">
        <v>183</v>
      </c>
      <c r="D56" s="355">
        <v>1.77</v>
      </c>
      <c r="E56" s="355">
        <v>0.68</v>
      </c>
      <c r="F56" s="332" t="s">
        <v>180</v>
      </c>
      <c r="G56" s="331" t="s">
        <v>182</v>
      </c>
      <c r="H56" s="337">
        <v>161335</v>
      </c>
      <c r="I56" s="337">
        <f t="shared" si="29"/>
        <v>161335</v>
      </c>
      <c r="J56" s="297"/>
      <c r="K56" s="260"/>
      <c r="L56" s="44"/>
      <c r="M56" s="329"/>
      <c r="N56" s="36">
        <f>D59+N21</f>
        <v>4.75</v>
      </c>
      <c r="O56" s="36">
        <f>E59+$O$19</f>
        <v>0.68</v>
      </c>
      <c r="P56" s="256">
        <f t="shared" si="34"/>
        <v>3.2300000000000004</v>
      </c>
      <c r="Q56" s="254">
        <f t="shared" si="35"/>
        <v>0</v>
      </c>
      <c r="R56" s="247">
        <f t="shared" si="36"/>
        <v>295651.56588892802</v>
      </c>
      <c r="S56" s="296">
        <f t="shared" si="37"/>
        <v>297651.56588892802</v>
      </c>
      <c r="T56" s="284"/>
      <c r="U56" s="43"/>
      <c r="V56" s="9"/>
      <c r="Y56" s="4"/>
    </row>
    <row r="57" spans="2:25" ht="17.399999999999999" x14ac:dyDescent="0.3">
      <c r="B57" s="326">
        <v>2</v>
      </c>
      <c r="C57" s="331" t="s">
        <v>184</v>
      </c>
      <c r="D57" s="355">
        <v>2.968</v>
      </c>
      <c r="E57" s="355">
        <v>0.26500000000000001</v>
      </c>
      <c r="F57" s="332" t="s">
        <v>180</v>
      </c>
      <c r="G57" s="331" t="s">
        <v>173</v>
      </c>
      <c r="H57" s="337">
        <v>55459</v>
      </c>
      <c r="I57" s="337">
        <f t="shared" si="29"/>
        <v>110918</v>
      </c>
      <c r="J57" s="297"/>
      <c r="K57" s="260"/>
      <c r="L57" s="44"/>
      <c r="M57" s="329"/>
      <c r="N57" s="36">
        <f>D60+N22</f>
        <v>3.5620000000000003</v>
      </c>
      <c r="O57" s="36">
        <f>E60+$O$19</f>
        <v>0.26500000000000001</v>
      </c>
      <c r="P57" s="256">
        <f t="shared" si="34"/>
        <v>0.94393000000000016</v>
      </c>
      <c r="Q57" s="254">
        <f t="shared" si="35"/>
        <v>0</v>
      </c>
      <c r="R57" s="247">
        <f t="shared" si="36"/>
        <v>86400.737643819142</v>
      </c>
      <c r="S57" s="296">
        <f t="shared" si="37"/>
        <v>88400.737643819142</v>
      </c>
      <c r="T57" s="284"/>
      <c r="U57" s="43"/>
      <c r="V57" s="9"/>
      <c r="Y57" s="4"/>
    </row>
    <row r="58" spans="2:25" ht="17.399999999999999" x14ac:dyDescent="0.3">
      <c r="B58" s="326">
        <v>1</v>
      </c>
      <c r="C58" s="331" t="s">
        <v>181</v>
      </c>
      <c r="D58" s="355">
        <v>1.9359999999999999</v>
      </c>
      <c r="E58" s="355">
        <v>0.46</v>
      </c>
      <c r="F58" s="332" t="s">
        <v>185</v>
      </c>
      <c r="G58" s="331" t="s">
        <v>182</v>
      </c>
      <c r="H58" s="337">
        <v>151891</v>
      </c>
      <c r="I58" s="337">
        <f t="shared" ref="I58:I87" si="38">H58*B58</f>
        <v>151891</v>
      </c>
      <c r="J58" s="297"/>
      <c r="K58" s="260"/>
      <c r="L58" s="44"/>
      <c r="M58" s="329"/>
      <c r="N58" s="36">
        <f>D46+N42</f>
        <v>2.8769999999999998</v>
      </c>
      <c r="O58" s="36">
        <f>E46+$O$19</f>
        <v>0.6</v>
      </c>
      <c r="P58" s="256">
        <f t="shared" si="34"/>
        <v>1.7261999999999997</v>
      </c>
      <c r="Q58" s="254">
        <f t="shared" si="35"/>
        <v>0</v>
      </c>
      <c r="R58" s="247">
        <f t="shared" si="36"/>
        <v>158004.25171438619</v>
      </c>
      <c r="S58" s="296">
        <f t="shared" si="37"/>
        <v>160004.25171438619</v>
      </c>
      <c r="T58" s="284"/>
      <c r="U58" s="43"/>
      <c r="V58" s="9"/>
      <c r="Y58" s="4"/>
    </row>
    <row r="59" spans="2:25" ht="17.399999999999999" x14ac:dyDescent="0.3">
      <c r="B59" s="326">
        <v>1</v>
      </c>
      <c r="C59" s="331" t="s">
        <v>183</v>
      </c>
      <c r="D59" s="355">
        <v>1.9359999999999999</v>
      </c>
      <c r="E59" s="355">
        <v>0.68</v>
      </c>
      <c r="F59" s="332" t="s">
        <v>185</v>
      </c>
      <c r="G59" s="331" t="s">
        <v>182</v>
      </c>
      <c r="H59" s="337">
        <v>177535</v>
      </c>
      <c r="I59" s="337">
        <f t="shared" si="38"/>
        <v>177535</v>
      </c>
      <c r="J59" s="297"/>
      <c r="K59" s="260" t="s">
        <v>209</v>
      </c>
      <c r="L59" s="44"/>
      <c r="M59" s="329"/>
      <c r="N59" s="36"/>
      <c r="O59" s="36">
        <f>E48+$O$19</f>
        <v>0.6</v>
      </c>
      <c r="P59" s="256"/>
      <c r="Q59" s="254"/>
      <c r="R59" s="247"/>
      <c r="S59" s="296"/>
      <c r="T59" s="284"/>
      <c r="U59" s="43"/>
      <c r="V59" s="9"/>
      <c r="Y59" s="4"/>
    </row>
    <row r="60" spans="2:25" ht="17.399999999999999" x14ac:dyDescent="0.3">
      <c r="B60" s="326">
        <v>2</v>
      </c>
      <c r="C60" s="331" t="s">
        <v>184</v>
      </c>
      <c r="D60" s="355">
        <v>1.9359999999999999</v>
      </c>
      <c r="E60" s="355">
        <v>0.26500000000000001</v>
      </c>
      <c r="F60" s="332" t="s">
        <v>185</v>
      </c>
      <c r="G60" s="331" t="s">
        <v>173</v>
      </c>
      <c r="H60" s="337">
        <v>36973</v>
      </c>
      <c r="I60" s="337">
        <f t="shared" si="38"/>
        <v>73946</v>
      </c>
      <c r="J60" s="297"/>
      <c r="K60" s="260">
        <v>11</v>
      </c>
      <c r="L60" s="44"/>
      <c r="M60" s="329"/>
      <c r="N60" s="36"/>
      <c r="O60" s="36">
        <f>E49+$O$19</f>
        <v>0.6</v>
      </c>
      <c r="P60" s="256"/>
      <c r="Q60" s="254"/>
      <c r="R60" s="247"/>
      <c r="S60" s="296"/>
      <c r="T60" s="284"/>
      <c r="U60" s="43"/>
      <c r="V60" s="9"/>
      <c r="Y60" s="4"/>
    </row>
    <row r="61" spans="2:25" ht="17.399999999999999" x14ac:dyDescent="0.3">
      <c r="B61" s="326">
        <v>1</v>
      </c>
      <c r="C61" s="331" t="s">
        <v>181</v>
      </c>
      <c r="D61" s="355">
        <v>1.4359999999999999</v>
      </c>
      <c r="E61" s="355">
        <v>0.46</v>
      </c>
      <c r="F61" s="332" t="s">
        <v>185</v>
      </c>
      <c r="G61" s="331" t="s">
        <v>182</v>
      </c>
      <c r="H61" s="337">
        <v>110233</v>
      </c>
      <c r="I61" s="337">
        <f t="shared" si="38"/>
        <v>110233</v>
      </c>
      <c r="J61" s="297"/>
      <c r="K61" s="260" t="s">
        <v>210</v>
      </c>
      <c r="L61" s="44"/>
      <c r="M61" s="329"/>
      <c r="N61" s="36"/>
      <c r="O61" s="36"/>
      <c r="P61" s="256"/>
      <c r="Q61" s="254"/>
      <c r="R61" s="247"/>
      <c r="S61" s="296"/>
      <c r="T61" s="284"/>
      <c r="U61" s="43"/>
      <c r="V61" s="9"/>
      <c r="Y61" s="4"/>
    </row>
    <row r="62" spans="2:25" ht="17.399999999999999" x14ac:dyDescent="0.3">
      <c r="B62" s="326">
        <v>1</v>
      </c>
      <c r="C62" s="331" t="s">
        <v>183</v>
      </c>
      <c r="D62" s="355">
        <v>1.4359999999999999</v>
      </c>
      <c r="E62" s="355">
        <v>0.68</v>
      </c>
      <c r="F62" s="332" t="s">
        <v>185</v>
      </c>
      <c r="G62" s="331" t="s">
        <v>182</v>
      </c>
      <c r="H62" s="337">
        <v>131684</v>
      </c>
      <c r="I62" s="337">
        <f t="shared" si="38"/>
        <v>131684</v>
      </c>
      <c r="J62" s="297"/>
      <c r="K62" s="354">
        <v>4</v>
      </c>
      <c r="L62" s="44"/>
      <c r="M62" s="329"/>
      <c r="N62" s="36"/>
      <c r="O62" s="36"/>
      <c r="P62" s="256"/>
      <c r="Q62" s="254"/>
      <c r="R62" s="247"/>
      <c r="S62" s="296"/>
      <c r="T62" s="284"/>
      <c r="U62" s="43"/>
      <c r="V62" s="9"/>
      <c r="Y62" s="4"/>
    </row>
    <row r="63" spans="2:25" ht="17.399999999999999" x14ac:dyDescent="0.3">
      <c r="B63" s="326">
        <v>2</v>
      </c>
      <c r="C63" s="331" t="s">
        <v>184</v>
      </c>
      <c r="D63" s="355">
        <v>1.4359999999999999</v>
      </c>
      <c r="E63" s="355">
        <v>0.26500000000000001</v>
      </c>
      <c r="F63" s="332" t="s">
        <v>185</v>
      </c>
      <c r="G63" s="331" t="s">
        <v>173</v>
      </c>
      <c r="H63" s="337">
        <v>27425</v>
      </c>
      <c r="I63" s="337">
        <f t="shared" si="38"/>
        <v>54850</v>
      </c>
      <c r="J63" s="297"/>
      <c r="K63" s="260"/>
      <c r="L63" s="44"/>
      <c r="M63" s="329"/>
      <c r="N63" s="36"/>
      <c r="O63" s="36"/>
      <c r="P63" s="256"/>
      <c r="Q63" s="254"/>
      <c r="R63" s="247"/>
      <c r="S63" s="296"/>
      <c r="T63" s="284"/>
      <c r="U63" s="43"/>
      <c r="V63" s="9"/>
      <c r="Y63" s="4"/>
    </row>
    <row r="64" spans="2:25" ht="17.399999999999999" x14ac:dyDescent="0.3">
      <c r="B64" s="326">
        <v>1</v>
      </c>
      <c r="C64" s="331" t="s">
        <v>181</v>
      </c>
      <c r="D64" s="355">
        <v>3.3679999999999999</v>
      </c>
      <c r="E64" s="355">
        <v>0.46</v>
      </c>
      <c r="F64" s="333" t="s">
        <v>197</v>
      </c>
      <c r="G64" s="331" t="s">
        <v>182</v>
      </c>
      <c r="H64" s="337">
        <v>258541</v>
      </c>
      <c r="I64" s="337">
        <f t="shared" si="38"/>
        <v>258541</v>
      </c>
      <c r="J64" s="297"/>
      <c r="K64" s="260"/>
      <c r="L64" s="44"/>
      <c r="M64" s="329"/>
      <c r="N64" s="36"/>
      <c r="O64" s="36"/>
      <c r="P64" s="256"/>
      <c r="Q64" s="254"/>
      <c r="R64" s="247"/>
      <c r="S64" s="296"/>
      <c r="T64" s="284"/>
      <c r="U64" s="43"/>
      <c r="V64" s="9"/>
      <c r="Y64" s="4"/>
    </row>
    <row r="65" spans="2:25" ht="17.399999999999999" x14ac:dyDescent="0.3">
      <c r="B65" s="326">
        <v>1</v>
      </c>
      <c r="C65" s="331" t="s">
        <v>183</v>
      </c>
      <c r="D65" s="355">
        <v>3.3479999999999999</v>
      </c>
      <c r="E65" s="355">
        <v>0.68</v>
      </c>
      <c r="F65" s="333" t="s">
        <v>197</v>
      </c>
      <c r="G65" s="331" t="s">
        <v>182</v>
      </c>
      <c r="H65" s="337">
        <v>308852</v>
      </c>
      <c r="I65" s="337">
        <f t="shared" si="38"/>
        <v>308852</v>
      </c>
      <c r="J65" s="297"/>
      <c r="K65" s="260"/>
      <c r="L65" s="44"/>
      <c r="M65" s="329"/>
      <c r="N65" s="36"/>
      <c r="O65" s="36"/>
      <c r="P65" s="256"/>
      <c r="Q65" s="254"/>
      <c r="R65" s="247"/>
      <c r="S65" s="296"/>
      <c r="T65" s="284"/>
      <c r="U65" s="43"/>
      <c r="V65" s="9"/>
      <c r="Y65" s="4"/>
    </row>
    <row r="66" spans="2:25" ht="17.399999999999999" x14ac:dyDescent="0.3">
      <c r="B66" s="326">
        <v>2</v>
      </c>
      <c r="C66" s="331" t="s">
        <v>184</v>
      </c>
      <c r="D66" s="355">
        <v>3.2679999999999998</v>
      </c>
      <c r="E66" s="355">
        <v>0.26500000000000001</v>
      </c>
      <c r="F66" s="333" t="s">
        <v>198</v>
      </c>
      <c r="G66" s="331" t="s">
        <v>173</v>
      </c>
      <c r="H66" s="337">
        <v>64322</v>
      </c>
      <c r="I66" s="337">
        <f t="shared" si="38"/>
        <v>128644</v>
      </c>
      <c r="J66" s="297"/>
      <c r="K66" s="260"/>
      <c r="L66" s="44"/>
      <c r="M66" s="329"/>
      <c r="N66" s="36"/>
      <c r="O66" s="36"/>
      <c r="P66" s="256"/>
      <c r="Q66" s="254"/>
      <c r="R66" s="247"/>
      <c r="S66" s="296"/>
      <c r="T66" s="284"/>
      <c r="U66" s="43"/>
      <c r="V66" s="9"/>
      <c r="Y66" s="4"/>
    </row>
    <row r="67" spans="2:25" ht="17.399999999999999" x14ac:dyDescent="0.3">
      <c r="B67" s="326">
        <v>1</v>
      </c>
      <c r="C67" s="331" t="s">
        <v>181</v>
      </c>
      <c r="D67" s="355">
        <v>1.8680000000000001</v>
      </c>
      <c r="E67" s="355">
        <v>0.46</v>
      </c>
      <c r="F67" s="332" t="s">
        <v>196</v>
      </c>
      <c r="G67" s="331" t="s">
        <v>182</v>
      </c>
      <c r="H67" s="337">
        <v>143395</v>
      </c>
      <c r="I67" s="337">
        <f t="shared" si="38"/>
        <v>143395</v>
      </c>
      <c r="J67" s="297"/>
      <c r="K67" s="260"/>
      <c r="L67" s="44"/>
      <c r="M67" s="329"/>
      <c r="N67" s="36"/>
      <c r="O67" s="36"/>
      <c r="P67" s="256"/>
      <c r="Q67" s="254"/>
      <c r="R67" s="247"/>
      <c r="S67" s="296"/>
      <c r="T67" s="284"/>
      <c r="U67" s="43"/>
      <c r="V67" s="9"/>
      <c r="Y67" s="4"/>
    </row>
    <row r="68" spans="2:25" ht="17.399999999999999" x14ac:dyDescent="0.3">
      <c r="B68" s="326">
        <v>1</v>
      </c>
      <c r="C68" s="331" t="s">
        <v>183</v>
      </c>
      <c r="D68" s="355">
        <v>1.8480000000000001</v>
      </c>
      <c r="E68" s="355">
        <v>0.68</v>
      </c>
      <c r="F68" s="332" t="s">
        <v>196</v>
      </c>
      <c r="G68" s="331" t="s">
        <v>182</v>
      </c>
      <c r="H68" s="337">
        <v>169465</v>
      </c>
      <c r="I68" s="337">
        <f t="shared" si="38"/>
        <v>169465</v>
      </c>
      <c r="J68" s="297"/>
      <c r="K68" s="260"/>
      <c r="L68" s="44"/>
      <c r="M68" s="329"/>
      <c r="N68" s="36"/>
      <c r="O68" s="36"/>
      <c r="P68" s="256"/>
      <c r="Q68" s="254"/>
      <c r="R68" s="247"/>
      <c r="S68" s="296"/>
      <c r="T68" s="284"/>
      <c r="U68" s="43"/>
      <c r="V68" s="9"/>
      <c r="Y68" s="4"/>
    </row>
    <row r="69" spans="2:25" ht="17.399999999999999" x14ac:dyDescent="0.3">
      <c r="B69" s="326">
        <v>2</v>
      </c>
      <c r="C69" s="331" t="s">
        <v>184</v>
      </c>
      <c r="D69" s="355">
        <v>1.768</v>
      </c>
      <c r="E69" s="355">
        <v>0.26500000000000001</v>
      </c>
      <c r="F69" s="333" t="s">
        <v>195</v>
      </c>
      <c r="G69" s="331" t="s">
        <v>173</v>
      </c>
      <c r="H69" s="337">
        <v>33765</v>
      </c>
      <c r="I69" s="337">
        <f t="shared" si="38"/>
        <v>67530</v>
      </c>
      <c r="J69" s="297"/>
      <c r="K69" s="260"/>
      <c r="L69" s="44"/>
      <c r="M69" s="329"/>
      <c r="N69" s="36"/>
      <c r="O69" s="36"/>
      <c r="P69" s="256"/>
      <c r="Q69" s="254"/>
      <c r="R69" s="247"/>
      <c r="S69" s="296"/>
      <c r="T69" s="284"/>
      <c r="U69" s="43"/>
      <c r="V69" s="9"/>
      <c r="Y69" s="4"/>
    </row>
    <row r="70" spans="2:25" ht="17.399999999999999" x14ac:dyDescent="0.3">
      <c r="B70" s="326">
        <v>1</v>
      </c>
      <c r="C70" s="331" t="s">
        <v>181</v>
      </c>
      <c r="D70" s="355">
        <v>3.3679999999999999</v>
      </c>
      <c r="E70" s="355">
        <v>0.46</v>
      </c>
      <c r="F70" s="332" t="s">
        <v>196</v>
      </c>
      <c r="G70" s="331" t="s">
        <v>182</v>
      </c>
      <c r="H70" s="337">
        <v>258541</v>
      </c>
      <c r="I70" s="337">
        <f t="shared" si="38"/>
        <v>258541</v>
      </c>
      <c r="J70" s="297"/>
      <c r="K70" s="260"/>
      <c r="L70" s="44"/>
      <c r="M70" s="329"/>
      <c r="N70" s="36"/>
      <c r="O70" s="36"/>
      <c r="P70" s="256"/>
      <c r="Q70" s="254"/>
      <c r="R70" s="247"/>
      <c r="S70" s="296"/>
      <c r="T70" s="284"/>
      <c r="U70" s="43"/>
      <c r="V70" s="9"/>
      <c r="Y70" s="4"/>
    </row>
    <row r="71" spans="2:25" ht="17.399999999999999" x14ac:dyDescent="0.3">
      <c r="B71" s="326">
        <v>1</v>
      </c>
      <c r="C71" s="331" t="s">
        <v>183</v>
      </c>
      <c r="D71" s="355">
        <v>3.48</v>
      </c>
      <c r="E71" s="355">
        <v>0.68</v>
      </c>
      <c r="F71" s="332" t="s">
        <v>196</v>
      </c>
      <c r="G71" s="331" t="s">
        <v>182</v>
      </c>
      <c r="H71" s="337">
        <v>121885</v>
      </c>
      <c r="I71" s="337">
        <f t="shared" si="38"/>
        <v>121885</v>
      </c>
      <c r="J71" s="297"/>
      <c r="K71" s="260"/>
      <c r="L71" s="44"/>
      <c r="M71" s="329"/>
      <c r="N71" s="36"/>
      <c r="O71" s="36"/>
      <c r="P71" s="256"/>
      <c r="Q71" s="254"/>
      <c r="R71" s="247"/>
      <c r="S71" s="296"/>
      <c r="T71" s="284"/>
      <c r="U71" s="43"/>
      <c r="V71" s="9"/>
      <c r="Y71" s="4"/>
    </row>
    <row r="72" spans="2:25" ht="17.399999999999999" x14ac:dyDescent="0.3">
      <c r="B72" s="326">
        <v>2</v>
      </c>
      <c r="C72" s="331" t="s">
        <v>184</v>
      </c>
      <c r="D72" s="355">
        <v>3.2679999999999998</v>
      </c>
      <c r="E72" s="355">
        <v>0.26500000000000001</v>
      </c>
      <c r="F72" s="332" t="s">
        <v>198</v>
      </c>
      <c r="G72" s="331" t="s">
        <v>173</v>
      </c>
      <c r="H72" s="337">
        <v>62412</v>
      </c>
      <c r="I72" s="337">
        <f t="shared" si="38"/>
        <v>124824</v>
      </c>
      <c r="J72" s="297"/>
      <c r="K72" s="260"/>
      <c r="L72" s="44"/>
      <c r="M72" s="329"/>
      <c r="N72" s="36"/>
      <c r="O72" s="36"/>
      <c r="P72" s="256"/>
      <c r="Q72" s="254"/>
      <c r="R72" s="247"/>
      <c r="S72" s="296"/>
      <c r="T72" s="284"/>
      <c r="U72" s="43"/>
      <c r="V72" s="9"/>
      <c r="Y72" s="4"/>
    </row>
    <row r="73" spans="2:25" ht="17.399999999999999" x14ac:dyDescent="0.3">
      <c r="B73" s="326">
        <v>1</v>
      </c>
      <c r="C73" s="331" t="s">
        <v>181</v>
      </c>
      <c r="D73" s="355">
        <v>1.8680000000000001</v>
      </c>
      <c r="E73" s="355">
        <v>0.46</v>
      </c>
      <c r="F73" s="332" t="s">
        <v>197</v>
      </c>
      <c r="G73" s="331" t="s">
        <v>182</v>
      </c>
      <c r="H73" s="337">
        <v>143395</v>
      </c>
      <c r="I73" s="337">
        <f t="shared" si="38"/>
        <v>143395</v>
      </c>
      <c r="J73" s="297"/>
      <c r="K73" s="260"/>
      <c r="L73" s="44"/>
      <c r="M73" s="329"/>
      <c r="N73" s="36"/>
      <c r="O73" s="36"/>
      <c r="P73" s="256"/>
      <c r="Q73" s="254"/>
      <c r="R73" s="247"/>
      <c r="S73" s="296"/>
      <c r="T73" s="284"/>
      <c r="U73" s="43"/>
      <c r="V73" s="9"/>
      <c r="Y73" s="4"/>
    </row>
    <row r="74" spans="2:25" ht="17.399999999999999" x14ac:dyDescent="0.3">
      <c r="B74" s="326">
        <v>1</v>
      </c>
      <c r="C74" s="331" t="s">
        <v>183</v>
      </c>
      <c r="D74" s="355">
        <v>1.8480000000000001</v>
      </c>
      <c r="E74" s="355">
        <v>0.68</v>
      </c>
      <c r="F74" s="332" t="s">
        <v>197</v>
      </c>
      <c r="G74" s="331" t="s">
        <v>182</v>
      </c>
      <c r="H74" s="337">
        <v>169465</v>
      </c>
      <c r="I74" s="337">
        <f t="shared" si="38"/>
        <v>169465</v>
      </c>
      <c r="J74" s="297"/>
      <c r="K74" s="260"/>
      <c r="L74" s="44"/>
      <c r="M74" s="329"/>
      <c r="N74" s="36"/>
      <c r="O74" s="36"/>
      <c r="P74" s="256"/>
      <c r="Q74" s="254"/>
      <c r="R74" s="247"/>
      <c r="S74" s="296"/>
      <c r="T74" s="284"/>
      <c r="U74" s="43"/>
      <c r="V74" s="9"/>
      <c r="Y74" s="4"/>
    </row>
    <row r="75" spans="2:25" ht="17.399999999999999" x14ac:dyDescent="0.3">
      <c r="B75" s="326">
        <v>2</v>
      </c>
      <c r="C75" s="331" t="s">
        <v>184</v>
      </c>
      <c r="D75" s="355">
        <v>1.768</v>
      </c>
      <c r="E75" s="355">
        <v>0.26500000000000001</v>
      </c>
      <c r="F75" s="332" t="s">
        <v>198</v>
      </c>
      <c r="G75" s="331" t="s">
        <v>173</v>
      </c>
      <c r="H75" s="337">
        <v>33765</v>
      </c>
      <c r="I75" s="337">
        <f t="shared" si="38"/>
        <v>67530</v>
      </c>
      <c r="J75" s="297"/>
      <c r="K75" s="260"/>
      <c r="L75" s="44"/>
      <c r="M75" s="329"/>
      <c r="N75" s="36"/>
      <c r="O75" s="36"/>
      <c r="P75" s="256"/>
      <c r="Q75" s="254"/>
      <c r="R75" s="247"/>
      <c r="S75" s="296"/>
      <c r="T75" s="284"/>
      <c r="U75" s="43"/>
      <c r="V75" s="9"/>
      <c r="Y75" s="4"/>
    </row>
    <row r="76" spans="2:25" ht="17.399999999999999" x14ac:dyDescent="0.3">
      <c r="B76" s="326">
        <v>1</v>
      </c>
      <c r="C76" s="331" t="s">
        <v>181</v>
      </c>
      <c r="D76" s="355">
        <v>2.968</v>
      </c>
      <c r="E76" s="355">
        <v>0.6</v>
      </c>
      <c r="F76" s="332" t="s">
        <v>180</v>
      </c>
      <c r="G76" s="331" t="s">
        <v>182</v>
      </c>
      <c r="H76" s="337">
        <v>227836</v>
      </c>
      <c r="I76" s="337">
        <f t="shared" si="38"/>
        <v>227836</v>
      </c>
      <c r="J76" s="297"/>
      <c r="K76" s="260"/>
      <c r="L76" s="44"/>
      <c r="M76" s="329"/>
      <c r="N76" s="36"/>
      <c r="O76" s="36"/>
      <c r="P76" s="256"/>
      <c r="Q76" s="254"/>
      <c r="R76" s="247"/>
      <c r="S76" s="296"/>
      <c r="T76" s="284"/>
      <c r="U76" s="43"/>
      <c r="V76" s="9"/>
      <c r="Y76" s="4"/>
    </row>
    <row r="77" spans="2:25" ht="17.399999999999999" x14ac:dyDescent="0.3">
      <c r="B77" s="326">
        <v>1</v>
      </c>
      <c r="C77" s="331" t="s">
        <v>183</v>
      </c>
      <c r="D77" s="355">
        <v>1.611</v>
      </c>
      <c r="E77" s="355">
        <v>0.68</v>
      </c>
      <c r="F77" s="332" t="s">
        <v>180</v>
      </c>
      <c r="G77" s="331" t="s">
        <v>182</v>
      </c>
      <c r="H77" s="337">
        <v>147732</v>
      </c>
      <c r="I77" s="337">
        <f t="shared" si="38"/>
        <v>147732</v>
      </c>
      <c r="J77" s="297"/>
      <c r="K77" s="260"/>
      <c r="L77" s="44"/>
      <c r="M77" s="329"/>
      <c r="N77" s="36"/>
      <c r="O77" s="36"/>
      <c r="P77" s="256"/>
      <c r="Q77" s="254"/>
      <c r="R77" s="247"/>
      <c r="S77" s="296"/>
      <c r="T77" s="284"/>
      <c r="U77" s="43"/>
      <c r="V77" s="9"/>
      <c r="Y77" s="4"/>
    </row>
    <row r="78" spans="2:25" ht="17.399999999999999" x14ac:dyDescent="0.3">
      <c r="B78" s="326">
        <v>1</v>
      </c>
      <c r="C78" s="331" t="s">
        <v>183</v>
      </c>
      <c r="D78" s="355">
        <v>1.77</v>
      </c>
      <c r="E78" s="355">
        <v>0.68</v>
      </c>
      <c r="F78" s="332" t="s">
        <v>180</v>
      </c>
      <c r="G78" s="331" t="s">
        <v>182</v>
      </c>
      <c r="H78" s="337">
        <v>162313</v>
      </c>
      <c r="I78" s="337">
        <f t="shared" si="38"/>
        <v>162313</v>
      </c>
      <c r="J78" s="297"/>
      <c r="K78" s="260"/>
      <c r="L78" s="44"/>
      <c r="M78" s="329"/>
      <c r="N78" s="36"/>
      <c r="O78" s="36"/>
      <c r="P78" s="256"/>
      <c r="Q78" s="254"/>
      <c r="R78" s="247"/>
      <c r="S78" s="296"/>
      <c r="T78" s="284"/>
      <c r="U78" s="43"/>
      <c r="V78" s="9"/>
      <c r="Y78" s="4"/>
    </row>
    <row r="79" spans="2:25" ht="17.399999999999999" x14ac:dyDescent="0.3">
      <c r="B79" s="326">
        <v>2</v>
      </c>
      <c r="C79" s="331" t="s">
        <v>184</v>
      </c>
      <c r="D79" s="355">
        <v>2.968</v>
      </c>
      <c r="E79" s="355">
        <v>0.26500000000000001</v>
      </c>
      <c r="F79" s="332" t="s">
        <v>180</v>
      </c>
      <c r="G79" s="331" t="s">
        <v>173</v>
      </c>
      <c r="H79" s="337">
        <v>56683</v>
      </c>
      <c r="I79" s="337">
        <f t="shared" si="38"/>
        <v>113366</v>
      </c>
      <c r="J79" s="297"/>
      <c r="K79" s="260"/>
      <c r="L79" s="44"/>
      <c r="M79" s="329"/>
      <c r="N79" s="36"/>
      <c r="O79" s="36"/>
      <c r="P79" s="256"/>
      <c r="Q79" s="254"/>
      <c r="R79" s="247"/>
      <c r="S79" s="296"/>
      <c r="T79" s="284"/>
      <c r="U79" s="43"/>
      <c r="V79" s="9"/>
      <c r="Y79" s="4"/>
    </row>
    <row r="80" spans="2:25" ht="17.399999999999999" x14ac:dyDescent="0.3">
      <c r="B80" s="326">
        <v>1</v>
      </c>
      <c r="C80" s="331" t="s">
        <v>201</v>
      </c>
      <c r="D80" s="355">
        <v>3.13</v>
      </c>
      <c r="E80" s="355">
        <v>0.6</v>
      </c>
      <c r="F80" s="332" t="s">
        <v>199</v>
      </c>
      <c r="G80" s="331" t="s">
        <v>173</v>
      </c>
      <c r="H80" s="337">
        <v>218180</v>
      </c>
      <c r="I80" s="337">
        <f t="shared" si="38"/>
        <v>218180</v>
      </c>
      <c r="J80" s="297"/>
      <c r="K80" s="260"/>
      <c r="L80" s="44"/>
      <c r="M80" s="329"/>
      <c r="N80" s="36"/>
      <c r="O80" s="36"/>
      <c r="P80" s="256"/>
      <c r="Q80" s="254"/>
      <c r="R80" s="247"/>
      <c r="S80" s="296"/>
      <c r="T80" s="284"/>
      <c r="U80" s="43"/>
      <c r="V80" s="9"/>
      <c r="Y80" s="4"/>
    </row>
    <row r="81" spans="2:25" ht="17.399999999999999" x14ac:dyDescent="0.3">
      <c r="B81" s="326">
        <v>1</v>
      </c>
      <c r="C81" s="331" t="s">
        <v>201</v>
      </c>
      <c r="D81" s="355">
        <v>3.1</v>
      </c>
      <c r="E81" s="355">
        <v>0.6</v>
      </c>
      <c r="F81" s="332" t="s">
        <v>200</v>
      </c>
      <c r="G81" s="331" t="s">
        <v>173</v>
      </c>
      <c r="H81" s="337">
        <v>216089</v>
      </c>
      <c r="I81" s="337">
        <f t="shared" si="38"/>
        <v>216089</v>
      </c>
      <c r="J81" s="297"/>
      <c r="K81" s="260"/>
      <c r="L81" s="44"/>
      <c r="M81" s="329"/>
      <c r="N81" s="36"/>
      <c r="O81" s="36"/>
      <c r="P81" s="256"/>
      <c r="Q81" s="254"/>
      <c r="R81" s="247"/>
      <c r="S81" s="296"/>
      <c r="T81" s="284"/>
      <c r="U81" s="43"/>
      <c r="V81" s="9"/>
      <c r="Y81" s="4"/>
    </row>
    <row r="82" spans="2:25" ht="17.399999999999999" x14ac:dyDescent="0.3">
      <c r="B82" s="326">
        <v>1</v>
      </c>
      <c r="C82" s="331" t="s">
        <v>205</v>
      </c>
      <c r="D82" s="355">
        <v>1.85</v>
      </c>
      <c r="E82" s="355">
        <v>0.6</v>
      </c>
      <c r="F82" s="332" t="s">
        <v>200</v>
      </c>
      <c r="G82" s="331" t="s">
        <v>173</v>
      </c>
      <c r="H82" s="337">
        <v>128956</v>
      </c>
      <c r="I82" s="337">
        <f t="shared" si="38"/>
        <v>128956</v>
      </c>
      <c r="J82" s="297"/>
      <c r="K82" s="260"/>
      <c r="L82" s="44"/>
      <c r="M82" s="329"/>
      <c r="N82" s="36"/>
      <c r="O82" s="36"/>
      <c r="P82" s="256"/>
      <c r="Q82" s="254"/>
      <c r="R82" s="247"/>
      <c r="S82" s="296"/>
      <c r="T82" s="284"/>
      <c r="U82" s="43"/>
      <c r="V82" s="9"/>
      <c r="Y82" s="4"/>
    </row>
    <row r="83" spans="2:25" ht="17.399999999999999" x14ac:dyDescent="0.3">
      <c r="B83" s="326">
        <v>1</v>
      </c>
      <c r="C83" s="331" t="s">
        <v>205</v>
      </c>
      <c r="D83" s="355">
        <v>1.8</v>
      </c>
      <c r="E83" s="355">
        <v>0.6</v>
      </c>
      <c r="F83" s="332" t="s">
        <v>199</v>
      </c>
      <c r="G83" s="331" t="s">
        <v>173</v>
      </c>
      <c r="H83" s="337">
        <v>125471</v>
      </c>
      <c r="I83" s="337">
        <f t="shared" si="38"/>
        <v>125471</v>
      </c>
      <c r="J83" s="297"/>
      <c r="K83" s="260"/>
      <c r="L83" s="44"/>
      <c r="M83" s="329"/>
      <c r="N83" s="36"/>
      <c r="O83" s="36"/>
      <c r="P83" s="256"/>
      <c r="Q83" s="254"/>
      <c r="R83" s="247"/>
      <c r="S83" s="296"/>
      <c r="T83" s="284"/>
      <c r="U83" s="43"/>
      <c r="V83" s="9"/>
      <c r="Y83" s="4"/>
    </row>
    <row r="84" spans="2:25" ht="17.399999999999999" x14ac:dyDescent="0.3">
      <c r="B84" s="326">
        <v>1</v>
      </c>
      <c r="C84" s="331" t="s">
        <v>205</v>
      </c>
      <c r="D84" s="355">
        <v>1.25</v>
      </c>
      <c r="E84" s="355">
        <v>0.6</v>
      </c>
      <c r="F84" s="332" t="s">
        <v>206</v>
      </c>
      <c r="G84" s="331" t="s">
        <v>173</v>
      </c>
      <c r="H84" s="337">
        <v>87133</v>
      </c>
      <c r="I84" s="337">
        <f t="shared" si="38"/>
        <v>87133</v>
      </c>
      <c r="J84" s="297"/>
      <c r="K84" s="260"/>
      <c r="L84" s="44"/>
      <c r="M84" s="329"/>
      <c r="N84" s="36"/>
      <c r="O84" s="36"/>
      <c r="P84" s="256"/>
      <c r="Q84" s="254"/>
      <c r="R84" s="247"/>
      <c r="S84" s="296"/>
      <c r="T84" s="284"/>
      <c r="U84" s="43"/>
      <c r="V84" s="9"/>
      <c r="Y84" s="4"/>
    </row>
    <row r="85" spans="2:25" ht="17.399999999999999" x14ac:dyDescent="0.3">
      <c r="B85" s="326">
        <v>1</v>
      </c>
      <c r="C85" s="331" t="s">
        <v>205</v>
      </c>
      <c r="D85" s="355">
        <v>1.2450000000000001</v>
      </c>
      <c r="E85" s="355">
        <v>0.6</v>
      </c>
      <c r="F85" s="332" t="s">
        <v>206</v>
      </c>
      <c r="G85" s="331" t="s">
        <v>173</v>
      </c>
      <c r="H85" s="337">
        <v>86784</v>
      </c>
      <c r="I85" s="337">
        <f t="shared" si="38"/>
        <v>86784</v>
      </c>
      <c r="J85" s="297"/>
      <c r="K85" s="260"/>
      <c r="L85" s="44"/>
      <c r="M85" s="329"/>
      <c r="N85" s="36"/>
      <c r="O85" s="36"/>
      <c r="P85" s="256"/>
      <c r="Q85" s="254"/>
      <c r="R85" s="247"/>
      <c r="S85" s="296"/>
      <c r="T85" s="284"/>
      <c r="U85" s="43"/>
      <c r="V85" s="9"/>
      <c r="Y85" s="4"/>
    </row>
    <row r="86" spans="2:25" ht="17.399999999999999" x14ac:dyDescent="0.3">
      <c r="B86" s="326">
        <v>1</v>
      </c>
      <c r="C86" s="331" t="s">
        <v>205</v>
      </c>
      <c r="D86" s="355">
        <v>3</v>
      </c>
      <c r="E86" s="355">
        <v>0.6</v>
      </c>
      <c r="F86" s="332" t="s">
        <v>200</v>
      </c>
      <c r="G86" s="331" t="s">
        <v>173</v>
      </c>
      <c r="H86" s="337">
        <v>209118</v>
      </c>
      <c r="I86" s="337">
        <f t="shared" si="38"/>
        <v>209118</v>
      </c>
      <c r="J86" s="297"/>
      <c r="K86" s="260"/>
      <c r="L86" s="44"/>
      <c r="M86" s="329"/>
      <c r="N86" s="36"/>
      <c r="O86" s="36"/>
      <c r="P86" s="256"/>
      <c r="Q86" s="254"/>
      <c r="R86" s="247"/>
      <c r="S86" s="296"/>
      <c r="T86" s="284"/>
      <c r="U86" s="43"/>
      <c r="V86" s="9"/>
      <c r="Y86" s="4"/>
    </row>
    <row r="87" spans="2:25" ht="17.399999999999999" x14ac:dyDescent="0.3">
      <c r="B87" s="326">
        <v>1</v>
      </c>
      <c r="C87" s="331" t="s">
        <v>205</v>
      </c>
      <c r="D87" s="355">
        <v>2.25</v>
      </c>
      <c r="E87" s="355">
        <v>0.6</v>
      </c>
      <c r="F87" s="332" t="s">
        <v>199</v>
      </c>
      <c r="G87" s="331" t="s">
        <v>173</v>
      </c>
      <c r="H87" s="337">
        <v>156839</v>
      </c>
      <c r="I87" s="337">
        <f t="shared" si="38"/>
        <v>156839</v>
      </c>
      <c r="J87" s="297"/>
      <c r="K87" s="260"/>
      <c r="L87" s="44"/>
      <c r="M87" s="44"/>
      <c r="N87" s="36"/>
      <c r="O87" s="36"/>
      <c r="P87" s="256"/>
      <c r="Q87" s="254"/>
      <c r="R87" s="247"/>
      <c r="S87" s="296"/>
      <c r="T87" s="284"/>
      <c r="U87" s="43"/>
      <c r="V87" s="9"/>
      <c r="Y87" s="4"/>
    </row>
    <row r="88" spans="2:25" ht="17.399999999999999" x14ac:dyDescent="0.3">
      <c r="B88" s="326">
        <v>35</v>
      </c>
      <c r="C88" s="331" t="s">
        <v>178</v>
      </c>
      <c r="D88" s="355">
        <v>1.22</v>
      </c>
      <c r="E88" s="355">
        <v>3.05</v>
      </c>
      <c r="F88" s="332"/>
      <c r="G88" s="331" t="s">
        <v>207</v>
      </c>
      <c r="H88" s="337">
        <v>29700</v>
      </c>
      <c r="I88" s="337">
        <f>-H88*B88</f>
        <v>-1039500</v>
      </c>
      <c r="J88" s="297"/>
      <c r="K88" s="260"/>
      <c r="L88" s="44"/>
      <c r="M88" s="44"/>
      <c r="N88" s="36"/>
      <c r="O88" s="36"/>
      <c r="P88" s="256"/>
      <c r="Q88" s="254"/>
      <c r="R88" s="247"/>
      <c r="S88" s="296"/>
      <c r="T88" s="284"/>
      <c r="U88" s="43"/>
      <c r="V88" s="9"/>
      <c r="Y88" s="4"/>
    </row>
    <row r="89" spans="2:25" ht="17.399999999999999" x14ac:dyDescent="0.3">
      <c r="B89" s="326">
        <v>11</v>
      </c>
      <c r="C89" s="331" t="s">
        <v>178</v>
      </c>
      <c r="D89" s="355">
        <v>1.22</v>
      </c>
      <c r="E89" s="355">
        <v>3.05</v>
      </c>
      <c r="F89" s="332"/>
      <c r="G89" s="331" t="s">
        <v>208</v>
      </c>
      <c r="H89" s="337">
        <v>22475</v>
      </c>
      <c r="I89" s="337">
        <f>-H89*B89</f>
        <v>-247225</v>
      </c>
      <c r="J89" s="297"/>
      <c r="K89" s="260"/>
      <c r="L89" s="44"/>
      <c r="M89" s="44"/>
      <c r="N89" s="36"/>
      <c r="O89" s="36"/>
      <c r="P89" s="256"/>
      <c r="Q89" s="254"/>
      <c r="R89" s="247"/>
      <c r="S89" s="296"/>
      <c r="T89" s="284"/>
      <c r="U89" s="43"/>
      <c r="V89" s="9"/>
      <c r="Y89" s="4"/>
    </row>
    <row r="90" spans="2:25" ht="17.399999999999999" x14ac:dyDescent="0.3">
      <c r="B90" s="326">
        <v>4</v>
      </c>
      <c r="C90" s="331" t="s">
        <v>178</v>
      </c>
      <c r="D90" s="355">
        <v>1.55</v>
      </c>
      <c r="E90" s="355">
        <v>3.66</v>
      </c>
      <c r="F90" s="332"/>
      <c r="G90" s="331" t="s">
        <v>208</v>
      </c>
      <c r="H90" s="337">
        <v>36831</v>
      </c>
      <c r="I90" s="337">
        <f>-H90*B90</f>
        <v>-147324</v>
      </c>
      <c r="J90" s="297"/>
      <c r="K90" s="260"/>
      <c r="L90" s="44"/>
      <c r="M90" s="44"/>
      <c r="N90" s="36"/>
      <c r="O90" s="36"/>
      <c r="P90" s="256"/>
      <c r="Q90" s="254"/>
      <c r="R90" s="247"/>
      <c r="S90" s="296"/>
      <c r="T90" s="284"/>
      <c r="U90" s="43"/>
      <c r="V90" s="9"/>
      <c r="Y90" s="4"/>
    </row>
    <row r="91" spans="2:25" ht="17.399999999999999" x14ac:dyDescent="0.3">
      <c r="B91" s="326">
        <v>9</v>
      </c>
      <c r="C91" s="331" t="s">
        <v>212</v>
      </c>
      <c r="D91" s="355"/>
      <c r="E91" s="355"/>
      <c r="F91" s="332"/>
      <c r="G91" s="331" t="s">
        <v>211</v>
      </c>
      <c r="H91" s="337">
        <v>15700</v>
      </c>
      <c r="I91" s="337">
        <f>-H91*B91</f>
        <v>-141300</v>
      </c>
      <c r="J91" s="297"/>
      <c r="K91" s="260"/>
      <c r="L91" s="44"/>
      <c r="M91" s="44"/>
      <c r="N91" s="36"/>
      <c r="O91" s="36"/>
      <c r="P91" s="256"/>
      <c r="Q91" s="254"/>
      <c r="R91" s="247"/>
      <c r="S91" s="296"/>
      <c r="T91" s="284"/>
      <c r="U91" s="43"/>
      <c r="V91" s="9"/>
      <c r="Y91" s="4"/>
    </row>
    <row r="92" spans="2:25" ht="18" thickBot="1" x14ac:dyDescent="0.35">
      <c r="B92" s="278"/>
      <c r="C92" s="278"/>
      <c r="D92" s="279"/>
      <c r="E92" s="279"/>
      <c r="F92" s="279"/>
      <c r="G92" s="278"/>
      <c r="H92" s="260"/>
      <c r="I92" s="298"/>
      <c r="J92" s="300"/>
      <c r="K92" s="230"/>
      <c r="L92" s="44">
        <v>22</v>
      </c>
      <c r="M92" s="44"/>
      <c r="N92" s="36"/>
      <c r="O92" s="36"/>
      <c r="P92" s="256"/>
      <c r="Q92" s="254"/>
      <c r="R92" s="247"/>
      <c r="S92" s="253"/>
      <c r="T92" s="284"/>
      <c r="U92" s="14"/>
      <c r="V92" s="9"/>
      <c r="Y92" s="4"/>
    </row>
    <row r="93" spans="2:25" ht="17.399999999999999" x14ac:dyDescent="0.3">
      <c r="B93" s="278"/>
      <c r="C93" s="278"/>
      <c r="D93" s="279"/>
      <c r="E93" s="279"/>
      <c r="F93" s="279"/>
      <c r="G93" s="278"/>
      <c r="H93" s="301" t="s">
        <v>28</v>
      </c>
      <c r="I93" s="334">
        <f>SUM(I21:I92)</f>
        <v>7772654</v>
      </c>
      <c r="J93" s="299"/>
      <c r="K93" s="260"/>
      <c r="L93" s="44">
        <v>22</v>
      </c>
      <c r="M93" s="44"/>
      <c r="N93" s="36"/>
      <c r="O93" s="36"/>
      <c r="P93" s="256"/>
      <c r="Q93" s="254"/>
      <c r="R93" s="247"/>
      <c r="S93" s="253"/>
      <c r="T93" s="284"/>
      <c r="U93" s="43">
        <f>SUM(U21:U92)</f>
        <v>0</v>
      </c>
      <c r="V93" s="9"/>
      <c r="Y93" s="4"/>
    </row>
    <row r="94" spans="2:25" ht="17.399999999999999" x14ac:dyDescent="0.3">
      <c r="B94" s="272"/>
      <c r="C94" s="275"/>
      <c r="D94" s="276"/>
      <c r="E94" s="276"/>
      <c r="F94" s="276"/>
      <c r="G94" s="277"/>
      <c r="H94" s="283" t="s">
        <v>50</v>
      </c>
      <c r="I94" s="335">
        <f>I93*0.19</f>
        <v>1476804.26</v>
      </c>
      <c r="J94" s="299"/>
      <c r="K94" s="260"/>
      <c r="L94" s="44">
        <v>22</v>
      </c>
      <c r="M94" s="44"/>
      <c r="N94" s="36">
        <f>SUM(N21:N31)</f>
        <v>24.349</v>
      </c>
      <c r="O94" s="12"/>
      <c r="P94" s="12"/>
      <c r="Q94" s="248">
        <f>SUM(Q21:Q92)</f>
        <v>15.3522</v>
      </c>
      <c r="R94" s="14"/>
      <c r="S94" s="12"/>
      <c r="T94" s="236">
        <f>SUM(T21:T93)</f>
        <v>0</v>
      </c>
      <c r="U94" s="43"/>
      <c r="V94" s="9"/>
      <c r="Y94" s="4"/>
    </row>
    <row r="95" spans="2:25" ht="18" thickBot="1" x14ac:dyDescent="0.35">
      <c r="B95" s="270"/>
      <c r="C95" s="274"/>
      <c r="D95" s="267"/>
      <c r="E95" s="267"/>
      <c r="F95" s="267"/>
      <c r="G95" s="268"/>
      <c r="H95" s="273" t="s">
        <v>6</v>
      </c>
      <c r="I95" s="336">
        <f>I93+I94</f>
        <v>9249458.2599999998</v>
      </c>
      <c r="J95" s="299"/>
      <c r="K95" s="260"/>
      <c r="L95" s="44">
        <v>22</v>
      </c>
      <c r="M95" s="44"/>
      <c r="N95" s="36"/>
      <c r="O95" s="12"/>
      <c r="P95" s="12"/>
      <c r="Q95" s="248">
        <f>Q94</f>
        <v>15.3522</v>
      </c>
      <c r="R95" s="14"/>
      <c r="S95" s="12"/>
      <c r="T95" s="236"/>
      <c r="U95" s="43"/>
      <c r="V95" s="9"/>
      <c r="Y95" s="4"/>
    </row>
    <row r="96" spans="2:25" ht="17.399999999999999" x14ac:dyDescent="0.3">
      <c r="B96" s="270"/>
      <c r="C96" s="266"/>
      <c r="D96" s="267"/>
      <c r="E96" s="267"/>
      <c r="F96" s="267"/>
      <c r="G96" s="268"/>
      <c r="K96" s="260"/>
      <c r="L96" s="44">
        <v>22</v>
      </c>
      <c r="M96" s="44"/>
      <c r="N96" s="14"/>
      <c r="O96" s="12"/>
      <c r="P96" s="12"/>
      <c r="Q96" s="36">
        <f>Q95*20%</f>
        <v>3.0704400000000001</v>
      </c>
      <c r="R96" s="36" t="s">
        <v>128</v>
      </c>
      <c r="S96" s="39"/>
      <c r="T96" s="237"/>
      <c r="U96" s="14"/>
      <c r="V96" s="9"/>
      <c r="Y96" s="4"/>
    </row>
    <row r="97" spans="1:25" ht="17.399999999999999" x14ac:dyDescent="0.35">
      <c r="B97" s="264"/>
      <c r="C97" s="227"/>
      <c r="D97" s="227"/>
      <c r="E97" s="230"/>
      <c r="F97" s="230"/>
      <c r="G97" s="231"/>
      <c r="H97" s="227"/>
      <c r="I97" s="269"/>
      <c r="J97" s="269"/>
      <c r="K97" s="260"/>
      <c r="L97" s="44">
        <f>SUM(L42:L96)</f>
        <v>110</v>
      </c>
      <c r="M97" s="44"/>
      <c r="N97" s="14"/>
      <c r="O97" s="12"/>
      <c r="P97" s="12"/>
      <c r="Q97" s="43">
        <f>Q95+Q96</f>
        <v>18.422640000000001</v>
      </c>
      <c r="R97" s="14"/>
      <c r="S97" s="14"/>
      <c r="T97" s="235"/>
      <c r="U97" s="14"/>
      <c r="V97" s="9"/>
      <c r="Y97" s="4"/>
    </row>
    <row r="98" spans="1:25" ht="17.399999999999999" x14ac:dyDescent="0.35">
      <c r="B98" s="232"/>
      <c r="C98" s="233"/>
      <c r="D98" s="234"/>
      <c r="E98" s="232"/>
      <c r="F98" s="232"/>
      <c r="G98" s="227"/>
      <c r="H98" s="227"/>
      <c r="J98" s="269"/>
      <c r="K98" s="260"/>
      <c r="L98" s="44"/>
      <c r="M98" s="44"/>
      <c r="N98" s="14"/>
      <c r="O98" s="14"/>
      <c r="P98" s="14"/>
      <c r="Q98" s="14"/>
      <c r="R98" s="14"/>
      <c r="S98" s="14"/>
      <c r="T98" s="237"/>
      <c r="U98" s="14"/>
      <c r="V98" s="288" t="s">
        <v>21</v>
      </c>
      <c r="W98" s="285" t="s">
        <v>146</v>
      </c>
      <c r="X98" s="289">
        <v>44971</v>
      </c>
      <c r="Y98" s="290"/>
    </row>
    <row r="99" spans="1:25" ht="17.399999999999999" x14ac:dyDescent="0.35">
      <c r="B99" s="227"/>
      <c r="C99" s="227"/>
      <c r="D99" s="227"/>
      <c r="E99" s="227"/>
      <c r="F99" s="227"/>
      <c r="G99" s="227"/>
      <c r="H99" s="227"/>
      <c r="K99" s="260"/>
      <c r="L99" s="44"/>
      <c r="M99" s="44"/>
      <c r="N99" s="36">
        <f>Q97*2</f>
        <v>36.845280000000002</v>
      </c>
      <c r="O99" s="12">
        <v>3500</v>
      </c>
      <c r="P99" s="12">
        <f t="shared" ref="P99:P104" si="39">N99*O99</f>
        <v>128958.48000000001</v>
      </c>
      <c r="Q99" s="14" t="s">
        <v>21</v>
      </c>
      <c r="R99" s="14"/>
      <c r="S99" s="14"/>
      <c r="T99" s="238"/>
      <c r="U99" s="14"/>
      <c r="V99" s="288" t="s">
        <v>147</v>
      </c>
      <c r="W99" s="285">
        <v>3625</v>
      </c>
      <c r="X99" s="56" t="s">
        <v>148</v>
      </c>
      <c r="Y99" s="290"/>
    </row>
    <row r="100" spans="1:25" ht="17.399999999999999" x14ac:dyDescent="0.35">
      <c r="A100" s="227"/>
      <c r="B100" s="227"/>
      <c r="C100" s="227"/>
      <c r="D100" s="227"/>
      <c r="E100" s="227"/>
      <c r="F100" s="227"/>
      <c r="G100" s="227"/>
      <c r="H100" s="227"/>
      <c r="I100" s="227"/>
      <c r="K100" s="260"/>
      <c r="L100" s="44"/>
      <c r="M100" s="44"/>
      <c r="N100" s="244">
        <v>5</v>
      </c>
      <c r="O100" s="12">
        <v>23500</v>
      </c>
      <c r="P100" s="12">
        <f t="shared" si="39"/>
        <v>117500</v>
      </c>
      <c r="Q100" s="36" t="s">
        <v>166</v>
      </c>
      <c r="R100" s="39"/>
      <c r="S100" s="14"/>
      <c r="T100" s="237"/>
      <c r="U100" s="14"/>
      <c r="V100" s="288"/>
      <c r="W100" s="56">
        <v>906.25</v>
      </c>
      <c r="X100" s="56" t="s">
        <v>149</v>
      </c>
      <c r="Y100" s="290"/>
    </row>
    <row r="101" spans="1:25" s="227" customFormat="1" ht="17.399999999999999" x14ac:dyDescent="0.35">
      <c r="B101" s="21" t="s">
        <v>145</v>
      </c>
      <c r="K101" s="257"/>
      <c r="L101" s="229"/>
      <c r="M101" s="245"/>
      <c r="N101" s="14">
        <v>6</v>
      </c>
      <c r="O101" s="245">
        <v>16000</v>
      </c>
      <c r="P101" s="12">
        <f t="shared" si="39"/>
        <v>96000</v>
      </c>
      <c r="Q101" s="36" t="s">
        <v>169</v>
      </c>
      <c r="R101" s="39"/>
      <c r="T101" s="237"/>
      <c r="U101" s="251"/>
      <c r="V101" s="56"/>
      <c r="W101" s="56">
        <f>W100*20%</f>
        <v>181.25</v>
      </c>
      <c r="X101" s="290" t="s">
        <v>150</v>
      </c>
      <c r="Y101" s="56"/>
    </row>
    <row r="102" spans="1:25" s="227" customFormat="1" ht="17.399999999999999" x14ac:dyDescent="0.35">
      <c r="B102" s="21" t="s">
        <v>161</v>
      </c>
      <c r="C102"/>
      <c r="D102"/>
      <c r="E102"/>
      <c r="F102"/>
      <c r="G102"/>
      <c r="K102" s="257"/>
      <c r="L102" s="229"/>
      <c r="M102" s="245"/>
      <c r="N102" s="14">
        <v>11</v>
      </c>
      <c r="O102" s="245">
        <v>29700</v>
      </c>
      <c r="P102" s="12">
        <f t="shared" si="39"/>
        <v>326700</v>
      </c>
      <c r="Q102" s="14" t="s">
        <v>168</v>
      </c>
      <c r="R102" s="17"/>
      <c r="T102" s="235"/>
      <c r="U102" s="251"/>
      <c r="V102" s="56"/>
      <c r="W102" s="56">
        <f>W100+W101</f>
        <v>1087.5</v>
      </c>
      <c r="X102" s="290" t="s">
        <v>151</v>
      </c>
      <c r="Y102" s="56"/>
    </row>
    <row r="103" spans="1:25" s="227" customFormat="1" ht="17.399999999999999" x14ac:dyDescent="0.35">
      <c r="B103" s="26" t="s">
        <v>123</v>
      </c>
      <c r="C103"/>
      <c r="D103"/>
      <c r="E103"/>
      <c r="F103"/>
      <c r="G103" s="226" t="s">
        <v>15</v>
      </c>
      <c r="K103" s="257"/>
      <c r="L103" s="255">
        <v>30840</v>
      </c>
      <c r="M103" s="245"/>
      <c r="N103" s="244"/>
      <c r="O103" s="245">
        <v>1500</v>
      </c>
      <c r="P103" s="12">
        <f t="shared" si="39"/>
        <v>0</v>
      </c>
      <c r="Q103" s="14" t="s">
        <v>31</v>
      </c>
      <c r="R103" s="14"/>
      <c r="S103" s="227">
        <v>1.52</v>
      </c>
      <c r="T103" s="235"/>
      <c r="U103" s="235"/>
    </row>
    <row r="104" spans="1:25" s="227" customFormat="1" ht="17.399999999999999" x14ac:dyDescent="0.35">
      <c r="K104" s="282"/>
      <c r="L104" s="255">
        <f>L103/1.19</f>
        <v>25915.966386554624</v>
      </c>
      <c r="M104" s="245"/>
      <c r="N104" s="261"/>
      <c r="O104" s="12">
        <v>1500</v>
      </c>
      <c r="P104" s="12">
        <f t="shared" si="39"/>
        <v>0</v>
      </c>
      <c r="Q104" s="14" t="s">
        <v>22</v>
      </c>
      <c r="R104" s="14"/>
      <c r="S104">
        <v>2.44</v>
      </c>
      <c r="T104"/>
      <c r="U104" s="235"/>
      <c r="Y104" s="228"/>
    </row>
    <row r="105" spans="1:25" s="227" customFormat="1" ht="17.399999999999999" x14ac:dyDescent="0.35">
      <c r="L105" s="255"/>
      <c r="M105" s="245"/>
      <c r="N105" s="14"/>
      <c r="O105" s="12"/>
      <c r="P105" s="12">
        <f>SUM(P99:P104)</f>
        <v>669158.48</v>
      </c>
      <c r="Q105" s="36" t="s">
        <v>23</v>
      </c>
      <c r="R105" s="14"/>
      <c r="S105">
        <f>S103*S104</f>
        <v>3.7088000000000001</v>
      </c>
      <c r="T105"/>
      <c r="U105" s="235"/>
      <c r="Y105" s="228"/>
    </row>
    <row r="106" spans="1:25" s="227" customFormat="1" ht="17.399999999999999" x14ac:dyDescent="0.35">
      <c r="M106" s="245"/>
      <c r="N106" s="249" t="s">
        <v>32</v>
      </c>
      <c r="O106" s="12"/>
      <c r="P106" s="250">
        <f>P105*2.1</f>
        <v>1405232.808</v>
      </c>
      <c r="Q106" s="14" t="s">
        <v>137</v>
      </c>
      <c r="R106" s="14"/>
      <c r="S106" s="37">
        <f>Q97/S105</f>
        <v>4.9672778257118209</v>
      </c>
      <c r="T106"/>
      <c r="U106" s="252"/>
    </row>
    <row r="107" spans="1:25" s="227" customFormat="1" ht="17.399999999999999" x14ac:dyDescent="0.35">
      <c r="H107"/>
      <c r="I107" s="255"/>
      <c r="J107" s="255"/>
      <c r="K107" s="255"/>
      <c r="M107" s="245"/>
      <c r="N107" s="14"/>
      <c r="O107" s="12"/>
      <c r="P107" s="12">
        <f>P106/Q95</f>
        <v>91532.992535271813</v>
      </c>
      <c r="Q107" s="42" t="s">
        <v>24</v>
      </c>
      <c r="R107" s="14"/>
      <c r="S107" s="14"/>
      <c r="T107"/>
      <c r="U107" s="235"/>
      <c r="V107" s="56" t="s">
        <v>152</v>
      </c>
      <c r="W107" s="285">
        <v>43650</v>
      </c>
    </row>
    <row r="108" spans="1:25" s="227" customFormat="1" ht="17.399999999999999" x14ac:dyDescent="0.35">
      <c r="H108"/>
      <c r="L108" s="227" t="s">
        <v>189</v>
      </c>
      <c r="M108" s="245"/>
      <c r="N108" s="13"/>
      <c r="O108" s="14"/>
      <c r="P108" s="17">
        <f>P106/P105</f>
        <v>2.1</v>
      </c>
      <c r="Q108" s="15"/>
      <c r="R108"/>
      <c r="S108"/>
      <c r="T108"/>
      <c r="U108" s="235"/>
      <c r="V108" s="56" t="s">
        <v>154</v>
      </c>
      <c r="W108" s="286" t="s">
        <v>153</v>
      </c>
      <c r="X108" s="56">
        <v>2.4</v>
      </c>
    </row>
    <row r="109" spans="1:25" s="227" customFormat="1" ht="17.399999999999999" x14ac:dyDescent="0.35">
      <c r="D109" s="279"/>
      <c r="E109" s="279"/>
      <c r="F109" s="279"/>
      <c r="G109" s="278"/>
      <c r="H109" s="318"/>
      <c r="I109" s="317"/>
      <c r="J109" s="227">
        <v>6</v>
      </c>
      <c r="K109" s="227">
        <v>5</v>
      </c>
      <c r="L109" s="227">
        <v>16000</v>
      </c>
      <c r="M109" s="12"/>
      <c r="U109" s="235"/>
      <c r="V109" s="56" t="s">
        <v>155</v>
      </c>
      <c r="W109" s="287">
        <v>395.37</v>
      </c>
    </row>
    <row r="110" spans="1:25" s="227" customFormat="1" ht="17.399999999999999" x14ac:dyDescent="0.35">
      <c r="B110"/>
      <c r="C110" s="225"/>
      <c r="D110" s="279"/>
      <c r="E110" s="279"/>
      <c r="F110" s="279"/>
      <c r="G110" s="278"/>
      <c r="H110" s="318"/>
      <c r="I110" s="317"/>
      <c r="L110" s="227" t="s">
        <v>190</v>
      </c>
      <c r="M110" s="12"/>
      <c r="U110" s="235"/>
      <c r="V110" s="56" t="s">
        <v>150</v>
      </c>
      <c r="W110" s="56">
        <v>474.45</v>
      </c>
    </row>
    <row r="111" spans="1:25" ht="14.4" customHeight="1" x14ac:dyDescent="0.35">
      <c r="D111" s="279"/>
      <c r="E111" s="279"/>
      <c r="F111" s="279"/>
      <c r="G111" s="278"/>
      <c r="H111" s="318"/>
      <c r="I111" s="317"/>
      <c r="J111">
        <v>11</v>
      </c>
      <c r="K111">
        <v>10</v>
      </c>
      <c r="L111">
        <v>29700</v>
      </c>
      <c r="M111" s="12"/>
      <c r="V111" s="56"/>
      <c r="W111" s="56"/>
    </row>
    <row r="112" spans="1:25" ht="17.399999999999999" x14ac:dyDescent="0.35">
      <c r="D112" s="279"/>
      <c r="E112" s="279"/>
      <c r="F112" s="279"/>
      <c r="G112" s="278"/>
      <c r="H112" s="318"/>
      <c r="I112" s="317"/>
      <c r="M112" s="245"/>
    </row>
    <row r="113" spans="4:21" ht="17.399999999999999" x14ac:dyDescent="0.35">
      <c r="D113" s="279"/>
      <c r="E113" s="279"/>
      <c r="F113" s="279"/>
      <c r="G113" s="278"/>
      <c r="H113" s="318"/>
      <c r="I113" s="317"/>
      <c r="M113" s="245"/>
      <c r="U113" s="265"/>
    </row>
    <row r="114" spans="4:21" ht="17.399999999999999" x14ac:dyDescent="0.35">
      <c r="D114" s="279"/>
      <c r="E114" s="279"/>
      <c r="F114" s="279"/>
      <c r="G114" s="278"/>
      <c r="H114" s="318"/>
      <c r="I114" s="317"/>
      <c r="M114" s="245"/>
    </row>
    <row r="115" spans="4:21" ht="15" customHeight="1" x14ac:dyDescent="0.35">
      <c r="D115" s="279"/>
      <c r="E115" s="279"/>
      <c r="F115" s="279"/>
      <c r="G115" s="278"/>
      <c r="H115" s="318"/>
      <c r="I115" s="317"/>
    </row>
    <row r="116" spans="4:21" ht="17.399999999999999" x14ac:dyDescent="0.35">
      <c r="D116" s="279"/>
      <c r="E116" s="279"/>
      <c r="F116" s="279"/>
      <c r="G116" s="278"/>
      <c r="H116" s="318"/>
      <c r="I116" s="317"/>
    </row>
    <row r="117" spans="4:21" ht="17.399999999999999" x14ac:dyDescent="0.35">
      <c r="D117" s="279"/>
      <c r="E117" s="279"/>
      <c r="F117" s="279"/>
      <c r="G117" s="278"/>
      <c r="H117" s="318"/>
      <c r="I117" s="317"/>
      <c r="P117">
        <v>40935</v>
      </c>
      <c r="Q117" t="s">
        <v>16</v>
      </c>
      <c r="R117" t="s">
        <v>26</v>
      </c>
    </row>
    <row r="118" spans="4:21" ht="17.399999999999999" x14ac:dyDescent="0.35">
      <c r="D118" s="279"/>
      <c r="E118" s="279"/>
      <c r="F118" s="279"/>
      <c r="G118" s="278"/>
      <c r="H118" s="318"/>
      <c r="I118" s="317"/>
    </row>
    <row r="119" spans="4:21" ht="17.399999999999999" x14ac:dyDescent="0.35">
      <c r="D119" s="279"/>
      <c r="E119" s="279"/>
      <c r="F119" s="279"/>
      <c r="G119" s="278"/>
      <c r="H119" s="318"/>
      <c r="I119" s="317"/>
      <c r="P119" s="51"/>
      <c r="Q119" s="51"/>
    </row>
    <row r="120" spans="4:21" ht="17.399999999999999" x14ac:dyDescent="0.35">
      <c r="D120" s="279"/>
      <c r="E120" s="279"/>
      <c r="F120" s="279"/>
      <c r="G120" s="278"/>
      <c r="H120" s="318"/>
      <c r="I120" s="317"/>
      <c r="T120" s="18"/>
      <c r="U120" s="18"/>
    </row>
    <row r="121" spans="4:21" ht="17.399999999999999" x14ac:dyDescent="0.35">
      <c r="D121" s="279"/>
      <c r="E121" s="279"/>
      <c r="F121" s="279"/>
      <c r="G121" s="278"/>
      <c r="H121" s="318"/>
      <c r="I121" s="317"/>
      <c r="T121" s="18"/>
      <c r="U121" s="18"/>
    </row>
    <row r="122" spans="4:21" ht="17.399999999999999" x14ac:dyDescent="0.35">
      <c r="D122" s="279"/>
      <c r="E122" s="279"/>
      <c r="F122" s="279"/>
      <c r="G122" s="278"/>
      <c r="H122" s="318"/>
      <c r="I122" s="317"/>
      <c r="T122" s="18"/>
      <c r="U122" s="18"/>
    </row>
    <row r="123" spans="4:21" x14ac:dyDescent="0.3">
      <c r="T123" s="18"/>
      <c r="U123" s="18"/>
    </row>
    <row r="124" spans="4:21" x14ac:dyDescent="0.3">
      <c r="T124" s="18"/>
      <c r="U124" s="18"/>
    </row>
    <row r="125" spans="4:21" x14ac:dyDescent="0.3">
      <c r="T125" s="18"/>
      <c r="U125" s="18"/>
    </row>
    <row r="126" spans="4:21" x14ac:dyDescent="0.3">
      <c r="T126" s="18"/>
      <c r="U126" s="18"/>
    </row>
    <row r="127" spans="4:21" x14ac:dyDescent="0.3">
      <c r="T127" s="18"/>
      <c r="U127" s="18"/>
    </row>
    <row r="128" spans="4:21" x14ac:dyDescent="0.3">
      <c r="T128" s="18"/>
      <c r="U128" s="18"/>
    </row>
    <row r="131" spans="16:16" x14ac:dyDescent="0.3">
      <c r="P131" s="40"/>
    </row>
    <row r="132" spans="16:16" x14ac:dyDescent="0.3">
      <c r="P132" s="40"/>
    </row>
    <row r="133" spans="16:16" x14ac:dyDescent="0.3">
      <c r="P133" s="6"/>
    </row>
    <row r="134" spans="16:16" x14ac:dyDescent="0.3">
      <c r="P134" s="6"/>
    </row>
    <row r="223" spans="3:3" x14ac:dyDescent="0.3">
      <c r="C223" t="s">
        <v>142</v>
      </c>
    </row>
    <row r="224" spans="3:3" x14ac:dyDescent="0.3">
      <c r="C224" t="s">
        <v>143</v>
      </c>
    </row>
    <row r="225" spans="3:3" x14ac:dyDescent="0.3">
      <c r="C225" t="s">
        <v>144</v>
      </c>
    </row>
    <row r="650" spans="3:3" x14ac:dyDescent="0.3">
      <c r="C650" t="s">
        <v>142</v>
      </c>
    </row>
  </sheetData>
  <mergeCells count="2">
    <mergeCell ref="G17:I17"/>
    <mergeCell ref="B19:I19"/>
  </mergeCells>
  <phoneticPr fontId="34" type="noConversion"/>
  <hyperlinks>
    <hyperlink ref="G10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104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'2229'!H10</f>
        <v>45966</v>
      </c>
    </row>
    <row r="6" spans="1:31" ht="16.2" thickBot="1" x14ac:dyDescent="0.35">
      <c r="B6" s="137" t="s">
        <v>2</v>
      </c>
      <c r="C6" s="136" t="str">
        <f>'2229'!C10</f>
        <v>SISTEMA MUEBLES</v>
      </c>
      <c r="D6" s="135"/>
      <c r="E6" s="135"/>
      <c r="F6" s="135"/>
      <c r="N6" s="72" t="s">
        <v>103</v>
      </c>
      <c r="O6" s="72"/>
      <c r="P6" s="139" t="s">
        <v>102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5" t="s">
        <v>97</v>
      </c>
      <c r="I7" s="346"/>
      <c r="J7" s="346"/>
      <c r="K7" s="347"/>
      <c r="N7" s="72"/>
      <c r="O7" s="344" t="s">
        <v>101</v>
      </c>
      <c r="P7" s="138" t="s">
        <v>100</v>
      </c>
      <c r="Q7" s="138"/>
    </row>
    <row r="8" spans="1:31" ht="16.2" thickBot="1" x14ac:dyDescent="0.35">
      <c r="B8" s="137" t="s">
        <v>99</v>
      </c>
      <c r="C8" s="136" t="str">
        <f>'2229'!D8</f>
        <v>N° 11686</v>
      </c>
      <c r="D8" s="135"/>
      <c r="E8" s="135"/>
      <c r="F8" s="135"/>
      <c r="H8" s="179" t="s">
        <v>116</v>
      </c>
      <c r="I8" s="151" t="s">
        <v>115</v>
      </c>
      <c r="J8" s="224" t="s">
        <v>94</v>
      </c>
      <c r="K8" s="132" t="s">
        <v>6</v>
      </c>
      <c r="L8" s="131" t="s">
        <v>6</v>
      </c>
      <c r="N8" s="72"/>
      <c r="O8" s="344"/>
      <c r="P8" s="72" t="s">
        <v>98</v>
      </c>
      <c r="Q8" s="72"/>
      <c r="X8">
        <f>SUM(Q11:Q16)</f>
        <v>6</v>
      </c>
    </row>
    <row r="9" spans="1:31" ht="15" thickBot="1" x14ac:dyDescent="0.35">
      <c r="H9" s="194" t="s">
        <v>95</v>
      </c>
      <c r="I9" s="195" t="s">
        <v>114</v>
      </c>
      <c r="J9" s="180" t="s">
        <v>91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-1191672.874397343</v>
      </c>
    </row>
    <row r="10" spans="1:31" ht="16.2" thickBot="1" x14ac:dyDescent="0.35">
      <c r="D10" s="215" t="s">
        <v>28</v>
      </c>
      <c r="E10" s="216" t="s">
        <v>50</v>
      </c>
      <c r="F10" s="217" t="s">
        <v>6</v>
      </c>
      <c r="H10" s="187">
        <v>0</v>
      </c>
      <c r="I10" s="201">
        <v>350</v>
      </c>
      <c r="J10" s="198" t="s">
        <v>31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92</v>
      </c>
      <c r="D11" s="130">
        <f>'2229'!I93</f>
        <v>7772654</v>
      </c>
      <c r="E11" s="129">
        <f>D11*0.19</f>
        <v>1476804.26</v>
      </c>
      <c r="F11" s="128">
        <f>E11+D11</f>
        <v>9249458.2599999998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-1085682.874397343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96</v>
      </c>
      <c r="D12" s="133">
        <f>SUM(M43:M45)</f>
        <v>415077.83574396133</v>
      </c>
      <c r="F12" s="58"/>
      <c r="H12" s="188">
        <v>0</v>
      </c>
      <c r="I12" s="171">
        <v>7500</v>
      </c>
      <c r="J12" s="147" t="s">
        <v>110</v>
      </c>
      <c r="K12" s="155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3">
        <f t="shared" si="2"/>
        <v>-1103682.874397343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90</v>
      </c>
      <c r="D13" s="214">
        <f>D11-D12</f>
        <v>7357576.1642560391</v>
      </c>
      <c r="E13" s="218">
        <f>(D11/D12)-1</f>
        <v>17.725774615425436</v>
      </c>
      <c r="H13" s="188">
        <v>0</v>
      </c>
      <c r="I13" s="171">
        <v>50</v>
      </c>
      <c r="J13" s="147" t="s">
        <v>111</v>
      </c>
      <c r="K13" s="155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3">
        <f t="shared" si="2"/>
        <v>-1112682.874397343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121</v>
      </c>
      <c r="E14" s="176" t="s">
        <v>28</v>
      </c>
      <c r="F14" s="175" t="s">
        <v>109</v>
      </c>
      <c r="H14" s="188">
        <v>0</v>
      </c>
      <c r="I14" s="171">
        <v>50</v>
      </c>
      <c r="J14" s="147" t="s">
        <v>112</v>
      </c>
      <c r="K14" s="155">
        <f t="shared" si="0"/>
        <v>0</v>
      </c>
      <c r="L14" s="58"/>
      <c r="P14" s="123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3">
        <f t="shared" si="2"/>
        <v>-1151682.874397343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740913.93680297094</v>
      </c>
      <c r="C15" s="210" t="s">
        <v>120</v>
      </c>
      <c r="D15" s="211">
        <v>0.5</v>
      </c>
      <c r="E15" s="212">
        <f>(100%+D15)*D12</f>
        <v>622616.75361594197</v>
      </c>
      <c r="F15" s="213">
        <f>E15-D12</f>
        <v>207538.91787198064</v>
      </c>
      <c r="H15" s="188">
        <v>0</v>
      </c>
      <c r="I15" s="171">
        <v>10</v>
      </c>
      <c r="J15" s="147" t="s">
        <v>113</v>
      </c>
      <c r="K15" s="155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3">
        <f t="shared" si="2"/>
        <v>-1151682.874397343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89</v>
      </c>
      <c r="K16" s="155">
        <f t="shared" si="0"/>
        <v>0</v>
      </c>
      <c r="L16" s="58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3">
        <f t="shared" si="2"/>
        <v>-1111682.874397343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87</v>
      </c>
      <c r="C17" s="126" t="s">
        <v>86</v>
      </c>
      <c r="D17" s="126" t="s">
        <v>28</v>
      </c>
      <c r="E17" s="125" t="s">
        <v>50</v>
      </c>
      <c r="F17" s="124" t="s">
        <v>6</v>
      </c>
      <c r="H17" s="190">
        <v>1</v>
      </c>
      <c r="I17" s="199"/>
      <c r="J17" s="185" t="s">
        <v>88</v>
      </c>
      <c r="K17" s="155">
        <f t="shared" si="0"/>
        <v>0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84</v>
      </c>
      <c r="D18" s="119">
        <f>'2229'!P101</f>
        <v>96000</v>
      </c>
      <c r="E18" s="120">
        <f>D18*0.19</f>
        <v>18240</v>
      </c>
      <c r="F18" s="117">
        <f>SUM(D18:E18)</f>
        <v>114240</v>
      </c>
      <c r="H18" s="189">
        <v>1</v>
      </c>
      <c r="I18" s="199"/>
      <c r="J18" s="181" t="s">
        <v>85</v>
      </c>
      <c r="K18" s="155">
        <f t="shared" si="0"/>
        <v>0</v>
      </c>
      <c r="L18" s="58"/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30</v>
      </c>
      <c r="D19" s="119">
        <f>'2229'!P100</f>
        <v>117500</v>
      </c>
      <c r="E19" s="120">
        <f>D19*0.19</f>
        <v>22325</v>
      </c>
      <c r="F19" s="117">
        <f>SUM(D19:E19)</f>
        <v>139825</v>
      </c>
      <c r="H19" s="189">
        <v>1</v>
      </c>
      <c r="I19" s="199"/>
      <c r="J19" s="181" t="s">
        <v>83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'2229'!P99</f>
        <v>128958.48000000001</v>
      </c>
      <c r="E20" s="118">
        <f>D20*0.19</f>
        <v>24502.111200000003</v>
      </c>
      <c r="F20" s="117">
        <f>SUM(D20:E20)</f>
        <v>153460.59120000002</v>
      </c>
      <c r="H20" s="189">
        <v>1</v>
      </c>
      <c r="I20" s="199"/>
      <c r="J20" s="181" t="s">
        <v>82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342458.48</v>
      </c>
      <c r="E21" s="113">
        <f>SUM(E18:E20)</f>
        <v>65067.111199999999</v>
      </c>
      <c r="F21" s="112">
        <f>SUM(F18:F20)</f>
        <v>407525.59120000002</v>
      </c>
      <c r="H21" s="189">
        <v>1</v>
      </c>
      <c r="I21" s="199"/>
      <c r="J21" s="181" t="s">
        <v>81</v>
      </c>
      <c r="K21" s="155">
        <f t="shared" si="0"/>
        <v>0</v>
      </c>
      <c r="M21" s="150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79</v>
      </c>
      <c r="C22" s="110" t="s">
        <v>78</v>
      </c>
      <c r="D22" s="109" t="s">
        <v>77</v>
      </c>
      <c r="E22" s="108" t="s">
        <v>76</v>
      </c>
      <c r="F22" s="107" t="s">
        <v>6</v>
      </c>
      <c r="H22" s="189">
        <v>1</v>
      </c>
      <c r="I22" s="199"/>
      <c r="J22" s="145" t="s">
        <v>80</v>
      </c>
      <c r="K22" s="155">
        <f t="shared" si="0"/>
        <v>0</v>
      </c>
      <c r="M22" s="102"/>
      <c r="N22" s="55"/>
      <c r="Q22" s="47" t="s">
        <v>33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75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73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116</v>
      </c>
      <c r="I24" s="152" t="s">
        <v>114</v>
      </c>
      <c r="J24" s="178" t="s">
        <v>74</v>
      </c>
      <c r="K24" s="149" t="s">
        <v>93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72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107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70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71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69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68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67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105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66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117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118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64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119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63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40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39</v>
      </c>
      <c r="K33" s="94">
        <f t="shared" si="5"/>
        <v>0</v>
      </c>
    </row>
    <row r="34" spans="2:16" ht="15" thickBot="1" x14ac:dyDescent="0.35">
      <c r="B34" s="80" t="s">
        <v>62</v>
      </c>
      <c r="C34" s="79" t="s">
        <v>61</v>
      </c>
      <c r="D34" s="78">
        <f>L9</f>
        <v>0</v>
      </c>
      <c r="H34" s="189">
        <v>1</v>
      </c>
      <c r="I34" s="171"/>
      <c r="J34" s="145" t="s">
        <v>106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60</v>
      </c>
      <c r="D35" s="75">
        <f>L24</f>
        <v>4918.840579710145</v>
      </c>
      <c r="H35" s="191">
        <v>6</v>
      </c>
      <c r="I35" s="203"/>
      <c r="J35" s="177" t="s">
        <v>108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58</v>
      </c>
      <c r="D36" s="75">
        <f>L36</f>
        <v>45932.399222222215</v>
      </c>
      <c r="E36" s="55"/>
      <c r="H36" s="148" t="s">
        <v>95</v>
      </c>
      <c r="I36" s="152" t="s">
        <v>114</v>
      </c>
      <c r="J36" s="186" t="s">
        <v>65</v>
      </c>
      <c r="K36" s="149" t="s">
        <v>93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41</v>
      </c>
      <c r="D37" s="70"/>
      <c r="H37" s="196">
        <f>$E$33</f>
        <v>9.6999999999999993</v>
      </c>
      <c r="I37" s="201">
        <f>32609.69/9</f>
        <v>3623.2988888888885</v>
      </c>
      <c r="J37" s="184" t="s">
        <v>44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42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43</v>
      </c>
      <c r="K39" s="81">
        <f>I39*H39</f>
        <v>1406.5</v>
      </c>
    </row>
    <row r="40" spans="2:16" ht="15" thickBot="1" x14ac:dyDescent="0.35">
      <c r="B40" s="65" t="s">
        <v>51</v>
      </c>
      <c r="C40" s="64" t="s">
        <v>50</v>
      </c>
      <c r="D40" s="63">
        <f>E11-E21</f>
        <v>1411737.1488000001</v>
      </c>
    </row>
    <row r="41" spans="2:16" ht="15" thickBot="1" x14ac:dyDescent="0.35">
      <c r="H41" s="348" t="s">
        <v>59</v>
      </c>
      <c r="I41" s="349"/>
      <c r="J41" s="349"/>
      <c r="K41" s="349"/>
      <c r="L41" s="349"/>
      <c r="M41" s="350"/>
    </row>
    <row r="42" spans="2:16" ht="15" thickBot="1" x14ac:dyDescent="0.35">
      <c r="B42" s="72" t="s">
        <v>45</v>
      </c>
      <c r="C42" s="72"/>
      <c r="D42" s="204">
        <f>E33</f>
        <v>9.6999999999999993</v>
      </c>
      <c r="H42" s="74" t="s">
        <v>57</v>
      </c>
      <c r="I42" s="156" t="s">
        <v>56</v>
      </c>
      <c r="J42" s="157"/>
      <c r="K42" s="157"/>
      <c r="L42" s="158"/>
      <c r="M42" s="73">
        <f>D11</f>
        <v>7772654</v>
      </c>
    </row>
    <row r="43" spans="2:16" ht="15" thickBot="1" x14ac:dyDescent="0.35">
      <c r="D43" s="54"/>
      <c r="H43" s="69" t="s">
        <v>55</v>
      </c>
      <c r="I43" s="159" t="s">
        <v>54</v>
      </c>
      <c r="J43" s="160"/>
      <c r="K43" s="160"/>
      <c r="L43" s="161"/>
      <c r="M43" s="61">
        <f>D21</f>
        <v>342458.48</v>
      </c>
    </row>
    <row r="44" spans="2:16" x14ac:dyDescent="0.3">
      <c r="D44" s="54"/>
      <c r="I44" s="162" t="s">
        <v>53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52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49</v>
      </c>
      <c r="J46" s="169"/>
      <c r="K46" s="169"/>
      <c r="L46" s="170"/>
      <c r="M46" s="59">
        <f>M42-(SUM(M43:M45))</f>
        <v>7357576.1642560391</v>
      </c>
    </row>
    <row r="47" spans="2:16" x14ac:dyDescent="0.3">
      <c r="I47" s="159" t="s">
        <v>48</v>
      </c>
      <c r="J47" s="160"/>
      <c r="K47" s="160"/>
      <c r="L47" s="161"/>
      <c r="M47" s="61"/>
    </row>
    <row r="48" spans="2:16" ht="15" thickBot="1" x14ac:dyDescent="0.35">
      <c r="D48" s="57"/>
      <c r="I48" s="165" t="s">
        <v>47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46</v>
      </c>
      <c r="J49" s="169"/>
      <c r="K49" s="169"/>
      <c r="L49" s="170"/>
      <c r="M49" s="59">
        <f>M46-SUM(M47:M48)</f>
        <v>7357576.1642560391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2025-10-07T00:37:18Z</cp:lastPrinted>
  <dcterms:created xsi:type="dcterms:W3CDTF">2013-03-18T13:35:42Z</dcterms:created>
  <dcterms:modified xsi:type="dcterms:W3CDTF">2025-11-05T22:35:44Z</dcterms:modified>
</cp:coreProperties>
</file>