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8F67A049-8AD5-4A0A-AF6D-BDECA7B9FC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H23" i="1"/>
  <c r="L23" i="1"/>
  <c r="M23" i="1"/>
  <c r="N23" i="1"/>
  <c r="H22" i="1"/>
  <c r="L22" i="1"/>
  <c r="M22" i="1"/>
  <c r="S22" i="1" s="1"/>
  <c r="N22" i="1"/>
  <c r="L21" i="1"/>
  <c r="J40" i="1"/>
  <c r="J15" i="1"/>
  <c r="J10" i="1"/>
  <c r="T22" i="1" l="1"/>
  <c r="T23" i="1"/>
  <c r="S23" i="1"/>
  <c r="O23" i="1"/>
  <c r="P23" i="1" s="1"/>
  <c r="O22" i="1"/>
  <c r="P22" i="1" s="1"/>
  <c r="N21" i="1"/>
  <c r="T21" i="1" s="1"/>
  <c r="M21" i="1" l="1"/>
  <c r="S21" i="1" s="1"/>
  <c r="S27" i="1" s="1"/>
  <c r="M27" i="1" l="1"/>
  <c r="T26" i="1"/>
  <c r="S29" i="1" s="1"/>
  <c r="O21" i="1"/>
  <c r="P21" i="1" s="1"/>
  <c r="P27" i="1" s="1"/>
  <c r="S30" i="1" l="1"/>
  <c r="S31" i="1" s="1"/>
  <c r="V34" i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Q23" i="1"/>
  <c r="R23" i="1" s="1"/>
  <c r="O41" i="1"/>
  <c r="E15" i="3"/>
  <c r="Q21" i="1" l="1"/>
  <c r="F15" i="3"/>
  <c r="R21" i="1" l="1"/>
  <c r="H21" i="1" l="1"/>
  <c r="H26" i="1" s="1"/>
  <c r="H27" i="1" s="1"/>
  <c r="H28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<sst xmlns="http://schemas.openxmlformats.org/spreadsheetml/2006/main" count="236" uniqueCount="177">
  <si>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</si>
  <si>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</si>
  <si>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</si>
  <si>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</si>
  <si>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</si>
  <si>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</si>
  <si>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</si>
  <si>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</si>
  <si>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</si>
  <si>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</si>
  <si>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</si>
  <si>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</si>
  <si>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</si>
  <si>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</si>
  <si>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</si>
  <si>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</si>
  <si>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</si>
  <si>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</si>
  <si>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</si>
  <si>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</si>
  <si>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</si>
  <si>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</si>
  <si>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</si>
  <si>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</si>
  <si>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</si>
  <si>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</si>
  <si>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</si>
  <si>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</si>
  <si>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</si>
  <si>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</si>
  <si>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</si>
  <si>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</si>
  <si>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</si>
  <si>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</si>
  <si>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</si>
  <si>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</si>
  <si>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</si>
  <si>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</si>
  <si>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</si>
  <si>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</si>
  <si>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</si>
  <si>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</si>
  <si>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</si>
  <si>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</si>
  <si>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</si>
  <si>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</si>
  <si>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</si>
  <si>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</si>
  <si>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</si>
  <si>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</si>
  <si>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</si>
  <si>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</si>
  <si>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</si>
  <si>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</si>
  <si>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</si>
  <si>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</si>
  <si>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</si>
  <si>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</si>
  <si>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</si>
  <si>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</si>
  <si>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</si>
  <si>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</si>
  <si>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</si>
  <si>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</si>
  <si>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</si>
  <si>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</si>
  <si>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</si>
  <si>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</si>
  <si>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</si>
  <si>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</si>
  <si>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</si>
  <si>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</si>
  <si>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</si>
  <si>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</si>
  <si>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</si>
  <si>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</si>
  <si>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</si>
  <si>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</si>
  <si>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</si>
  <si>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</si>
  <si>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</si>
  <si>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</si>
  <si>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</si>
  <si>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</si>
  <si>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</si>
  <si>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</si>
  <si>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</si>
  <si>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</si>
  <si>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</si>
  <si>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</si>
  <si>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</si>
  <si>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</si>
  <si>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</si>
  <si>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</si>
  <si>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</si>
  <si>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</si>
  <si>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</si>
  <si>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</si>
  <si>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</si>
  <si>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</si>
  <si>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</si>
  <si>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</si>
  <si>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</si>
  <si>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</si>
  <si>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</si>
  <si>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</si>
  <si>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</si>
  <si>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</si>
  <si>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</si>
  <si>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</si>
  <si>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</si>
  <si>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</si>
  <si>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</si>
  <si>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</si>
  <si>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</si>
  <si>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</si>
  <si>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</si>
  <si>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</si>
  <si>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</si>
  <si>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</si>
  <si>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</si>
  <si>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</si>
  <si>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</si>
  <si>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</si>
  <si>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</si>
  <si>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</si>
  <si>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</si>
  <si>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</si>
  <si>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</si>
  <si>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</si>
  <si>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</si>
  <si>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</si>
  <si>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</si>
  <si>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</si>
  <si>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</si>
  <si>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</si>
  <si>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</si>
  <si>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</si>
  <si>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</si>
  <si>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</si>
  <si>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</si>
  <si>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</si>
  <si>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</si>
  <si>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</si>
  <si>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</si>
  <si>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</si>
  <si>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</si>
  <si>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</si>
  <si>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</si>
  <si>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</si>
  <si>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</si>
  <si>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</si>
  <si>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</si>
  <si>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</si>
  <si>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</si>
  <si>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</si>
  <si>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</si>
  <si>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</si>
  <si>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</si>
  <si>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</si>
  <si>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</si>
  <si>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</si>
  <si>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</si>
  <si>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</si>
  <si>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</si>
  <si>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</si>
  <si>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</si>
  <si>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</si>
  <si>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8 DIAS HABILES</t>
  </si>
  <si>
    <t>5699833 5638</t>
  </si>
  <si>
    <t>CONSTRUCTORA HALTRA</t>
  </si>
  <si>
    <t>MDF 30MM</t>
  </si>
  <si>
    <t>TAPACANTO PVC 0,45 X 50MM</t>
  </si>
  <si>
    <t>MADERA MERINO POR DEFINIR</t>
  </si>
  <si>
    <t>ENCHA RECTO 1 CARA MDF 18 + REGRUESO MDF 18MM</t>
  </si>
  <si>
    <t>N° 11720</t>
  </si>
  <si>
    <t>27-10-20255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</si>
</sst>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34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65" fontId="0" fillId="0" borderId="0" xfId="0" applyNumberForma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D19" zoomScale="93" zoomScaleNormal="93" workbookViewId="0">
      <selection activeCell="J30" sqref="J30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175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176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O40</f>
        <v>38484.948599787313</v>
      </c>
      <c r="R20" s="258">
        <v>5000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52</v>
      </c>
      <c r="C21" s="334" t="s">
        <v>174</v>
      </c>
      <c r="D21" s="332">
        <v>0.61</v>
      </c>
      <c r="E21" s="332">
        <v>0.4</v>
      </c>
      <c r="F21" s="329" t="s">
        <v>173</v>
      </c>
      <c r="G21" s="330">
        <v>15183</v>
      </c>
      <c r="H21" s="330">
        <f>G21*B21</f>
        <v>789516</v>
      </c>
      <c r="I21" s="319"/>
      <c r="J21" s="265"/>
      <c r="K21" s="47"/>
      <c r="L21" s="331">
        <f>B21</f>
        <v>52</v>
      </c>
      <c r="M21" s="39">
        <f>D21+M$19</f>
        <v>0.63</v>
      </c>
      <c r="N21" s="39">
        <f>E21+$N$19</f>
        <v>0.42000000000000004</v>
      </c>
      <c r="O21" s="261">
        <f t="shared" ref="O21" si="1">M21*N21</f>
        <v>0.2646</v>
      </c>
      <c r="P21" s="259">
        <f t="shared" ref="P21" si="2">O21*L21</f>
        <v>13.7592</v>
      </c>
      <c r="Q21" s="252">
        <f t="shared" ref="Q21" si="3">Q$20*O21</f>
        <v>10183.117399503722</v>
      </c>
      <c r="R21" s="318">
        <f t="shared" ref="R21" si="4">Q21+R$20</f>
        <v>15183.117399503722</v>
      </c>
      <c r="S21" s="297">
        <f>M21*L21*2</f>
        <v>65.52</v>
      </c>
      <c r="T21" s="46">
        <f>N21*L21*2</f>
        <v>43.680000000000007</v>
      </c>
      <c r="U21" s="9"/>
      <c r="X21" s="4"/>
    </row>
    <row r="22" spans="2:25" ht="17.399999999999999" x14ac:dyDescent="0.3">
      <c r="B22" s="329">
        <v>52</v>
      </c>
      <c r="C22" s="334" t="s">
        <v>174</v>
      </c>
      <c r="D22" s="332">
        <v>0.36399999999999999</v>
      </c>
      <c r="E22" s="332">
        <v>0.4</v>
      </c>
      <c r="F22" s="329" t="s">
        <v>173</v>
      </c>
      <c r="G22" s="330">
        <v>11207</v>
      </c>
      <c r="H22" s="330">
        <f>G22*B22</f>
        <v>582764</v>
      </c>
      <c r="I22" s="319"/>
      <c r="J22" s="265"/>
      <c r="K22" s="336"/>
      <c r="L22" s="331">
        <f>B22</f>
        <v>52</v>
      </c>
      <c r="M22" s="39">
        <f>D22+M$19</f>
        <v>0.38400000000000001</v>
      </c>
      <c r="N22" s="39">
        <f>E22+$N$19</f>
        <v>0.42000000000000004</v>
      </c>
      <c r="O22" s="261">
        <f t="shared" ref="O22" si="5">M22*N22</f>
        <v>0.16128000000000001</v>
      </c>
      <c r="P22" s="259">
        <f t="shared" ref="P22" si="6">O22*L22</f>
        <v>8.3865600000000011</v>
      </c>
      <c r="Q22" s="252">
        <f t="shared" ref="Q22" si="7">Q$20*O22</f>
        <v>6206.8525101736977</v>
      </c>
      <c r="R22" s="318">
        <f t="shared" ref="R22" si="8">Q22+R$20</f>
        <v>11206.852510173698</v>
      </c>
      <c r="S22" s="297">
        <f t="shared" ref="S22:S23" si="9">M22*L22*2</f>
        <v>39.936</v>
      </c>
      <c r="T22" s="46">
        <f t="shared" ref="T22:T23" si="10">N22*L22*2</f>
        <v>43.680000000000007</v>
      </c>
      <c r="U22" s="9"/>
      <c r="X22" s="4"/>
    </row>
    <row r="23" spans="2:25" ht="17.399999999999999" x14ac:dyDescent="0.3">
      <c r="B23" s="329">
        <v>26</v>
      </c>
      <c r="C23" s="334" t="s">
        <v>174</v>
      </c>
      <c r="D23" s="332">
        <v>0.61</v>
      </c>
      <c r="E23" s="332">
        <v>0.36399999999999999</v>
      </c>
      <c r="F23" s="329" t="s">
        <v>173</v>
      </c>
      <c r="G23" s="330">
        <v>14310</v>
      </c>
      <c r="H23" s="330">
        <f t="shared" ref="H23" si="11">G23*B23</f>
        <v>372060</v>
      </c>
      <c r="I23" s="319"/>
      <c r="J23" s="265"/>
      <c r="K23" s="47"/>
      <c r="L23" s="331">
        <f t="shared" ref="L23" si="12">B23</f>
        <v>26</v>
      </c>
      <c r="M23" s="39">
        <f t="shared" ref="M23" si="13">D23+M$19</f>
        <v>0.63</v>
      </c>
      <c r="N23" s="39">
        <f t="shared" ref="N23" si="14">E23+$N$19</f>
        <v>0.38400000000000001</v>
      </c>
      <c r="O23" s="261">
        <f t="shared" ref="O23" si="15">M23*N23</f>
        <v>0.24192</v>
      </c>
      <c r="P23" s="259">
        <f t="shared" ref="P23" si="16">O23*L23</f>
        <v>6.2899199999999995</v>
      </c>
      <c r="Q23" s="252">
        <f t="shared" ref="Q23" si="17">Q$20*O23</f>
        <v>9310.2787652605457</v>
      </c>
      <c r="R23" s="318">
        <f t="shared" ref="R23" si="18">Q23+R$20</f>
        <v>14310.278765260546</v>
      </c>
      <c r="S23" s="297">
        <f t="shared" si="9"/>
        <v>32.76</v>
      </c>
      <c r="T23" s="46">
        <f t="shared" si="10"/>
        <v>19.968</v>
      </c>
      <c r="U23" s="9"/>
      <c r="X23" s="4"/>
    </row>
    <row r="24" spans="2:25" ht="17.399999999999999" x14ac:dyDescent="0.3">
      <c r="B24" s="285"/>
      <c r="C24" s="335"/>
      <c r="D24" s="286"/>
      <c r="E24" s="286"/>
      <c r="F24" s="285"/>
      <c r="G24" s="319">
        <f>SUM(G21:G23)</f>
        <v>40700</v>
      </c>
      <c r="H24" s="319"/>
      <c r="I24" s="319"/>
      <c r="J24" s="265"/>
      <c r="K24" s="47"/>
      <c r="L24" s="47"/>
      <c r="M24" s="39"/>
      <c r="N24" s="39"/>
      <c r="O24" s="261"/>
      <c r="P24" s="259"/>
      <c r="Q24" s="252"/>
      <c r="R24" s="318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0"/>
      <c r="I25" s="322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3" t="s">
        <v>28</v>
      </c>
      <c r="H26" s="324">
        <f>SUM(H21:H25)</f>
        <v>1744340</v>
      </c>
      <c r="I26" s="321"/>
      <c r="J26" s="265"/>
      <c r="K26" s="47"/>
      <c r="L26" s="47"/>
      <c r="M26" s="39"/>
      <c r="N26" s="39"/>
      <c r="O26" s="261"/>
      <c r="P26" s="259"/>
      <c r="Q26" s="252"/>
      <c r="R26" s="258"/>
      <c r="S26" s="297"/>
      <c r="T26" s="46">
        <f>SUM(T21:T25)</f>
        <v>107.32800000000002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50</v>
      </c>
      <c r="H27" s="294">
        <f>H26*19%</f>
        <v>331424.59999999998</v>
      </c>
      <c r="I27" s="321"/>
      <c r="J27" s="265"/>
      <c r="K27" s="47"/>
      <c r="L27" s="47"/>
      <c r="M27" s="39">
        <f>SUM(M21:M21)</f>
        <v>0.63</v>
      </c>
      <c r="N27" s="12"/>
      <c r="O27" s="12"/>
      <c r="P27" s="253">
        <f>SUM(P21:P25)</f>
        <v>28.435680000000001</v>
      </c>
      <c r="Q27" s="14"/>
      <c r="R27" s="12"/>
      <c r="S27" s="239">
        <f>SUM(S21:S26)</f>
        <v>138.21599999999998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2075764.6</v>
      </c>
      <c r="I28" s="321"/>
      <c r="J28" s="265"/>
      <c r="K28" s="47"/>
      <c r="L28" s="47"/>
      <c r="M28" s="39"/>
      <c r="N28" s="12"/>
      <c r="O28" s="12"/>
      <c r="P28" s="253">
        <f>P27</f>
        <v>28.435680000000001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5.6871360000000006</v>
      </c>
      <c r="Q29" s="39" t="s">
        <v>129</v>
      </c>
      <c r="R29" s="42"/>
      <c r="S29" s="240">
        <f>T26+S27</f>
        <v>245.54399999999998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34.122816</v>
      </c>
      <c r="Q30" s="14"/>
      <c r="R30" s="14"/>
      <c r="S30" s="238">
        <f>S29*20%</f>
        <v>49.108800000000002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294.65279999999996</v>
      </c>
      <c r="T31" s="14"/>
      <c r="U31" s="302" t="s">
        <v>21</v>
      </c>
      <c r="V31" s="299" t="s">
        <v>151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34.122816</v>
      </c>
      <c r="N32" s="12">
        <v>3500</v>
      </c>
      <c r="O32" s="12">
        <f t="shared" ref="O32:O37" si="19">M32*N32</f>
        <v>119429.856</v>
      </c>
      <c r="P32" s="14" t="s">
        <v>21</v>
      </c>
      <c r="Q32" s="14"/>
      <c r="R32" s="14"/>
      <c r="S32" s="241"/>
      <c r="T32" s="14"/>
      <c r="U32" s="302" t="s">
        <v>152</v>
      </c>
      <c r="V32" s="299">
        <v>3625</v>
      </c>
      <c r="W32" s="59" t="s">
        <v>153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9</v>
      </c>
      <c r="N33" s="12">
        <v>42000</v>
      </c>
      <c r="O33" s="12">
        <f t="shared" si="19"/>
        <v>378000</v>
      </c>
      <c r="P33" s="39" t="s">
        <v>30</v>
      </c>
      <c r="Q33" s="42"/>
      <c r="R33" s="14"/>
      <c r="S33" s="240"/>
      <c r="T33" s="14"/>
      <c r="U33" s="302"/>
      <c r="V33" s="59">
        <v>906.25</v>
      </c>
      <c r="W33" s="59" t="s">
        <v>154</v>
      </c>
      <c r="X33" s="304"/>
    </row>
    <row r="34" spans="1:24" s="230" customFormat="1" ht="17.399999999999999" x14ac:dyDescent="0.35">
      <c r="B34" s="24" t="s">
        <v>150</v>
      </c>
      <c r="J34" s="262"/>
      <c r="K34" s="232"/>
      <c r="L34" s="250"/>
      <c r="M34" s="14"/>
      <c r="N34" s="250">
        <v>42000</v>
      </c>
      <c r="O34" s="12">
        <f t="shared" si="19"/>
        <v>0</v>
      </c>
      <c r="P34" s="39" t="s">
        <v>171</v>
      </c>
      <c r="Q34" s="42"/>
      <c r="S34" s="240"/>
      <c r="T34" s="256"/>
      <c r="U34" s="59"/>
      <c r="V34" s="59">
        <f>V33*20%</f>
        <v>181.25</v>
      </c>
      <c r="W34" s="304" t="s">
        <v>155</v>
      </c>
      <c r="X34" s="59"/>
    </row>
    <row r="35" spans="1:24" s="230" customFormat="1" ht="17.399999999999999" x14ac:dyDescent="0.35">
      <c r="B35" s="24" t="s">
        <v>143</v>
      </c>
      <c r="C35"/>
      <c r="D35"/>
      <c r="E35"/>
      <c r="F35"/>
      <c r="J35" s="262"/>
      <c r="K35" s="232"/>
      <c r="L35" s="250"/>
      <c r="M35" s="14">
        <v>8</v>
      </c>
      <c r="N35" s="250">
        <v>40000</v>
      </c>
      <c r="O35" s="12">
        <v>0</v>
      </c>
      <c r="P35" s="14" t="s">
        <v>140</v>
      </c>
      <c r="Q35" s="17"/>
      <c r="S35" s="238"/>
      <c r="T35" s="256"/>
      <c r="U35" s="59"/>
      <c r="V35" s="59">
        <f>V33+V34</f>
        <v>1087.5</v>
      </c>
      <c r="W35" s="304" t="s">
        <v>156</v>
      </c>
      <c r="X35" s="59"/>
    </row>
    <row r="36" spans="1:24" s="230" customFormat="1" ht="17.399999999999999" x14ac:dyDescent="0.35">
      <c r="B36" s="29" t="s">
        <v>124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9"/>
        <v>0</v>
      </c>
      <c r="P36" s="14" t="s">
        <v>31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 t="s">
        <v>167</v>
      </c>
      <c r="K37" s="260">
        <v>38300</v>
      </c>
      <c r="L37" s="250"/>
      <c r="M37" s="266"/>
      <c r="N37" s="12">
        <v>200</v>
      </c>
      <c r="O37" s="12">
        <f t="shared" si="19"/>
        <v>0</v>
      </c>
      <c r="P37" s="14" t="s">
        <v>172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J38" s="230" t="s">
        <v>166</v>
      </c>
      <c r="K38" s="260">
        <v>31000</v>
      </c>
      <c r="L38" s="250"/>
      <c r="M38" s="14"/>
      <c r="N38" s="12"/>
      <c r="O38" s="12">
        <f>SUM(O32:O37)</f>
        <v>497429.85600000003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J39" s="230">
        <v>73340</v>
      </c>
      <c r="L39" s="250"/>
      <c r="M39" s="254" t="s">
        <v>32</v>
      </c>
      <c r="N39" s="12"/>
      <c r="O39" s="255">
        <f>O38*2.2</f>
        <v>1094345.6832000001</v>
      </c>
      <c r="P39" s="14" t="s">
        <v>139</v>
      </c>
      <c r="Q39" s="14"/>
      <c r="R39" s="40">
        <f>P30/R38</f>
        <v>9.2005004314063843</v>
      </c>
      <c r="S39"/>
      <c r="T39" s="257"/>
    </row>
    <row r="40" spans="1:24" s="230" customFormat="1" ht="17.399999999999999" x14ac:dyDescent="0.35">
      <c r="G40"/>
      <c r="H40" s="260"/>
      <c r="I40" s="260"/>
      <c r="J40" s="260">
        <f>J39/1.19</f>
        <v>61630.252100840342</v>
      </c>
      <c r="L40" s="250"/>
      <c r="M40" s="14"/>
      <c r="N40" s="12"/>
      <c r="O40" s="12">
        <f>O39/P28</f>
        <v>38484.948599787313</v>
      </c>
      <c r="P40" s="45" t="s">
        <v>24</v>
      </c>
      <c r="Q40" s="14"/>
      <c r="R40" s="14"/>
      <c r="S40"/>
      <c r="T40" s="238"/>
      <c r="U40" s="59" t="s">
        <v>157</v>
      </c>
      <c r="V40" s="299">
        <v>43650</v>
      </c>
    </row>
    <row r="41" spans="1:24" s="230" customFormat="1" ht="17.399999999999999" x14ac:dyDescent="0.35">
      <c r="G41"/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159</v>
      </c>
      <c r="V41" s="300" t="s">
        <v>158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160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155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147</v>
      </c>
    </row>
    <row r="76" spans="3:15" x14ac:dyDescent="0.3">
      <c r="C76" t="s">
        <v>146</v>
      </c>
    </row>
    <row r="79" spans="3:15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'2229'!G10</f>
        <v>27-10-20255</v>
      </c>
    </row>
    <row r="6" spans="2:31" ht="16.2" thickBot="1" x14ac:dyDescent="0.35">
      <c r="B6" s="140" t="s">
        <v>2</v>
      </c>
      <c r="C6" s="139" t="str">
        <f>'2229'!C10</f>
        <v>CONSTRUCTORA HALTRA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97</v>
      </c>
      <c r="I7" s="344"/>
      <c r="J7" s="344"/>
      <c r="K7" s="345"/>
      <c r="N7" s="75"/>
      <c r="O7" s="342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11720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2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-145725.74796678746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'2229'!H26</f>
        <v>1744340</v>
      </c>
      <c r="E11" s="132">
        <f>D11*0.19</f>
        <v>331424.59999999998</v>
      </c>
      <c r="F11" s="131">
        <f>E11+D11</f>
        <v>2075764.6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-39735.747966787458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527263.94678743964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-57735.747966787458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1217076.0532125602</v>
      </c>
      <c r="E13" s="221">
        <f>(D11/D12)-1</f>
        <v>2.3082861261955587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-66735.747966787458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-105735.74796678746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869985.51219927531</v>
      </c>
      <c r="F15" s="216">
        <f>E15-D12</f>
        <v>342721.56541183568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-105735.74796678746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-65735.747966787458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'2229'!O33</f>
        <v>378000</v>
      </c>
      <c r="E19" s="123">
        <f>D19*0.19</f>
        <v>71820</v>
      </c>
      <c r="F19" s="120">
        <f>SUM(D19:E19)</f>
        <v>449820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119429.856</v>
      </c>
      <c r="E20" s="121">
        <f>D20*0.19</f>
        <v>22691.672640000001</v>
      </c>
      <c r="F20" s="120">
        <f>SUM(D20:E20)</f>
        <v>142121.52864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497429.85600000003</v>
      </c>
      <c r="E21" s="116">
        <f>SUM(E18:E20)</f>
        <v>94511.672640000004</v>
      </c>
      <c r="F21" s="115">
        <f>SUM(F18:F20)</f>
        <v>591941.52864000003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236912.92735999997</v>
      </c>
    </row>
    <row r="41" spans="2:16" ht="15" thickBot="1" x14ac:dyDescent="0.35">
      <c r="H41" s="346" t="s">
        <v>59</v>
      </c>
      <c r="I41" s="347"/>
      <c r="J41" s="347"/>
      <c r="K41" s="347"/>
      <c r="L41" s="347"/>
      <c r="M41" s="348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1744340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497429.85600000003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1217076.0532125602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1217076.0532125602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2025-10-27T23:54:53Z</dcterms:modified>
</cp:coreProperties>
</file>