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80DA59F6-51DC-4A08-BB09-6D3C2CC00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22" i="1"/>
  <c r="M22" i="1"/>
  <c r="O22" i="1" s="1"/>
  <c r="P22" i="1" s="1"/>
  <c r="L22" i="1"/>
  <c r="K36" i="1"/>
  <c r="K35" i="1"/>
  <c r="S21" i="1"/>
  <c r="H21" i="1" l="1"/>
  <c r="M21" i="1"/>
  <c r="N21" i="1"/>
  <c r="J15" i="1"/>
  <c r="J10" i="1"/>
  <c r="O21" i="1" l="1"/>
  <c r="P21" i="1" s="1"/>
  <c r="S27" i="1"/>
  <c r="M26" i="1"/>
  <c r="T25" i="1"/>
  <c r="K40" i="1"/>
  <c r="P26" i="1" l="1"/>
  <c r="S28" i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Q21" i="1" l="1"/>
  <c r="R21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<sst xmlns="http://schemas.openxmlformats.org/spreadsheetml/2006/main" count="232" uniqueCount="178">
  <si>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</si>
  <si>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</si>
  <si>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</si>
  <si>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</si>
  <si>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</si>
  <si>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</si>
  <si>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</si>
  <si>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</si>
  <si>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</si>
  <si>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</si>
  <si>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</si>
  <si>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</si>
  <si>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</si>
  <si>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</si>
  <si>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</si>
  <si>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</si>
  <si>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</si>
  <si>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</si>
  <si>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</si>
  <si>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</si>
  <si>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</si>
  <si>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</si>
  <si>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</si>
  <si>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</si>
  <si>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</si>
  <si>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</si>
  <si>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</si>
  <si>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</si>
  <si>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</si>
  <si>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</si>
  <si>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</si>
  <si>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</si>
  <si>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</si>
  <si>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</si>
  <si>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</si>
  <si>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</si>
  <si>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</si>
  <si>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</si>
  <si>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</si>
  <si>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</si>
  <si>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</si>
  <si>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</si>
  <si>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</si>
  <si>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</si>
  <si>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</si>
  <si>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</si>
  <si>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</si>
  <si>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</si>
  <si>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</si>
  <si>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</si>
  <si>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</si>
  <si>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</si>
  <si>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</si>
  <si>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</si>
  <si>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</si>
  <si>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</si>
  <si>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</si>
  <si>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</si>
  <si>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</si>
  <si>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</si>
  <si>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</si>
  <si>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</si>
  <si>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</si>
  <si>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</si>
  <si>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</si>
  <si>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</si>
  <si>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</si>
  <si>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</si>
  <si>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</si>
  <si>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</si>
  <si>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</si>
  <si>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</si>
  <si>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</si>
  <si>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</si>
  <si>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</si>
  <si>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</si>
  <si>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</si>
  <si>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</si>
  <si>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</si>
  <si>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</si>
  <si>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</si>
  <si>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</si>
  <si>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</si>
  <si>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</si>
  <si>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</si>
  <si>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</si>
  <si>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</si>
  <si>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</si>
  <si>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</si>
  <si>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</si>
  <si>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</si>
  <si>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</si>
  <si>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</si>
  <si>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</si>
  <si>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</si>
  <si>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</si>
  <si>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</si>
  <si>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</si>
  <si>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</si>
  <si>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</si>
  <si>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</si>
  <si>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</si>
  <si>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</si>
  <si>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</si>
  <si>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</si>
  <si>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</si>
  <si>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</si>
  <si>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</si>
  <si>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</si>
  <si>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</si>
  <si>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</si>
  <si>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</si>
  <si>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</si>
  <si>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</si>
  <si>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</si>
  <si>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</si>
  <si>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</si>
  <si>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</si>
  <si>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</si>
  <si>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</si>
  <si>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</si>
  <si>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</si>
  <si>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</si>
  <si>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</si>
  <si>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</si>
  <si>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</si>
  <si>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</si>
  <si>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</si>
  <si>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</si>
  <si>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</si>
  <si>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</si>
  <si>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</si>
  <si>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</si>
  <si>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</si>
  <si>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</si>
  <si>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</si>
  <si>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</si>
  <si>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</si>
  <si>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</si>
  <si>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</si>
  <si>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</si>
  <si>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</si>
  <si>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</si>
  <si>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</si>
  <si>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</si>
  <si>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</si>
  <si>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</si>
  <si>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</si>
  <si>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</si>
  <si>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</si>
  <si>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</si>
  <si>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</si>
  <si>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</si>
  <si>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</si>
  <si>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</si>
  <si>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</si>
  <si>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</si>
  <si>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</si>
  <si>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</si>
  <si>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</si>
  <si>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</si>
  <si>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</si>
  <si>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</si>
  <si>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</si>
  <si>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</si>
  <si>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</si>
  <si>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</si>
  <si>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</si>
  <si>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</si>
  <si>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</si>
  <si>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</si>
  <si>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LAMINA 122X306</t>
  </si>
  <si>
    <t>N° 11726</t>
  </si>
  <si>
    <t>CUB C/R 90° R8</t>
  </si>
  <si>
    <t>MEDITERRANEO F6 2180 MT</t>
  </si>
  <si>
    <t>CEN 2V R8</t>
  </si>
  <si>
    <t>15 DIAS HABILES</t>
  </si>
  <si>
    <t>FONE SAMSARA MAPLE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</si>
</sst>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D18" zoomScale="93" zoomScaleNormal="93" workbookViewId="0">
      <selection activeCell="T35" sqref="T3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45957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176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44847.041847041852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20</v>
      </c>
      <c r="C21" s="330" t="s">
        <v>173</v>
      </c>
      <c r="D21" s="333">
        <v>3</v>
      </c>
      <c r="E21" s="333">
        <v>0.6</v>
      </c>
      <c r="F21" s="330" t="s">
        <v>174</v>
      </c>
      <c r="G21" s="331">
        <v>97447</v>
      </c>
      <c r="H21" s="331">
        <f t="shared" ref="H21:H22" si="1">G21*B21</f>
        <v>1948940</v>
      </c>
      <c r="I21" s="320"/>
      <c r="J21" s="265">
        <v>92285</v>
      </c>
      <c r="K21" s="47"/>
      <c r="L21" s="332"/>
      <c r="M21" s="39">
        <f t="shared" ref="M21" si="2">D21+M$19</f>
        <v>3.08</v>
      </c>
      <c r="N21" s="39">
        <f t="shared" ref="N21" si="3">E21+$N$19</f>
        <v>0.6</v>
      </c>
      <c r="O21" s="261">
        <f t="shared" ref="O21" si="4">M21*N21</f>
        <v>1.8479999999999999</v>
      </c>
      <c r="P21" s="259">
        <f t="shared" ref="P21" si="5">O21*L21</f>
        <v>0</v>
      </c>
      <c r="Q21" s="252">
        <f t="shared" ref="Q21" si="6">Q$20*O21</f>
        <v>82877.333333333343</v>
      </c>
      <c r="R21" s="319">
        <f t="shared" ref="R21" si="7">Q21+R$20</f>
        <v>85877.333333333343</v>
      </c>
      <c r="S21" s="297">
        <f>L21*M21</f>
        <v>0</v>
      </c>
      <c r="T21" s="46"/>
      <c r="U21" s="9"/>
      <c r="X21" s="4"/>
    </row>
    <row r="22" spans="1:25" ht="17.399999999999999" x14ac:dyDescent="0.3">
      <c r="B22" s="330">
        <v>150</v>
      </c>
      <c r="C22" s="330" t="s">
        <v>175</v>
      </c>
      <c r="D22" s="333">
        <v>3</v>
      </c>
      <c r="E22" s="333">
        <v>0.15</v>
      </c>
      <c r="F22" s="330" t="s">
        <v>177</v>
      </c>
      <c r="G22" s="331">
        <v>21495</v>
      </c>
      <c r="H22" s="331">
        <f t="shared" si="1"/>
        <v>3224250</v>
      </c>
      <c r="I22" s="320"/>
      <c r="J22" s="265"/>
      <c r="K22" s="47"/>
      <c r="L22" s="332">
        <f t="shared" ref="L22" si="8">B22</f>
        <v>150</v>
      </c>
      <c r="M22" s="39">
        <f t="shared" ref="M22" si="9">D22+M$19</f>
        <v>3.08</v>
      </c>
      <c r="N22" s="39">
        <f t="shared" ref="N22" si="10">E22+$N$19</f>
        <v>0.15</v>
      </c>
      <c r="O22" s="261">
        <f t="shared" ref="O22" si="11">M22*N22</f>
        <v>0.46199999999999997</v>
      </c>
      <c r="P22" s="259">
        <f t="shared" ref="P22" si="12">O22*L22</f>
        <v>69.3</v>
      </c>
      <c r="Q22" s="252">
        <f t="shared" ref="Q22" si="13">Q$20*O22</f>
        <v>20719.333333333336</v>
      </c>
      <c r="R22" s="319">
        <f t="shared" ref="R22" si="14">Q22+R$20</f>
        <v>23719.333333333336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5173190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982906.1</v>
      </c>
      <c r="I26" s="322"/>
      <c r="J26" s="265"/>
      <c r="K26" s="47"/>
      <c r="L26" s="47"/>
      <c r="M26" s="39">
        <f>SUM(M21:M25)</f>
        <v>6.16</v>
      </c>
      <c r="N26" s="12"/>
      <c r="O26" s="12"/>
      <c r="P26" s="253">
        <f>SUM(P21:P24)</f>
        <v>69.3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6156096.0999999996</v>
      </c>
      <c r="I27" s="322"/>
      <c r="J27" s="265"/>
      <c r="K27" s="47"/>
      <c r="L27" s="47"/>
      <c r="M27" s="39"/>
      <c r="N27" s="12"/>
      <c r="O27" s="12"/>
      <c r="P27" s="253">
        <f>P26</f>
        <v>69.3</v>
      </c>
      <c r="Q27" s="14"/>
      <c r="R27" s="12"/>
      <c r="S27" s="239">
        <f>SUM(S21:S26)</f>
        <v>0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13.86</v>
      </c>
      <c r="Q28" s="39" t="s">
        <v>130</v>
      </c>
      <c r="R28" s="42"/>
      <c r="S28" s="240">
        <f>S27+T25</f>
        <v>0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83.16</v>
      </c>
      <c r="Q29" s="14"/>
      <c r="R29" s="14"/>
      <c r="S29" s="238">
        <f>S28*20%</f>
        <v>0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0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83.16</v>
      </c>
      <c r="N31" s="12">
        <v>2000</v>
      </c>
      <c r="O31" s="12">
        <f t="shared" ref="O31:O36" si="15">M31*N31</f>
        <v>166320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10</v>
      </c>
      <c r="N32" s="12">
        <v>23500</v>
      </c>
      <c r="O32" s="12">
        <f t="shared" si="15"/>
        <v>235000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>
        <v>1220</v>
      </c>
      <c r="L33" s="250"/>
      <c r="M33" s="14"/>
      <c r="N33" s="250">
        <v>36831</v>
      </c>
      <c r="O33" s="12">
        <f t="shared" si="1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>
        <v>230</v>
      </c>
      <c r="L34" s="250"/>
      <c r="M34" s="14">
        <v>30</v>
      </c>
      <c r="N34" s="250">
        <v>38421</v>
      </c>
      <c r="O34" s="12">
        <f t="shared" si="15"/>
        <v>1152630</v>
      </c>
      <c r="P34" s="14" t="s">
        <v>171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K33/K34</f>
        <v>5.3043478260869561</v>
      </c>
      <c r="L35" s="250"/>
      <c r="M35" s="249"/>
      <c r="N35" s="250">
        <v>900</v>
      </c>
      <c r="O35" s="12">
        <f t="shared" si="15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>
        <f>B22/K35</f>
        <v>28.278688524590166</v>
      </c>
      <c r="L36" s="250"/>
      <c r="M36" s="266"/>
      <c r="N36" s="12">
        <v>500</v>
      </c>
      <c r="O36" s="12">
        <f t="shared" si="15"/>
        <v>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1553950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</f>
        <v>3107900</v>
      </c>
      <c r="P38" s="14" t="s">
        <v>140</v>
      </c>
      <c r="Q38" s="14"/>
      <c r="R38" s="40">
        <f>P29/R37</f>
        <v>18.177049180327867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44847.041847041852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11726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-743630.95836678741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5173190</v>
      </c>
      <c r="E11" s="132">
        <f>D11*0.19</f>
        <v>982906.1</v>
      </c>
      <c r="F11" s="131">
        <f>E11+D11</f>
        <v>6156096.0999999996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-637640.95836678741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431154.09078743961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-655640.95836678741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4742035.9092125604</v>
      </c>
      <c r="E13" s="221">
        <f>(D11/D12)-1</f>
        <v>10.998471336667428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-664640.95836678741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-703640.95836678741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711404.24979927531</v>
      </c>
      <c r="F15" s="216">
        <f>E15-D12</f>
        <v>280250.1590118357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-703640.95836678741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-663640.95836678741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235000</v>
      </c>
      <c r="E19" s="123">
        <f>D19*0.19</f>
        <v>44650</v>
      </c>
      <c r="F19" s="120">
        <f>SUM(D19:E19)</f>
        <v>279650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166320</v>
      </c>
      <c r="E20" s="121">
        <f>D20*0.19</f>
        <v>31600.799999999999</v>
      </c>
      <c r="F20" s="120">
        <f>SUM(D20:E20)</f>
        <v>197920.8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401320</v>
      </c>
      <c r="E21" s="116">
        <f>SUM(E18:E20)</f>
        <v>76250.8</v>
      </c>
      <c r="F21" s="115">
        <f>SUM(F18:F20)</f>
        <v>477570.8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906655.29999999993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5173190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401320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4742035.9092125604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4742035.9092125604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2025-10-03T19:04:09Z</cp:lastPrinted>
  <dcterms:created xsi:type="dcterms:W3CDTF">2013-03-18T13:35:42Z</dcterms:created>
  <dcterms:modified xsi:type="dcterms:W3CDTF">2025-11-19T19:43:07Z</dcterms:modified>
</cp:coreProperties>
</file>