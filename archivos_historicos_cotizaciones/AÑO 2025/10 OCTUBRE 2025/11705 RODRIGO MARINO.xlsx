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5\"/>
    </mc:Choice>
  </mc:AlternateContent>
  <xr:revisionPtr revIDLastSave="0" documentId="13_ncr:1_{EB4B0B4B-4C55-4FE5-B07A-E1D62C7DBC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L22" i="1"/>
  <c r="M22" i="1"/>
  <c r="N22" i="1"/>
  <c r="O22" i="1"/>
  <c r="P22" i="1" s="1"/>
  <c r="S22" i="1"/>
  <c r="L21" i="1"/>
  <c r="J39" i="1"/>
  <c r="J15" i="1"/>
  <c r="J10" i="1"/>
  <c r="N21" i="1" l="1"/>
  <c r="M21" i="1" l="1"/>
  <c r="S21" i="1" l="1"/>
  <c r="S27" i="1" s="1"/>
  <c r="M26" i="1"/>
  <c r="T21" i="1"/>
  <c r="T25" i="1" s="1"/>
  <c r="O21" i="1"/>
  <c r="P21" i="1" s="1"/>
  <c r="P26" i="1" s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Q22" i="1" s="1"/>
  <c r="R22" i="1" s="1"/>
  <c r="D21" i="3"/>
  <c r="M43" i="3" s="1"/>
  <c r="D12" i="3" s="1"/>
  <c r="F20" i="3"/>
  <c r="F21" i="3" s="1"/>
  <c r="O40" i="1" l="1"/>
  <c r="E15" i="3"/>
  <c r="Q21" i="1" l="1"/>
  <c r="F15" i="3"/>
  <c r="R21" i="1" l="1"/>
  <c r="H21" i="1" l="1"/>
  <c r="H25" i="1" s="1"/>
  <c r="H26" i="1" s="1"/>
  <c r="H27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<sst xmlns="http://schemas.openxmlformats.org/spreadsheetml/2006/main" count="233" uniqueCount="176">
  <si>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</si>
  <si>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</si>
  <si>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</si>
  <si>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</si>
  <si>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</si>
  <si>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</si>
  <si>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</si>
  <si>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</si>
  <si>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</si>
  <si>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</si>
  <si>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</si>
  <si>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</si>
  <si>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</si>
  <si>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</si>
  <si>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</si>
  <si>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</si>
  <si>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</si>
  <si>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</si>
  <si>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</si>
  <si>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</si>
  <si>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</si>
  <si>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</si>
  <si>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</si>
  <si>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</si>
  <si>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</si>
  <si>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</si>
  <si>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</si>
  <si>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</si>
  <si>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</si>
  <si>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</si>
  <si>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</si>
  <si>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</si>
  <si>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</si>
  <si>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</si>
  <si>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</si>
  <si>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</si>
  <si>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</si>
  <si>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</si>
  <si>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</si>
  <si>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</si>
  <si>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</si>
  <si>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</si>
  <si>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</si>
  <si>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</si>
  <si>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</si>
  <si>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</si>
  <si>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</si>
  <si>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</si>
  <si>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</si>
  <si>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</si>
  <si>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</si>
  <si>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</si>
  <si>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</si>
  <si>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</si>
  <si>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</si>
  <si>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</si>
  <si>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</si>
  <si>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</si>
  <si>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</si>
  <si>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</si>
  <si>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</si>
  <si>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</si>
  <si>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</si>
  <si>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</si>
  <si>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</si>
  <si>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</si>
  <si>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</si>
  <si>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</si>
  <si>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</si>
  <si>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</si>
  <si>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</si>
  <si>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</si>
  <si>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</si>
  <si>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</si>
  <si>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</si>
  <si>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</si>
  <si>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</si>
  <si>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</si>
  <si>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</si>
  <si>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</si>
  <si>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</si>
  <si>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</si>
  <si>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</si>
  <si>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</si>
  <si>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</si>
  <si>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</si>
  <si>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</si>
  <si>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</si>
  <si>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</si>
  <si>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</si>
  <si>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</si>
  <si>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</si>
  <si>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</si>
  <si>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</si>
  <si>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</si>
  <si>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</si>
  <si>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</si>
  <si>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</si>
  <si>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</si>
  <si>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</si>
  <si>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</si>
  <si>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</si>
  <si>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</si>
  <si>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</si>
  <si>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</si>
  <si>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</si>
  <si>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</si>
  <si>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</si>
  <si>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</si>
  <si>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</si>
  <si>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</si>
  <si>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</si>
  <si>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</si>
  <si>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</si>
  <si>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</si>
  <si>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</si>
  <si>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</si>
  <si>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</si>
  <si>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</si>
  <si>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</si>
  <si>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</si>
  <si>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</si>
  <si>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</si>
  <si>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</si>
  <si>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</si>
  <si>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</si>
  <si>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</si>
  <si>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</si>
  <si>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</si>
  <si>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</si>
  <si>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</si>
  <si>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</si>
  <si>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</si>
  <si>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</si>
  <si>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</si>
  <si>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</si>
  <si>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</si>
  <si>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</si>
  <si>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</si>
  <si>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</si>
  <si>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</si>
  <si>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</si>
  <si>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</si>
  <si>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</si>
  <si>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</si>
  <si>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</si>
  <si>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</si>
  <si>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</si>
  <si>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</si>
  <si>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</si>
  <si>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</si>
  <si>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</si>
  <si>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</si>
  <si>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</si>
  <si>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</si>
  <si>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</si>
  <si>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</si>
  <si>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</si>
  <si>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</si>
  <si>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</si>
  <si>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</si>
  <si>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</si>
  <si>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</si>
  <si>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</si>
  <si>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</si>
  <si>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</si>
  <si>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</si>
  <si>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NIEBLA</t>
  </si>
  <si>
    <t>WHITE OAK</t>
  </si>
  <si>
    <t>8 DIAS HABILES</t>
  </si>
  <si>
    <t>N° 11705</t>
  </si>
  <si>
    <t>RODRIGO MARINO</t>
  </si>
  <si>
    <t>5699833 5638</t>
  </si>
  <si>
    <t>CUB CON RESPALDO FRENTE 90°</t>
  </si>
  <si>
    <t>CUB MESA FRENTE 90° 4 LADOS</t>
  </si>
  <si>
    <t>FORT GRANITE BRILLO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</si>
</sst>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36" fillId="0" borderId="0" xfId="0" quotePrefix="1" applyFont="1" applyAlignment="1">
      <alignment horizontal="left" vertical="top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 CON SOBRE MEDIDA</a:t>
          </a:r>
          <a:r>
            <a:rPr lang="es-CL" sz="1200" b="1" baseline="0"/>
            <a:t>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E89DC00-951E-41FE-A238-EF9D07C7B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0258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953E6C2-B4C9-405A-9AEA-7F40605C42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87871" y="344129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3" zoomScale="93" zoomScaleNormal="93" workbookViewId="0">
      <selection activeCell="J24" sqref="J24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8" t="s">
        <v>170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171</v>
      </c>
      <c r="D10" s="243"/>
      <c r="E10" s="243"/>
      <c r="F10" s="244" t="s">
        <v>0</v>
      </c>
      <c r="G10" s="276">
        <v>45945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169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3"/>
      <c r="D14" s="247"/>
      <c r="E14" s="247"/>
      <c r="F14" s="314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 t="s">
        <v>172</v>
      </c>
      <c r="D15" s="309"/>
      <c r="F15" t="s">
        <v>134</v>
      </c>
      <c r="G15" s="308" t="s">
        <v>135</v>
      </c>
      <c r="H15" s="289"/>
      <c r="J15">
        <f>SUM(J12:J14)</f>
        <v>158</v>
      </c>
    </row>
    <row r="16" spans="2:24" ht="16.8" x14ac:dyDescent="0.4">
      <c r="B16" s="315" t="s">
        <v>3</v>
      </c>
      <c r="C16" s="306"/>
      <c r="D16" s="247"/>
      <c r="E16" s="247"/>
      <c r="F16" s="316" t="s">
        <v>129</v>
      </c>
      <c r="G16" s="317" t="s">
        <v>163</v>
      </c>
      <c r="H16" s="248"/>
    </row>
    <row r="17" spans="1:25" ht="15" thickBot="1" x14ac:dyDescent="0.35">
      <c r="B17" s="310" t="s">
        <v>13</v>
      </c>
      <c r="C17" s="311" t="s">
        <v>166</v>
      </c>
      <c r="D17" s="312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61701.90858059343</v>
      </c>
      <c r="R20" s="258">
        <v>5000</v>
      </c>
      <c r="S20" s="38"/>
      <c r="T20" s="14" t="s">
        <v>128</v>
      </c>
      <c r="U20" s="9"/>
      <c r="X20" s="4"/>
    </row>
    <row r="21" spans="1:25" ht="17.399999999999999" x14ac:dyDescent="0.3">
      <c r="B21" s="329">
        <v>1</v>
      </c>
      <c r="C21" s="329" t="s">
        <v>173</v>
      </c>
      <c r="D21" s="332">
        <v>1.2</v>
      </c>
      <c r="E21" s="332">
        <v>0.6</v>
      </c>
      <c r="F21" s="329" t="s">
        <v>175</v>
      </c>
      <c r="G21" s="330">
        <v>52387</v>
      </c>
      <c r="H21" s="330">
        <f>G21*B21</f>
        <v>52387</v>
      </c>
      <c r="I21" s="319"/>
      <c r="J21" s="265"/>
      <c r="K21" s="47"/>
      <c r="L21" s="331">
        <f>B21</f>
        <v>1</v>
      </c>
      <c r="M21" s="39">
        <f>D21+M$19</f>
        <v>1.28</v>
      </c>
      <c r="N21" s="39">
        <f>E21+$N$19</f>
        <v>0.6</v>
      </c>
      <c r="O21" s="261">
        <f t="shared" ref="O21" si="1">M21*N21</f>
        <v>0.76800000000000002</v>
      </c>
      <c r="P21" s="259">
        <f t="shared" ref="P21" si="2">O21*L21</f>
        <v>0.76800000000000002</v>
      </c>
      <c r="Q21" s="252">
        <f t="shared" ref="Q21" si="3">Q$20*O21</f>
        <v>47387.065789895758</v>
      </c>
      <c r="R21" s="318">
        <f t="shared" ref="R21" si="4">Q21+R$20</f>
        <v>52387.065789895758</v>
      </c>
      <c r="S21" s="297">
        <f>M21*L21</f>
        <v>1.28</v>
      </c>
      <c r="T21" s="46">
        <f>M21*L21</f>
        <v>1.28</v>
      </c>
      <c r="U21" s="9"/>
      <c r="X21" s="4"/>
    </row>
    <row r="22" spans="1:25" ht="17.399999999999999" x14ac:dyDescent="0.3">
      <c r="B22" s="329">
        <v>1</v>
      </c>
      <c r="C22" s="329" t="s">
        <v>174</v>
      </c>
      <c r="D22" s="332">
        <v>2.2999999999999998</v>
      </c>
      <c r="E22" s="332">
        <v>0.83</v>
      </c>
      <c r="F22" s="329" t="s">
        <v>175</v>
      </c>
      <c r="G22" s="330">
        <v>126886</v>
      </c>
      <c r="H22" s="330">
        <f>G22*B22</f>
        <v>126886</v>
      </c>
      <c r="I22" s="319"/>
      <c r="J22" s="265"/>
      <c r="K22" s="47"/>
      <c r="L22" s="331">
        <f>B22</f>
        <v>1</v>
      </c>
      <c r="M22" s="39">
        <f>D22+M$19</f>
        <v>2.38</v>
      </c>
      <c r="N22" s="39">
        <f>E22+$N$19</f>
        <v>0.83</v>
      </c>
      <c r="O22" s="261">
        <f t="shared" ref="O22" si="5">M22*N22</f>
        <v>1.9753999999999998</v>
      </c>
      <c r="P22" s="259">
        <f t="shared" ref="P22" si="6">O22*L22</f>
        <v>1.9753999999999998</v>
      </c>
      <c r="Q22" s="252">
        <f t="shared" ref="Q22" si="7">Q$20*O22</f>
        <v>121885.95021010425</v>
      </c>
      <c r="R22" s="318">
        <f t="shared" ref="R22" si="8">Q22+R$20</f>
        <v>126885.95021010425</v>
      </c>
      <c r="S22" s="297">
        <f>M22*L22</f>
        <v>2.38</v>
      </c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19"/>
      <c r="H23" s="319"/>
      <c r="I23" s="319"/>
      <c r="J23" s="265"/>
      <c r="K23" s="47"/>
      <c r="L23" s="47"/>
      <c r="M23" s="39"/>
      <c r="N23" s="39"/>
      <c r="O23" s="261"/>
      <c r="P23" s="259"/>
      <c r="Q23" s="252"/>
      <c r="R23" s="318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0"/>
      <c r="I24" s="322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3" t="s">
        <v>28</v>
      </c>
      <c r="H25" s="324">
        <f>SUM(H21:H24)</f>
        <v>179273</v>
      </c>
      <c r="I25" s="321"/>
      <c r="J25" s="265"/>
      <c r="K25" s="47"/>
      <c r="L25" s="47"/>
      <c r="M25" s="39"/>
      <c r="N25" s="39"/>
      <c r="O25" s="261"/>
      <c r="P25" s="259"/>
      <c r="Q25" s="252"/>
      <c r="R25" s="258"/>
      <c r="S25" s="297"/>
      <c r="T25" s="46">
        <f>SUM(T21:T24)</f>
        <v>1.28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34061.870000000003</v>
      </c>
      <c r="I26" s="321"/>
      <c r="J26" s="265"/>
      <c r="K26" s="47"/>
      <c r="L26" s="47"/>
      <c r="M26" s="39">
        <f>SUM(M21:M21)</f>
        <v>1.28</v>
      </c>
      <c r="N26" s="12"/>
      <c r="O26" s="12"/>
      <c r="P26" s="253">
        <f>SUM(P21:P24)</f>
        <v>2.7433999999999998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213334.87</v>
      </c>
      <c r="I27" s="321"/>
      <c r="J27" s="265"/>
      <c r="K27" s="47"/>
      <c r="L27" s="47"/>
      <c r="M27" s="39"/>
      <c r="N27" s="12"/>
      <c r="O27" s="12"/>
      <c r="P27" s="253">
        <f>P26</f>
        <v>2.7433999999999998</v>
      </c>
      <c r="Q27" s="14"/>
      <c r="R27" s="12"/>
      <c r="S27" s="239">
        <f>SUM(S21:S26)</f>
        <v>3.66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0.54867999999999995</v>
      </c>
      <c r="Q28" s="39" t="s">
        <v>130</v>
      </c>
      <c r="R28" s="42"/>
      <c r="S28" s="240">
        <f>S27+T25</f>
        <v>4.9400000000000004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3.2920799999999999</v>
      </c>
      <c r="Q29" s="14"/>
      <c r="R29" s="14"/>
      <c r="S29" s="238">
        <f>S28*20%</f>
        <v>0.9880000000000001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5.9280000000000008</v>
      </c>
      <c r="T30" s="14"/>
      <c r="U30" s="302" t="s">
        <v>21</v>
      </c>
      <c r="V30" s="299" t="s">
        <v>152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3.2920799999999999</v>
      </c>
      <c r="N31" s="12">
        <v>3500</v>
      </c>
      <c r="O31" s="12">
        <f t="shared" ref="O31:O36" si="9">M31*N31</f>
        <v>11522.279999999999</v>
      </c>
      <c r="P31" s="14" t="s">
        <v>21</v>
      </c>
      <c r="Q31" s="14"/>
      <c r="R31" s="14"/>
      <c r="S31" s="241"/>
      <c r="T31" s="14"/>
      <c r="U31" s="302" t="s">
        <v>153</v>
      </c>
      <c r="V31" s="299">
        <v>3625</v>
      </c>
      <c r="W31" s="59" t="s">
        <v>154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1</v>
      </c>
      <c r="N32" s="12">
        <v>23500</v>
      </c>
      <c r="O32" s="12">
        <f t="shared" si="9"/>
        <v>23500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155</v>
      </c>
      <c r="X32" s="304"/>
    </row>
    <row r="33" spans="2:24" s="230" customFormat="1" ht="17.399999999999999" x14ac:dyDescent="0.35">
      <c r="B33" s="24" t="s">
        <v>151</v>
      </c>
      <c r="J33" s="262"/>
      <c r="K33" s="232"/>
      <c r="L33" s="250"/>
      <c r="M33" s="14"/>
      <c r="N33" s="250">
        <v>35000</v>
      </c>
      <c r="O33" s="12">
        <f t="shared" si="9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156</v>
      </c>
      <c r="X33" s="59"/>
    </row>
    <row r="34" spans="2:24" s="230" customFormat="1" ht="17.399999999999999" x14ac:dyDescent="0.35">
      <c r="B34" s="24" t="s">
        <v>144</v>
      </c>
      <c r="C34"/>
      <c r="D34"/>
      <c r="E34"/>
      <c r="F34"/>
      <c r="J34" s="262"/>
      <c r="K34" s="232"/>
      <c r="L34" s="250"/>
      <c r="M34" s="14">
        <v>2</v>
      </c>
      <c r="N34" s="250">
        <v>20000</v>
      </c>
      <c r="O34" s="12">
        <f t="shared" si="9"/>
        <v>40000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4" t="s">
        <v>157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900</v>
      </c>
      <c r="O35" s="12">
        <f t="shared" si="9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 t="s">
        <v>168</v>
      </c>
      <c r="K36" s="260">
        <v>38300</v>
      </c>
      <c r="L36" s="250"/>
      <c r="M36" s="266">
        <v>1.28</v>
      </c>
      <c r="N36" s="12">
        <v>1500</v>
      </c>
      <c r="O36" s="12">
        <f t="shared" si="9"/>
        <v>1920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J37" s="230" t="s">
        <v>167</v>
      </c>
      <c r="K37" s="260">
        <v>31000</v>
      </c>
      <c r="L37" s="250"/>
      <c r="M37" s="14"/>
      <c r="N37" s="12"/>
      <c r="O37" s="12">
        <f>SUM(O31:O36)</f>
        <v>76942.28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J38" s="230">
        <v>49560</v>
      </c>
      <c r="L38" s="250"/>
      <c r="M38" s="254" t="s">
        <v>33</v>
      </c>
      <c r="N38" s="12"/>
      <c r="O38" s="255">
        <f>O37*2.2</f>
        <v>169273.016</v>
      </c>
      <c r="P38" s="14" t="s">
        <v>140</v>
      </c>
      <c r="Q38" s="14"/>
      <c r="R38" s="40">
        <f>P29/R37</f>
        <v>0.88764020707506464</v>
      </c>
      <c r="S38"/>
      <c r="T38" s="257"/>
    </row>
    <row r="39" spans="2:24" s="230" customFormat="1" ht="17.399999999999999" x14ac:dyDescent="0.35">
      <c r="G39"/>
      <c r="H39" s="260"/>
      <c r="I39" s="260"/>
      <c r="J39" s="260">
        <f>J38/1.19</f>
        <v>41647.058823529413</v>
      </c>
      <c r="L39" s="250"/>
      <c r="M39" s="14"/>
      <c r="N39" s="12"/>
      <c r="O39" s="12">
        <f>O38/P27</f>
        <v>61701.90858059343</v>
      </c>
      <c r="P39" s="45" t="s">
        <v>24</v>
      </c>
      <c r="Q39" s="14"/>
      <c r="R39" s="14"/>
      <c r="S39"/>
      <c r="T39" s="238"/>
      <c r="U39" s="59" t="s">
        <v>158</v>
      </c>
      <c r="V39" s="299">
        <v>43650</v>
      </c>
    </row>
    <row r="40" spans="2:24" s="230" customFormat="1" ht="17.399999999999999" x14ac:dyDescent="0.35">
      <c r="G40"/>
      <c r="L40" s="250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160</v>
      </c>
      <c r="V40" s="300" t="s">
        <v>159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161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156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148</v>
      </c>
    </row>
    <row r="75" spans="3:15" x14ac:dyDescent="0.3">
      <c r="C75" t="s">
        <v>147</v>
      </c>
    </row>
    <row r="78" spans="3:15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45945</v>
      </c>
    </row>
    <row r="6" spans="2:31" ht="16.2" thickBot="1" x14ac:dyDescent="0.35">
      <c r="B6" s="140" t="s">
        <v>2</v>
      </c>
      <c r="C6" s="139" t="str">
        <f>'2229'!C10</f>
        <v>RODRIGO MARINO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11705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-12043.331366787441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179273</v>
      </c>
      <c r="E11" s="132">
        <f>D11*0.19</f>
        <v>34061.870000000003</v>
      </c>
      <c r="F11" s="131">
        <f>E11+D11</f>
        <v>213334.87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93946.668633212554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64856.370787439613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75946.668633212554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114416.62921256039</v>
      </c>
      <c r="E13" s="221">
        <f>(D11/D12)-1</f>
        <v>1.7641540503021615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66946.668633212554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27946.668633212561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107013.01179927535</v>
      </c>
      <c r="F15" s="216">
        <f>E15-D12</f>
        <v>42156.641011835738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27946.668633212561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67946.668633212554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23500</v>
      </c>
      <c r="E19" s="123">
        <f>D19*0.19</f>
        <v>4465</v>
      </c>
      <c r="F19" s="120">
        <f>SUM(D19:E19)</f>
        <v>27965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11522.279999999999</v>
      </c>
      <c r="E20" s="121">
        <f>D20*0.19</f>
        <v>2189.2331999999997</v>
      </c>
      <c r="F20" s="120">
        <f>SUM(D20:E20)</f>
        <v>13711.513199999998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35022.28</v>
      </c>
      <c r="E21" s="116">
        <f>SUM(E18:E20)</f>
        <v>6654.2331999999997</v>
      </c>
      <c r="F21" s="115">
        <f>SUM(F18:F20)</f>
        <v>41676.513200000001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27407.636800000004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179273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35022.28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114416.62921256039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114416.62921256039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2025-04-03T19:02:46Z</cp:lastPrinted>
  <dcterms:created xsi:type="dcterms:W3CDTF">2013-03-18T13:35:42Z</dcterms:created>
  <dcterms:modified xsi:type="dcterms:W3CDTF">2025-10-19T13:51:39Z</dcterms:modified>
</cp:coreProperties>
</file>