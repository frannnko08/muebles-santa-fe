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CD0F8E21-7CAF-4F03-9077-4FCBB3E84B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15" i="1"/>
  <c r="J10" i="1"/>
  <c r="N21" i="1" l="1"/>
  <c r="M21" i="1" l="1"/>
  <c r="S21" i="1" s="1"/>
  <c r="M26" i="1" l="1"/>
  <c r="T21" i="1"/>
  <c r="T25" i="1" s="1"/>
  <c r="S27" i="1"/>
  <c r="O21" i="1"/>
  <c r="P21" i="1" s="1"/>
  <c r="P26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<sst xmlns="http://schemas.openxmlformats.org/spreadsheetml/2006/main" count="231" uniqueCount="175">
  <si>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</si>
  <si>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</si>
  <si>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</si>
  <si>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</si>
  <si>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</si>
  <si>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</si>
  <si>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</si>
  <si>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</si>
  <si>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</si>
  <si>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</si>
  <si>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</si>
  <si>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</si>
  <si>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</si>
  <si>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</si>
  <si>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</si>
  <si>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</si>
  <si>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</si>
  <si>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</si>
  <si>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</si>
  <si>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</si>
  <si>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</si>
  <si>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</si>
  <si>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</si>
  <si>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</si>
  <si>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</si>
  <si>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</si>
  <si>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</si>
  <si>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</si>
  <si>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</si>
  <si>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</si>
  <si>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</si>
  <si>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</si>
  <si>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</si>
  <si>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</si>
  <si>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</si>
  <si>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</si>
  <si>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</si>
  <si>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</si>
  <si>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</si>
  <si>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</si>
  <si>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</si>
  <si>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</si>
  <si>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</si>
  <si>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</si>
  <si>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</si>
  <si>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</si>
  <si>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</si>
  <si>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</si>
  <si>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</si>
  <si>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</si>
  <si>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</si>
  <si>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</si>
  <si>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</si>
  <si>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</si>
  <si>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</si>
  <si>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</si>
  <si>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</si>
  <si>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</si>
  <si>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</si>
  <si>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</si>
  <si>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</si>
  <si>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</si>
  <si>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</si>
  <si>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</si>
  <si>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</si>
  <si>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</si>
  <si>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</si>
  <si>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</si>
  <si>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</si>
  <si>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</si>
  <si>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</si>
  <si>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</si>
  <si>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</si>
  <si>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</si>
  <si>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</si>
  <si>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</si>
  <si>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</si>
  <si>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</si>
  <si>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</si>
  <si>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</si>
  <si>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</si>
  <si>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</si>
  <si>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</si>
  <si>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</si>
  <si>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</si>
  <si>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</si>
  <si>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</si>
  <si>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</si>
  <si>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</si>
  <si>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</si>
  <si>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</si>
  <si>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</si>
  <si>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</si>
  <si>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</si>
  <si>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</si>
  <si>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</si>
  <si>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</si>
  <si>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</si>
  <si>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</si>
  <si>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</si>
  <si>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</si>
  <si>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</si>
  <si>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</si>
  <si>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</si>
  <si>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</si>
  <si>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</si>
  <si>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</si>
  <si>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</si>
  <si>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</si>
  <si>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</si>
  <si>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</si>
  <si>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</si>
  <si>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</si>
  <si>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</si>
  <si>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</si>
  <si>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</si>
  <si>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</si>
  <si>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</si>
  <si>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</si>
  <si>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</si>
  <si>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</si>
  <si>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</si>
  <si>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</si>
  <si>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</si>
  <si>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</si>
  <si>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</si>
  <si>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</si>
  <si>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</si>
  <si>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</si>
  <si>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</si>
  <si>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</si>
  <si>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</si>
  <si>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</si>
  <si>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</si>
  <si>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</si>
  <si>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</si>
  <si>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</si>
  <si>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</si>
  <si>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</si>
  <si>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</si>
  <si>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</si>
  <si>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</si>
  <si>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</si>
  <si>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</si>
  <si>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</si>
  <si>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</si>
  <si>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</si>
  <si>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</si>
  <si>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</si>
  <si>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</si>
  <si>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</si>
  <si>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</si>
  <si>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</si>
  <si>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</si>
  <si>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</si>
  <si>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</si>
  <si>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</si>
  <si>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</si>
  <si>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</si>
  <si>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</si>
  <si>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</si>
  <si>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</si>
  <si>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</si>
  <si>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</si>
  <si>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</si>
  <si>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</si>
  <si>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</si>
  <si>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</si>
  <si>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</si>
  <si>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N° 11696</t>
  </si>
  <si>
    <t>INSTALACION Y SERVICIOS SPA</t>
  </si>
  <si>
    <t>76.553.287-6</t>
  </si>
  <si>
    <t>5 DIAS HABILES</t>
  </si>
  <si>
    <t>CUB SIN RESPALDO FRENTE 90° R8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</si>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</sst>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45944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171</v>
      </c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>
        <v>56964395293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64765.909090909088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2">
        <v>1.24</v>
      </c>
      <c r="E21" s="332">
        <v>0.4</v>
      </c>
      <c r="F21" s="329" t="s">
        <v>174</v>
      </c>
      <c r="G21" s="330">
        <v>34196</v>
      </c>
      <c r="H21" s="330">
        <f>G21*B21</f>
        <v>34196</v>
      </c>
      <c r="I21" s="319"/>
      <c r="J21" s="265"/>
      <c r="K21" s="47"/>
      <c r="L21" s="331">
        <v>1</v>
      </c>
      <c r="M21" s="39">
        <f>D21+M$19</f>
        <v>1.32</v>
      </c>
      <c r="N21" s="39">
        <f>E21+$N$19</f>
        <v>0.4</v>
      </c>
      <c r="O21" s="261">
        <f t="shared" ref="O21" si="1">M21*N21</f>
        <v>0.52800000000000002</v>
      </c>
      <c r="P21" s="259">
        <f t="shared" ref="P21" si="2">O21*L21</f>
        <v>0.52800000000000002</v>
      </c>
      <c r="Q21" s="252">
        <f t="shared" ref="Q21" si="3">Q$20*O21</f>
        <v>34196.400000000001</v>
      </c>
      <c r="R21" s="318">
        <f t="shared" ref="R21" si="4">Q21+R$20</f>
        <v>35696.400000000001</v>
      </c>
      <c r="S21" s="297">
        <f>M21*L21</f>
        <v>1.32</v>
      </c>
      <c r="T21" s="46">
        <f>M21*L21</f>
        <v>1.32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331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9"/>
      <c r="H23" s="319"/>
      <c r="I23" s="319"/>
      <c r="J23" s="265"/>
      <c r="K23" s="47"/>
      <c r="L23" s="47"/>
      <c r="M23" s="39"/>
      <c r="N23" s="39"/>
      <c r="O23" s="261"/>
      <c r="P23" s="259"/>
      <c r="Q23" s="252"/>
      <c r="R23" s="318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34196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1.32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6497.24</v>
      </c>
      <c r="I26" s="321"/>
      <c r="J26" s="265"/>
      <c r="K26" s="47"/>
      <c r="L26" s="47"/>
      <c r="M26" s="39">
        <f>SUM(M21:M25)</f>
        <v>1.32</v>
      </c>
      <c r="N26" s="12"/>
      <c r="O26" s="12"/>
      <c r="P26" s="253">
        <f>SUM(P21:P24)</f>
        <v>0.52800000000000002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40693.24</v>
      </c>
      <c r="I27" s="321"/>
      <c r="J27" s="265"/>
      <c r="K27" s="47"/>
      <c r="L27" s="47"/>
      <c r="M27" s="39"/>
      <c r="N27" s="12"/>
      <c r="O27" s="12"/>
      <c r="P27" s="253">
        <f>P26</f>
        <v>0.52800000000000002</v>
      </c>
      <c r="Q27" s="14"/>
      <c r="R27" s="12"/>
      <c r="S27" s="239">
        <f>SUM(S21:S26)</f>
        <v>1.32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0.10560000000000001</v>
      </c>
      <c r="Q28" s="39" t="s">
        <v>130</v>
      </c>
      <c r="R28" s="42"/>
      <c r="S28" s="240">
        <f>S27+T25</f>
        <v>2.64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0.63360000000000005</v>
      </c>
      <c r="Q29" s="14"/>
      <c r="R29" s="14"/>
      <c r="S29" s="238">
        <f>S28*20%</f>
        <v>0.52800000000000002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3.1680000000000001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0.63360000000000005</v>
      </c>
      <c r="N31" s="12">
        <v>2500</v>
      </c>
      <c r="O31" s="12">
        <f t="shared" ref="O31:O36" si="5">M31*N31</f>
        <v>1584.0000000000002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0.2</v>
      </c>
      <c r="N32" s="12">
        <v>23500</v>
      </c>
      <c r="O32" s="12">
        <f t="shared" si="5"/>
        <v>4700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0.5</v>
      </c>
      <c r="N34" s="250">
        <v>20000</v>
      </c>
      <c r="O34" s="12">
        <f t="shared" si="5"/>
        <v>10000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168</v>
      </c>
      <c r="K36" s="260">
        <v>38300</v>
      </c>
      <c r="L36" s="250"/>
      <c r="M36" s="266"/>
      <c r="N36" s="12">
        <v>1000</v>
      </c>
      <c r="O36" s="12">
        <f t="shared" si="5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167</v>
      </c>
      <c r="K37" s="260">
        <v>31000</v>
      </c>
      <c r="L37" s="250"/>
      <c r="M37" s="14"/>
      <c r="N37" s="12"/>
      <c r="O37" s="12">
        <f>SUM(O31:O36)</f>
        <v>16284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O37*2.1</f>
        <v>34196.400000000001</v>
      </c>
      <c r="P38" s="14" t="s">
        <v>140</v>
      </c>
      <c r="Q38" s="14"/>
      <c r="R38" s="40">
        <f>P29/R37</f>
        <v>0.17083692838654013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64765.909090909088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45944</v>
      </c>
    </row>
    <row r="6" spans="2:31" ht="16.2" thickBot="1" x14ac:dyDescent="0.35">
      <c r="B6" s="140" t="s">
        <v>2</v>
      </c>
      <c r="C6" s="139" t="str">
        <f>'2229'!C10</f>
        <v>INSTALACION Y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11696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4233.14163321256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34196</v>
      </c>
      <c r="E11" s="132">
        <f>D11*0.19</f>
        <v>6497.24</v>
      </c>
      <c r="F11" s="131">
        <f>E11+D11</f>
        <v>40693.24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110223.14163321257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36118.090787439614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92223.141633212566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-1922.0907874396144</v>
      </c>
      <c r="E13" s="221">
        <f>(D11/D12)-1</f>
        <v>-5.321684356882006E-2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83223.141633212566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44223.141633212559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59594.849799275362</v>
      </c>
      <c r="F15" s="216">
        <f>E15-D12</f>
        <v>23476.759011835748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44223.141633212559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84223.141633212566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4700</v>
      </c>
      <c r="E19" s="123">
        <f>D19*0.19</f>
        <v>893</v>
      </c>
      <c r="F19" s="120">
        <f>SUM(D19:E19)</f>
        <v>5593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1584.0000000000002</v>
      </c>
      <c r="E20" s="121">
        <f>D20*0.19</f>
        <v>300.96000000000004</v>
      </c>
      <c r="F20" s="120">
        <f>SUM(D20:E20)</f>
        <v>1884.9600000000003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6284</v>
      </c>
      <c r="E21" s="116">
        <f>SUM(E18:E20)</f>
        <v>1193.96</v>
      </c>
      <c r="F21" s="115">
        <f>SUM(F18:F20)</f>
        <v>7477.96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5303.28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34196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6284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-1922.0907874396144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-1922.0907874396144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2025-10-14T20:17:02Z</dcterms:modified>
</cp:coreProperties>
</file>