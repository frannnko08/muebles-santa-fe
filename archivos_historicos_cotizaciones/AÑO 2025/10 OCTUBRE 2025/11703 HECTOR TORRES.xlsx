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215081BE-0820-434C-9FA2-C900D8F8F8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J38" i="1"/>
  <c r="J15" i="1"/>
  <c r="J10" i="1"/>
  <c r="N21" i="1" l="1"/>
  <c r="M21" i="1" l="1"/>
  <c r="S21" i="1" l="1"/>
  <c r="S26" i="1" s="1"/>
  <c r="M25" i="1"/>
  <c r="T21" i="1"/>
  <c r="T24" i="1" s="1"/>
  <c r="O21" i="1"/>
  <c r="P21" i="1" s="1"/>
  <c r="P25" i="1" s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<sst xmlns="http://schemas.openxmlformats.org/spreadsheetml/2006/main" count="231" uniqueCount="175">
  <si>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</si>
  <si>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</si>
  <si>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</si>
  <si>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</si>
  <si>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</si>
  <si>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</si>
  <si>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</si>
  <si>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</si>
  <si>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</si>
  <si>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</si>
  <si>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</si>
  <si>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</si>
  <si>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</si>
  <si>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</si>
  <si>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</si>
  <si>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</si>
  <si>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</si>
  <si>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</si>
  <si>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</si>
  <si>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</si>
  <si>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</si>
  <si>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</si>
  <si>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</si>
  <si>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</si>
  <si>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</si>
  <si>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</si>
  <si>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</si>
  <si>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</si>
  <si>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</si>
  <si>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</si>
  <si>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</si>
  <si>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</si>
  <si>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</si>
  <si>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</si>
  <si>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</si>
  <si>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</si>
  <si>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</si>
  <si>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</si>
  <si>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</si>
  <si>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</si>
  <si>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</si>
  <si>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</si>
  <si>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</si>
  <si>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</si>
  <si>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</si>
  <si>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</si>
  <si>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</si>
  <si>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</si>
  <si>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</si>
  <si>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</si>
  <si>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</si>
  <si>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</si>
  <si>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</si>
  <si>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</si>
  <si>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</si>
  <si>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</si>
  <si>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</si>
  <si>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</si>
  <si>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</si>
  <si>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</si>
  <si>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</si>
  <si>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</si>
  <si>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</si>
  <si>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</si>
  <si>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</si>
  <si>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</si>
  <si>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</si>
  <si>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</si>
  <si>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</si>
  <si>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</si>
  <si>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</si>
  <si>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</si>
  <si>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</si>
  <si>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</si>
  <si>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</si>
  <si>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</si>
  <si>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</si>
  <si>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</si>
  <si>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</si>
  <si>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</si>
  <si>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</si>
  <si>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</si>
  <si>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</si>
  <si>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</si>
  <si>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</si>
  <si>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</si>
  <si>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</si>
  <si>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</si>
  <si>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</si>
  <si>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</si>
  <si>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</si>
  <si>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</si>
  <si>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</si>
  <si>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</si>
  <si>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</si>
  <si>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</si>
  <si>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</si>
  <si>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</si>
  <si>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</si>
  <si>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</si>
  <si>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</si>
  <si>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</si>
  <si>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</si>
  <si>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</si>
  <si>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</si>
  <si>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</si>
  <si>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</si>
  <si>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</si>
  <si>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</si>
  <si>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</si>
  <si>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</si>
  <si>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</si>
  <si>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</si>
  <si>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</si>
  <si>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</si>
  <si>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</si>
  <si>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</si>
  <si>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</si>
  <si>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</si>
  <si>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</si>
  <si>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</si>
  <si>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</si>
  <si>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</si>
  <si>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</si>
  <si>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</si>
  <si>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</si>
  <si>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</si>
  <si>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</si>
  <si>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</si>
  <si>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</si>
  <si>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</si>
  <si>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</si>
  <si>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</si>
  <si>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</si>
  <si>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</si>
  <si>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</si>
  <si>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</si>
  <si>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</si>
  <si>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</si>
  <si>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</si>
  <si>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</si>
  <si>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</si>
  <si>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</si>
  <si>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</si>
  <si>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</si>
  <si>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</si>
  <si>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</si>
  <si>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</si>
  <si>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</si>
  <si>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</si>
  <si>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</si>
  <si>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</si>
  <si>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</si>
  <si>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</si>
  <si>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</si>
  <si>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</si>
  <si>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</si>
  <si>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</si>
  <si>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</si>
  <si>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</si>
  <si>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</si>
  <si>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</si>
  <si>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</si>
  <si>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</si>
  <si>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</si>
  <si>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</si>
  <si>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</si>
  <si>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NIEBLA</t>
  </si>
  <si>
    <t>WHITE OAK</t>
  </si>
  <si>
    <t>8 DIAS HABILES</t>
  </si>
  <si>
    <t>N° 11703</t>
  </si>
  <si>
    <t>HECTOR TORRES</t>
  </si>
  <si>
    <t>56986411139</t>
  </si>
  <si>
    <t>CUBIERTA SIN RESPALDO 90° R6</t>
  </si>
  <si>
    <t>OKUMEN 1535 XM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</si>
</sst>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CORTADA A LA MEDIDA Y ENCHAPADA CON TAPACANTO MISMA LAMINA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8" t="s">
        <v>170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171</v>
      </c>
      <c r="D10" s="243"/>
      <c r="E10" s="243"/>
      <c r="F10" s="244" t="s">
        <v>0</v>
      </c>
      <c r="G10" s="276">
        <v>45945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169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3"/>
      <c r="D14" s="247"/>
      <c r="E14" s="247"/>
      <c r="F14" s="314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172</v>
      </c>
      <c r="D15" s="309"/>
      <c r="F15" t="s">
        <v>134</v>
      </c>
      <c r="G15" s="308" t="s">
        <v>135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129</v>
      </c>
      <c r="G16" s="317" t="s">
        <v>163</v>
      </c>
      <c r="H16" s="248"/>
    </row>
    <row r="17" spans="1:25" ht="15" thickBot="1" x14ac:dyDescent="0.35">
      <c r="B17" s="310" t="s">
        <v>13</v>
      </c>
      <c r="C17" s="311" t="s">
        <v>166</v>
      </c>
      <c r="D17" s="312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99970.097914005979</v>
      </c>
      <c r="R20" s="258">
        <v>5000</v>
      </c>
      <c r="S20" s="38"/>
      <c r="T20" s="14" t="s">
        <v>128</v>
      </c>
      <c r="U20" s="9"/>
      <c r="X20" s="4"/>
    </row>
    <row r="21" spans="1:25" ht="17.399999999999999" x14ac:dyDescent="0.3">
      <c r="B21" s="329">
        <v>1</v>
      </c>
      <c r="C21" s="329" t="s">
        <v>173</v>
      </c>
      <c r="D21" s="332">
        <v>0.70299999999999996</v>
      </c>
      <c r="E21" s="332">
        <v>0.6</v>
      </c>
      <c r="F21" s="329" t="s">
        <v>174</v>
      </c>
      <c r="G21" s="330">
        <v>49950</v>
      </c>
      <c r="H21" s="330">
        <f>G21*B21</f>
        <v>49950</v>
      </c>
      <c r="I21" s="319"/>
      <c r="J21" s="265"/>
      <c r="K21" s="47"/>
      <c r="L21" s="331">
        <f>B21</f>
        <v>1</v>
      </c>
      <c r="M21" s="39">
        <f>D21+M$19</f>
        <v>0.78299999999999992</v>
      </c>
      <c r="N21" s="39">
        <f>E21+$N$19</f>
        <v>0.6</v>
      </c>
      <c r="O21" s="261">
        <f t="shared" ref="O21" si="1">M21*N21</f>
        <v>0.46979999999999994</v>
      </c>
      <c r="P21" s="259">
        <f t="shared" ref="P21" si="2">O21*L21</f>
        <v>0.46979999999999994</v>
      </c>
      <c r="Q21" s="252">
        <f t="shared" ref="Q21" si="3">Q$20*O21</f>
        <v>46965.952000000005</v>
      </c>
      <c r="R21" s="318">
        <f t="shared" ref="R21" si="4">Q21+R$20</f>
        <v>51965.952000000005</v>
      </c>
      <c r="S21" s="297">
        <f>M21*L21</f>
        <v>0.78299999999999992</v>
      </c>
      <c r="T21" s="46">
        <f>M21*L21</f>
        <v>0.78299999999999992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19"/>
      <c r="H22" s="319"/>
      <c r="I22" s="319"/>
      <c r="J22" s="265"/>
      <c r="K22" s="47"/>
      <c r="L22" s="47"/>
      <c r="M22" s="39"/>
      <c r="N22" s="39"/>
      <c r="O22" s="261"/>
      <c r="P22" s="259"/>
      <c r="Q22" s="252"/>
      <c r="R22" s="318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0"/>
      <c r="I23" s="322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3" t="s">
        <v>28</v>
      </c>
      <c r="H24" s="324">
        <f>SUM(H21:H23)</f>
        <v>49950</v>
      </c>
      <c r="I24" s="321"/>
      <c r="J24" s="265"/>
      <c r="K24" s="47"/>
      <c r="L24" s="47"/>
      <c r="M24" s="39"/>
      <c r="N24" s="39"/>
      <c r="O24" s="261"/>
      <c r="P24" s="259"/>
      <c r="Q24" s="252"/>
      <c r="R24" s="258"/>
      <c r="S24" s="297"/>
      <c r="T24" s="46">
        <f>SUM(T21:T23)</f>
        <v>0.78299999999999992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9490.5</v>
      </c>
      <c r="I25" s="321"/>
      <c r="J25" s="265"/>
      <c r="K25" s="47"/>
      <c r="L25" s="47"/>
      <c r="M25" s="39">
        <f>SUM(M21:M21)</f>
        <v>0.78299999999999992</v>
      </c>
      <c r="N25" s="12"/>
      <c r="O25" s="12"/>
      <c r="P25" s="253">
        <f>SUM(P21:P23)</f>
        <v>0.46979999999999994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59440.5</v>
      </c>
      <c r="I26" s="321"/>
      <c r="J26" s="265"/>
      <c r="K26" s="47"/>
      <c r="L26" s="47"/>
      <c r="M26" s="39"/>
      <c r="N26" s="12"/>
      <c r="O26" s="12"/>
      <c r="P26" s="253">
        <f>P25</f>
        <v>0.46979999999999994</v>
      </c>
      <c r="Q26" s="14"/>
      <c r="R26" s="12"/>
      <c r="S26" s="239">
        <f>SUM(S21:S25)</f>
        <v>0.78299999999999992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9.3959999999999988E-2</v>
      </c>
      <c r="Q27" s="39" t="s">
        <v>130</v>
      </c>
      <c r="R27" s="42"/>
      <c r="S27" s="240">
        <f>S26+T24</f>
        <v>1.5659999999999998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0.56375999999999993</v>
      </c>
      <c r="Q28" s="14"/>
      <c r="R28" s="14"/>
      <c r="S28" s="238">
        <f>S27*20%</f>
        <v>0.31319999999999998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1.8791999999999998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0.56375999999999993</v>
      </c>
      <c r="N30" s="12">
        <v>3500</v>
      </c>
      <c r="O30" s="12">
        <f t="shared" ref="O30:O35" si="5">M30*N30</f>
        <v>1973.1599999999999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0.25</v>
      </c>
      <c r="N31" s="12">
        <v>23500</v>
      </c>
      <c r="O31" s="12">
        <f t="shared" si="5"/>
        <v>5875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35000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/>
      <c r="L33" s="250"/>
      <c r="M33" s="14">
        <v>0.3</v>
      </c>
      <c r="N33" s="250">
        <v>45000</v>
      </c>
      <c r="O33" s="12">
        <f t="shared" si="5"/>
        <v>13500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 t="s">
        <v>168</v>
      </c>
      <c r="K35" s="260">
        <v>38300</v>
      </c>
      <c r="L35" s="250"/>
      <c r="M35" s="266"/>
      <c r="N35" s="12">
        <v>1500</v>
      </c>
      <c r="O35" s="12">
        <f t="shared" si="5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J36" s="230" t="s">
        <v>167</v>
      </c>
      <c r="K36" s="260">
        <v>31000</v>
      </c>
      <c r="L36" s="250"/>
      <c r="M36" s="14"/>
      <c r="N36" s="12"/>
      <c r="O36" s="12">
        <f>SUM(O30:O35)</f>
        <v>21348.16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J37" s="230">
        <v>49560</v>
      </c>
      <c r="L37" s="250"/>
      <c r="M37" s="254" t="s">
        <v>33</v>
      </c>
      <c r="N37" s="12"/>
      <c r="O37" s="255">
        <f>O36*2.2</f>
        <v>46965.952000000005</v>
      </c>
      <c r="P37" s="14" t="s">
        <v>140</v>
      </c>
      <c r="Q37" s="14"/>
      <c r="R37" s="40">
        <f>P28/R36</f>
        <v>0.15200603968938739</v>
      </c>
      <c r="S37"/>
      <c r="T37" s="257"/>
    </row>
    <row r="38" spans="2:24" s="230" customFormat="1" ht="17.399999999999999" x14ac:dyDescent="0.35">
      <c r="G38"/>
      <c r="H38" s="260"/>
      <c r="I38" s="260"/>
      <c r="J38" s="260">
        <f>J37/1.19</f>
        <v>41647.058823529413</v>
      </c>
      <c r="L38" s="250"/>
      <c r="M38" s="14"/>
      <c r="N38" s="12"/>
      <c r="O38" s="12">
        <f>O37/P26</f>
        <v>99970.097914005979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L39" s="250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45945</v>
      </c>
    </row>
    <row r="6" spans="2:31" ht="16.2" thickBot="1" x14ac:dyDescent="0.35">
      <c r="B6" s="140" t="s">
        <v>2</v>
      </c>
      <c r="C6" s="139" t="str">
        <f>'2229'!C10</f>
        <v>HECTOR TORRES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11703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2037.6189665458926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49950</v>
      </c>
      <c r="E11" s="132">
        <f>D11*0.19</f>
        <v>9490.5</v>
      </c>
      <c r="F11" s="131">
        <f>E11+D11</f>
        <v>59440.5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108027.6189665459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37682.250787439611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90027.618966545895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12267.749212560389</v>
      </c>
      <c r="E13" s="221">
        <f>(D11/D12)-1</f>
        <v>0.32555776144479998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81027.618966545895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42027.618966545895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62175.713799275356</v>
      </c>
      <c r="F15" s="216">
        <f>E15-D12</f>
        <v>24493.463011835745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42027.618966545895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82027.618966545895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5875</v>
      </c>
      <c r="E19" s="123">
        <f>D19*0.19</f>
        <v>1116.25</v>
      </c>
      <c r="F19" s="120">
        <f>SUM(D19:E19)</f>
        <v>6991.25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1973.1599999999999</v>
      </c>
      <c r="E20" s="121">
        <f>D20*0.19</f>
        <v>374.90039999999999</v>
      </c>
      <c r="F20" s="120">
        <f>SUM(D20:E20)</f>
        <v>2348.0603999999998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7848.16</v>
      </c>
      <c r="E21" s="116">
        <f>SUM(E18:E20)</f>
        <v>1491.1504</v>
      </c>
      <c r="F21" s="115">
        <f>SUM(F18:F20)</f>
        <v>9339.3104000000003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7999.3495999999996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49950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7848.16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12267.749212560389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12267.749212560389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2025-04-03T19:02:46Z</cp:lastPrinted>
  <dcterms:created xsi:type="dcterms:W3CDTF">2013-03-18T13:35:42Z</dcterms:created>
  <dcterms:modified xsi:type="dcterms:W3CDTF">2025-10-16T12:20:03Z</dcterms:modified>
</cp:coreProperties>
</file>