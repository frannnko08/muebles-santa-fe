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5\"/>
    </mc:Choice>
  </mc:AlternateContent>
  <xr:revisionPtr revIDLastSave="0" documentId="13_ncr:1_{ECF26F47-D51B-46E4-BE58-C8B32CDBF0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" l="1"/>
  <c r="H30" i="1"/>
  <c r="L30" i="1"/>
  <c r="H29" i="1"/>
  <c r="H28" i="1"/>
  <c r="H27" i="1"/>
  <c r="H26" i="1"/>
  <c r="M38" i="1"/>
  <c r="N29" i="1"/>
  <c r="O29" i="1" s="1"/>
  <c r="P29" i="1" s="1"/>
  <c r="N28" i="1"/>
  <c r="O28" i="1" s="1"/>
  <c r="P28" i="1" s="1"/>
  <c r="N27" i="1"/>
  <c r="O27" i="1"/>
  <c r="P27" i="1" s="1"/>
  <c r="T27" i="1"/>
  <c r="N26" i="1"/>
  <c r="O26" i="1"/>
  <c r="P26" i="1" s="1"/>
  <c r="T26" i="1"/>
  <c r="M29" i="1"/>
  <c r="S29" i="1" s="1"/>
  <c r="M28" i="1"/>
  <c r="S28" i="1" s="1"/>
  <c r="M27" i="1"/>
  <c r="S27" i="1" s="1"/>
  <c r="M26" i="1"/>
  <c r="S26" i="1" s="1"/>
  <c r="L29" i="1"/>
  <c r="L28" i="1"/>
  <c r="L27" i="1"/>
  <c r="L26" i="1"/>
  <c r="H23" i="1"/>
  <c r="H24" i="1"/>
  <c r="H25" i="1"/>
  <c r="L23" i="1"/>
  <c r="M23" i="1"/>
  <c r="N23" i="1"/>
  <c r="L24" i="1"/>
  <c r="M24" i="1"/>
  <c r="N24" i="1"/>
  <c r="L25" i="1"/>
  <c r="M25" i="1"/>
  <c r="N25" i="1"/>
  <c r="H22" i="1"/>
  <c r="L22" i="1"/>
  <c r="M22" i="1"/>
  <c r="S22" i="1" s="1"/>
  <c r="N22" i="1"/>
  <c r="L21" i="1"/>
  <c r="J46" i="1"/>
  <c r="J15" i="1"/>
  <c r="J10" i="1"/>
  <c r="T29" i="1" l="1"/>
  <c r="T28" i="1"/>
  <c r="O25" i="1"/>
  <c r="P25" i="1" s="1"/>
  <c r="O24" i="1"/>
  <c r="O23" i="1"/>
  <c r="P23" i="1" s="1"/>
  <c r="T22" i="1"/>
  <c r="T25" i="1"/>
  <c r="S25" i="1"/>
  <c r="S24" i="1"/>
  <c r="T24" i="1"/>
  <c r="T23" i="1"/>
  <c r="S23" i="1"/>
  <c r="P24" i="1"/>
  <c r="O22" i="1"/>
  <c r="P22" i="1" s="1"/>
  <c r="N21" i="1"/>
  <c r="T21" i="1" s="1"/>
  <c r="M21" i="1" l="1"/>
  <c r="S21" i="1" s="1"/>
  <c r="S33" i="1" s="1"/>
  <c r="M33" i="1" l="1"/>
  <c r="T32" i="1"/>
  <c r="S35" i="1" s="1"/>
  <c r="O21" i="1"/>
  <c r="P21" i="1" s="1"/>
  <c r="P33" i="1" s="1"/>
  <c r="S36" i="1" l="1"/>
  <c r="S37" i="1" s="1"/>
  <c r="V40" i="1"/>
  <c r="V41" i="1" s="1"/>
  <c r="O39" i="1" l="1"/>
  <c r="P34" i="1" l="1"/>
  <c r="N20" i="1"/>
  <c r="L20" i="1"/>
  <c r="P35" i="1" l="1"/>
  <c r="P36" i="1" s="1"/>
  <c r="O40" i="1"/>
  <c r="R44" i="1"/>
  <c r="R45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3" i="1"/>
  <c r="O42" i="1"/>
  <c r="F18" i="3" l="1"/>
  <c r="O38" i="1" l="1"/>
  <c r="O44" i="1" s="1"/>
  <c r="O45" i="1" s="1"/>
  <c r="D20" i="3" l="1"/>
  <c r="E20" i="3" s="1"/>
  <c r="E21" i="3" s="1"/>
  <c r="O46" i="1" l="1"/>
  <c r="Q20" i="1" s="1"/>
  <c r="D21" i="3"/>
  <c r="M43" i="3" s="1"/>
  <c r="D12" i="3" s="1"/>
  <c r="F20" i="3"/>
  <c r="F21" i="3" s="1"/>
  <c r="Q28" i="1" l="1"/>
  <c r="R28" i="1" s="1"/>
  <c r="Q29" i="1"/>
  <c r="R29" i="1" s="1"/>
  <c r="Q26" i="1"/>
  <c r="R26" i="1" s="1"/>
  <c r="Q27" i="1"/>
  <c r="R27" i="1" s="1"/>
  <c r="Q22" i="1"/>
  <c r="R22" i="1" s="1"/>
  <c r="Q23" i="1"/>
  <c r="R23" i="1" s="1"/>
  <c r="Q24" i="1"/>
  <c r="R24" i="1" s="1"/>
  <c r="Q25" i="1"/>
  <c r="R25" i="1" s="1"/>
  <c r="O47" i="1"/>
  <c r="E15" i="3"/>
  <c r="Q21" i="1" l="1"/>
  <c r="F15" i="3"/>
  <c r="R21" i="1" l="1"/>
  <c r="H21" i="1" l="1"/>
  <c r="H32" i="1"/>
  <c r="H33" i="1" s="1"/>
  <c r="H34" i="1" l="1"/>
  <c r="D11" i="3"/>
  <c r="M42" i="3" s="1"/>
  <c r="M46" i="3" s="1"/>
  <c r="M49" i="3" s="1"/>
  <c r="E11" i="3" l="1"/>
  <c r="E13" i="3"/>
  <c r="D13" i="3"/>
  <c r="X9" i="3"/>
  <c r="X11" i="3" s="1"/>
  <c r="F11" i="3"/>
  <c r="D40" i="3"/>
  <c r="X12" i="3" l="1"/>
  <c r="X16" i="3"/>
  <c r="X15" i="3"/>
  <c r="X14" i="3"/>
  <c r="X13" i="3"/>
</calcChain>
</file>

<file path=xl/sharedStrings.xml><?xml version="1.0" encoding="utf-8"?>
<sst xmlns="http://schemas.openxmlformats.org/spreadsheetml/2006/main" count="250" uniqueCount="182">
  <si>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</si>
  <si>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</si>
  <si>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</si>
  <si>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</si>
  <si>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</si>
  <si>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</si>
  <si>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</si>
  <si>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</si>
  <si>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</si>
  <si>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</si>
  <si>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</si>
  <si>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</si>
  <si>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</si>
  <si>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</si>
  <si>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</si>
  <si>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</si>
  <si>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</si>
  <si>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</si>
  <si>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</si>
  <si>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</si>
  <si>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</si>
  <si>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</si>
  <si>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</si>
  <si>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</si>
  <si>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</si>
  <si>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</si>
  <si>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</si>
  <si>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</si>
  <si>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</si>
  <si>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</si>
  <si>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</si>
  <si>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</si>
  <si>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</si>
  <si>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</si>
  <si>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</si>
  <si>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</si>
  <si>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</si>
  <si>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</si>
  <si>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</si>
  <si>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</si>
  <si>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</si>
  <si>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</si>
  <si>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</si>
  <si>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</si>
  <si>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</si>
  <si>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</si>
  <si>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</si>
  <si>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</si>
  <si>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</si>
  <si>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</si>
  <si>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</si>
  <si>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</si>
  <si>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</si>
  <si>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</si>
  <si>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</si>
  <si>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</si>
  <si>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</si>
  <si>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</si>
  <si>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</si>
  <si>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</si>
  <si>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</si>
  <si>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</si>
  <si>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</si>
  <si>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</si>
  <si>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</si>
  <si>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</si>
  <si>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</si>
  <si>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</si>
  <si>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</si>
  <si>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</si>
  <si>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</si>
  <si>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</si>
  <si>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</si>
  <si>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</si>
  <si>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</si>
  <si>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</si>
  <si>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</si>
  <si>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</si>
  <si>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</si>
  <si>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</si>
  <si>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</si>
  <si>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</si>
  <si>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</si>
  <si>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</si>
  <si>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</si>
  <si>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</si>
  <si>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</si>
  <si>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</si>
  <si>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</si>
  <si>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</si>
  <si>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</si>
  <si>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</si>
  <si>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</si>
  <si>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</si>
  <si>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</si>
  <si>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</si>
  <si>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</si>
  <si>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</si>
  <si>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</si>
  <si>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</si>
  <si>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</si>
  <si>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</si>
  <si>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</si>
  <si>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</si>
  <si>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</si>
  <si>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</si>
  <si>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</si>
  <si>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</si>
  <si>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</si>
  <si>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</si>
  <si>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</si>
  <si>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</si>
  <si>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</si>
  <si>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</si>
  <si>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</si>
  <si>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</si>
  <si>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</si>
  <si>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</si>
  <si>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</si>
  <si>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</si>
  <si>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</si>
  <si>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</si>
  <si>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</si>
  <si>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</si>
  <si>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</si>
  <si>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</si>
  <si>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</si>
  <si>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</si>
  <si>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</si>
  <si>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</si>
  <si>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</si>
  <si>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</si>
  <si>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</si>
  <si>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</si>
  <si>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</si>
  <si>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</si>
  <si>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</si>
  <si>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</si>
  <si>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</si>
  <si>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</si>
  <si>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</si>
  <si>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</si>
  <si>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</si>
  <si>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</si>
  <si>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</si>
  <si>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</si>
  <si>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</si>
  <si>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</si>
  <si>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</si>
  <si>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</si>
  <si>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</si>
  <si>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</si>
  <si>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</si>
  <si>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</si>
  <si>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</si>
  <si>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</si>
  <si>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</si>
  <si>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</si>
  <si>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</si>
  <si>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</si>
  <si>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</si>
  <si>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</si>
  <si>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</si>
  <si>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</si>
  <si>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</si>
  <si>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NIEBLA</t>
  </si>
  <si>
    <t>WHITE OAK</t>
  </si>
  <si>
    <t>MDF 30MM</t>
  </si>
  <si>
    <t>N° 11712</t>
  </si>
  <si>
    <t>MATVAL</t>
  </si>
  <si>
    <t>MARIA RODRIGUEZ</t>
  </si>
  <si>
    <t>5698228 3139</t>
  </si>
  <si>
    <t>IQUIQUE</t>
  </si>
  <si>
    <t>SI</t>
  </si>
  <si>
    <t>POR PULLMAN CARGO FLETE POR PAGAR</t>
  </si>
  <si>
    <t>ENCHA RECTO 2 CARAS MDF 15</t>
  </si>
  <si>
    <t>EMBALAJE CON CARTON</t>
  </si>
  <si>
    <t>10 DIAS HABILES</t>
  </si>
  <si>
    <t>LIME 21163 SF</t>
  </si>
  <si>
    <t>PARROT GREEN 21143 SF</t>
  </si>
  <si>
    <t>DESCTO. 5%</t>
  </si>
  <si>
    <t>ACQUA L574 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</si>
</sst>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9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36" fillId="0" borderId="0" xfId="0" quotePrefix="1" applyFont="1" applyAlignment="1">
      <alignment horizontal="left" vertical="top"/>
    </xf>
    <xf numFmtId="0" fontId="34" fillId="0" borderId="1" xfId="0" applyFont="1" applyBorder="1" applyAlignment="1">
      <alignment horizontal="center" vertical="center"/>
    </xf>
    <xf numFmtId="165" fontId="0" fillId="0" borderId="0" xfId="0" applyNumberFormat="1"/>
    <xf numFmtId="0" fontId="37" fillId="0" borderId="0" xfId="0" applyFont="1"/>
    <xf numFmtId="0" fontId="11" fillId="0" borderId="35" xfId="0" applyFont="1" applyBorder="1" applyAlignment="1">
      <alignment horizontal="center"/>
    </xf>
    <xf numFmtId="42" fontId="33" fillId="0" borderId="14" xfId="8" applyFont="1" applyFill="1" applyBorder="1"/>
    <xf numFmtId="0" fontId="21" fillId="0" borderId="1" xfId="0" applyFont="1" applyBorder="1" applyAlignment="1">
      <alignment horizontal="center" vertical="center"/>
    </xf>
    <xf numFmtId="41" fontId="22" fillId="0" borderId="1" xfId="4" applyFont="1" applyBorder="1" applyAlignment="1">
      <alignment horizontal="center" vertical="center"/>
    </xf>
    <xf numFmtId="165" fontId="11" fillId="0" borderId="0" xfId="2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35</xdr:row>
      <xdr:rowOff>8194</xdr:rowOff>
    </xdr:from>
    <xdr:to>
      <xdr:col>8</xdr:col>
      <xdr:colOff>8193</xdr:colOff>
      <xdr:row>38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37</xdr:row>
      <xdr:rowOff>154305</xdr:rowOff>
    </xdr:from>
    <xdr:to>
      <xdr:col>7</xdr:col>
      <xdr:colOff>853440</xdr:colOff>
      <xdr:row>37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35</xdr:row>
      <xdr:rowOff>9525</xdr:rowOff>
    </xdr:from>
    <xdr:to>
      <xdr:col>5</xdr:col>
      <xdr:colOff>1745226</xdr:colOff>
      <xdr:row>38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31</xdr:row>
      <xdr:rowOff>9525</xdr:rowOff>
    </xdr:from>
    <xdr:to>
      <xdr:col>5</xdr:col>
      <xdr:colOff>1728839</xdr:colOff>
      <xdr:row>34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OBSERVACIONES:CORTADAS</a:t>
          </a:r>
          <a:r>
            <a:rPr lang="es-CL" sz="1200" b="1" baseline="0"/>
            <a:t> A LA MEDIDA Y ENCHAPADOS SUS CANTOS CON LA MISMA LAMINA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15mm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311352</xdr:colOff>
      <xdr:row>5</xdr:row>
      <xdr:rowOff>151787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E89DC00-951E-41FE-A238-EF9D07C7B2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0258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557161</xdr:colOff>
      <xdr:row>1</xdr:row>
      <xdr:rowOff>163871</xdr:rowOff>
    </xdr:from>
    <xdr:to>
      <xdr:col>2</xdr:col>
      <xdr:colOff>2376128</xdr:colOff>
      <xdr:row>5</xdr:row>
      <xdr:rowOff>112323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953E6C2-B4C9-405A-9AEA-7F40605C42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687871" y="344129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9"/>
  <sheetViews>
    <sheetView tabSelected="1" topLeftCell="A6" zoomScale="93" zoomScaleNormal="93" workbookViewId="0">
      <selection activeCell="F27" sqref="F27:F29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4" t="s">
        <v>168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169</v>
      </c>
      <c r="D10" s="243"/>
      <c r="E10" s="243"/>
      <c r="F10" s="244" t="s">
        <v>0</v>
      </c>
      <c r="G10" s="276">
        <v>45954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122</v>
      </c>
      <c r="G11" s="288" t="s">
        <v>177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126</v>
      </c>
      <c r="G12" s="277" t="s">
        <v>134</v>
      </c>
      <c r="H12" s="248"/>
      <c r="J12">
        <v>44</v>
      </c>
      <c r="Q12" s="19"/>
      <c r="R12" s="25"/>
      <c r="S12" s="19"/>
    </row>
    <row r="13" spans="2:24" x14ac:dyDescent="0.3">
      <c r="B13" s="287" t="s">
        <v>145</v>
      </c>
      <c r="C13" t="s">
        <v>170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138</v>
      </c>
      <c r="C14" s="312"/>
      <c r="D14" s="247"/>
      <c r="E14" s="247"/>
      <c r="F14" s="313" t="s">
        <v>135</v>
      </c>
      <c r="G14" s="290" t="s">
        <v>173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29" t="s">
        <v>171</v>
      </c>
      <c r="D15" s="308"/>
      <c r="F15" t="s">
        <v>133</v>
      </c>
      <c r="G15" s="332" t="s">
        <v>174</v>
      </c>
      <c r="H15" s="289"/>
      <c r="J15">
        <f>SUM(J12:J14)</f>
        <v>158</v>
      </c>
    </row>
    <row r="16" spans="2:24" ht="16.8" x14ac:dyDescent="0.4">
      <c r="B16" s="314" t="s">
        <v>3</v>
      </c>
      <c r="C16" s="306"/>
      <c r="D16" s="247"/>
      <c r="E16" s="247"/>
      <c r="F16" s="315" t="s">
        <v>128</v>
      </c>
      <c r="G16" s="316" t="s">
        <v>162</v>
      </c>
      <c r="H16" s="248"/>
    </row>
    <row r="17" spans="2:25" ht="15" thickBot="1" x14ac:dyDescent="0.35">
      <c r="B17" s="309" t="s">
        <v>13</v>
      </c>
      <c r="C17" s="310" t="s">
        <v>172</v>
      </c>
      <c r="D17" s="311"/>
      <c r="E17" s="119"/>
      <c r="F17" s="338" t="s">
        <v>164</v>
      </c>
      <c r="G17" s="338"/>
      <c r="H17" s="339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40" t="s">
        <v>94</v>
      </c>
      <c r="C19" s="341"/>
      <c r="D19" s="341"/>
      <c r="E19" s="341"/>
      <c r="F19" s="341"/>
      <c r="G19" s="341"/>
      <c r="H19" s="342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2:25" ht="17.399999999999999" x14ac:dyDescent="0.3">
      <c r="B20" s="321" t="s">
        <v>7</v>
      </c>
      <c r="C20" s="322" t="s">
        <v>1</v>
      </c>
      <c r="D20" s="322" t="s">
        <v>10</v>
      </c>
      <c r="E20" s="322" t="s">
        <v>11</v>
      </c>
      <c r="F20" s="322" t="s">
        <v>8</v>
      </c>
      <c r="G20" s="322" t="s">
        <v>5</v>
      </c>
      <c r="H20" s="323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O46</f>
        <v>31691.208850031224</v>
      </c>
      <c r="R20" s="258">
        <v>15000</v>
      </c>
      <c r="S20" s="38"/>
      <c r="T20" s="14" t="s">
        <v>127</v>
      </c>
      <c r="U20" s="9"/>
      <c r="X20" s="4"/>
    </row>
    <row r="21" spans="2:25" ht="17.399999999999999" x14ac:dyDescent="0.3">
      <c r="B21" s="325">
        <v>7</v>
      </c>
      <c r="C21" s="330" t="s">
        <v>175</v>
      </c>
      <c r="D21" s="328">
        <v>1.56</v>
      </c>
      <c r="E21" s="328">
        <v>0.6</v>
      </c>
      <c r="F21" s="325" t="s">
        <v>178</v>
      </c>
      <c r="G21" s="326">
        <v>46184</v>
      </c>
      <c r="H21" s="326">
        <f>G21*B21</f>
        <v>323288</v>
      </c>
      <c r="I21" s="337">
        <v>7</v>
      </c>
      <c r="J21" s="265">
        <v>29772</v>
      </c>
      <c r="K21" s="47"/>
      <c r="L21" s="327">
        <f>B21</f>
        <v>7</v>
      </c>
      <c r="M21" s="39">
        <f>D21+M$19</f>
        <v>1.6400000000000001</v>
      </c>
      <c r="N21" s="39">
        <f>E21+$N$19</f>
        <v>0.6</v>
      </c>
      <c r="O21" s="261">
        <f t="shared" ref="O21" si="1">M21*N21</f>
        <v>0.98399999999999999</v>
      </c>
      <c r="P21" s="259">
        <f t="shared" ref="P21" si="2">O21*L21</f>
        <v>6.8879999999999999</v>
      </c>
      <c r="Q21" s="252">
        <f t="shared" ref="Q21" si="3">Q$20*O21</f>
        <v>31184.149508430724</v>
      </c>
      <c r="R21" s="317">
        <f t="shared" ref="R21" si="4">Q21+R$20</f>
        <v>46184.149508430724</v>
      </c>
      <c r="S21" s="297">
        <f>M21*L21*2</f>
        <v>22.96</v>
      </c>
      <c r="T21" s="46">
        <f>N21*L21*2</f>
        <v>8.4</v>
      </c>
      <c r="U21" s="9"/>
      <c r="X21" s="4"/>
    </row>
    <row r="22" spans="2:25" ht="17.399999999999999" x14ac:dyDescent="0.3">
      <c r="B22" s="325">
        <v>14</v>
      </c>
      <c r="C22" s="330" t="s">
        <v>175</v>
      </c>
      <c r="D22" s="328">
        <v>0.4</v>
      </c>
      <c r="E22" s="328">
        <v>0.39</v>
      </c>
      <c r="F22" s="325" t="s">
        <v>178</v>
      </c>
      <c r="G22" s="326">
        <v>20933</v>
      </c>
      <c r="H22" s="326">
        <f>G22*B22</f>
        <v>293062</v>
      </c>
      <c r="I22" s="318"/>
      <c r="J22" s="265"/>
      <c r="K22" s="331"/>
      <c r="L22" s="327">
        <f>B22</f>
        <v>14</v>
      </c>
      <c r="M22" s="39">
        <f>D22+M$19</f>
        <v>0.48000000000000004</v>
      </c>
      <c r="N22" s="39">
        <f>E22+$N$19</f>
        <v>0.39</v>
      </c>
      <c r="O22" s="261">
        <f t="shared" ref="O22" si="5">M22*N22</f>
        <v>0.18720000000000003</v>
      </c>
      <c r="P22" s="259">
        <f t="shared" ref="P22" si="6">O22*L22</f>
        <v>2.6208000000000005</v>
      </c>
      <c r="Q22" s="252">
        <f t="shared" ref="Q22" si="7">Q$20*O22</f>
        <v>5932.5942967258461</v>
      </c>
      <c r="R22" s="317">
        <f t="shared" ref="R22" si="8">Q22+R$20</f>
        <v>20932.594296725845</v>
      </c>
      <c r="S22" s="297">
        <f t="shared" ref="S22:S29" si="9">M22*L22*2</f>
        <v>13.440000000000001</v>
      </c>
      <c r="T22" s="46">
        <f t="shared" ref="T22:T29" si="10">N22*L22*2</f>
        <v>10.92</v>
      </c>
      <c r="U22" s="9"/>
      <c r="X22" s="4"/>
    </row>
    <row r="23" spans="2:25" ht="17.399999999999999" x14ac:dyDescent="0.3">
      <c r="B23" s="325">
        <v>7</v>
      </c>
      <c r="C23" s="330" t="s">
        <v>175</v>
      </c>
      <c r="D23" s="328">
        <v>0.6</v>
      </c>
      <c r="E23" s="328">
        <v>0.4</v>
      </c>
      <c r="F23" s="325" t="s">
        <v>178</v>
      </c>
      <c r="G23" s="326">
        <v>23620</v>
      </c>
      <c r="H23" s="326">
        <f t="shared" ref="H23:H30" si="11">G23*B23</f>
        <v>165340</v>
      </c>
      <c r="I23" s="318"/>
      <c r="J23" s="265"/>
      <c r="K23" s="47"/>
      <c r="L23" s="327">
        <f t="shared" ref="L23:L30" si="12">B23</f>
        <v>7</v>
      </c>
      <c r="M23" s="39">
        <f t="shared" ref="M23:M29" si="13">D23+M$19</f>
        <v>0.67999999999999994</v>
      </c>
      <c r="N23" s="39">
        <f t="shared" ref="N23:N29" si="14">E23+$N$19</f>
        <v>0.4</v>
      </c>
      <c r="O23" s="261">
        <f t="shared" ref="O23:O29" si="15">M23*N23</f>
        <v>0.27199999999999996</v>
      </c>
      <c r="P23" s="259">
        <f t="shared" ref="P23:P29" si="16">O23*L23</f>
        <v>1.9039999999999997</v>
      </c>
      <c r="Q23" s="252">
        <f t="shared" ref="Q23:Q29" si="17">Q$20*O23</f>
        <v>8620.0088072084909</v>
      </c>
      <c r="R23" s="317">
        <f t="shared" ref="R23:R29" si="18">Q23+R$20</f>
        <v>23620.008807208491</v>
      </c>
      <c r="S23" s="297">
        <f t="shared" si="9"/>
        <v>9.52</v>
      </c>
      <c r="T23" s="46">
        <f t="shared" si="10"/>
        <v>5.6000000000000005</v>
      </c>
      <c r="U23" s="9"/>
      <c r="X23" s="4"/>
    </row>
    <row r="24" spans="2:25" ht="17.399999999999999" x14ac:dyDescent="0.3">
      <c r="B24" s="325">
        <v>7</v>
      </c>
      <c r="C24" s="330" t="s">
        <v>175</v>
      </c>
      <c r="D24" s="328">
        <v>1.56</v>
      </c>
      <c r="E24" s="328">
        <v>0.6</v>
      </c>
      <c r="F24" s="325" t="s">
        <v>179</v>
      </c>
      <c r="G24" s="326">
        <v>46184</v>
      </c>
      <c r="H24" s="326">
        <f t="shared" si="11"/>
        <v>323288</v>
      </c>
      <c r="I24" s="318"/>
      <c r="J24" s="265">
        <v>31435</v>
      </c>
      <c r="K24" s="47"/>
      <c r="L24" s="327">
        <f t="shared" si="12"/>
        <v>7</v>
      </c>
      <c r="M24" s="39">
        <f t="shared" si="13"/>
        <v>1.6400000000000001</v>
      </c>
      <c r="N24" s="39">
        <f t="shared" si="14"/>
        <v>0.6</v>
      </c>
      <c r="O24" s="261">
        <f t="shared" si="15"/>
        <v>0.98399999999999999</v>
      </c>
      <c r="P24" s="259">
        <f t="shared" si="16"/>
        <v>6.8879999999999999</v>
      </c>
      <c r="Q24" s="252">
        <f t="shared" si="17"/>
        <v>31184.149508430724</v>
      </c>
      <c r="R24" s="317">
        <f t="shared" si="18"/>
        <v>46184.149508430724</v>
      </c>
      <c r="S24" s="297">
        <f t="shared" si="9"/>
        <v>22.96</v>
      </c>
      <c r="T24" s="46">
        <f t="shared" si="10"/>
        <v>8.4</v>
      </c>
      <c r="U24" s="9"/>
      <c r="X24" s="4"/>
    </row>
    <row r="25" spans="2:25" ht="17.399999999999999" x14ac:dyDescent="0.3">
      <c r="B25" s="325">
        <v>14</v>
      </c>
      <c r="C25" s="330" t="s">
        <v>175</v>
      </c>
      <c r="D25" s="328">
        <v>0.4</v>
      </c>
      <c r="E25" s="328">
        <v>0.39</v>
      </c>
      <c r="F25" s="325" t="s">
        <v>179</v>
      </c>
      <c r="G25" s="326">
        <v>20933</v>
      </c>
      <c r="H25" s="326">
        <f t="shared" si="11"/>
        <v>293062</v>
      </c>
      <c r="I25" s="318"/>
      <c r="J25" s="265"/>
      <c r="K25" s="47"/>
      <c r="L25" s="327">
        <f t="shared" si="12"/>
        <v>14</v>
      </c>
      <c r="M25" s="39">
        <f t="shared" si="13"/>
        <v>0.48000000000000004</v>
      </c>
      <c r="N25" s="39">
        <f t="shared" si="14"/>
        <v>0.39</v>
      </c>
      <c r="O25" s="261">
        <f t="shared" si="15"/>
        <v>0.18720000000000003</v>
      </c>
      <c r="P25" s="259">
        <f t="shared" si="16"/>
        <v>2.6208000000000005</v>
      </c>
      <c r="Q25" s="252">
        <f t="shared" si="17"/>
        <v>5932.5942967258461</v>
      </c>
      <c r="R25" s="317">
        <f t="shared" si="18"/>
        <v>20932.594296725845</v>
      </c>
      <c r="S25" s="297">
        <f t="shared" si="9"/>
        <v>13.440000000000001</v>
      </c>
      <c r="T25" s="46">
        <f t="shared" si="10"/>
        <v>10.92</v>
      </c>
      <c r="U25" s="9"/>
      <c r="X25" s="4"/>
    </row>
    <row r="26" spans="2:25" ht="17.399999999999999" x14ac:dyDescent="0.3">
      <c r="B26" s="325">
        <v>7</v>
      </c>
      <c r="C26" s="330" t="s">
        <v>175</v>
      </c>
      <c r="D26" s="328">
        <v>0.6</v>
      </c>
      <c r="E26" s="328">
        <v>0.4</v>
      </c>
      <c r="F26" s="325" t="s">
        <v>179</v>
      </c>
      <c r="G26" s="326">
        <v>23620</v>
      </c>
      <c r="H26" s="326">
        <f t="shared" si="11"/>
        <v>165340</v>
      </c>
      <c r="I26" s="318"/>
      <c r="J26" s="265"/>
      <c r="K26" s="47"/>
      <c r="L26" s="327">
        <f t="shared" si="12"/>
        <v>7</v>
      </c>
      <c r="M26" s="39">
        <f t="shared" si="13"/>
        <v>0.67999999999999994</v>
      </c>
      <c r="N26" s="39">
        <f t="shared" si="14"/>
        <v>0.4</v>
      </c>
      <c r="O26" s="261">
        <f t="shared" si="15"/>
        <v>0.27199999999999996</v>
      </c>
      <c r="P26" s="259">
        <f t="shared" si="16"/>
        <v>1.9039999999999997</v>
      </c>
      <c r="Q26" s="252">
        <f t="shared" si="17"/>
        <v>8620.0088072084909</v>
      </c>
      <c r="R26" s="317">
        <f t="shared" si="18"/>
        <v>23620.008807208491</v>
      </c>
      <c r="S26" s="297">
        <f t="shared" si="9"/>
        <v>9.52</v>
      </c>
      <c r="T26" s="46">
        <f t="shared" si="10"/>
        <v>5.6000000000000005</v>
      </c>
      <c r="U26" s="9"/>
      <c r="X26" s="4"/>
    </row>
    <row r="27" spans="2:25" ht="17.399999999999999" x14ac:dyDescent="0.3">
      <c r="B27" s="325">
        <v>8</v>
      </c>
      <c r="C27" s="330" t="s">
        <v>175</v>
      </c>
      <c r="D27" s="328">
        <v>1.56</v>
      </c>
      <c r="E27" s="328">
        <v>0.6</v>
      </c>
      <c r="F27" s="325" t="s">
        <v>181</v>
      </c>
      <c r="G27" s="326">
        <v>46184</v>
      </c>
      <c r="H27" s="326">
        <f t="shared" si="11"/>
        <v>369472</v>
      </c>
      <c r="I27" s="318"/>
      <c r="J27" s="265">
        <v>29772</v>
      </c>
      <c r="K27" s="47"/>
      <c r="L27" s="327">
        <f t="shared" si="12"/>
        <v>8</v>
      </c>
      <c r="M27" s="39">
        <f t="shared" si="13"/>
        <v>1.6400000000000001</v>
      </c>
      <c r="N27" s="39">
        <f t="shared" si="14"/>
        <v>0.6</v>
      </c>
      <c r="O27" s="261">
        <f t="shared" si="15"/>
        <v>0.98399999999999999</v>
      </c>
      <c r="P27" s="259">
        <f t="shared" si="16"/>
        <v>7.8719999999999999</v>
      </c>
      <c r="Q27" s="252">
        <f t="shared" si="17"/>
        <v>31184.149508430724</v>
      </c>
      <c r="R27" s="317">
        <f t="shared" si="18"/>
        <v>46184.149508430724</v>
      </c>
      <c r="S27" s="297">
        <f t="shared" si="9"/>
        <v>26.240000000000002</v>
      </c>
      <c r="T27" s="46">
        <f t="shared" si="10"/>
        <v>9.6</v>
      </c>
      <c r="U27" s="9"/>
      <c r="X27" s="4"/>
    </row>
    <row r="28" spans="2:25" ht="17.399999999999999" x14ac:dyDescent="0.3">
      <c r="B28" s="325">
        <v>16</v>
      </c>
      <c r="C28" s="330" t="s">
        <v>175</v>
      </c>
      <c r="D28" s="328">
        <v>0.4</v>
      </c>
      <c r="E28" s="328">
        <v>0.39</v>
      </c>
      <c r="F28" s="325" t="s">
        <v>181</v>
      </c>
      <c r="G28" s="326">
        <v>20933</v>
      </c>
      <c r="H28" s="326">
        <f t="shared" si="11"/>
        <v>334928</v>
      </c>
      <c r="I28" s="318"/>
      <c r="J28" s="265"/>
      <c r="K28" s="47"/>
      <c r="L28" s="327">
        <f t="shared" si="12"/>
        <v>16</v>
      </c>
      <c r="M28" s="39">
        <f t="shared" si="13"/>
        <v>0.48000000000000004</v>
      </c>
      <c r="N28" s="39">
        <f t="shared" si="14"/>
        <v>0.39</v>
      </c>
      <c r="O28" s="261">
        <f t="shared" si="15"/>
        <v>0.18720000000000003</v>
      </c>
      <c r="P28" s="259">
        <f t="shared" si="16"/>
        <v>2.9952000000000005</v>
      </c>
      <c r="Q28" s="252">
        <f t="shared" si="17"/>
        <v>5932.5942967258461</v>
      </c>
      <c r="R28" s="317">
        <f t="shared" si="18"/>
        <v>20932.594296725845</v>
      </c>
      <c r="S28" s="297">
        <f t="shared" si="9"/>
        <v>15.360000000000001</v>
      </c>
      <c r="T28" s="46">
        <f t="shared" si="10"/>
        <v>12.48</v>
      </c>
      <c r="U28" s="9"/>
      <c r="X28" s="4"/>
    </row>
    <row r="29" spans="2:25" ht="17.399999999999999" x14ac:dyDescent="0.3">
      <c r="B29" s="325">
        <v>8</v>
      </c>
      <c r="C29" s="330" t="s">
        <v>175</v>
      </c>
      <c r="D29" s="328">
        <v>0.6</v>
      </c>
      <c r="E29" s="328">
        <v>0.4</v>
      </c>
      <c r="F29" s="325" t="s">
        <v>181</v>
      </c>
      <c r="G29" s="326">
        <v>23620</v>
      </c>
      <c r="H29" s="326">
        <f t="shared" si="11"/>
        <v>188960</v>
      </c>
      <c r="I29" s="318"/>
      <c r="J29" s="265"/>
      <c r="K29" s="47"/>
      <c r="L29" s="327">
        <f t="shared" si="12"/>
        <v>8</v>
      </c>
      <c r="M29" s="39">
        <f t="shared" si="13"/>
        <v>0.67999999999999994</v>
      </c>
      <c r="N29" s="39">
        <f t="shared" si="14"/>
        <v>0.4</v>
      </c>
      <c r="O29" s="261">
        <f t="shared" si="15"/>
        <v>0.27199999999999996</v>
      </c>
      <c r="P29" s="259">
        <f t="shared" si="16"/>
        <v>2.1759999999999997</v>
      </c>
      <c r="Q29" s="252">
        <f t="shared" si="17"/>
        <v>8620.0088072084909</v>
      </c>
      <c r="R29" s="317">
        <f t="shared" si="18"/>
        <v>23620.008807208491</v>
      </c>
      <c r="S29" s="297">
        <f t="shared" si="9"/>
        <v>10.879999999999999</v>
      </c>
      <c r="T29" s="46">
        <f t="shared" si="10"/>
        <v>6.4</v>
      </c>
      <c r="U29" s="9"/>
      <c r="X29" s="4"/>
    </row>
    <row r="30" spans="2:25" ht="17.399999999999999" x14ac:dyDescent="0.3">
      <c r="B30" s="325">
        <v>1</v>
      </c>
      <c r="C30" s="330" t="s">
        <v>176</v>
      </c>
      <c r="D30" s="328"/>
      <c r="E30" s="328"/>
      <c r="F30" s="325"/>
      <c r="G30" s="326">
        <v>90000</v>
      </c>
      <c r="H30" s="326">
        <f t="shared" si="11"/>
        <v>90000</v>
      </c>
      <c r="I30" s="318"/>
      <c r="J30" s="265">
        <v>113290</v>
      </c>
      <c r="K30" s="47"/>
      <c r="L30" s="47">
        <f t="shared" si="12"/>
        <v>1</v>
      </c>
      <c r="M30" s="39"/>
      <c r="N30" s="39"/>
      <c r="O30" s="261"/>
      <c r="P30" s="259"/>
      <c r="Q30" s="252"/>
      <c r="R30" s="317"/>
      <c r="S30" s="297"/>
      <c r="T30" s="46"/>
      <c r="U30" s="9"/>
      <c r="X30" s="4"/>
    </row>
    <row r="31" spans="2:25" ht="17.399999999999999" x14ac:dyDescent="0.3">
      <c r="B31" s="285"/>
      <c r="C31" s="285"/>
      <c r="D31" s="286"/>
      <c r="E31" s="286"/>
      <c r="F31" s="285"/>
      <c r="G31" s="335" t="s">
        <v>180</v>
      </c>
      <c r="H31" s="336">
        <v>-116475</v>
      </c>
      <c r="I31" s="320"/>
      <c r="J31" s="233">
        <f>J30/1.19</f>
        <v>95201.680672268907</v>
      </c>
      <c r="K31" s="47"/>
      <c r="L31" s="47"/>
      <c r="M31" s="39"/>
      <c r="N31" s="39"/>
      <c r="O31" s="261"/>
      <c r="P31" s="259"/>
      <c r="Q31" s="252"/>
      <c r="R31" s="258"/>
      <c r="S31" s="297"/>
      <c r="T31" s="14"/>
      <c r="U31" s="9"/>
      <c r="X31" s="4"/>
    </row>
    <row r="32" spans="2:25" ht="17.399999999999999" x14ac:dyDescent="0.3">
      <c r="B32" s="285"/>
      <c r="C32" s="285"/>
      <c r="D32" s="286"/>
      <c r="E32" s="286"/>
      <c r="F32" s="285"/>
      <c r="G32" s="333" t="s">
        <v>28</v>
      </c>
      <c r="H32" s="334">
        <f>SUM(H21:H31)</f>
        <v>2430265</v>
      </c>
      <c r="I32" s="319"/>
      <c r="J32" s="265"/>
      <c r="K32" s="47"/>
      <c r="L32" s="47"/>
      <c r="M32" s="39"/>
      <c r="N32" s="39"/>
      <c r="O32" s="261"/>
      <c r="P32" s="259"/>
      <c r="Q32" s="252"/>
      <c r="R32" s="258"/>
      <c r="S32" s="297"/>
      <c r="T32" s="46">
        <f>SUM(T21:T31)</f>
        <v>78.320000000000007</v>
      </c>
      <c r="U32" s="9"/>
      <c r="X32" s="4"/>
    </row>
    <row r="33" spans="1:24" ht="17.399999999999999" x14ac:dyDescent="0.3">
      <c r="B33" s="279"/>
      <c r="C33" s="282"/>
      <c r="D33" s="283"/>
      <c r="E33" s="283"/>
      <c r="F33" s="284"/>
      <c r="G33" s="296" t="s">
        <v>50</v>
      </c>
      <c r="H33" s="294">
        <f>H32*19%</f>
        <v>461750.35</v>
      </c>
      <c r="I33" s="319"/>
      <c r="J33" s="265"/>
      <c r="K33" s="47"/>
      <c r="L33" s="47"/>
      <c r="M33" s="39">
        <f>SUM(M21:M21)</f>
        <v>1.6400000000000001</v>
      </c>
      <c r="N33" s="12"/>
      <c r="O33" s="12"/>
      <c r="P33" s="253">
        <f>SUM(P21:P31)</f>
        <v>35.868800000000007</v>
      </c>
      <c r="Q33" s="14"/>
      <c r="R33" s="12"/>
      <c r="S33" s="239">
        <f>SUM(S21:S32)</f>
        <v>144.32</v>
      </c>
      <c r="T33" s="46"/>
      <c r="U33" s="9"/>
      <c r="X33" s="4"/>
    </row>
    <row r="34" spans="1:24" ht="18" thickBot="1" x14ac:dyDescent="0.35">
      <c r="B34" s="275"/>
      <c r="C34" s="281"/>
      <c r="D34" s="272"/>
      <c r="E34" s="272"/>
      <c r="F34" s="273"/>
      <c r="G34" s="280" t="s">
        <v>6</v>
      </c>
      <c r="H34" s="295">
        <f>H32+H33</f>
        <v>2892015.35</v>
      </c>
      <c r="I34" s="319"/>
      <c r="J34" s="265"/>
      <c r="K34" s="47"/>
      <c r="L34" s="47"/>
      <c r="M34" s="39"/>
      <c r="N34" s="12"/>
      <c r="O34" s="12"/>
      <c r="P34" s="253">
        <f>P33</f>
        <v>35.868800000000007</v>
      </c>
      <c r="Q34" s="14"/>
      <c r="R34" s="12"/>
      <c r="S34" s="239"/>
      <c r="T34" s="46"/>
      <c r="U34" s="9"/>
      <c r="X34" s="4"/>
    </row>
    <row r="35" spans="1:24" ht="17.399999999999999" x14ac:dyDescent="0.3">
      <c r="B35" s="275"/>
      <c r="C35" s="271"/>
      <c r="D35" s="272"/>
      <c r="E35" s="272"/>
      <c r="F35" s="273"/>
      <c r="J35" s="265"/>
      <c r="K35" s="47"/>
      <c r="L35" s="47"/>
      <c r="M35" s="14"/>
      <c r="N35" s="12"/>
      <c r="O35" s="12"/>
      <c r="P35" s="39">
        <f>P34*20%</f>
        <v>7.1737600000000015</v>
      </c>
      <c r="Q35" s="39" t="s">
        <v>129</v>
      </c>
      <c r="R35" s="42"/>
      <c r="S35" s="240">
        <f>T32+S33</f>
        <v>222.64</v>
      </c>
      <c r="T35" s="14"/>
      <c r="U35" s="9"/>
      <c r="X35" s="4"/>
    </row>
    <row r="36" spans="1:24" ht="17.399999999999999" x14ac:dyDescent="0.35">
      <c r="B36" s="269"/>
      <c r="C36" s="230"/>
      <c r="D36" s="230"/>
      <c r="E36" s="233"/>
      <c r="F36" s="234"/>
      <c r="G36" s="230"/>
      <c r="H36" s="274"/>
      <c r="I36" s="274"/>
      <c r="J36" s="265"/>
      <c r="K36" s="47"/>
      <c r="L36" s="47"/>
      <c r="M36" s="14"/>
      <c r="N36" s="12"/>
      <c r="O36" s="12"/>
      <c r="P36" s="46">
        <f>P34+P35</f>
        <v>43.042560000000009</v>
      </c>
      <c r="Q36" s="14"/>
      <c r="R36" s="14"/>
      <c r="S36" s="238">
        <f>S35*20%</f>
        <v>44.527999999999999</v>
      </c>
      <c r="T36" s="14"/>
      <c r="U36" s="9"/>
      <c r="X36" s="4"/>
    </row>
    <row r="37" spans="1:24" ht="17.399999999999999" x14ac:dyDescent="0.35">
      <c r="B37" s="235"/>
      <c r="C37" s="236"/>
      <c r="D37" s="237"/>
      <c r="E37" s="235"/>
      <c r="F37" s="230"/>
      <c r="G37" s="230"/>
      <c r="I37" s="274"/>
      <c r="J37" s="265"/>
      <c r="K37" s="47"/>
      <c r="L37" s="47"/>
      <c r="M37" s="14"/>
      <c r="N37" s="14"/>
      <c r="O37" s="14"/>
      <c r="P37" s="14"/>
      <c r="Q37" s="14"/>
      <c r="R37" s="14"/>
      <c r="S37" s="240">
        <f>S35+S36</f>
        <v>267.16800000000001</v>
      </c>
      <c r="T37" s="14"/>
      <c r="U37" s="302" t="s">
        <v>21</v>
      </c>
      <c r="V37" s="299" t="s">
        <v>151</v>
      </c>
      <c r="W37" s="303">
        <v>44971</v>
      </c>
      <c r="X37" s="304"/>
    </row>
    <row r="38" spans="1:24" ht="17.399999999999999" x14ac:dyDescent="0.35">
      <c r="B38" s="230"/>
      <c r="C38" s="230"/>
      <c r="D38" s="230"/>
      <c r="E38" s="230"/>
      <c r="F38" s="230"/>
      <c r="G38" s="230"/>
      <c r="J38" s="265"/>
      <c r="K38" s="47"/>
      <c r="L38" s="47"/>
      <c r="M38" s="39">
        <f>P36*2</f>
        <v>86.085120000000018</v>
      </c>
      <c r="N38" s="12">
        <v>3500</v>
      </c>
      <c r="O38" s="12">
        <f t="shared" ref="O38:O43" si="19">M38*N38</f>
        <v>301297.92000000004</v>
      </c>
      <c r="P38" s="14" t="s">
        <v>21</v>
      </c>
      <c r="Q38" s="14"/>
      <c r="R38" s="14"/>
      <c r="S38" s="241"/>
      <c r="T38" s="14"/>
      <c r="U38" s="302" t="s">
        <v>152</v>
      </c>
      <c r="V38" s="299">
        <v>3625</v>
      </c>
      <c r="W38" s="59" t="s">
        <v>153</v>
      </c>
      <c r="X38" s="304"/>
    </row>
    <row r="39" spans="1:24" ht="17.399999999999999" x14ac:dyDescent="0.35">
      <c r="A39" s="230"/>
      <c r="B39" s="230"/>
      <c r="C39" s="230"/>
      <c r="D39" s="230"/>
      <c r="E39" s="230"/>
      <c r="F39" s="230"/>
      <c r="G39" s="230"/>
      <c r="H39" s="230"/>
      <c r="J39" s="265"/>
      <c r="K39" s="47"/>
      <c r="L39" s="47"/>
      <c r="M39" s="249">
        <v>12</v>
      </c>
      <c r="N39" s="12">
        <v>20000</v>
      </c>
      <c r="O39" s="12">
        <f t="shared" si="19"/>
        <v>240000</v>
      </c>
      <c r="P39" s="39" t="s">
        <v>30</v>
      </c>
      <c r="Q39" s="42"/>
      <c r="R39" s="14"/>
      <c r="S39" s="240"/>
      <c r="T39" s="14"/>
      <c r="U39" s="302"/>
      <c r="V39" s="59">
        <v>906.25</v>
      </c>
      <c r="W39" s="59" t="s">
        <v>154</v>
      </c>
      <c r="X39" s="304"/>
    </row>
    <row r="40" spans="1:24" s="230" customFormat="1" ht="17.399999999999999" x14ac:dyDescent="0.35">
      <c r="B40" s="24" t="s">
        <v>150</v>
      </c>
      <c r="J40" s="262"/>
      <c r="K40" s="232"/>
      <c r="L40" s="250"/>
      <c r="M40" s="14"/>
      <c r="N40" s="250">
        <v>42000</v>
      </c>
      <c r="O40" s="12">
        <f t="shared" si="19"/>
        <v>0</v>
      </c>
      <c r="P40" s="39" t="s">
        <v>167</v>
      </c>
      <c r="Q40" s="42"/>
      <c r="S40" s="240"/>
      <c r="T40" s="256"/>
      <c r="U40" s="59"/>
      <c r="V40" s="59">
        <f>V39*20%</f>
        <v>181.25</v>
      </c>
      <c r="W40" s="304" t="s">
        <v>155</v>
      </c>
      <c r="X40" s="59"/>
    </row>
    <row r="41" spans="1:24" s="230" customFormat="1" ht="17.399999999999999" x14ac:dyDescent="0.35">
      <c r="B41" s="24" t="s">
        <v>143</v>
      </c>
      <c r="C41"/>
      <c r="D41"/>
      <c r="E41"/>
      <c r="F41"/>
      <c r="J41" s="262"/>
      <c r="K41" s="232"/>
      <c r="L41" s="250"/>
      <c r="M41" s="14">
        <v>30</v>
      </c>
      <c r="N41" s="250">
        <v>31500</v>
      </c>
      <c r="O41" s="12">
        <v>0</v>
      </c>
      <c r="P41" s="14" t="s">
        <v>140</v>
      </c>
      <c r="Q41" s="17"/>
      <c r="S41" s="238"/>
      <c r="T41" s="256"/>
      <c r="U41" s="59"/>
      <c r="V41" s="59">
        <f>V39+V40</f>
        <v>1087.5</v>
      </c>
      <c r="W41" s="304" t="s">
        <v>156</v>
      </c>
      <c r="X41" s="59"/>
    </row>
    <row r="42" spans="1:24" s="230" customFormat="1" ht="17.399999999999999" x14ac:dyDescent="0.35">
      <c r="B42" s="29" t="s">
        <v>124</v>
      </c>
      <c r="C42"/>
      <c r="D42"/>
      <c r="E42"/>
      <c r="F42" s="229" t="s">
        <v>15</v>
      </c>
      <c r="J42" s="262"/>
      <c r="K42" s="260"/>
      <c r="L42" s="250"/>
      <c r="M42" s="249"/>
      <c r="N42" s="250">
        <v>900</v>
      </c>
      <c r="O42" s="12">
        <f t="shared" si="19"/>
        <v>0</v>
      </c>
      <c r="P42" s="14" t="s">
        <v>31</v>
      </c>
      <c r="Q42" s="14"/>
      <c r="R42" s="230">
        <v>1.52</v>
      </c>
      <c r="S42" s="238"/>
      <c r="T42" s="238"/>
    </row>
    <row r="43" spans="1:24" s="230" customFormat="1" ht="17.399999999999999" x14ac:dyDescent="0.35">
      <c r="J43" s="293" t="s">
        <v>166</v>
      </c>
      <c r="K43" s="260">
        <v>38300</v>
      </c>
      <c r="L43" s="250"/>
      <c r="M43" s="266"/>
      <c r="N43" s="12">
        <v>1500</v>
      </c>
      <c r="O43" s="12">
        <f t="shared" si="19"/>
        <v>0</v>
      </c>
      <c r="P43" s="14" t="s">
        <v>22</v>
      </c>
      <c r="Q43" s="14"/>
      <c r="R43">
        <v>2.44</v>
      </c>
      <c r="S43"/>
      <c r="T43" s="238"/>
      <c r="X43" s="231"/>
    </row>
    <row r="44" spans="1:24" s="230" customFormat="1" ht="17.399999999999999" x14ac:dyDescent="0.35">
      <c r="J44" s="230" t="s">
        <v>165</v>
      </c>
      <c r="K44" s="260">
        <v>31000</v>
      </c>
      <c r="L44" s="250"/>
      <c r="M44" s="14"/>
      <c r="N44" s="12"/>
      <c r="O44" s="12">
        <f>SUM(O38:O43)</f>
        <v>541297.92000000004</v>
      </c>
      <c r="P44" s="39" t="s">
        <v>23</v>
      </c>
      <c r="Q44" s="14"/>
      <c r="R44">
        <f>R42*R43</f>
        <v>3.7088000000000001</v>
      </c>
      <c r="S44"/>
      <c r="T44" s="238"/>
      <c r="X44" s="231"/>
    </row>
    <row r="45" spans="1:24" s="230" customFormat="1" ht="17.399999999999999" x14ac:dyDescent="0.35">
      <c r="J45" s="230">
        <v>73340</v>
      </c>
      <c r="L45" s="250"/>
      <c r="M45" s="254" t="s">
        <v>32</v>
      </c>
      <c r="N45" s="12"/>
      <c r="O45" s="255">
        <f>O44*2.1</f>
        <v>1136725.6320000002</v>
      </c>
      <c r="P45" s="14" t="s">
        <v>139</v>
      </c>
      <c r="Q45" s="14"/>
      <c r="R45" s="40">
        <f>P36/R44</f>
        <v>11.605522001725628</v>
      </c>
      <c r="S45"/>
      <c r="T45" s="257"/>
    </row>
    <row r="46" spans="1:24" s="230" customFormat="1" ht="17.399999999999999" x14ac:dyDescent="0.35">
      <c r="G46"/>
      <c r="H46" s="260"/>
      <c r="I46" s="260"/>
      <c r="J46" s="260">
        <f>J45/1.19</f>
        <v>61630.252100840342</v>
      </c>
      <c r="L46" s="250"/>
      <c r="M46" s="14"/>
      <c r="N46" s="12"/>
      <c r="O46" s="12">
        <f>O45/P34</f>
        <v>31691.208850031224</v>
      </c>
      <c r="P46" s="45" t="s">
        <v>24</v>
      </c>
      <c r="Q46" s="14"/>
      <c r="R46" s="14"/>
      <c r="S46"/>
      <c r="T46" s="238"/>
      <c r="U46" s="59" t="s">
        <v>157</v>
      </c>
      <c r="V46" s="299">
        <v>43650</v>
      </c>
    </row>
    <row r="47" spans="1:24" s="230" customFormat="1" ht="17.399999999999999" x14ac:dyDescent="0.35">
      <c r="G47"/>
      <c r="L47" s="250"/>
      <c r="M47" s="13"/>
      <c r="N47" s="14"/>
      <c r="O47" s="17">
        <f>O45/O44</f>
        <v>2.1</v>
      </c>
      <c r="P47" s="15"/>
      <c r="Q47"/>
      <c r="R47"/>
      <c r="S47"/>
      <c r="T47" s="238"/>
      <c r="U47" s="59" t="s">
        <v>159</v>
      </c>
      <c r="V47" s="300" t="s">
        <v>158</v>
      </c>
      <c r="W47" s="59">
        <v>2.4</v>
      </c>
    </row>
    <row r="48" spans="1:24" s="230" customFormat="1" ht="17.399999999999999" x14ac:dyDescent="0.35">
      <c r="G48" s="23"/>
      <c r="L48" s="12"/>
      <c r="T48" s="238"/>
      <c r="U48" s="59" t="s">
        <v>160</v>
      </c>
      <c r="V48" s="301">
        <v>395.37</v>
      </c>
    </row>
    <row r="49" spans="2:22" s="230" customFormat="1" ht="17.399999999999999" x14ac:dyDescent="0.35">
      <c r="B49"/>
      <c r="C49" s="228"/>
      <c r="D49" s="22"/>
      <c r="E49" s="22"/>
      <c r="F49" s="21"/>
      <c r="G49" s="23"/>
      <c r="L49" s="12"/>
      <c r="T49" s="238"/>
      <c r="U49" s="59" t="s">
        <v>155</v>
      </c>
      <c r="V49" s="59">
        <v>474.45</v>
      </c>
    </row>
    <row r="50" spans="2:22" ht="14.4" customHeight="1" x14ac:dyDescent="0.3">
      <c r="L50" s="12"/>
      <c r="U50" s="59"/>
      <c r="V50" s="59"/>
    </row>
    <row r="51" spans="2:22" x14ac:dyDescent="0.3">
      <c r="L51" s="250"/>
    </row>
    <row r="52" spans="2:22" x14ac:dyDescent="0.3">
      <c r="L52" s="250"/>
      <c r="T52" s="270"/>
    </row>
    <row r="53" spans="2:22" x14ac:dyDescent="0.3">
      <c r="L53" s="250"/>
    </row>
    <row r="54" spans="2:22" ht="15" customHeight="1" x14ac:dyDescent="0.3"/>
    <row r="56" spans="2:22" x14ac:dyDescent="0.3">
      <c r="O56">
        <v>40935</v>
      </c>
      <c r="P56" t="s">
        <v>16</v>
      </c>
      <c r="Q56" t="s">
        <v>26</v>
      </c>
    </row>
    <row r="58" spans="2:22" x14ac:dyDescent="0.3">
      <c r="O58" s="54"/>
      <c r="P58" s="54"/>
    </row>
    <row r="59" spans="2:22" x14ac:dyDescent="0.3">
      <c r="S59" s="18"/>
      <c r="T59" s="18"/>
    </row>
    <row r="60" spans="2:22" x14ac:dyDescent="0.3">
      <c r="S60" s="18"/>
      <c r="T60" s="18"/>
    </row>
    <row r="61" spans="2:22" x14ac:dyDescent="0.3">
      <c r="S61" s="18"/>
      <c r="T61" s="18"/>
    </row>
    <row r="62" spans="2:22" x14ac:dyDescent="0.3">
      <c r="S62" s="18"/>
      <c r="T62" s="18"/>
    </row>
    <row r="63" spans="2:22" x14ac:dyDescent="0.3">
      <c r="S63" s="18"/>
      <c r="T63" s="18"/>
    </row>
    <row r="64" spans="2:22" x14ac:dyDescent="0.3">
      <c r="S64" s="18"/>
      <c r="T64" s="18"/>
    </row>
    <row r="65" spans="15:20" x14ac:dyDescent="0.3">
      <c r="S65" s="18"/>
      <c r="T65" s="18"/>
    </row>
    <row r="66" spans="15:20" x14ac:dyDescent="0.3">
      <c r="S66" s="18"/>
      <c r="T66" s="18"/>
    </row>
    <row r="67" spans="15:20" x14ac:dyDescent="0.3">
      <c r="S67" s="18"/>
      <c r="T67" s="18"/>
    </row>
    <row r="70" spans="15:20" x14ac:dyDescent="0.3">
      <c r="O70" s="43"/>
    </row>
    <row r="71" spans="15:20" x14ac:dyDescent="0.3">
      <c r="O71" s="43"/>
    </row>
    <row r="72" spans="15:20" x14ac:dyDescent="0.3">
      <c r="O72" s="6"/>
    </row>
    <row r="73" spans="15:20" x14ac:dyDescent="0.3">
      <c r="O73" s="6"/>
    </row>
    <row r="81" spans="3:3" x14ac:dyDescent="0.3">
      <c r="C81" t="s">
        <v>147</v>
      </c>
    </row>
    <row r="82" spans="3:3" x14ac:dyDescent="0.3">
      <c r="C82" t="s">
        <v>146</v>
      </c>
    </row>
    <row r="85" spans="3:3" x14ac:dyDescent="0.3">
      <c r="C85" t="s">
        <v>146</v>
      </c>
    </row>
    <row r="162" spans="3:3" x14ac:dyDescent="0.3">
      <c r="C162" t="s">
        <v>146</v>
      </c>
    </row>
    <row r="163" spans="3:3" x14ac:dyDescent="0.3">
      <c r="C163" t="s">
        <v>148</v>
      </c>
    </row>
    <row r="164" spans="3:3" x14ac:dyDescent="0.3">
      <c r="C164" t="s">
        <v>149</v>
      </c>
    </row>
    <row r="589" spans="3:3" x14ac:dyDescent="0.3">
      <c r="C589" t="s">
        <v>146</v>
      </c>
    </row>
  </sheetData>
  <mergeCells count="2">
    <mergeCell ref="F17:H17"/>
    <mergeCell ref="B19:H19"/>
  </mergeCells>
  <phoneticPr fontId="34" type="noConversion"/>
  <hyperlinks>
    <hyperlink ref="F42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45954</v>
      </c>
    </row>
    <row r="6" spans="2:31" ht="16.2" thickBot="1" x14ac:dyDescent="0.35">
      <c r="B6" s="140" t="s">
        <v>2</v>
      </c>
      <c r="C6" s="139" t="str">
        <f>'2229'!C10</f>
        <v>MATVAL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4" t="s">
        <v>97</v>
      </c>
      <c r="I7" s="345"/>
      <c r="J7" s="345"/>
      <c r="K7" s="346"/>
      <c r="N7" s="75"/>
      <c r="O7" s="343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11712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343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-247982.8637001208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'2229'!H32</f>
        <v>2430265</v>
      </c>
      <c r="E11" s="132">
        <f>D11*0.19</f>
        <v>461750.35</v>
      </c>
      <c r="F11" s="131">
        <f>E11+D11</f>
        <v>2892015.35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-141992.8637001208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571132.01078743965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-159992.8637001208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1859132.9892125605</v>
      </c>
      <c r="E13" s="221">
        <f>(D11/D12)-1</f>
        <v>3.2551721039927504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-168992.8637001208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-207992.8637001208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942367.81779927539</v>
      </c>
      <c r="F15" s="216">
        <f>E15-D12</f>
        <v>371235.80701183574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-207992.8637001208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-167992.8637001208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'2229'!O40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'2229'!O39</f>
        <v>240000</v>
      </c>
      <c r="E19" s="123">
        <f>D19*0.19</f>
        <v>45600</v>
      </c>
      <c r="F19" s="120">
        <f>SUM(D19:E19)</f>
        <v>285600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'2229'!O38</f>
        <v>301297.92000000004</v>
      </c>
      <c r="E20" s="121">
        <f>D20*0.19</f>
        <v>57246.604800000008</v>
      </c>
      <c r="F20" s="120">
        <f>SUM(D20:E20)</f>
        <v>358544.52480000007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541297.92000000004</v>
      </c>
      <c r="E21" s="116">
        <f>SUM(E18:E20)</f>
        <v>102846.6048</v>
      </c>
      <c r="F21" s="115">
        <f>SUM(F18:F20)</f>
        <v>644144.52480000001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358903.7452</v>
      </c>
    </row>
    <row r="41" spans="2:16" ht="15" thickBot="1" x14ac:dyDescent="0.35">
      <c r="H41" s="347" t="s">
        <v>59</v>
      </c>
      <c r="I41" s="348"/>
      <c r="J41" s="348"/>
      <c r="K41" s="348"/>
      <c r="L41" s="348"/>
      <c r="M41" s="349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2430265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541297.92000000004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1859132.9892125605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1859132.9892125605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2025-04-03T19:02:46Z</cp:lastPrinted>
  <dcterms:created xsi:type="dcterms:W3CDTF">2013-03-18T13:35:42Z</dcterms:created>
  <dcterms:modified xsi:type="dcterms:W3CDTF">2025-11-05T21:47:00Z</dcterms:modified>
</cp:coreProperties>
</file>