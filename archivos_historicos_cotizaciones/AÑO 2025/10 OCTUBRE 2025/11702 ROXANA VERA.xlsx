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CA0DE87C-6DA5-40D7-A627-D76632FA9C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L26" i="1"/>
  <c r="H22" i="1"/>
  <c r="H23" i="1"/>
  <c r="H24" i="1"/>
  <c r="H25" i="1"/>
  <c r="L22" i="1"/>
  <c r="L23" i="1"/>
  <c r="L21" i="1"/>
  <c r="M22" i="1"/>
  <c r="N22" i="1"/>
  <c r="M23" i="1"/>
  <c r="N23" i="1"/>
  <c r="M24" i="1"/>
  <c r="N24" i="1"/>
  <c r="M25" i="1"/>
  <c r="N25" i="1"/>
  <c r="J43" i="1"/>
  <c r="J15" i="1"/>
  <c r="J10" i="1"/>
  <c r="O23" i="1" l="1"/>
  <c r="P23" i="1" s="1"/>
  <c r="O25" i="1"/>
  <c r="P25" i="1" s="1"/>
  <c r="O24" i="1"/>
  <c r="P24" i="1" s="1"/>
  <c r="O22" i="1"/>
  <c r="P22" i="1" s="1"/>
  <c r="N21" i="1"/>
  <c r="M21" i="1" l="1"/>
  <c r="S21" i="1" l="1"/>
  <c r="M30" i="1"/>
  <c r="T21" i="1"/>
  <c r="T29" i="1" s="1"/>
  <c r="S31" i="1"/>
  <c r="O21" i="1"/>
  <c r="P21" i="1" s="1"/>
  <c r="P30" i="1" s="1"/>
  <c r="S32" i="1" l="1"/>
  <c r="S33" i="1" s="1"/>
  <c r="S34" i="1" s="1"/>
  <c r="V37" i="1"/>
  <c r="V38" i="1" s="1"/>
  <c r="O36" i="1" l="1"/>
  <c r="P31" i="1" l="1"/>
  <c r="N20" i="1"/>
  <c r="L20" i="1"/>
  <c r="P32" i="1" l="1"/>
  <c r="P33" i="1" s="1"/>
  <c r="M35" i="1" s="1"/>
  <c r="O37" i="1"/>
  <c r="R41" i="1"/>
  <c r="R42" i="1" l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D20" i="3" l="1"/>
  <c r="E20" i="3" s="1"/>
  <c r="E21" i="3" s="1"/>
  <c r="O43" i="1" l="1"/>
  <c r="Q20" i="1" s="1"/>
  <c r="D21" i="3"/>
  <c r="M43" i="3" s="1"/>
  <c r="D12" i="3" s="1"/>
  <c r="F20" i="3"/>
  <c r="F21" i="3" s="1"/>
  <c r="Q22" i="1" l="1"/>
  <c r="R22" i="1" s="1"/>
  <c r="Q24" i="1"/>
  <c r="R24" i="1" s="1"/>
  <c r="Q23" i="1"/>
  <c r="R23" i="1" s="1"/>
  <c r="Q25" i="1"/>
  <c r="R25" i="1" s="1"/>
  <c r="O44" i="1"/>
  <c r="E15" i="3"/>
  <c r="Q21" i="1" l="1"/>
  <c r="F15" i="3"/>
  <c r="R21" i="1" l="1"/>
  <c r="H21" i="1" l="1"/>
  <c r="H29" i="1" s="1"/>
  <c r="H30" i="1" s="1"/>
  <c r="H31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<sst xmlns="http://schemas.openxmlformats.org/spreadsheetml/2006/main" count="239" uniqueCount="180">
  <si>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</si>
  <si>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</si>
  <si>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</si>
  <si>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</si>
  <si>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</si>
  <si>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</si>
  <si>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</si>
  <si>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</si>
  <si>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</si>
  <si>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</si>
  <si>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</si>
  <si>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</si>
  <si>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</si>
  <si>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</si>
  <si>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</si>
  <si>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</si>
  <si>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</si>
  <si>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</si>
  <si>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</si>
  <si>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</si>
  <si>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</si>
  <si>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</si>
  <si>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</si>
  <si>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</si>
  <si>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</si>
  <si>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</si>
  <si>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</si>
  <si>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</si>
  <si>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</si>
  <si>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</si>
  <si>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</si>
  <si>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</si>
  <si>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</si>
  <si>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</si>
  <si>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</si>
  <si>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</si>
  <si>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</si>
  <si>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</si>
  <si>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</si>
  <si>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</si>
  <si>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</si>
  <si>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</si>
  <si>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</si>
  <si>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</si>
  <si>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</si>
  <si>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</si>
  <si>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</si>
  <si>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</si>
  <si>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</si>
  <si>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</si>
  <si>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</si>
  <si>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</si>
  <si>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</si>
  <si>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</si>
  <si>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</si>
  <si>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</si>
  <si>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</si>
  <si>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</si>
  <si>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</si>
  <si>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</si>
  <si>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</si>
  <si>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</si>
  <si>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</si>
  <si>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</si>
  <si>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</si>
  <si>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</si>
  <si>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</si>
  <si>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</si>
  <si>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</si>
  <si>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</si>
  <si>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</si>
  <si>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</si>
  <si>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</si>
  <si>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</si>
  <si>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</si>
  <si>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</si>
  <si>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</si>
  <si>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</si>
  <si>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</si>
  <si>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</si>
  <si>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</si>
  <si>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</si>
  <si>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</si>
  <si>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</si>
  <si>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</si>
  <si>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</si>
  <si>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</si>
  <si>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</si>
  <si>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</si>
  <si>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</si>
  <si>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</si>
  <si>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</si>
  <si>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</si>
  <si>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</si>
  <si>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</si>
  <si>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</si>
  <si>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</si>
  <si>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</si>
  <si>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</si>
  <si>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</si>
  <si>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</si>
  <si>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</si>
  <si>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</si>
  <si>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</si>
  <si>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</si>
  <si>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</si>
  <si>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</si>
  <si>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</si>
  <si>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</si>
  <si>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</si>
  <si>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</si>
  <si>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</si>
  <si>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</si>
  <si>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</si>
  <si>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</si>
  <si>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</si>
  <si>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</si>
  <si>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</si>
  <si>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</si>
  <si>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</si>
  <si>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</si>
  <si>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</si>
  <si>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</si>
  <si>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</si>
  <si>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</si>
  <si>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</si>
  <si>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</si>
  <si>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</si>
  <si>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</si>
  <si>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</si>
  <si>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</si>
  <si>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</si>
  <si>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</si>
  <si>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</si>
  <si>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</si>
  <si>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</si>
  <si>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</si>
  <si>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</si>
  <si>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</si>
  <si>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</si>
  <si>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</si>
  <si>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</si>
  <si>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</si>
  <si>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</si>
  <si>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</si>
  <si>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</si>
  <si>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</si>
  <si>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</si>
  <si>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</si>
  <si>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</si>
  <si>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</si>
  <si>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</si>
  <si>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</si>
  <si>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</si>
  <si>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</si>
  <si>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</si>
  <si>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</si>
  <si>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</si>
  <si>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</si>
  <si>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</si>
  <si>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</si>
  <si>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</si>
  <si>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</si>
  <si>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</si>
  <si>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</si>
  <si>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</si>
  <si>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</si>
  <si>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</si>
  <si>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</si>
  <si>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CUB MESA 90° 3 LADOS</t>
  </si>
  <si>
    <t>CUB CON RESPALDO 90° R6</t>
  </si>
  <si>
    <t>COLOR POR DEFINIR</t>
  </si>
  <si>
    <t>N° 11702</t>
  </si>
  <si>
    <t>56998335638</t>
  </si>
  <si>
    <t>DIEGO PORTALES CON LA FLORIDA</t>
  </si>
  <si>
    <t>10 DIAS HABILES</t>
  </si>
  <si>
    <t>CORTES TIPO 45°</t>
  </si>
  <si>
    <t>DESFONDADOS</t>
  </si>
  <si>
    <t>DESPACHO MAS INSTALACION</t>
  </si>
  <si>
    <t>ROXANA 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</si>
</sst>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topLeftCell="A3" zoomScale="93" zoomScaleNormal="93" workbookViewId="0">
      <selection activeCell="C13" sqref="C13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172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179</v>
      </c>
      <c r="D10" s="243"/>
      <c r="E10" s="243"/>
      <c r="F10" s="244" t="s">
        <v>0</v>
      </c>
      <c r="G10" s="276">
        <v>45945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175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173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 t="s">
        <v>174</v>
      </c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O43</f>
        <v>96203.824655979581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9">
        <v>1</v>
      </c>
      <c r="C21" s="329" t="s">
        <v>170</v>
      </c>
      <c r="D21" s="332">
        <v>1.53</v>
      </c>
      <c r="E21" s="332">
        <v>0.7</v>
      </c>
      <c r="F21" s="329" t="s">
        <v>171</v>
      </c>
      <c r="G21" s="330">
        <v>111422</v>
      </c>
      <c r="H21" s="330">
        <f>G21*B21</f>
        <v>111422</v>
      </c>
      <c r="I21" s="319"/>
      <c r="J21" s="265"/>
      <c r="K21" s="47"/>
      <c r="L21" s="331">
        <f>B21</f>
        <v>1</v>
      </c>
      <c r="M21" s="39">
        <f>D21+M$19</f>
        <v>1.61</v>
      </c>
      <c r="N21" s="39">
        <f>E21+$N$19</f>
        <v>0.7</v>
      </c>
      <c r="O21" s="261">
        <f t="shared" ref="O21" si="1">M21*N21</f>
        <v>1.127</v>
      </c>
      <c r="P21" s="259">
        <f t="shared" ref="P21" si="2">O21*L21</f>
        <v>1.127</v>
      </c>
      <c r="Q21" s="252">
        <f t="shared" ref="Q21" si="3">Q$20*O21</f>
        <v>108421.71038728899</v>
      </c>
      <c r="R21" s="318">
        <f t="shared" ref="R21" si="4">Q21+R$20</f>
        <v>111421.71038728899</v>
      </c>
      <c r="S21" s="297">
        <f>M21*L21</f>
        <v>1.61</v>
      </c>
      <c r="T21" s="46">
        <f>M21*L21</f>
        <v>1.61</v>
      </c>
      <c r="U21" s="9"/>
      <c r="X21" s="4"/>
    </row>
    <row r="22" spans="2:25" ht="17.399999999999999" x14ac:dyDescent="0.3">
      <c r="B22" s="329">
        <v>1</v>
      </c>
      <c r="C22" s="329" t="s">
        <v>170</v>
      </c>
      <c r="D22" s="332">
        <v>2.39</v>
      </c>
      <c r="E22" s="332">
        <v>0.65</v>
      </c>
      <c r="F22" s="329" t="s">
        <v>171</v>
      </c>
      <c r="G22" s="330">
        <v>157455</v>
      </c>
      <c r="H22" s="330">
        <f t="shared" ref="H22:H26" si="5">G22*B22</f>
        <v>157455</v>
      </c>
      <c r="I22" s="319"/>
      <c r="J22" s="265"/>
      <c r="K22" s="47"/>
      <c r="L22" s="331">
        <f t="shared" ref="L22:L26" si="6">B22</f>
        <v>1</v>
      </c>
      <c r="M22" s="39">
        <f t="shared" ref="M22:M25" si="7">D22+M$19</f>
        <v>2.4700000000000002</v>
      </c>
      <c r="N22" s="39">
        <f t="shared" ref="N22:N25" si="8">E22+$N$19</f>
        <v>0.65</v>
      </c>
      <c r="O22" s="261">
        <f t="shared" ref="O22:O25" si="9">M22*N22</f>
        <v>1.6055000000000001</v>
      </c>
      <c r="P22" s="259">
        <f t="shared" ref="P22:P25" si="10">O22*L22</f>
        <v>1.6055000000000001</v>
      </c>
      <c r="Q22" s="252">
        <f t="shared" ref="Q22:Q25" si="11">Q$20*O22</f>
        <v>154455.24048517522</v>
      </c>
      <c r="R22" s="318">
        <f t="shared" ref="R22:R25" si="12">Q22+R$20</f>
        <v>157455.24048517522</v>
      </c>
      <c r="S22" s="297"/>
      <c r="T22" s="46"/>
      <c r="U22" s="9"/>
      <c r="X22" s="4"/>
    </row>
    <row r="23" spans="2:25" ht="17.399999999999999" x14ac:dyDescent="0.3">
      <c r="B23" s="329">
        <v>1</v>
      </c>
      <c r="C23" s="329" t="s">
        <v>169</v>
      </c>
      <c r="D23" s="332">
        <v>1.9</v>
      </c>
      <c r="E23" s="332">
        <v>0.4</v>
      </c>
      <c r="F23" s="329" t="s">
        <v>171</v>
      </c>
      <c r="G23" s="330">
        <v>79193</v>
      </c>
      <c r="H23" s="330">
        <f t="shared" si="5"/>
        <v>79193</v>
      </c>
      <c r="I23" s="319"/>
      <c r="J23" s="265"/>
      <c r="K23" s="47"/>
      <c r="L23" s="331">
        <f t="shared" si="6"/>
        <v>1</v>
      </c>
      <c r="M23" s="39">
        <f t="shared" si="7"/>
        <v>1.98</v>
      </c>
      <c r="N23" s="39">
        <f t="shared" si="8"/>
        <v>0.4</v>
      </c>
      <c r="O23" s="261">
        <f t="shared" si="9"/>
        <v>0.79200000000000004</v>
      </c>
      <c r="P23" s="259">
        <f t="shared" si="10"/>
        <v>0.79200000000000004</v>
      </c>
      <c r="Q23" s="252">
        <f t="shared" si="11"/>
        <v>76193.429127535826</v>
      </c>
      <c r="R23" s="318">
        <f t="shared" si="12"/>
        <v>79193.429127535826</v>
      </c>
      <c r="S23" s="297"/>
      <c r="T23" s="46"/>
      <c r="U23" s="9"/>
      <c r="X23" s="4"/>
    </row>
    <row r="24" spans="2:25" ht="17.399999999999999" x14ac:dyDescent="0.3">
      <c r="B24" s="329">
        <v>1</v>
      </c>
      <c r="C24" s="329" t="s">
        <v>176</v>
      </c>
      <c r="D24" s="332"/>
      <c r="E24" s="332"/>
      <c r="F24" s="329"/>
      <c r="G24" s="330">
        <v>35000</v>
      </c>
      <c r="H24" s="330">
        <f t="shared" si="5"/>
        <v>35000</v>
      </c>
      <c r="I24" s="319"/>
      <c r="J24" s="265"/>
      <c r="K24" s="47"/>
      <c r="L24" s="331"/>
      <c r="M24" s="39">
        <f t="shared" si="7"/>
        <v>0.08</v>
      </c>
      <c r="N24" s="39">
        <f t="shared" si="8"/>
        <v>0</v>
      </c>
      <c r="O24" s="261">
        <f t="shared" si="9"/>
        <v>0</v>
      </c>
      <c r="P24" s="259">
        <f t="shared" si="10"/>
        <v>0</v>
      </c>
      <c r="Q24" s="252">
        <f t="shared" si="11"/>
        <v>0</v>
      </c>
      <c r="R24" s="318">
        <f t="shared" si="12"/>
        <v>3000</v>
      </c>
      <c r="S24" s="297"/>
      <c r="T24" s="46"/>
      <c r="U24" s="9"/>
      <c r="X24" s="4"/>
    </row>
    <row r="25" spans="2:25" ht="17.399999999999999" x14ac:dyDescent="0.3">
      <c r="B25" s="329">
        <v>1</v>
      </c>
      <c r="C25" s="329" t="s">
        <v>177</v>
      </c>
      <c r="D25" s="332"/>
      <c r="E25" s="332"/>
      <c r="F25" s="329"/>
      <c r="G25" s="330">
        <v>20000</v>
      </c>
      <c r="H25" s="330">
        <f t="shared" si="5"/>
        <v>20000</v>
      </c>
      <c r="I25" s="319"/>
      <c r="J25" s="265"/>
      <c r="K25" s="47"/>
      <c r="L25" s="331"/>
      <c r="M25" s="39">
        <f t="shared" si="7"/>
        <v>0.08</v>
      </c>
      <c r="N25" s="39">
        <f t="shared" si="8"/>
        <v>0</v>
      </c>
      <c r="O25" s="261">
        <f t="shared" si="9"/>
        <v>0</v>
      </c>
      <c r="P25" s="259">
        <f t="shared" si="10"/>
        <v>0</v>
      </c>
      <c r="Q25" s="252">
        <f t="shared" si="11"/>
        <v>0</v>
      </c>
      <c r="R25" s="318">
        <f t="shared" si="12"/>
        <v>3000</v>
      </c>
      <c r="S25" s="297"/>
      <c r="T25" s="46"/>
      <c r="U25" s="9"/>
      <c r="X25" s="4"/>
    </row>
    <row r="26" spans="2:25" ht="17.399999999999999" x14ac:dyDescent="0.3">
      <c r="B26" s="329">
        <v>1</v>
      </c>
      <c r="C26" s="329" t="s">
        <v>178</v>
      </c>
      <c r="D26" s="332"/>
      <c r="E26" s="332"/>
      <c r="F26" s="329"/>
      <c r="G26" s="330">
        <v>150000</v>
      </c>
      <c r="H26" s="330">
        <f t="shared" si="5"/>
        <v>150000</v>
      </c>
      <c r="I26" s="319"/>
      <c r="J26" s="265"/>
      <c r="K26" s="47"/>
      <c r="L26" s="47">
        <f t="shared" si="6"/>
        <v>1</v>
      </c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19"/>
      <c r="H27" s="319"/>
      <c r="I27" s="319"/>
      <c r="J27" s="265"/>
      <c r="K27" s="47"/>
      <c r="L27" s="47"/>
      <c r="M27" s="39"/>
      <c r="N27" s="39"/>
      <c r="O27" s="261"/>
      <c r="P27" s="259"/>
      <c r="Q27" s="252"/>
      <c r="R27" s="318"/>
      <c r="S27" s="297"/>
      <c r="T27" s="46"/>
      <c r="U27" s="9"/>
      <c r="X27" s="4"/>
    </row>
    <row r="28" spans="2:25" ht="18" thickBot="1" x14ac:dyDescent="0.35">
      <c r="B28" s="285"/>
      <c r="C28" s="285"/>
      <c r="D28" s="286"/>
      <c r="E28" s="286"/>
      <c r="F28" s="285"/>
      <c r="G28" s="265"/>
      <c r="H28" s="320"/>
      <c r="I28" s="322"/>
      <c r="J28" s="233"/>
      <c r="K28" s="47"/>
      <c r="L28" s="47"/>
      <c r="M28" s="39"/>
      <c r="N28" s="39"/>
      <c r="O28" s="261"/>
      <c r="P28" s="259"/>
      <c r="Q28" s="252"/>
      <c r="R28" s="258"/>
      <c r="S28" s="297"/>
      <c r="T28" s="14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23" t="s">
        <v>28</v>
      </c>
      <c r="H29" s="324">
        <f>SUM(H21:H28)</f>
        <v>553070</v>
      </c>
      <c r="I29" s="321"/>
      <c r="J29" s="265"/>
      <c r="K29" s="47"/>
      <c r="L29" s="47"/>
      <c r="M29" s="39"/>
      <c r="N29" s="39"/>
      <c r="O29" s="261"/>
      <c r="P29" s="259"/>
      <c r="Q29" s="252"/>
      <c r="R29" s="258"/>
      <c r="S29" s="297"/>
      <c r="T29" s="46">
        <f>SUM(T21:T28)</f>
        <v>1.61</v>
      </c>
      <c r="U29" s="9"/>
      <c r="X29" s="4"/>
    </row>
    <row r="30" spans="2:25" ht="17.399999999999999" x14ac:dyDescent="0.3">
      <c r="B30" s="279"/>
      <c r="C30" s="282"/>
      <c r="D30" s="283"/>
      <c r="E30" s="283"/>
      <c r="F30" s="284"/>
      <c r="G30" s="296" t="s">
        <v>51</v>
      </c>
      <c r="H30" s="294">
        <f>H29*19%</f>
        <v>105083.3</v>
      </c>
      <c r="I30" s="321"/>
      <c r="J30" s="265"/>
      <c r="K30" s="47"/>
      <c r="L30" s="47"/>
      <c r="M30" s="39">
        <f>SUM(M21:M22)</f>
        <v>4.08</v>
      </c>
      <c r="N30" s="12"/>
      <c r="O30" s="12"/>
      <c r="P30" s="253">
        <f>SUM(P21:P28)</f>
        <v>3.5244999999999997</v>
      </c>
      <c r="Q30" s="14"/>
      <c r="R30" s="12"/>
      <c r="S30" s="239"/>
      <c r="T30" s="46"/>
      <c r="U30" s="9"/>
      <c r="X30" s="4"/>
    </row>
    <row r="31" spans="2:25" ht="18" thickBot="1" x14ac:dyDescent="0.35">
      <c r="B31" s="275"/>
      <c r="C31" s="281"/>
      <c r="D31" s="272"/>
      <c r="E31" s="272"/>
      <c r="F31" s="273"/>
      <c r="G31" s="280" t="s">
        <v>6</v>
      </c>
      <c r="H31" s="295">
        <f>H29+H30</f>
        <v>658153.30000000005</v>
      </c>
      <c r="I31" s="321"/>
      <c r="J31" s="265"/>
      <c r="K31" s="47"/>
      <c r="L31" s="47"/>
      <c r="M31" s="39"/>
      <c r="N31" s="12"/>
      <c r="O31" s="12"/>
      <c r="P31" s="253">
        <f>P30</f>
        <v>3.5244999999999997</v>
      </c>
      <c r="Q31" s="14"/>
      <c r="R31" s="12"/>
      <c r="S31" s="239">
        <f>SUM(S21:S30)</f>
        <v>1.61</v>
      </c>
      <c r="T31" s="46"/>
      <c r="U31" s="9"/>
      <c r="X31" s="4"/>
    </row>
    <row r="32" spans="2:25" ht="17.399999999999999" x14ac:dyDescent="0.3">
      <c r="B32" s="275"/>
      <c r="C32" s="271"/>
      <c r="D32" s="272"/>
      <c r="E32" s="272"/>
      <c r="F32" s="273"/>
      <c r="J32" s="265"/>
      <c r="K32" s="47"/>
      <c r="L32" s="47"/>
      <c r="M32" s="14"/>
      <c r="N32" s="12"/>
      <c r="O32" s="12"/>
      <c r="P32" s="39">
        <f>P31*20%</f>
        <v>0.70489999999999997</v>
      </c>
      <c r="Q32" s="39" t="s">
        <v>130</v>
      </c>
      <c r="R32" s="42"/>
      <c r="S32" s="240">
        <f>S31+T29</f>
        <v>3.22</v>
      </c>
      <c r="T32" s="14"/>
      <c r="U32" s="9"/>
      <c r="X32" s="4"/>
    </row>
    <row r="33" spans="1:24" ht="17.399999999999999" x14ac:dyDescent="0.35">
      <c r="B33" s="269"/>
      <c r="C33" s="230"/>
      <c r="D33" s="230"/>
      <c r="E33" s="233"/>
      <c r="F33" s="234"/>
      <c r="G33" s="230"/>
      <c r="H33" s="274"/>
      <c r="I33" s="274"/>
      <c r="J33" s="265"/>
      <c r="K33" s="47"/>
      <c r="L33" s="47"/>
      <c r="M33" s="14"/>
      <c r="N33" s="12"/>
      <c r="O33" s="12"/>
      <c r="P33" s="46">
        <f>P31+P32</f>
        <v>4.2294</v>
      </c>
      <c r="Q33" s="14"/>
      <c r="R33" s="14"/>
      <c r="S33" s="238">
        <f>S32*20%</f>
        <v>0.64400000000000013</v>
      </c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4"/>
      <c r="J34" s="265"/>
      <c r="K34" s="47"/>
      <c r="L34" s="47"/>
      <c r="M34" s="14"/>
      <c r="N34" s="14"/>
      <c r="O34" s="14"/>
      <c r="P34" s="14"/>
      <c r="Q34" s="14"/>
      <c r="R34" s="14"/>
      <c r="S34" s="240">
        <f>S32+S33</f>
        <v>3.8640000000000003</v>
      </c>
      <c r="T34" s="14"/>
      <c r="U34" s="302" t="s">
        <v>21</v>
      </c>
      <c r="V34" s="299" t="s">
        <v>152</v>
      </c>
      <c r="W34" s="303">
        <v>44971</v>
      </c>
      <c r="X34" s="304"/>
    </row>
    <row r="35" spans="1:24" ht="17.399999999999999" x14ac:dyDescent="0.35">
      <c r="B35" s="230"/>
      <c r="C35" s="230"/>
      <c r="D35" s="230"/>
      <c r="E35" s="230"/>
      <c r="F35" s="230"/>
      <c r="G35" s="230"/>
      <c r="J35" s="265"/>
      <c r="K35" s="47"/>
      <c r="L35" s="47"/>
      <c r="M35" s="39">
        <f>P33</f>
        <v>4.2294</v>
      </c>
      <c r="N35" s="12">
        <v>3500</v>
      </c>
      <c r="O35" s="12">
        <f t="shared" ref="O35:O40" si="13">M35*N35</f>
        <v>14802.9</v>
      </c>
      <c r="P35" s="14" t="s">
        <v>21</v>
      </c>
      <c r="Q35" s="14"/>
      <c r="R35" s="14"/>
      <c r="S35" s="241"/>
      <c r="T35" s="14"/>
      <c r="U35" s="302" t="s">
        <v>153</v>
      </c>
      <c r="V35" s="299">
        <v>3625</v>
      </c>
      <c r="W35" s="59" t="s">
        <v>154</v>
      </c>
      <c r="X35" s="304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5"/>
      <c r="K36" s="47"/>
      <c r="L36" s="47"/>
      <c r="M36" s="249">
        <v>1.2</v>
      </c>
      <c r="N36" s="12">
        <v>23500</v>
      </c>
      <c r="O36" s="12">
        <f t="shared" si="13"/>
        <v>28200</v>
      </c>
      <c r="P36" s="39" t="s">
        <v>31</v>
      </c>
      <c r="Q36" s="42"/>
      <c r="R36" s="14"/>
      <c r="S36" s="240"/>
      <c r="T36" s="14"/>
      <c r="U36" s="302"/>
      <c r="V36" s="59">
        <v>906.25</v>
      </c>
      <c r="W36" s="59" t="s">
        <v>155</v>
      </c>
      <c r="X36" s="304"/>
    </row>
    <row r="37" spans="1:24" s="230" customFormat="1" ht="17.399999999999999" x14ac:dyDescent="0.35">
      <c r="B37" s="24" t="s">
        <v>151</v>
      </c>
      <c r="J37" s="262"/>
      <c r="K37" s="232"/>
      <c r="L37" s="250"/>
      <c r="M37" s="14"/>
      <c r="N37" s="250">
        <v>35000</v>
      </c>
      <c r="O37" s="12">
        <f t="shared" si="13"/>
        <v>0</v>
      </c>
      <c r="P37" s="39" t="s">
        <v>30</v>
      </c>
      <c r="Q37" s="42"/>
      <c r="S37" s="240"/>
      <c r="T37" s="256"/>
      <c r="U37" s="59"/>
      <c r="V37" s="59">
        <f>V36*20%</f>
        <v>181.25</v>
      </c>
      <c r="W37" s="304" t="s">
        <v>156</v>
      </c>
      <c r="X37" s="59"/>
    </row>
    <row r="38" spans="1:24" s="230" customFormat="1" ht="17.399999999999999" x14ac:dyDescent="0.35">
      <c r="B38" s="24" t="s">
        <v>144</v>
      </c>
      <c r="C38"/>
      <c r="D38"/>
      <c r="E38"/>
      <c r="F38"/>
      <c r="J38" s="262"/>
      <c r="K38" s="232"/>
      <c r="L38" s="250"/>
      <c r="M38" s="14">
        <v>3</v>
      </c>
      <c r="N38" s="250">
        <v>35000</v>
      </c>
      <c r="O38" s="12">
        <f t="shared" si="13"/>
        <v>105000</v>
      </c>
      <c r="P38" s="14" t="s">
        <v>141</v>
      </c>
      <c r="Q38" s="17"/>
      <c r="S38" s="238"/>
      <c r="T38" s="256"/>
      <c r="U38" s="59"/>
      <c r="V38" s="59">
        <f>V36+V37</f>
        <v>1087.5</v>
      </c>
      <c r="W38" s="304" t="s">
        <v>157</v>
      </c>
      <c r="X38" s="59"/>
    </row>
    <row r="39" spans="1:24" s="230" customFormat="1" ht="17.399999999999999" x14ac:dyDescent="0.35">
      <c r="B39" s="29" t="s">
        <v>125</v>
      </c>
      <c r="C39"/>
      <c r="D39"/>
      <c r="E39"/>
      <c r="F39" s="229" t="s">
        <v>15</v>
      </c>
      <c r="J39" s="262"/>
      <c r="K39" s="260"/>
      <c r="L39" s="250"/>
      <c r="M39" s="249"/>
      <c r="N39" s="250">
        <v>900</v>
      </c>
      <c r="O39" s="12">
        <f t="shared" si="13"/>
        <v>0</v>
      </c>
      <c r="P39" s="14" t="s">
        <v>32</v>
      </c>
      <c r="Q39" s="14"/>
      <c r="R39" s="230">
        <v>1.52</v>
      </c>
      <c r="S39" s="238"/>
      <c r="T39" s="238"/>
    </row>
    <row r="40" spans="1:24" s="230" customFormat="1" ht="17.399999999999999" x14ac:dyDescent="0.35">
      <c r="J40" s="293" t="s">
        <v>168</v>
      </c>
      <c r="K40" s="260">
        <v>38300</v>
      </c>
      <c r="L40" s="250"/>
      <c r="M40" s="266">
        <v>4.08</v>
      </c>
      <c r="N40" s="12">
        <v>1500</v>
      </c>
      <c r="O40" s="12">
        <f t="shared" si="13"/>
        <v>6120</v>
      </c>
      <c r="P40" s="14" t="s">
        <v>22</v>
      </c>
      <c r="Q40" s="14"/>
      <c r="R40">
        <v>2.44</v>
      </c>
      <c r="S40"/>
      <c r="T40" s="238"/>
      <c r="X40" s="231"/>
    </row>
    <row r="41" spans="1:24" s="230" customFormat="1" ht="17.399999999999999" x14ac:dyDescent="0.35">
      <c r="J41" s="230" t="s">
        <v>167</v>
      </c>
      <c r="K41" s="260">
        <v>31000</v>
      </c>
      <c r="L41" s="250"/>
      <c r="M41" s="14"/>
      <c r="N41" s="12"/>
      <c r="O41" s="12">
        <f>SUM(O35:O40)</f>
        <v>154122.9</v>
      </c>
      <c r="P41" s="39" t="s">
        <v>23</v>
      </c>
      <c r="Q41" s="14"/>
      <c r="R41">
        <f>R39*R40</f>
        <v>3.7088000000000001</v>
      </c>
      <c r="S41"/>
      <c r="T41" s="238"/>
      <c r="X41" s="231"/>
    </row>
    <row r="42" spans="1:24" s="230" customFormat="1" ht="17.399999999999999" x14ac:dyDescent="0.35">
      <c r="J42" s="230">
        <v>49560</v>
      </c>
      <c r="L42" s="250"/>
      <c r="M42" s="254" t="s">
        <v>33</v>
      </c>
      <c r="N42" s="12"/>
      <c r="O42" s="255">
        <f>O41*2.2</f>
        <v>339070.38</v>
      </c>
      <c r="P42" s="14" t="s">
        <v>140</v>
      </c>
      <c r="Q42" s="14"/>
      <c r="R42" s="40">
        <f>P33/R41</f>
        <v>1.1403688524590163</v>
      </c>
      <c r="S42"/>
      <c r="T42" s="257"/>
    </row>
    <row r="43" spans="1:24" s="230" customFormat="1" ht="17.399999999999999" x14ac:dyDescent="0.35">
      <c r="G43"/>
      <c r="H43" s="260"/>
      <c r="I43" s="260"/>
      <c r="J43" s="260">
        <f>J42/1.19</f>
        <v>41647.058823529413</v>
      </c>
      <c r="L43" s="250"/>
      <c r="M43" s="14"/>
      <c r="N43" s="12"/>
      <c r="O43" s="12">
        <f>O42/P31</f>
        <v>96203.824655979581</v>
      </c>
      <c r="P43" s="45" t="s">
        <v>24</v>
      </c>
      <c r="Q43" s="14"/>
      <c r="R43" s="14"/>
      <c r="S43"/>
      <c r="T43" s="238"/>
      <c r="U43" s="59" t="s">
        <v>158</v>
      </c>
      <c r="V43" s="299">
        <v>43650</v>
      </c>
    </row>
    <row r="44" spans="1:24" s="230" customFormat="1" ht="17.399999999999999" x14ac:dyDescent="0.35">
      <c r="G44"/>
      <c r="L44" s="250"/>
      <c r="M44" s="13"/>
      <c r="N44" s="14"/>
      <c r="O44" s="17">
        <f>O42/O41</f>
        <v>2.2000000000000002</v>
      </c>
      <c r="P44" s="15"/>
      <c r="Q44"/>
      <c r="R44"/>
      <c r="S44"/>
      <c r="T44" s="238"/>
      <c r="U44" s="59" t="s">
        <v>160</v>
      </c>
      <c r="V44" s="300" t="s">
        <v>159</v>
      </c>
      <c r="W44" s="59">
        <v>2.4</v>
      </c>
    </row>
    <row r="45" spans="1:24" s="230" customFormat="1" ht="17.399999999999999" x14ac:dyDescent="0.35">
      <c r="G45" s="23"/>
      <c r="L45" s="12"/>
      <c r="T45" s="238"/>
      <c r="U45" s="59" t="s">
        <v>161</v>
      </c>
      <c r="V45" s="301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156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50"/>
    </row>
    <row r="49" spans="12:20" x14ac:dyDescent="0.3">
      <c r="L49" s="250"/>
      <c r="T49" s="270"/>
    </row>
    <row r="50" spans="12:20" x14ac:dyDescent="0.3">
      <c r="L50" s="250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26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148</v>
      </c>
    </row>
    <row r="79" spans="3:15" x14ac:dyDescent="0.3">
      <c r="C79" t="s">
        <v>147</v>
      </c>
    </row>
    <row r="82" spans="3:3" x14ac:dyDescent="0.3">
      <c r="C82" t="s">
        <v>147</v>
      </c>
    </row>
    <row r="159" spans="3:3" x14ac:dyDescent="0.3">
      <c r="C159" t="s">
        <v>147</v>
      </c>
    </row>
    <row r="160" spans="3:3" x14ac:dyDescent="0.3">
      <c r="C160" t="s">
        <v>149</v>
      </c>
    </row>
    <row r="161" spans="3:3" x14ac:dyDescent="0.3">
      <c r="C161" t="s">
        <v>150</v>
      </c>
    </row>
    <row r="586" spans="3:3" x14ac:dyDescent="0.3">
      <c r="C586" t="s">
        <v>147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45945</v>
      </c>
    </row>
    <row r="6" spans="2:31" ht="16.2" thickBot="1" x14ac:dyDescent="0.35">
      <c r="B6" s="140" t="s">
        <v>2</v>
      </c>
      <c r="C6" s="139" t="str">
        <f>'2229'!C10</f>
        <v>ROXANA VERA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11702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-72148.160866787439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'2229'!H29</f>
        <v>553070</v>
      </c>
      <c r="E11" s="132">
        <f>D11*0.19</f>
        <v>105083.3</v>
      </c>
      <c r="F11" s="131">
        <f>E11+D11</f>
        <v>658153.30000000005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33841.839133212561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72836.990787439616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15841.839133212561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480233.00921256037</v>
      </c>
      <c r="E13" s="221">
        <f>(D11/D12)-1</f>
        <v>6.5932571351557572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6841.8391332125611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-32158.160866787439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120181.03479927537</v>
      </c>
      <c r="F15" s="216">
        <f>E15-D12</f>
        <v>47344.044011835751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-32158.160866787439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7841.8391332125611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'2229'!O36</f>
        <v>28200</v>
      </c>
      <c r="E19" s="123">
        <f>D19*0.19</f>
        <v>5358</v>
      </c>
      <c r="F19" s="120">
        <f>SUM(D19:E19)</f>
        <v>33558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'2229'!O35</f>
        <v>14802.9</v>
      </c>
      <c r="E20" s="121">
        <f>D20*0.19</f>
        <v>2812.5509999999999</v>
      </c>
      <c r="F20" s="120">
        <f>SUM(D20:E20)</f>
        <v>17615.451000000001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43002.9</v>
      </c>
      <c r="E21" s="116">
        <f>SUM(E18:E20)</f>
        <v>8170.5509999999995</v>
      </c>
      <c r="F21" s="115">
        <f>SUM(F18:F20)</f>
        <v>51173.451000000001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96912.749000000011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553070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43002.9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480233.00921256037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480233.00921256037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2025-10-15T21:55:32Z</dcterms:modified>
</cp:coreProperties>
</file>