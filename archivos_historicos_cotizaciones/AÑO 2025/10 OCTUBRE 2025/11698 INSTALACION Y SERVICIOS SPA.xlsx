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0 OCTUBRE 2025\"/>
    </mc:Choice>
  </mc:AlternateContent>
  <xr:revisionPtr revIDLastSave="0" documentId="13_ncr:1_{78B9BA1A-5905-4DBB-B08E-E5226FF7FF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J39" i="1"/>
  <c r="J15" i="1"/>
  <c r="J10" i="1"/>
  <c r="N21" i="1" l="1"/>
  <c r="M21" i="1" l="1"/>
  <c r="S21" i="1" s="1"/>
  <c r="M26" i="1" l="1"/>
  <c r="T21" i="1"/>
  <c r="T25" i="1" s="1"/>
  <c r="S27" i="1"/>
  <c r="O21" i="1"/>
  <c r="P21" i="1" s="1"/>
  <c r="P26" i="1" s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G21" i="1" s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<sst xmlns="http://schemas.openxmlformats.org/spreadsheetml/2006/main" count="230" uniqueCount="174">
  <si>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</si>
  <si>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</si>
  <si>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</si>
  <si>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</si>
  <si>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</si>
  <si>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</si>
  <si>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</si>
  <si>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</si>
  <si>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</si>
  <si>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</si>
  <si>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</si>
  <si>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</si>
  <si>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</si>
  <si>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</si>
  <si>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</si>
  <si>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</si>
  <si>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</si>
  <si>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</si>
  <si>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</si>
  <si>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</si>
  <si>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</si>
  <si>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</si>
  <si>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</si>
  <si>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</si>
  <si>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</si>
  <si>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</si>
  <si>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</si>
  <si>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</si>
  <si>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</si>
  <si>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</si>
  <si>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</si>
  <si>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</si>
  <si>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</si>
  <si>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</si>
  <si>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</si>
  <si>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</si>
  <si>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</si>
  <si>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</si>
  <si>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</si>
  <si>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</si>
  <si>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</si>
  <si>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</si>
  <si>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</si>
  <si>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</si>
  <si>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</si>
  <si>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</si>
  <si>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</si>
  <si>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</si>
  <si>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</si>
  <si>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</si>
  <si>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</si>
  <si>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</si>
  <si>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</si>
  <si>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</si>
  <si>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</si>
  <si>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</si>
  <si>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</si>
  <si>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</si>
  <si>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</si>
  <si>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</si>
  <si>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</si>
  <si>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</si>
  <si>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</si>
  <si>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</si>
  <si>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</si>
  <si>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</si>
  <si>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</si>
  <si>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</si>
  <si>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</si>
  <si>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</si>
  <si>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</si>
  <si>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</si>
  <si>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</si>
  <si>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</si>
  <si>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</si>
  <si>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</si>
  <si>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</si>
  <si>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</si>
  <si>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</si>
  <si>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</si>
  <si>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</si>
  <si>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</si>
  <si>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</si>
  <si>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</si>
  <si>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</si>
  <si>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</si>
  <si>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</si>
  <si>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</si>
  <si>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</si>
  <si>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</si>
  <si>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</si>
  <si>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</si>
  <si>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</si>
  <si>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</si>
  <si>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</si>
  <si>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</si>
  <si>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</si>
  <si>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</si>
  <si>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</si>
  <si>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</si>
  <si>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</si>
  <si>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</si>
  <si>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</si>
  <si>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</si>
  <si>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</si>
  <si>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</si>
  <si>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</si>
  <si>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</si>
  <si>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</si>
  <si>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</si>
  <si>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</si>
  <si>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</si>
  <si>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</si>
  <si>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</si>
  <si>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</si>
  <si>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</si>
  <si>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</si>
  <si>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</si>
  <si>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</si>
  <si>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</si>
  <si>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</si>
  <si>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</si>
  <si>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</si>
  <si>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</si>
  <si>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</si>
  <si>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</si>
  <si>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</si>
  <si>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</si>
  <si>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</si>
  <si>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</si>
  <si>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</si>
  <si>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</si>
  <si>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</si>
  <si>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</si>
  <si>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</si>
  <si>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</si>
  <si>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</si>
  <si>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</si>
  <si>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</si>
  <si>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</si>
  <si>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</si>
  <si>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</si>
  <si>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</si>
  <si>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</si>
  <si>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</si>
  <si>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</si>
  <si>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</si>
  <si>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</si>
  <si>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</si>
  <si>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</si>
  <si>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</si>
  <si>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</si>
  <si>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</si>
  <si>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</si>
  <si>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</si>
  <si>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</si>
  <si>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</si>
  <si>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</si>
  <si>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</si>
  <si>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</si>
  <si>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</si>
  <si>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</si>
  <si>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</si>
  <si>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</si>
  <si>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</si>
  <si>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</si>
  <si>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</si>
  <si>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</si>
  <si>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</si>
  <si>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INSTALACION Y SERVICIOS SPA</t>
  </si>
  <si>
    <t>76.553.287-6</t>
  </si>
  <si>
    <t>BLANCO OPACO</t>
  </si>
  <si>
    <t>CUB MESA 3 LADOS 90°</t>
  </si>
  <si>
    <t>N° 11698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</si>
</sst>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 SE POSTFORMA 1 LADO LARGO Y 2 AL ANCHO</a:t>
          </a:r>
        </a:p>
        <a:p>
          <a:pPr algn="l"/>
          <a:r>
            <a:rPr lang="es-CL" sz="1200" b="1" baseline="0"/>
            <a:t>LLEVA CORTES 45° EN LAS ESQUINAS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2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45945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170</v>
      </c>
      <c r="F11" t="s">
        <v>123</v>
      </c>
      <c r="G11" s="288">
        <v>45946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56964395293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68737.5</v>
      </c>
      <c r="R20" s="258">
        <v>1500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172</v>
      </c>
      <c r="D21" s="332">
        <v>1.32</v>
      </c>
      <c r="E21" s="332">
        <v>0.4</v>
      </c>
      <c r="F21" s="329" t="s">
        <v>171</v>
      </c>
      <c r="G21" s="330">
        <f>Q21</f>
        <v>38493.000000000007</v>
      </c>
      <c r="H21" s="330">
        <f>G21*B21</f>
        <v>38493.000000000007</v>
      </c>
      <c r="I21" s="319"/>
      <c r="J21" s="265"/>
      <c r="K21" s="47"/>
      <c r="L21" s="331">
        <v>1</v>
      </c>
      <c r="M21" s="39">
        <f>D21+M$19</f>
        <v>1.4000000000000001</v>
      </c>
      <c r="N21" s="39">
        <f>E21+$N$19</f>
        <v>0.4</v>
      </c>
      <c r="O21" s="261">
        <f t="shared" ref="O21" si="1">M21*N21</f>
        <v>0.56000000000000005</v>
      </c>
      <c r="P21" s="259">
        <f t="shared" ref="P21" si="2">O21*L21</f>
        <v>0.56000000000000005</v>
      </c>
      <c r="Q21" s="252">
        <f t="shared" ref="Q21" si="3">Q$20*O21</f>
        <v>38493.000000000007</v>
      </c>
      <c r="R21" s="318">
        <f t="shared" ref="R21" si="4">Q21+R$20</f>
        <v>39993.000000000007</v>
      </c>
      <c r="S21" s="297">
        <f>M21*L21</f>
        <v>1.4000000000000001</v>
      </c>
      <c r="T21" s="46">
        <f>M21*L21</f>
        <v>1.4000000000000001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331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9"/>
      <c r="H23" s="319"/>
      <c r="I23" s="319"/>
      <c r="J23" s="265"/>
      <c r="K23" s="47"/>
      <c r="L23" s="47"/>
      <c r="M23" s="39"/>
      <c r="N23" s="39"/>
      <c r="O23" s="261"/>
      <c r="P23" s="259"/>
      <c r="Q23" s="252"/>
      <c r="R23" s="318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0"/>
      <c r="I24" s="322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3" t="s">
        <v>28</v>
      </c>
      <c r="H25" s="324">
        <f>SUM(H21:H24)</f>
        <v>38493.000000000007</v>
      </c>
      <c r="I25" s="321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1.4000000000000001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7313.6700000000019</v>
      </c>
      <c r="I26" s="321"/>
      <c r="J26" s="265"/>
      <c r="K26" s="47"/>
      <c r="L26" s="47"/>
      <c r="M26" s="39">
        <f>SUM(M21:M25)</f>
        <v>1.4000000000000001</v>
      </c>
      <c r="N26" s="12"/>
      <c r="O26" s="12"/>
      <c r="P26" s="253">
        <f>SUM(P21:P24)</f>
        <v>0.56000000000000005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45806.670000000013</v>
      </c>
      <c r="I27" s="321"/>
      <c r="J27" s="265"/>
      <c r="K27" s="47"/>
      <c r="L27" s="47"/>
      <c r="M27" s="39"/>
      <c r="N27" s="12"/>
      <c r="O27" s="12"/>
      <c r="P27" s="253">
        <f>P26</f>
        <v>0.56000000000000005</v>
      </c>
      <c r="Q27" s="14"/>
      <c r="R27" s="12"/>
      <c r="S27" s="239">
        <f>SUM(S21:S26)</f>
        <v>1.4000000000000001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0.11200000000000002</v>
      </c>
      <c r="Q28" s="39" t="s">
        <v>130</v>
      </c>
      <c r="R28" s="42"/>
      <c r="S28" s="240">
        <f>S27+T25</f>
        <v>2.8000000000000003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0.67200000000000004</v>
      </c>
      <c r="Q29" s="14"/>
      <c r="R29" s="14"/>
      <c r="S29" s="238">
        <f>S28*20%</f>
        <v>0.56000000000000005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3.3600000000000003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0.67200000000000004</v>
      </c>
      <c r="N31" s="12">
        <v>2500</v>
      </c>
      <c r="O31" s="12">
        <f t="shared" ref="O31:O36" si="5">M31*N31</f>
        <v>1680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0.2</v>
      </c>
      <c r="N32" s="12">
        <v>23500</v>
      </c>
      <c r="O32" s="12">
        <f t="shared" si="5"/>
        <v>4700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35000</v>
      </c>
      <c r="O33" s="12">
        <f t="shared" si="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0.5</v>
      </c>
      <c r="N34" s="250">
        <v>20000</v>
      </c>
      <c r="O34" s="12">
        <f t="shared" si="5"/>
        <v>10000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5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 t="s">
        <v>168</v>
      </c>
      <c r="K36" s="260">
        <v>38300</v>
      </c>
      <c r="L36" s="250"/>
      <c r="M36" s="266"/>
      <c r="N36" s="12">
        <v>1000</v>
      </c>
      <c r="O36" s="12">
        <f t="shared" si="5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J37" s="230" t="s">
        <v>167</v>
      </c>
      <c r="K37" s="260">
        <v>31000</v>
      </c>
      <c r="L37" s="250"/>
      <c r="M37" s="14"/>
      <c r="N37" s="12"/>
      <c r="O37" s="12">
        <f>SUM(O31:O36)</f>
        <v>16380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J38" s="230">
        <v>49560</v>
      </c>
      <c r="L38" s="250"/>
      <c r="M38" s="254" t="s">
        <v>33</v>
      </c>
      <c r="N38" s="12"/>
      <c r="O38" s="255">
        <f>O37*2.35</f>
        <v>38493</v>
      </c>
      <c r="P38" s="14" t="s">
        <v>140</v>
      </c>
      <c r="Q38" s="14"/>
      <c r="R38" s="40">
        <f>P29/R37</f>
        <v>0.18119068162208801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f>J38/1.19</f>
        <v>41647.058823529413</v>
      </c>
      <c r="L39" s="250"/>
      <c r="M39" s="14"/>
      <c r="N39" s="12"/>
      <c r="O39" s="12">
        <f>O38/P27</f>
        <v>68737.5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2.35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45945</v>
      </c>
    </row>
    <row r="6" spans="2:31" ht="16.2" thickBot="1" x14ac:dyDescent="0.35">
      <c r="B6" s="140" t="s">
        <v>2</v>
      </c>
      <c r="C6" s="139" t="str">
        <f>'2229'!C10</f>
        <v>INSTALACION Y SERVICIOS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11698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3543.3749665458927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38493.000000000007</v>
      </c>
      <c r="E11" s="132">
        <f>D11*0.19</f>
        <v>7313.6700000000019</v>
      </c>
      <c r="F11" s="131">
        <f>E11+D11</f>
        <v>45806.670000000013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109533.37496654589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36214.090787439614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91533.374966545889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2278.9092125603929</v>
      </c>
      <c r="E13" s="221">
        <f>(D11/D12)-1</f>
        <v>6.2928798238690131E-2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82533.374966545889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43533.374966545889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59753.249799275363</v>
      </c>
      <c r="F15" s="216">
        <f>E15-D12</f>
        <v>23539.159011835749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43533.374966545889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83533.374966545889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4700</v>
      </c>
      <c r="E19" s="123">
        <f>D19*0.19</f>
        <v>893</v>
      </c>
      <c r="F19" s="120">
        <f>SUM(D19:E19)</f>
        <v>5593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1680</v>
      </c>
      <c r="E20" s="121">
        <f>D20*0.19</f>
        <v>319.2</v>
      </c>
      <c r="F20" s="120">
        <f>SUM(D20:E20)</f>
        <v>1999.2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6380</v>
      </c>
      <c r="E21" s="116">
        <f>SUM(E18:E20)</f>
        <v>1212.2</v>
      </c>
      <c r="F21" s="115">
        <f>SUM(F18:F20)</f>
        <v>7592.2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6101.4700000000021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38493.000000000007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6380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2278.9092125603929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2278.9092125603929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2025-04-03T19:02:46Z</cp:lastPrinted>
  <dcterms:created xsi:type="dcterms:W3CDTF">2013-03-18T13:35:42Z</dcterms:created>
  <dcterms:modified xsi:type="dcterms:W3CDTF">2025-10-15T14:09:49Z</dcterms:modified>
</cp:coreProperties>
</file>