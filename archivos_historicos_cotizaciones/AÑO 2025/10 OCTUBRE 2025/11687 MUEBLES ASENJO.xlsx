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D02D3BFD-1625-4756-9953-CFFCC5500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L23" i="1"/>
  <c r="M23" i="1"/>
  <c r="O23" i="1" s="1"/>
  <c r="P23" i="1" s="1"/>
  <c r="N23" i="1"/>
  <c r="L24" i="1"/>
  <c r="M24" i="1"/>
  <c r="O24" i="1" s="1"/>
  <c r="P24" i="1" s="1"/>
  <c r="N24" i="1"/>
  <c r="H22" i="1"/>
  <c r="H23" i="1"/>
  <c r="H24" i="1"/>
  <c r="H21" i="1"/>
  <c r="L21" i="1"/>
  <c r="M21" i="1"/>
  <c r="N21" i="1"/>
  <c r="J15" i="1"/>
  <c r="J10" i="1"/>
  <c r="O21" i="1" l="1"/>
  <c r="P21" i="1" s="1"/>
  <c r="S29" i="1"/>
  <c r="M28" i="1"/>
  <c r="T27" i="1"/>
  <c r="K42" i="1"/>
  <c r="P28" i="1" l="1"/>
  <c r="S30" i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1" i="1" l="1"/>
  <c r="R21" i="1" s="1"/>
  <c r="Q23" i="1"/>
  <c r="R23" i="1" s="1"/>
  <c r="Q24" i="1"/>
  <c r="R24" i="1" s="1"/>
  <c r="Q22" i="1"/>
  <c r="R22" i="1" s="1"/>
  <c r="O42" i="1"/>
  <c r="E15" i="3"/>
  <c r="F15" i="3" l="1"/>
  <c r="H27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<sst xmlns="http://schemas.openxmlformats.org/spreadsheetml/2006/main" count="236" uniqueCount="175">
  <si>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</si>
  <si>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</si>
  <si>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</si>
  <si>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</si>
  <si>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</si>
  <si>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</si>
  <si>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</si>
  <si>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</si>
  <si>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</si>
  <si>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</si>
  <si>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</si>
  <si>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</si>
  <si>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</si>
  <si>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</si>
  <si>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</si>
  <si>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</si>
  <si>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</si>
  <si>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</si>
  <si>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</si>
  <si>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</si>
  <si>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</si>
  <si>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</si>
  <si>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</si>
  <si>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</si>
  <si>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</si>
  <si>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</si>
  <si>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</si>
  <si>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</si>
  <si>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</si>
  <si>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</si>
  <si>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</si>
  <si>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</si>
  <si>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</si>
  <si>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</si>
  <si>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</si>
  <si>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</si>
  <si>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</si>
  <si>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</si>
  <si>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</si>
  <si>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</si>
  <si>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</si>
  <si>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</si>
  <si>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</si>
  <si>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</si>
  <si>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</si>
  <si>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</si>
  <si>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</si>
  <si>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</si>
  <si>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</si>
  <si>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</si>
  <si>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</si>
  <si>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</si>
  <si>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</si>
  <si>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</si>
  <si>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</si>
  <si>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</si>
  <si>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</si>
  <si>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</si>
  <si>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</si>
  <si>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</si>
  <si>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</si>
  <si>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</si>
  <si>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</si>
  <si>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</si>
  <si>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</si>
  <si>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</si>
  <si>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</si>
  <si>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</si>
  <si>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</si>
  <si>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</si>
  <si>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</si>
  <si>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</si>
  <si>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</si>
  <si>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</si>
  <si>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</si>
  <si>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</si>
  <si>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</si>
  <si>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</si>
  <si>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</si>
  <si>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</si>
  <si>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</si>
  <si>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</si>
  <si>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</si>
  <si>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</si>
  <si>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</si>
  <si>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</si>
  <si>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</si>
  <si>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</si>
  <si>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</si>
  <si>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</si>
  <si>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</si>
  <si>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</si>
  <si>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</si>
  <si>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</si>
  <si>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</si>
  <si>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</si>
  <si>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</si>
  <si>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</si>
  <si>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</si>
  <si>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</si>
  <si>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</si>
  <si>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</si>
  <si>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</si>
  <si>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</si>
  <si>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</si>
  <si>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</si>
  <si>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</si>
  <si>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</si>
  <si>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</si>
  <si>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</si>
  <si>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</si>
  <si>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</si>
  <si>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</si>
  <si>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</si>
  <si>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</si>
  <si>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</si>
  <si>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</si>
  <si>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</si>
  <si>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</si>
  <si>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</si>
  <si>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</si>
  <si>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</si>
  <si>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</si>
  <si>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</si>
  <si>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</si>
  <si>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</si>
  <si>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</si>
  <si>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</si>
  <si>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</si>
  <si>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</si>
  <si>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</si>
  <si>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</si>
  <si>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</si>
  <si>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</si>
  <si>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</si>
  <si>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</si>
  <si>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</si>
  <si>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</si>
  <si>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</si>
  <si>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</si>
  <si>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</si>
  <si>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</si>
  <si>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</si>
  <si>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</si>
  <si>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</si>
  <si>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</si>
  <si>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</si>
  <si>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</si>
  <si>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</si>
  <si>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</si>
  <si>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</si>
  <si>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</si>
  <si>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</si>
  <si>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</si>
  <si>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</si>
  <si>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</si>
  <si>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</si>
  <si>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</si>
  <si>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</si>
  <si>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</si>
  <si>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</si>
  <si>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</si>
  <si>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</si>
  <si>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</si>
  <si>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</si>
  <si>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</si>
  <si>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</si>
  <si>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</si>
  <si>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</si>
  <si>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</si>
  <si>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</si>
  <si>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BLANCO MERINO SF</t>
  </si>
  <si>
    <t>5 DIAS HABILES</t>
  </si>
  <si>
    <t>CUB C/R 90° R8</t>
  </si>
  <si>
    <t>N° 11687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</si>
</sst>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45936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45907.294520547941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173</v>
      </c>
      <c r="D21" s="333">
        <v>3</v>
      </c>
      <c r="E21" s="333">
        <v>0.8</v>
      </c>
      <c r="F21" s="330" t="s">
        <v>171</v>
      </c>
      <c r="G21" s="331">
        <v>114116</v>
      </c>
      <c r="H21" s="331">
        <f t="shared" ref="H21" si="1">G21*B21</f>
        <v>114116</v>
      </c>
      <c r="I21" s="320"/>
      <c r="J21" s="265">
        <v>92285</v>
      </c>
      <c r="K21" s="47"/>
      <c r="L21" s="332">
        <f t="shared" ref="L21" si="2">B21</f>
        <v>1</v>
      </c>
      <c r="M21" s="39">
        <f t="shared" ref="M21" si="3">D21+M$19</f>
        <v>3.08</v>
      </c>
      <c r="N21" s="39">
        <f t="shared" ref="N21" si="4">E21+$N$19</f>
        <v>0.8</v>
      </c>
      <c r="O21" s="261">
        <f t="shared" ref="O21" si="5">M21*N21</f>
        <v>2.4640000000000004</v>
      </c>
      <c r="P21" s="259">
        <f t="shared" ref="P21" si="6">O21*L21</f>
        <v>2.4640000000000004</v>
      </c>
      <c r="Q21" s="252">
        <f t="shared" ref="Q21" si="7">Q$20*O21</f>
        <v>113115.57369863015</v>
      </c>
      <c r="R21" s="319">
        <f t="shared" ref="R21" si="8">Q21+R$20</f>
        <v>116115.57369863015</v>
      </c>
      <c r="S21" s="297"/>
      <c r="T21" s="46"/>
      <c r="U21" s="9"/>
      <c r="X21" s="4"/>
    </row>
    <row r="22" spans="2:25" ht="17.399999999999999" x14ac:dyDescent="0.3">
      <c r="B22" s="330">
        <v>1</v>
      </c>
      <c r="C22" s="330" t="s">
        <v>173</v>
      </c>
      <c r="D22" s="333">
        <v>2.8</v>
      </c>
      <c r="E22" s="333">
        <v>0.8</v>
      </c>
      <c r="F22" s="330" t="s">
        <v>171</v>
      </c>
      <c r="G22" s="331">
        <v>106770</v>
      </c>
      <c r="H22" s="331">
        <f t="shared" ref="H22:H24" si="9">G22*B22</f>
        <v>106770</v>
      </c>
      <c r="I22" s="320"/>
      <c r="J22" s="265"/>
      <c r="K22" s="47"/>
      <c r="L22" s="332">
        <f t="shared" ref="L22:L24" si="10">B22</f>
        <v>1</v>
      </c>
      <c r="M22" s="39">
        <f t="shared" ref="M22:M24" si="11">D22+M$19</f>
        <v>2.88</v>
      </c>
      <c r="N22" s="39">
        <f t="shared" ref="N22:N24" si="12">E22+$N$19</f>
        <v>0.8</v>
      </c>
      <c r="O22" s="261">
        <f t="shared" ref="O22:O24" si="13">M22*N22</f>
        <v>2.3039999999999998</v>
      </c>
      <c r="P22" s="259">
        <f t="shared" ref="P22:P24" si="14">O22*L22</f>
        <v>2.3039999999999998</v>
      </c>
      <c r="Q22" s="252">
        <f t="shared" ref="Q22:Q24" si="15">Q$20*O22</f>
        <v>105770.40657534245</v>
      </c>
      <c r="R22" s="319">
        <f t="shared" ref="R22:R24" si="16">Q22+R$20</f>
        <v>108770.40657534245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3">
        <v>1.6</v>
      </c>
      <c r="E23" s="333">
        <v>0.8</v>
      </c>
      <c r="F23" s="330" t="s">
        <v>171</v>
      </c>
      <c r="G23" s="331">
        <v>62699</v>
      </c>
      <c r="H23" s="331">
        <f t="shared" si="9"/>
        <v>62699</v>
      </c>
      <c r="I23" s="320"/>
      <c r="J23" s="265"/>
      <c r="K23" s="47"/>
      <c r="L23" s="332">
        <f t="shared" si="10"/>
        <v>1</v>
      </c>
      <c r="M23" s="39">
        <f t="shared" si="11"/>
        <v>1.6800000000000002</v>
      </c>
      <c r="N23" s="39">
        <f t="shared" si="12"/>
        <v>0.8</v>
      </c>
      <c r="O23" s="261">
        <f t="shared" si="13"/>
        <v>1.3440000000000003</v>
      </c>
      <c r="P23" s="259">
        <f t="shared" si="14"/>
        <v>1.3440000000000003</v>
      </c>
      <c r="Q23" s="252">
        <f t="shared" si="15"/>
        <v>61699.403835616446</v>
      </c>
      <c r="R23" s="319">
        <f t="shared" si="16"/>
        <v>64699.403835616446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173</v>
      </c>
      <c r="D24" s="333">
        <v>2.5</v>
      </c>
      <c r="E24" s="333">
        <v>0.8</v>
      </c>
      <c r="F24" s="330" t="s">
        <v>171</v>
      </c>
      <c r="G24" s="331">
        <v>94753</v>
      </c>
      <c r="H24" s="331">
        <f t="shared" si="9"/>
        <v>94753</v>
      </c>
      <c r="I24" s="320"/>
      <c r="J24" s="265"/>
      <c r="K24" s="47"/>
      <c r="L24" s="332">
        <f t="shared" si="10"/>
        <v>1</v>
      </c>
      <c r="M24" s="39">
        <f t="shared" si="11"/>
        <v>2.58</v>
      </c>
      <c r="N24" s="39">
        <f t="shared" si="12"/>
        <v>0.8</v>
      </c>
      <c r="O24" s="261">
        <f t="shared" si="13"/>
        <v>2.0640000000000001</v>
      </c>
      <c r="P24" s="259">
        <f t="shared" si="14"/>
        <v>2.0640000000000001</v>
      </c>
      <c r="Q24" s="252">
        <f t="shared" si="15"/>
        <v>94752.655890410955</v>
      </c>
      <c r="R24" s="319">
        <f t="shared" si="16"/>
        <v>97752.655890410955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332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378338</v>
      </c>
      <c r="I27" s="322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71884.22</v>
      </c>
      <c r="I28" s="322"/>
      <c r="J28" s="265"/>
      <c r="K28" s="47"/>
      <c r="L28" s="47"/>
      <c r="M28" s="39">
        <f>SUM(M21:M27)</f>
        <v>10.220000000000001</v>
      </c>
      <c r="N28" s="12"/>
      <c r="O28" s="12"/>
      <c r="P28" s="253">
        <f>SUM(P21:P26)</f>
        <v>8.1760000000000019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450222.22</v>
      </c>
      <c r="I29" s="322"/>
      <c r="J29" s="265"/>
      <c r="K29" s="47"/>
      <c r="L29" s="47"/>
      <c r="M29" s="39"/>
      <c r="N29" s="12"/>
      <c r="O29" s="12"/>
      <c r="P29" s="253">
        <f>P28</f>
        <v>8.1760000000000019</v>
      </c>
      <c r="Q29" s="14"/>
      <c r="R29" s="12"/>
      <c r="S29" s="239">
        <f>SUM(S21:S28)</f>
        <v>0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1.6352000000000004</v>
      </c>
      <c r="Q30" s="39" t="s">
        <v>130</v>
      </c>
      <c r="R30" s="42"/>
      <c r="S30" s="240">
        <f>S29+T27</f>
        <v>0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9.811200000000003</v>
      </c>
      <c r="Q31" s="14"/>
      <c r="R31" s="14"/>
      <c r="S31" s="238">
        <f>S30*20%</f>
        <v>0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0</v>
      </c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9.811200000000003</v>
      </c>
      <c r="N33" s="12">
        <v>2000</v>
      </c>
      <c r="O33" s="12">
        <f t="shared" ref="O33:O38" si="17">M33*N33</f>
        <v>19622.400000000005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4</v>
      </c>
      <c r="N34" s="12">
        <v>23500</v>
      </c>
      <c r="O34" s="12">
        <f t="shared" si="17"/>
        <v>94000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/>
      <c r="L35" s="250"/>
      <c r="M35" s="14"/>
      <c r="N35" s="250">
        <v>36831</v>
      </c>
      <c r="O35" s="12">
        <f t="shared" si="17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143</v>
      </c>
      <c r="C36"/>
      <c r="D36"/>
      <c r="E36"/>
      <c r="F36"/>
      <c r="J36" s="262"/>
      <c r="K36" s="232"/>
      <c r="L36" s="250"/>
      <c r="M36" s="14">
        <v>4</v>
      </c>
      <c r="N36" s="250">
        <v>15000</v>
      </c>
      <c r="O36" s="12">
        <f t="shared" si="17"/>
        <v>60000</v>
      </c>
      <c r="P36" s="14" t="s">
        <v>31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7"/>
        <v>0</v>
      </c>
      <c r="P37" s="14" t="s">
        <v>32</v>
      </c>
      <c r="Q37" s="14"/>
      <c r="R37" s="230">
        <v>1.83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10.220000000000001</v>
      </c>
      <c r="N38" s="12">
        <v>500</v>
      </c>
      <c r="O38" s="12">
        <f t="shared" si="17"/>
        <v>5110</v>
      </c>
      <c r="P38" s="14" t="s">
        <v>22</v>
      </c>
      <c r="Q38" s="14"/>
      <c r="R38">
        <v>2.5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178732.40000000002</v>
      </c>
      <c r="P39" s="39" t="s">
        <v>23</v>
      </c>
      <c r="Q39" s="14"/>
      <c r="R39">
        <f>R37*R38</f>
        <v>4.5750000000000002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O39*2.1</f>
        <v>375338.04000000004</v>
      </c>
      <c r="P40" s="14" t="s">
        <v>140</v>
      </c>
      <c r="Q40" s="14"/>
      <c r="R40" s="40">
        <f>P31/R39</f>
        <v>2.1445245901639352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40000</v>
      </c>
      <c r="L41" s="250"/>
      <c r="M41" s="14"/>
      <c r="N41" s="12"/>
      <c r="O41" s="12">
        <f>O40/P29</f>
        <v>45907.294520547941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K42" s="230">
        <f>K41/1.19</f>
        <v>33613.445378151264</v>
      </c>
      <c r="L42" s="250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45936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11687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-23605.798366787436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378338</v>
      </c>
      <c r="E11" s="132">
        <f>D11*0.19</f>
        <v>71884.22</v>
      </c>
      <c r="F11" s="131">
        <f>E11+D11</f>
        <v>450222.22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82384.201633212564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143456.49078743963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64384.201633212564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234881.50921256037</v>
      </c>
      <c r="E13" s="221">
        <f>(D11/D12)-1</f>
        <v>1.6373013721671592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55384.201633212564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16384.201633212564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236703.20979927538</v>
      </c>
      <c r="F15" s="216">
        <f>E15-D12</f>
        <v>93246.719011835754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16384.201633212564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56384.201633212564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94000</v>
      </c>
      <c r="E19" s="123">
        <f>D19*0.19</f>
        <v>17860</v>
      </c>
      <c r="F19" s="120">
        <f>SUM(D19:E19)</f>
        <v>111860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19622.400000000005</v>
      </c>
      <c r="E20" s="121">
        <f>D20*0.19</f>
        <v>3728.2560000000012</v>
      </c>
      <c r="F20" s="120">
        <f>SUM(D20:E20)</f>
        <v>23350.656000000006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113622.40000000001</v>
      </c>
      <c r="E21" s="116">
        <f>SUM(E18:E20)</f>
        <v>21588.256000000001</v>
      </c>
      <c r="F21" s="115">
        <f>SUM(F18:F20)</f>
        <v>135210.65600000002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50295.964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378338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113622.40000000001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234881.50921256037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234881.50921256037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2025-10-03T19:04:09Z</cp:lastPrinted>
  <dcterms:created xsi:type="dcterms:W3CDTF">2013-03-18T13:35:42Z</dcterms:created>
  <dcterms:modified xsi:type="dcterms:W3CDTF">2025-10-07T14:23:40Z</dcterms:modified>
</cp:coreProperties>
</file>