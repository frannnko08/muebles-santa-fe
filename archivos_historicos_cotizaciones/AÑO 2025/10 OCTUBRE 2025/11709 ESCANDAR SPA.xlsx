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F5A63FCA-D269-4404-9214-1166147E0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O32" i="1"/>
  <c r="O33" i="1"/>
  <c r="O34" i="1"/>
  <c r="O35" i="1"/>
  <c r="J38" i="1"/>
  <c r="J15" i="1"/>
  <c r="J10" i="1"/>
  <c r="N21" i="1" l="1"/>
  <c r="T21" i="1" s="1"/>
  <c r="M21" i="1" l="1"/>
  <c r="S21" i="1" s="1"/>
  <c r="S25" i="1" s="1"/>
  <c r="M25" i="1" l="1"/>
  <c r="T24" i="1"/>
  <c r="S27" i="1" s="1"/>
  <c r="O21" i="1"/>
  <c r="P21" i="1" s="1"/>
  <c r="P25" i="1" s="1"/>
  <c r="S28" i="1" l="1"/>
  <c r="S29" i="1" s="1"/>
  <c r="V32" i="1"/>
  <c r="V33" i="1" s="1"/>
  <c r="O31" i="1" l="1"/>
  <c r="P26" i="1" l="1"/>
  <c r="N20" i="1"/>
  <c r="L20" i="1"/>
  <c r="P27" i="1" l="1"/>
  <c r="P28" i="1" s="1"/>
  <c r="M30" i="1" s="1"/>
  <c r="R36" i="1"/>
  <c r="R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<sst xmlns="http://schemas.openxmlformats.org/spreadsheetml/2006/main" count="231" uniqueCount="177">
  <si>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</si>
  <si>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</si>
  <si>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</si>
  <si>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</si>
  <si>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</si>
  <si>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</si>
  <si>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</si>
  <si>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</si>
  <si>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</si>
  <si>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</si>
  <si>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</si>
  <si>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</si>
  <si>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</si>
  <si>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</si>
  <si>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</si>
  <si>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</si>
  <si>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</si>
  <si>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</si>
  <si>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</si>
  <si>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</si>
  <si>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</si>
  <si>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</si>
  <si>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</si>
  <si>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</si>
  <si>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</si>
  <si>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</si>
  <si>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</si>
  <si>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</si>
  <si>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</si>
  <si>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</si>
  <si>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</si>
  <si>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</si>
  <si>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</si>
  <si>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</si>
  <si>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</si>
  <si>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</si>
  <si>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</si>
  <si>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</si>
  <si>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</si>
  <si>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</si>
  <si>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</si>
  <si>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</si>
  <si>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</si>
  <si>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</si>
  <si>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</si>
  <si>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</si>
  <si>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</si>
  <si>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</si>
  <si>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</si>
  <si>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</si>
  <si>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</si>
  <si>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</si>
  <si>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</si>
  <si>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</si>
  <si>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</si>
  <si>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</si>
  <si>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</si>
  <si>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</si>
  <si>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</si>
  <si>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</si>
  <si>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</si>
  <si>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</si>
  <si>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</si>
  <si>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</si>
  <si>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</si>
  <si>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</si>
  <si>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</si>
  <si>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</si>
  <si>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</si>
  <si>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</si>
  <si>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</si>
  <si>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</si>
  <si>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</si>
  <si>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</si>
  <si>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</si>
  <si>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</si>
  <si>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</si>
  <si>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</si>
  <si>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</si>
  <si>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</si>
  <si>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</si>
  <si>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</si>
  <si>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</si>
  <si>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</si>
  <si>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</si>
  <si>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</si>
  <si>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</si>
  <si>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</si>
  <si>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</si>
  <si>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</si>
  <si>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</si>
  <si>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</si>
  <si>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</si>
  <si>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</si>
  <si>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</si>
  <si>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</si>
  <si>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</si>
  <si>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</si>
  <si>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</si>
  <si>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</si>
  <si>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</si>
  <si>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</si>
  <si>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</si>
  <si>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</si>
  <si>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</si>
  <si>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</si>
  <si>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</si>
  <si>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</si>
  <si>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</si>
  <si>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</si>
  <si>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</si>
  <si>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</si>
  <si>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</si>
  <si>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</si>
  <si>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</si>
  <si>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</si>
  <si>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</si>
  <si>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</si>
  <si>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</si>
  <si>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</si>
  <si>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</si>
  <si>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</si>
  <si>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</si>
  <si>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</si>
  <si>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</si>
  <si>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</si>
  <si>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</si>
  <si>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</si>
  <si>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</si>
  <si>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</si>
  <si>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</si>
  <si>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</si>
  <si>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</si>
  <si>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</si>
  <si>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</si>
  <si>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</si>
  <si>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</si>
  <si>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</si>
  <si>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</si>
  <si>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</si>
  <si>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</si>
  <si>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</si>
  <si>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</si>
  <si>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</si>
  <si>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</si>
  <si>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</si>
  <si>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</si>
  <si>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</si>
  <si>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</si>
  <si>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</si>
  <si>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</si>
  <si>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</si>
  <si>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</si>
  <si>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</si>
  <si>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</si>
  <si>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</si>
  <si>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</si>
  <si>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</si>
  <si>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</si>
  <si>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</si>
  <si>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</si>
  <si>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</si>
  <si>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</si>
  <si>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</si>
  <si>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</si>
  <si>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</si>
  <si>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</si>
  <si>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</si>
  <si>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MDF 30MM</t>
  </si>
  <si>
    <t>TAPACANTO PVC 0,45 X 50MM</t>
  </si>
  <si>
    <t>N° 11709</t>
  </si>
  <si>
    <t>ESCANDAR SPA</t>
  </si>
  <si>
    <t>56968491403</t>
  </si>
  <si>
    <t>SI</t>
  </si>
  <si>
    <t>BLANCO BRILLO</t>
  </si>
  <si>
    <t>CUB SIN RESPALDO Y FRENTE 180°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</si>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</sst>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CORTADA A LA MEDIDA Y ENCHAPADA POR</a:t>
          </a:r>
          <a:r>
            <a:rPr lang="es-CL" sz="1200" b="1" baseline="0"/>
            <a:t>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7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45952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173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172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1:25" ht="15" thickBot="1" x14ac:dyDescent="0.35">
      <c r="B17" s="310" t="s">
        <v>13</v>
      </c>
      <c r="C17" s="311" t="s">
        <v>165</v>
      </c>
      <c r="D17" s="312"/>
      <c r="E17" s="119"/>
      <c r="F17" s="335" t="s">
        <v>164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94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92813.846153846156</v>
      </c>
      <c r="R20" s="258">
        <v>5000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175</v>
      </c>
      <c r="D21" s="332">
        <v>0.7</v>
      </c>
      <c r="E21" s="332">
        <v>0.5</v>
      </c>
      <c r="F21" s="329" t="s">
        <v>174</v>
      </c>
      <c r="G21" s="330">
        <v>41197</v>
      </c>
      <c r="H21" s="330">
        <f>G21*B21</f>
        <v>41197</v>
      </c>
      <c r="I21" s="319"/>
      <c r="J21" s="265"/>
      <c r="K21" s="47"/>
      <c r="L21" s="331">
        <v>1</v>
      </c>
      <c r="M21" s="39">
        <f>D21+M$19</f>
        <v>0.77999999999999992</v>
      </c>
      <c r="N21" s="39">
        <f>E21+$N$19</f>
        <v>0.5</v>
      </c>
      <c r="O21" s="261">
        <f t="shared" ref="O21" si="1">M21*N21</f>
        <v>0.38999999999999996</v>
      </c>
      <c r="P21" s="259">
        <f t="shared" ref="P21" si="2">O21*L21</f>
        <v>0.38999999999999996</v>
      </c>
      <c r="Q21" s="252">
        <f t="shared" ref="Q21" si="3">Q$20*O21</f>
        <v>36197.399999999994</v>
      </c>
      <c r="R21" s="318">
        <f t="shared" ref="R21" si="4">Q21+R$20</f>
        <v>41197.399999999994</v>
      </c>
      <c r="S21" s="297">
        <f>M21*L21*2</f>
        <v>1.5599999999999998</v>
      </c>
      <c r="T21" s="46">
        <f>N21*L21*2</f>
        <v>1</v>
      </c>
      <c r="U21" s="9"/>
      <c r="X21" s="4"/>
    </row>
    <row r="22" spans="1:25" ht="17.399999999999999" x14ac:dyDescent="0.3">
      <c r="B22" s="285"/>
      <c r="C22" s="334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41197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7827.43</v>
      </c>
      <c r="I25" s="321"/>
      <c r="J25" s="265"/>
      <c r="K25" s="47"/>
      <c r="L25" s="47"/>
      <c r="M25" s="39">
        <f>SUM(M21:M21)</f>
        <v>0.77999999999999992</v>
      </c>
      <c r="N25" s="12"/>
      <c r="O25" s="12"/>
      <c r="P25" s="253">
        <f>SUM(P21:P23)</f>
        <v>0.38999999999999996</v>
      </c>
      <c r="Q25" s="14"/>
      <c r="R25" s="12"/>
      <c r="S25" s="239">
        <f>SUM(S21:S24)</f>
        <v>1.5599999999999998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49024.43</v>
      </c>
      <c r="I26" s="321"/>
      <c r="J26" s="265"/>
      <c r="K26" s="47"/>
      <c r="L26" s="47"/>
      <c r="M26" s="39"/>
      <c r="N26" s="12"/>
      <c r="O26" s="12"/>
      <c r="P26" s="253">
        <f>P25</f>
        <v>0.38999999999999996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7.8E-2</v>
      </c>
      <c r="Q27" s="39" t="s">
        <v>129</v>
      </c>
      <c r="R27" s="42"/>
      <c r="S27" s="240">
        <f>T24+S25</f>
        <v>2.5599999999999996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0.46799999999999997</v>
      </c>
      <c r="Q28" s="14"/>
      <c r="R28" s="14"/>
      <c r="S28" s="238">
        <f>S27*20%</f>
        <v>0.5119999999999999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3.0719999999999996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0.46799999999999997</v>
      </c>
      <c r="N30" s="12">
        <v>3500</v>
      </c>
      <c r="O30" s="12">
        <f t="shared" ref="O30:O35" si="5">M30*N30</f>
        <v>1638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0.25</v>
      </c>
      <c r="N31" s="12">
        <v>23500</v>
      </c>
      <c r="O31" s="12">
        <f t="shared" si="5"/>
        <v>5875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42000</v>
      </c>
      <c r="O32" s="12">
        <f t="shared" si="5"/>
        <v>0</v>
      </c>
      <c r="P32" s="39" t="s">
        <v>168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0.35</v>
      </c>
      <c r="N33" s="250">
        <v>23500</v>
      </c>
      <c r="O33" s="12">
        <f t="shared" si="5"/>
        <v>8225</v>
      </c>
      <c r="P33" s="14" t="s">
        <v>140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31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167</v>
      </c>
      <c r="K35" s="260">
        <v>38300</v>
      </c>
      <c r="L35" s="250"/>
      <c r="M35" s="266"/>
      <c r="N35" s="12">
        <v>600</v>
      </c>
      <c r="O35" s="12">
        <f t="shared" si="5"/>
        <v>0</v>
      </c>
      <c r="P35" s="14" t="s">
        <v>169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166</v>
      </c>
      <c r="K36" s="260">
        <v>31000</v>
      </c>
      <c r="L36" s="250"/>
      <c r="M36" s="14"/>
      <c r="N36" s="12"/>
      <c r="O36" s="12">
        <f>SUM(O30:O35)</f>
        <v>15738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73340</v>
      </c>
      <c r="L37" s="250"/>
      <c r="M37" s="254" t="s">
        <v>32</v>
      </c>
      <c r="N37" s="12"/>
      <c r="O37" s="255">
        <f>O36*2.3</f>
        <v>36197.399999999994</v>
      </c>
      <c r="P37" s="14" t="s">
        <v>139</v>
      </c>
      <c r="Q37" s="14"/>
      <c r="R37" s="40">
        <f>P28/R36</f>
        <v>0.12618636755823986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61630.252100840342</v>
      </c>
      <c r="L38" s="250"/>
      <c r="M38" s="14"/>
      <c r="N38" s="12"/>
      <c r="O38" s="12">
        <f>O37/P26</f>
        <v>92813.846153846156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45952</v>
      </c>
    </row>
    <row r="6" spans="2:31" ht="16.2" thickBot="1" x14ac:dyDescent="0.35">
      <c r="B6" s="140" t="s">
        <v>2</v>
      </c>
      <c r="C6" s="139" t="str">
        <f>'2229'!C10</f>
        <v>ESCANDAR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97</v>
      </c>
      <c r="I7" s="342"/>
      <c r="J7" s="342"/>
      <c r="K7" s="343"/>
      <c r="N7" s="75"/>
      <c r="O7" s="3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11709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3404.2832998792269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41197</v>
      </c>
      <c r="E11" s="132">
        <f>D11*0.19</f>
        <v>7827.43</v>
      </c>
      <c r="F11" s="131">
        <f>E11+D11</f>
        <v>49024.43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109394.28329987923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37347.090787439614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91394.283299879229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3849.9092125603856</v>
      </c>
      <c r="E13" s="221">
        <f>(D11/D12)-1</f>
        <v>0.10308458119193498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82394.283299879229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43394.283299879229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61622.69979927536</v>
      </c>
      <c r="F15" s="216">
        <f>E15-D12</f>
        <v>24275.609011835746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43394.283299879229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83394.283299879229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5875</v>
      </c>
      <c r="E19" s="123">
        <f>D19*0.19</f>
        <v>1116.25</v>
      </c>
      <c r="F19" s="120">
        <f>SUM(D19:E19)</f>
        <v>6991.25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1638</v>
      </c>
      <c r="E20" s="121">
        <f>D20*0.19</f>
        <v>311.22000000000003</v>
      </c>
      <c r="F20" s="120">
        <f>SUM(D20:E20)</f>
        <v>1949.22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7513</v>
      </c>
      <c r="E21" s="116">
        <f>SUM(E18:E20)</f>
        <v>1427.47</v>
      </c>
      <c r="F21" s="115">
        <f>SUM(F18:F20)</f>
        <v>8940.4699999999993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6399.96</v>
      </c>
    </row>
    <row r="41" spans="2:16" ht="15" thickBot="1" x14ac:dyDescent="0.35">
      <c r="H41" s="344" t="s">
        <v>59</v>
      </c>
      <c r="I41" s="345"/>
      <c r="J41" s="345"/>
      <c r="K41" s="345"/>
      <c r="L41" s="345"/>
      <c r="M41" s="3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41197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7513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3849.9092125603856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3849.9092125603856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2025-10-22T23:12:41Z</dcterms:modified>
</cp:coreProperties>
</file>