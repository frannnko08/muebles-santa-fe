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EE41971-0DE2-42D4-A918-AA593483A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s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<sst xmlns="http://schemas.openxmlformats.org/spreadsheetml/2006/main" count="219" uniqueCount="166">
  <si>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</si>
  <si>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</si>
  <si>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</si>
  <si>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</si>
  <si>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</si>
  <si>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</si>
  <si>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</si>
  <si>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</si>
  <si>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</si>
  <si>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</si>
  <si>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</si>
  <si>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</si>
  <si>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</si>
  <si>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</si>
  <si>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</si>
  <si>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</si>
  <si>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</si>
  <si>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</si>
  <si>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</si>
  <si>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</si>
  <si>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</si>
  <si>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</si>
  <si>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</si>
  <si>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</si>
  <si>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</si>
  <si>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</si>
  <si>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</si>
  <si>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</si>
  <si>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</si>
  <si>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</si>
  <si>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</si>
  <si>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</si>
  <si>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</si>
  <si>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</si>
  <si>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</si>
  <si>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</si>
  <si>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</si>
  <si>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</si>
  <si>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</si>
  <si>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</si>
  <si>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</si>
  <si>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</si>
  <si>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</si>
  <si>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</si>
  <si>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</si>
  <si>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</si>
  <si>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</si>
  <si>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</si>
  <si>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</si>
  <si>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</si>
  <si>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</si>
  <si>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</si>
  <si>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</si>
  <si>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</si>
  <si>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</si>
  <si>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</si>
  <si>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</si>
  <si>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</si>
  <si>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</si>
  <si>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</si>
  <si>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</si>
  <si>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</si>
  <si>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</si>
  <si>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</si>
  <si>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</si>
  <si>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</si>
  <si>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</si>
  <si>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</si>
  <si>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</si>
  <si>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</si>
  <si>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</si>
  <si>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</si>
  <si>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</si>
  <si>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</si>
  <si>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</si>
  <si>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</si>
  <si>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</si>
  <si>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</si>
  <si>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</si>
  <si>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</si>
  <si>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</si>
  <si>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</si>
  <si>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</si>
  <si>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</si>
  <si>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</si>
  <si>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</si>
  <si>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</si>
  <si>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</si>
  <si>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</si>
  <si>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</si>
  <si>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</si>
  <si>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</si>
  <si>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</si>
  <si>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</si>
  <si>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</si>
  <si>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</si>
  <si>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</si>
  <si>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</si>
  <si>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</si>
  <si>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</si>
  <si>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</si>
  <si>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</si>
  <si>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</si>
  <si>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</si>
  <si>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</si>
  <si>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</si>
  <si>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</si>
  <si>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</si>
  <si>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</si>
  <si>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</si>
  <si>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</si>
  <si>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</si>
  <si>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</si>
  <si>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</si>
  <si>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</si>
  <si>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</si>
  <si>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</si>
  <si>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</si>
  <si>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</si>
  <si>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</si>
  <si>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</si>
  <si>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</si>
  <si>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</si>
  <si>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</si>
  <si>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</si>
  <si>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</si>
  <si>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</si>
  <si>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</si>
  <si>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</si>
  <si>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</si>
  <si>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</si>
  <si>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</si>
  <si>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</si>
  <si>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</si>
  <si>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</si>
  <si>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</si>
  <si>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</si>
  <si>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</si>
  <si>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</si>
  <si>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</si>
  <si>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</si>
  <si>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</si>
  <si>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</si>
  <si>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</si>
  <si>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</si>
  <si>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</si>
  <si>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</si>
  <si>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</si>
  <si>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</si>
  <si>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</si>
  <si>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</si>
  <si>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</si>
  <si>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</si>
  <si>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</si>
  <si>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</si>
  <si>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</si>
  <si>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</si>
  <si>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</si>
  <si>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</si>
  <si>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</si>
  <si>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BANCA  POR 350 AMBOS LADOS</t>
  </si>
  <si>
    <t>BLANCO BRILLO</t>
  </si>
  <si>
    <t>N° 11688</t>
  </si>
  <si>
    <t>ANGEL REYES ZUÑIGA</t>
  </si>
  <si>
    <t>569 2764 3089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</si>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</sst>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3D85C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45939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165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157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163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7.399999999999999" x14ac:dyDescent="0.3">
      <c r="B15" s="246" t="s">
        <v>4</v>
      </c>
      <c r="C15" s="324" t="s">
        <v>164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159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305789.85507246375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160</v>
      </c>
      <c r="D21" s="313">
        <v>1.1000000000000001</v>
      </c>
      <c r="E21" s="313">
        <v>0.3</v>
      </c>
      <c r="F21" s="312" t="s">
        <v>161</v>
      </c>
      <c r="G21" s="314">
        <v>153858</v>
      </c>
      <c r="H21" s="315">
        <f t="shared" ref="H21" si="1">G21*B21</f>
        <v>307716</v>
      </c>
      <c r="I21" s="265"/>
      <c r="J21" s="47"/>
      <c r="K21" s="47">
        <v>2</v>
      </c>
      <c r="L21" s="39">
        <f t="shared" ref="L21:M21" si="2">D21+L$19</f>
        <v>1.1500000000000001</v>
      </c>
      <c r="M21" s="39">
        <f t="shared" si="2"/>
        <v>0.3</v>
      </c>
      <c r="N21" s="261">
        <f>L21*M21</f>
        <v>0.34500000000000003</v>
      </c>
      <c r="O21" s="259">
        <f>N21*K21</f>
        <v>0.69000000000000006</v>
      </c>
      <c r="P21" s="252">
        <f>P$20*N21</f>
        <v>105497.5</v>
      </c>
      <c r="Q21" s="258">
        <f>P21+Q$20</f>
        <v>112997.5</v>
      </c>
      <c r="R21" s="308">
        <f>K21*L21</f>
        <v>2.3000000000000003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307716</v>
      </c>
      <c r="I24" s="265"/>
      <c r="J24" s="47"/>
      <c r="K24" s="47"/>
      <c r="L24" s="39">
        <f>SUM(L21:L23)</f>
        <v>1.1500000000000001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58466.04</v>
      </c>
      <c r="I25" s="265"/>
      <c r="J25" s="47"/>
      <c r="K25" s="47"/>
      <c r="L25" s="39"/>
      <c r="M25" s="12"/>
      <c r="N25" s="12"/>
      <c r="O25" s="253">
        <f>SUM(O21:O21)</f>
        <v>0.69000000000000006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366182.04</v>
      </c>
      <c r="I26" s="265"/>
      <c r="J26" s="47"/>
      <c r="K26" s="47"/>
      <c r="L26" s="39"/>
      <c r="M26" s="12"/>
      <c r="N26" s="12"/>
      <c r="O26" s="253">
        <f>O25</f>
        <v>0.69000000000000006</v>
      </c>
      <c r="P26" s="14"/>
      <c r="Q26" s="12"/>
      <c r="R26" s="238">
        <f>SUM(R21:R25)</f>
        <v>2.3000000000000003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0.13800000000000001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0.82800000000000007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0.82800000000000007</v>
      </c>
      <c r="M30" s="12">
        <v>3500</v>
      </c>
      <c r="N30" s="12">
        <f t="shared" ref="N30:N35" si="3">L30*M30</f>
        <v>2898.0000000000005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36500</v>
      </c>
      <c r="N33" s="12">
        <f t="shared" si="3"/>
        <v>36500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84398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N36*2.5</f>
        <v>210995</v>
      </c>
      <c r="O37" s="14" t="s">
        <v>142</v>
      </c>
      <c r="P37" s="14"/>
      <c r="Q37" s="46">
        <f>O26/Q36</f>
        <v>0.18604400345125108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305789.85507246375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0.18098360655737705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45939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11688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-29909.67503345411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307716</v>
      </c>
      <c r="E11" s="132">
        <f>D11*0.19</f>
        <v>58466.04</v>
      </c>
      <c r="F11" s="131">
        <f>E11+D11</f>
        <v>366182.04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76080.324966545886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77732.090787439607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58080.324966545886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229983.90921256039</v>
      </c>
      <c r="E13" s="221">
        <f>(D11/D12)-1</f>
        <v>2.9586739129590285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49080.324966545886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10080.32496654589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128257.94979927535</v>
      </c>
      <c r="F15" s="216">
        <f>E15-D12</f>
        <v>50525.859011835739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10080.32496654589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50080.324966545886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2898.0000000000005</v>
      </c>
      <c r="E20" s="121">
        <f>D20*0.19</f>
        <v>550.62000000000012</v>
      </c>
      <c r="F20" s="120">
        <f>SUM(D20:E20)</f>
        <v>3448.6200000000008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47898</v>
      </c>
      <c r="E21" s="116">
        <f>SUM(E18:E20)</f>
        <v>9100.6200000000008</v>
      </c>
      <c r="F21" s="115">
        <f>SUM(F18:F20)</f>
        <v>56998.62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49365.42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307716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47898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229983.90921256039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229983.90921256039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2025-09-29T20:03:51Z</cp:lastPrinted>
  <dcterms:created xsi:type="dcterms:W3CDTF">2013-03-18T13:35:42Z</dcterms:created>
  <dcterms:modified xsi:type="dcterms:W3CDTF">2025-10-09T14:06:18Z</dcterms:modified>
</cp:coreProperties>
</file>