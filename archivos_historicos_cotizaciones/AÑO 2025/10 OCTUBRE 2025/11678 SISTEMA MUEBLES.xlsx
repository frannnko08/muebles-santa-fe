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D71C82BB-B28E-4E69-9E6E-824BAF95E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M24" i="1"/>
  <c r="N24" i="1"/>
  <c r="O24" i="1"/>
  <c r="P24" i="1"/>
  <c r="S24" i="1"/>
  <c r="M25" i="1"/>
  <c r="N25" i="1"/>
  <c r="K33" i="1"/>
  <c r="O25" i="1" l="1"/>
  <c r="P25" i="1" s="1"/>
  <c r="S25" i="1"/>
  <c r="K40" i="1"/>
  <c r="M22" i="1"/>
  <c r="N22" i="1"/>
  <c r="M23" i="1"/>
  <c r="N23" i="1"/>
  <c r="M21" i="1"/>
  <c r="N21" i="1"/>
  <c r="M30" i="1" l="1"/>
  <c r="O22" i="1"/>
  <c r="P22" i="1" s="1"/>
  <c r="S22" i="1"/>
  <c r="S23" i="1"/>
  <c r="O23" i="1"/>
  <c r="P23" i="1" s="1"/>
  <c r="O21" i="1"/>
  <c r="P21" i="1" s="1"/>
  <c r="S21" i="1"/>
  <c r="P30" i="1" l="1"/>
  <c r="S30" i="1"/>
  <c r="T29" i="1"/>
  <c r="V37" i="1" l="1"/>
  <c r="V38" i="1" s="1"/>
  <c r="O36" i="1" l="1"/>
  <c r="P31" i="1" l="1"/>
  <c r="N20" i="1"/>
  <c r="L20" i="1"/>
  <c r="P32" i="1" l="1"/>
  <c r="O37" i="1"/>
  <c r="R41" i="1"/>
  <c r="P33" i="1" l="1"/>
  <c r="M35" i="1" s="1"/>
  <c r="O38" i="1"/>
  <c r="R42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O43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4" i="1" l="1"/>
  <c r="R24" i="1" s="1"/>
  <c r="Q25" i="1"/>
  <c r="R25" i="1" s="1"/>
  <c r="Q22" i="1"/>
  <c r="Q23" i="1"/>
  <c r="Q21" i="1"/>
  <c r="O44" i="1"/>
  <c r="R22" i="1" l="1"/>
  <c r="H22" i="1"/>
  <c r="R23" i="1"/>
  <c r="H23" i="1"/>
  <c r="R21" i="1"/>
  <c r="H21" i="1" s="1"/>
  <c r="F15" i="3"/>
  <c r="H29" i="1" l="1"/>
  <c r="H30" i="1" s="1"/>
  <c r="D11" i="3" l="1"/>
  <c r="X9" i="3" s="1"/>
  <c r="X15" i="3" s="1"/>
  <c r="H31" i="1"/>
  <c r="E11" i="3"/>
  <c r="D40" i="3" s="1"/>
  <c r="X12" i="3"/>
  <c r="M42" i="3" l="1"/>
  <c r="M46" i="3" s="1"/>
  <c r="M49" i="3" s="1"/>
  <c r="E13" i="3"/>
  <c r="X11" i="3"/>
  <c r="X14" i="3"/>
  <c r="D13" i="3"/>
  <c r="X13" i="3"/>
  <c r="X16" i="3"/>
  <c r="F11" i="3"/>
</calcChain>
</file>

<file path=xl/sharedStrings.xml><?xml version="1.0" encoding="utf-8"?>
<sst xmlns="http://schemas.openxmlformats.org/spreadsheetml/2006/main" count="238" uniqueCount="180">
  <si>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</si>
  <si>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</si>
  <si>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</si>
  <si>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</si>
  <si>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</si>
  <si>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</si>
  <si>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</si>
  <si>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</si>
  <si>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</si>
  <si>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</si>
  <si>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</si>
  <si>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</si>
  <si>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</si>
  <si>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</si>
  <si>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</si>
  <si>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</si>
  <si>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</si>
  <si>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</si>
  <si>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</si>
  <si>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</si>
  <si>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</si>
  <si>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</si>
  <si>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</si>
  <si>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</si>
  <si>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</si>
  <si>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</si>
  <si>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</si>
  <si>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</si>
  <si>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</si>
  <si>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</si>
  <si>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</si>
  <si>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</si>
  <si>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</si>
  <si>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</si>
  <si>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</si>
  <si>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</si>
  <si>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</si>
  <si>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</si>
  <si>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</si>
  <si>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</si>
  <si>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</si>
  <si>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</si>
  <si>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</si>
  <si>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</si>
  <si>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</si>
  <si>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</si>
  <si>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</si>
  <si>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</si>
  <si>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</si>
  <si>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</si>
  <si>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</si>
  <si>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</si>
  <si>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</si>
  <si>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</si>
  <si>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</si>
  <si>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</si>
  <si>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</si>
  <si>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</si>
  <si>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</si>
  <si>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</si>
  <si>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</si>
  <si>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</si>
  <si>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</si>
  <si>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</si>
  <si>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</si>
  <si>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</si>
  <si>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</si>
  <si>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</si>
  <si>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</si>
  <si>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</si>
  <si>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</si>
  <si>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</si>
  <si>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</si>
  <si>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</si>
  <si>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</si>
  <si>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</si>
  <si>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</si>
  <si>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</si>
  <si>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</si>
  <si>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</si>
  <si>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</si>
  <si>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</si>
  <si>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</si>
  <si>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</si>
  <si>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</si>
  <si>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</si>
  <si>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</si>
  <si>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</si>
  <si>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</si>
  <si>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</si>
  <si>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</si>
  <si>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</si>
  <si>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</si>
  <si>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</si>
  <si>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</si>
  <si>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</si>
  <si>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</si>
  <si>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</si>
  <si>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</si>
  <si>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</si>
  <si>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</si>
  <si>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</si>
  <si>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</si>
  <si>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</si>
  <si>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</si>
  <si>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</si>
  <si>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</si>
  <si>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</si>
  <si>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</si>
  <si>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</si>
  <si>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</si>
  <si>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</si>
  <si>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</si>
  <si>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</si>
  <si>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</si>
  <si>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</si>
  <si>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</si>
  <si>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</si>
  <si>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</si>
  <si>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</si>
  <si>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</si>
  <si>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</si>
  <si>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</si>
  <si>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</si>
  <si>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</si>
  <si>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</si>
  <si>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</si>
  <si>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</si>
  <si>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</si>
  <si>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</si>
  <si>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</si>
  <si>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</si>
  <si>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</si>
  <si>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</si>
  <si>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</si>
  <si>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</si>
  <si>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</si>
  <si>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</si>
  <si>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</si>
  <si>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</si>
  <si>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</si>
  <si>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</si>
  <si>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</si>
  <si>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</si>
  <si>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</si>
  <si>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</si>
  <si>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</si>
  <si>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</si>
  <si>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</si>
  <si>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</si>
  <si>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</si>
  <si>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</si>
  <si>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</si>
  <si>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</si>
  <si>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</si>
  <si>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</si>
  <si>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</si>
  <si>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</si>
  <si>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</si>
  <si>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</si>
  <si>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</si>
  <si>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</si>
  <si>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</si>
  <si>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</si>
  <si>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</si>
  <si>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</si>
  <si>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</si>
  <si>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N° 11678</t>
  </si>
  <si>
    <t>SISTEMA MUEBLES</t>
  </si>
  <si>
    <t>ALEXIS ARAYA</t>
  </si>
  <si>
    <t>+56 9 92220720</t>
  </si>
  <si>
    <t>15 DIAS HABILES</t>
  </si>
  <si>
    <t>GLACIAL WHITE 22191 SF</t>
  </si>
  <si>
    <t>LATERAL 180° MDF 30MM</t>
  </si>
  <si>
    <t>CUB S/R 90° R12 MDF 18MM BALANCE</t>
  </si>
  <si>
    <t>LATERAL 180° MDF 25MM</t>
  </si>
  <si>
    <t>LAMINA 153X366</t>
  </si>
  <si>
    <t>LAMINA 122X 305</t>
  </si>
  <si>
    <t>LATERAL 180° MDF 25MM ***</t>
  </si>
  <si>
    <t>*** NO ALCANZA A CUBRIR EL ANCHO CON LA LAMINA SE DEBE UNIR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</si>
</sst>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b/>
      <sz val="12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166" fontId="38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 SEGUN LO INDICADO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3" zoomScale="93" zoomScaleNormal="93" workbookViewId="0">
      <selection activeCell="K27" sqref="K27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2" t="s">
        <v>124</v>
      </c>
      <c r="C8" s="323"/>
      <c r="D8" s="324" t="s">
        <v>167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156</v>
      </c>
      <c r="C10" s="305" t="s">
        <v>168</v>
      </c>
      <c r="D10" s="240"/>
      <c r="E10" s="240"/>
      <c r="F10" s="241" t="s">
        <v>164</v>
      </c>
      <c r="G10" s="271">
        <v>45931</v>
      </c>
      <c r="H10" s="328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163</v>
      </c>
      <c r="G11" s="307" t="s">
        <v>171</v>
      </c>
      <c r="H11" s="281"/>
      <c r="Q11" s="19"/>
      <c r="R11" s="22" t="s">
        <v>18</v>
      </c>
      <c r="S11" s="19"/>
    </row>
    <row r="12" spans="2:24" x14ac:dyDescent="0.3">
      <c r="B12" s="242" t="s">
        <v>140</v>
      </c>
      <c r="C12" s="308"/>
      <c r="D12" s="309"/>
      <c r="E12" s="309"/>
      <c r="F12" s="309" t="s">
        <v>125</v>
      </c>
      <c r="G12" s="310" t="s">
        <v>132</v>
      </c>
      <c r="H12" s="243"/>
      <c r="Q12" s="19"/>
      <c r="R12" s="22"/>
      <c r="S12" s="19"/>
    </row>
    <row r="13" spans="2:24" x14ac:dyDescent="0.3">
      <c r="B13" s="280" t="s">
        <v>141</v>
      </c>
      <c r="C13" t="s">
        <v>169</v>
      </c>
      <c r="F13" t="s">
        <v>162</v>
      </c>
      <c r="G13" s="311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12"/>
      <c r="D14" s="309"/>
      <c r="E14" s="309"/>
      <c r="F14" s="309" t="s">
        <v>133</v>
      </c>
      <c r="G14" s="313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170</v>
      </c>
      <c r="D15" s="315"/>
      <c r="F15" t="s">
        <v>165</v>
      </c>
      <c r="G15" s="316" t="s">
        <v>132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127</v>
      </c>
      <c r="G16" s="319" t="s">
        <v>157</v>
      </c>
      <c r="H16" s="243"/>
    </row>
    <row r="17" spans="2:25" ht="15" thickBot="1" x14ac:dyDescent="0.35">
      <c r="B17" s="294" t="s">
        <v>13</v>
      </c>
      <c r="C17" s="295" t="s">
        <v>160</v>
      </c>
      <c r="D17" s="296"/>
      <c r="E17" s="116"/>
      <c r="F17" s="332" t="s">
        <v>159</v>
      </c>
      <c r="G17" s="332"/>
      <c r="H17" s="333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4" t="s">
        <v>94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129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O43</f>
        <v>85974.342428711898</v>
      </c>
      <c r="R20" s="253">
        <v>3000</v>
      </c>
      <c r="S20" s="35"/>
      <c r="T20" s="14" t="s">
        <v>126</v>
      </c>
      <c r="U20" s="9"/>
      <c r="X20" s="4"/>
    </row>
    <row r="21" spans="2:25" ht="17.399999999999999" x14ac:dyDescent="0.3">
      <c r="B21" s="329">
        <v>16</v>
      </c>
      <c r="C21" s="329" t="s">
        <v>173</v>
      </c>
      <c r="D21" s="330">
        <v>1.05</v>
      </c>
      <c r="E21" s="330">
        <v>0.155</v>
      </c>
      <c r="F21" s="329" t="s">
        <v>172</v>
      </c>
      <c r="G21" s="331">
        <v>20503</v>
      </c>
      <c r="H21" s="331">
        <f t="shared" ref="H21:H25" si="1">G21*B21</f>
        <v>328048</v>
      </c>
      <c r="I21" s="299"/>
      <c r="J21" s="260"/>
      <c r="K21" s="44"/>
      <c r="L21" s="44"/>
      <c r="M21" s="36">
        <f t="shared" ref="M21" si="2">D21+M$19</f>
        <v>1.1300000000000001</v>
      </c>
      <c r="N21" s="36">
        <f t="shared" ref="N21" si="3">E21+$N$19</f>
        <v>0.155</v>
      </c>
      <c r="O21" s="256">
        <f t="shared" ref="O21" si="4">M21*N21</f>
        <v>0.17515000000000003</v>
      </c>
      <c r="P21" s="254">
        <f>O21*L21</f>
        <v>0</v>
      </c>
      <c r="Q21" s="247">
        <f t="shared" ref="Q21" si="5">Q$20*O21</f>
        <v>15058.406076388892</v>
      </c>
      <c r="R21" s="298">
        <f t="shared" ref="R21" si="6">Q21+R$20</f>
        <v>18058.406076388892</v>
      </c>
      <c r="S21" s="286">
        <f t="shared" ref="S21" si="7">M21*L21</f>
        <v>0</v>
      </c>
      <c r="T21" s="43"/>
      <c r="U21" s="9"/>
      <c r="X21" s="4"/>
    </row>
    <row r="22" spans="2:25" ht="17.399999999999999" x14ac:dyDescent="0.3">
      <c r="B22" s="329">
        <v>16</v>
      </c>
      <c r="C22" s="329" t="s">
        <v>174</v>
      </c>
      <c r="D22" s="330">
        <v>1.05</v>
      </c>
      <c r="E22" s="330">
        <v>0.18</v>
      </c>
      <c r="F22" s="329" t="s">
        <v>172</v>
      </c>
      <c r="G22" s="331">
        <v>20487</v>
      </c>
      <c r="H22" s="331">
        <f t="shared" si="1"/>
        <v>327792</v>
      </c>
      <c r="I22" s="299"/>
      <c r="J22" s="260"/>
      <c r="K22" s="44"/>
      <c r="L22" s="44">
        <v>16</v>
      </c>
      <c r="M22" s="36">
        <f t="shared" ref="M22:M23" si="8">D22+M$19</f>
        <v>1.1300000000000001</v>
      </c>
      <c r="N22" s="36">
        <f t="shared" ref="N22:N23" si="9">E22+$N$19</f>
        <v>0.18</v>
      </c>
      <c r="O22" s="256">
        <f t="shared" ref="O22:O23" si="10">M22*N22</f>
        <v>0.20340000000000003</v>
      </c>
      <c r="P22" s="254">
        <f t="shared" ref="P22:P23" si="11">O22*L22</f>
        <v>3.2544000000000004</v>
      </c>
      <c r="Q22" s="247">
        <f t="shared" ref="Q22:Q23" si="12">Q$20*O22</f>
        <v>17487.181250000001</v>
      </c>
      <c r="R22" s="298">
        <f t="shared" ref="R22:R23" si="13">Q22+R$20</f>
        <v>20487.181250000001</v>
      </c>
      <c r="S22" s="286">
        <f t="shared" ref="S22:S23" si="14">M22*L22</f>
        <v>18.080000000000002</v>
      </c>
      <c r="T22" s="43"/>
      <c r="U22" s="9"/>
      <c r="X22" s="4"/>
    </row>
    <row r="23" spans="2:25" ht="17.399999999999999" x14ac:dyDescent="0.3">
      <c r="B23" s="329">
        <v>16</v>
      </c>
      <c r="C23" s="329" t="s">
        <v>175</v>
      </c>
      <c r="D23" s="330">
        <v>1.05</v>
      </c>
      <c r="E23" s="330">
        <v>0.38700000000000001</v>
      </c>
      <c r="F23" s="329" t="s">
        <v>172</v>
      </c>
      <c r="G23" s="331">
        <v>35843</v>
      </c>
      <c r="H23" s="331">
        <f t="shared" si="1"/>
        <v>573488</v>
      </c>
      <c r="I23" s="299"/>
      <c r="J23" s="260"/>
      <c r="K23" s="44"/>
      <c r="L23" s="44"/>
      <c r="M23" s="36">
        <f t="shared" si="8"/>
        <v>1.1300000000000001</v>
      </c>
      <c r="N23" s="36">
        <f t="shared" si="9"/>
        <v>0.38700000000000001</v>
      </c>
      <c r="O23" s="256">
        <f t="shared" si="10"/>
        <v>0.43731000000000003</v>
      </c>
      <c r="P23" s="254">
        <f t="shared" si="11"/>
        <v>0</v>
      </c>
      <c r="Q23" s="247">
        <f t="shared" si="12"/>
        <v>37597.439687500002</v>
      </c>
      <c r="R23" s="298">
        <f t="shared" si="13"/>
        <v>40597.439687500002</v>
      </c>
      <c r="S23" s="286">
        <f t="shared" si="14"/>
        <v>0</v>
      </c>
      <c r="T23" s="43"/>
      <c r="U23" s="9"/>
      <c r="X23" s="4"/>
    </row>
    <row r="24" spans="2:25" ht="17.399999999999999" x14ac:dyDescent="0.3">
      <c r="B24" s="329">
        <v>16</v>
      </c>
      <c r="C24" s="329" t="s">
        <v>175</v>
      </c>
      <c r="D24" s="330">
        <v>1.05</v>
      </c>
      <c r="E24" s="330">
        <v>0.49</v>
      </c>
      <c r="F24" s="329" t="s">
        <v>172</v>
      </c>
      <c r="G24" s="331">
        <v>49224</v>
      </c>
      <c r="H24" s="331">
        <f t="shared" si="1"/>
        <v>787584</v>
      </c>
      <c r="I24" s="299"/>
      <c r="J24" s="260"/>
      <c r="K24" s="44"/>
      <c r="L24" s="44"/>
      <c r="M24" s="36">
        <f t="shared" ref="M24:M25" si="15">D24+M$19</f>
        <v>1.1300000000000001</v>
      </c>
      <c r="N24" s="36">
        <f t="shared" ref="N24:N25" si="16">E24+$N$19</f>
        <v>0.49</v>
      </c>
      <c r="O24" s="256">
        <f t="shared" ref="O24:O25" si="17">M24*N24</f>
        <v>0.55370000000000008</v>
      </c>
      <c r="P24" s="254">
        <f t="shared" ref="P24:P25" si="18">O24*L24</f>
        <v>0</v>
      </c>
      <c r="Q24" s="247">
        <f t="shared" ref="Q24:Q25" si="19">Q$20*O24</f>
        <v>47603.993402777785</v>
      </c>
      <c r="R24" s="298">
        <f t="shared" ref="R24:R25" si="20">Q24+R$20</f>
        <v>50603.993402777785</v>
      </c>
      <c r="S24" s="286">
        <f t="shared" ref="S24:S25" si="21">M24*L24</f>
        <v>0</v>
      </c>
      <c r="T24" s="43"/>
      <c r="U24" s="9"/>
      <c r="X24" s="4"/>
    </row>
    <row r="25" spans="2:25" ht="17.399999999999999" x14ac:dyDescent="0.3">
      <c r="B25" s="329">
        <v>16</v>
      </c>
      <c r="C25" s="329" t="s">
        <v>178</v>
      </c>
      <c r="D25" s="330">
        <v>1.05</v>
      </c>
      <c r="E25" s="330">
        <v>1.0629999999999999</v>
      </c>
      <c r="F25" s="329" t="s">
        <v>172</v>
      </c>
      <c r="G25" s="331">
        <v>91477</v>
      </c>
      <c r="H25" s="331">
        <f t="shared" si="1"/>
        <v>1463632</v>
      </c>
      <c r="I25" s="299"/>
      <c r="J25" s="260"/>
      <c r="K25" s="44"/>
      <c r="L25" s="44"/>
      <c r="M25" s="36">
        <f t="shared" si="15"/>
        <v>1.1300000000000001</v>
      </c>
      <c r="N25" s="36">
        <f t="shared" si="16"/>
        <v>1.0629999999999999</v>
      </c>
      <c r="O25" s="256">
        <f t="shared" si="17"/>
        <v>1.20119</v>
      </c>
      <c r="P25" s="254">
        <f t="shared" si="18"/>
        <v>0</v>
      </c>
      <c r="Q25" s="247">
        <f t="shared" si="19"/>
        <v>103271.52038194444</v>
      </c>
      <c r="R25" s="298">
        <f t="shared" si="20"/>
        <v>106271.52038194444</v>
      </c>
      <c r="S25" s="286">
        <f t="shared" si="21"/>
        <v>0</v>
      </c>
      <c r="T25" s="43"/>
      <c r="U25" s="9"/>
      <c r="X25" s="4"/>
    </row>
    <row r="26" spans="2:25" ht="17.399999999999999" x14ac:dyDescent="0.3">
      <c r="B26" s="346"/>
      <c r="C26" s="346" t="s">
        <v>179</v>
      </c>
      <c r="D26" s="347"/>
      <c r="E26" s="345"/>
      <c r="F26" s="344"/>
      <c r="G26" s="299"/>
      <c r="H26" s="299"/>
      <c r="I26" s="299"/>
      <c r="J26" s="260"/>
      <c r="K26" s="44">
        <v>22</v>
      </c>
      <c r="L26" s="44"/>
      <c r="M26" s="36"/>
      <c r="N26" s="36"/>
      <c r="O26" s="256"/>
      <c r="P26" s="254"/>
      <c r="Q26" s="247"/>
      <c r="R26" s="298"/>
      <c r="S26" s="286"/>
      <c r="T26" s="43"/>
      <c r="U26" s="9"/>
      <c r="X26" s="4"/>
    </row>
    <row r="27" spans="2:25" ht="17.399999999999999" x14ac:dyDescent="0.3">
      <c r="B27" s="344"/>
      <c r="C27" s="344"/>
      <c r="D27" s="345"/>
      <c r="E27" s="345"/>
      <c r="F27" s="344"/>
      <c r="G27" s="299"/>
      <c r="H27" s="299"/>
      <c r="I27" s="299"/>
      <c r="J27" s="260"/>
      <c r="K27" s="44">
        <v>22</v>
      </c>
      <c r="L27" s="44"/>
      <c r="M27" s="36"/>
      <c r="N27" s="36"/>
      <c r="O27" s="256"/>
      <c r="P27" s="254"/>
      <c r="Q27" s="247"/>
      <c r="R27" s="298"/>
      <c r="S27" s="286"/>
      <c r="T27" s="43"/>
      <c r="U27" s="9"/>
      <c r="X27" s="4"/>
    </row>
    <row r="28" spans="2:25" ht="18" thickBot="1" x14ac:dyDescent="0.35">
      <c r="B28" s="278"/>
      <c r="C28" s="278"/>
      <c r="D28" s="279"/>
      <c r="E28" s="279"/>
      <c r="F28" s="278"/>
      <c r="G28" s="260"/>
      <c r="H28" s="300"/>
      <c r="I28" s="302"/>
      <c r="J28" s="230"/>
      <c r="K28" s="44">
        <v>22</v>
      </c>
      <c r="L28" s="44"/>
      <c r="M28" s="36"/>
      <c r="N28" s="36"/>
      <c r="O28" s="256"/>
      <c r="P28" s="254"/>
      <c r="Q28" s="247"/>
      <c r="R28" s="253"/>
      <c r="S28" s="286"/>
      <c r="T28" s="14"/>
      <c r="U28" s="9"/>
      <c r="X28" s="4"/>
    </row>
    <row r="29" spans="2:25" ht="17.399999999999999" x14ac:dyDescent="0.3">
      <c r="B29" s="278"/>
      <c r="C29" s="278"/>
      <c r="D29" s="279"/>
      <c r="E29" s="279"/>
      <c r="F29" s="278"/>
      <c r="G29" s="303" t="s">
        <v>28</v>
      </c>
      <c r="H29" s="304">
        <f>SUM(H21:H28)</f>
        <v>3480544</v>
      </c>
      <c r="I29" s="301"/>
      <c r="J29" s="260"/>
      <c r="K29" s="44">
        <v>22</v>
      </c>
      <c r="L29" s="44"/>
      <c r="M29" s="36"/>
      <c r="N29" s="36"/>
      <c r="O29" s="256"/>
      <c r="P29" s="254"/>
      <c r="Q29" s="247"/>
      <c r="R29" s="253"/>
      <c r="S29" s="286"/>
      <c r="T29" s="43">
        <f>SUM(T21:T28)</f>
        <v>0</v>
      </c>
      <c r="U29" s="9"/>
      <c r="X29" s="4"/>
    </row>
    <row r="30" spans="2:25" ht="17.399999999999999" x14ac:dyDescent="0.3">
      <c r="B30" s="272"/>
      <c r="C30" s="275"/>
      <c r="D30" s="276"/>
      <c r="E30" s="276"/>
      <c r="F30" s="277"/>
      <c r="G30" s="285" t="s">
        <v>50</v>
      </c>
      <c r="H30" s="283">
        <f>H29*0.19</f>
        <v>661303.36</v>
      </c>
      <c r="I30" s="301"/>
      <c r="J30" s="260"/>
      <c r="K30" s="44">
        <v>22</v>
      </c>
      <c r="L30" s="44"/>
      <c r="M30" s="36">
        <f>SUM(M21:M23)</f>
        <v>3.3900000000000006</v>
      </c>
      <c r="N30" s="12"/>
      <c r="O30" s="12"/>
      <c r="P30" s="248">
        <f>SUM(P21:P28)</f>
        <v>3.2544000000000004</v>
      </c>
      <c r="Q30" s="14"/>
      <c r="R30" s="12"/>
      <c r="S30" s="236">
        <f>SUM(S21:S29)</f>
        <v>18.080000000000002</v>
      </c>
      <c r="T30" s="43"/>
      <c r="U30" s="9"/>
      <c r="X30" s="4"/>
    </row>
    <row r="31" spans="2:25" ht="18" thickBot="1" x14ac:dyDescent="0.35">
      <c r="B31" s="270"/>
      <c r="C31" s="274"/>
      <c r="D31" s="267"/>
      <c r="E31" s="267"/>
      <c r="F31" s="268"/>
      <c r="G31" s="273" t="s">
        <v>6</v>
      </c>
      <c r="H31" s="284">
        <f>H29+H30</f>
        <v>4141847.36</v>
      </c>
      <c r="I31" s="301"/>
      <c r="J31" s="260"/>
      <c r="K31" s="44">
        <v>22</v>
      </c>
      <c r="L31" s="44"/>
      <c r="M31" s="36"/>
      <c r="N31" s="12"/>
      <c r="O31" s="12"/>
      <c r="P31" s="248">
        <f>P30</f>
        <v>3.2544000000000004</v>
      </c>
      <c r="Q31" s="14"/>
      <c r="R31" s="12"/>
      <c r="S31" s="236"/>
      <c r="T31" s="43"/>
      <c r="U31" s="9"/>
      <c r="X31" s="4"/>
    </row>
    <row r="32" spans="2:25" ht="17.399999999999999" x14ac:dyDescent="0.3">
      <c r="B32" s="270"/>
      <c r="C32" s="266"/>
      <c r="D32" s="267"/>
      <c r="E32" s="267"/>
      <c r="F32" s="268"/>
      <c r="J32" s="260"/>
      <c r="K32" s="44">
        <v>22</v>
      </c>
      <c r="L32" s="44"/>
      <c r="M32" s="14"/>
      <c r="N32" s="12"/>
      <c r="O32" s="12"/>
      <c r="P32" s="36">
        <f>P31*20%</f>
        <v>0.65088000000000013</v>
      </c>
      <c r="Q32" s="36" t="s">
        <v>128</v>
      </c>
      <c r="R32" s="39"/>
      <c r="S32" s="237"/>
      <c r="T32" s="14"/>
      <c r="U32" s="9"/>
      <c r="X32" s="4"/>
    </row>
    <row r="33" spans="1:24" ht="17.399999999999999" x14ac:dyDescent="0.35">
      <c r="B33" s="264"/>
      <c r="C33" s="227"/>
      <c r="D33" s="227"/>
      <c r="E33" s="230"/>
      <c r="F33" s="231"/>
      <c r="G33" s="227"/>
      <c r="H33" s="269"/>
      <c r="I33" s="269"/>
      <c r="J33" s="260"/>
      <c r="K33" s="44">
        <f>SUM(K26:K32)</f>
        <v>154</v>
      </c>
      <c r="L33" s="44"/>
      <c r="M33" s="14"/>
      <c r="N33" s="12"/>
      <c r="O33" s="12"/>
      <c r="P33" s="43">
        <f>P31+P32</f>
        <v>3.9052800000000003</v>
      </c>
      <c r="Q33" s="14"/>
      <c r="R33" s="14"/>
      <c r="S33" s="235"/>
      <c r="T33" s="14"/>
      <c r="U33" s="9"/>
      <c r="X33" s="4"/>
    </row>
    <row r="34" spans="1:24" ht="17.399999999999999" x14ac:dyDescent="0.35">
      <c r="B34" s="232"/>
      <c r="C34" s="233"/>
      <c r="D34" s="234"/>
      <c r="E34" s="232"/>
      <c r="F34" s="227"/>
      <c r="G34" s="227"/>
      <c r="I34" s="269"/>
      <c r="J34" s="260"/>
      <c r="K34" s="44"/>
      <c r="L34" s="44"/>
      <c r="M34" s="14"/>
      <c r="N34" s="14"/>
      <c r="O34" s="14"/>
      <c r="P34" s="14"/>
      <c r="Q34" s="14"/>
      <c r="R34" s="14"/>
      <c r="S34" s="237"/>
      <c r="T34" s="14"/>
      <c r="U34" s="290" t="s">
        <v>21</v>
      </c>
      <c r="V34" s="287" t="s">
        <v>146</v>
      </c>
      <c r="W34" s="291">
        <v>44971</v>
      </c>
      <c r="X34" s="292"/>
    </row>
    <row r="35" spans="1:24" ht="17.399999999999999" x14ac:dyDescent="0.35">
      <c r="B35" s="227"/>
      <c r="C35" s="227"/>
      <c r="D35" s="227"/>
      <c r="E35" s="227"/>
      <c r="F35" s="227"/>
      <c r="G35" s="227"/>
      <c r="J35" s="260"/>
      <c r="K35" s="44"/>
      <c r="L35" s="44"/>
      <c r="M35" s="36">
        <f>P33*2</f>
        <v>7.8105600000000006</v>
      </c>
      <c r="N35" s="12">
        <v>3500</v>
      </c>
      <c r="O35" s="12">
        <f t="shared" ref="O35:O40" si="22">M35*N35</f>
        <v>27336.960000000003</v>
      </c>
      <c r="P35" s="14" t="s">
        <v>21</v>
      </c>
      <c r="Q35" s="14"/>
      <c r="R35" s="14"/>
      <c r="S35" s="238"/>
      <c r="T35" s="14"/>
      <c r="U35" s="290" t="s">
        <v>147</v>
      </c>
      <c r="V35" s="287">
        <v>3625</v>
      </c>
      <c r="W35" s="56" t="s">
        <v>148</v>
      </c>
      <c r="X35" s="292"/>
    </row>
    <row r="36" spans="1:24" ht="17.399999999999999" x14ac:dyDescent="0.35">
      <c r="A36" s="227"/>
      <c r="B36" s="227"/>
      <c r="C36" s="227"/>
      <c r="D36" s="227"/>
      <c r="E36" s="227"/>
      <c r="F36" s="227"/>
      <c r="G36" s="227"/>
      <c r="H36" s="227"/>
      <c r="J36" s="260"/>
      <c r="K36" s="44"/>
      <c r="L36" s="44"/>
      <c r="M36" s="244">
        <v>1.2</v>
      </c>
      <c r="N36" s="12">
        <v>23500</v>
      </c>
      <c r="O36" s="12">
        <f t="shared" si="22"/>
        <v>28200</v>
      </c>
      <c r="P36" s="36" t="s">
        <v>166</v>
      </c>
      <c r="Q36" s="39"/>
      <c r="R36" s="14"/>
      <c r="S36" s="237"/>
      <c r="T36" s="14"/>
      <c r="U36" s="290"/>
      <c r="V36" s="56">
        <v>906.25</v>
      </c>
      <c r="W36" s="56" t="s">
        <v>149</v>
      </c>
      <c r="X36" s="292"/>
    </row>
    <row r="37" spans="1:24" s="227" customFormat="1" ht="17.399999999999999" x14ac:dyDescent="0.35">
      <c r="B37" s="21" t="s">
        <v>145</v>
      </c>
      <c r="J37" s="257"/>
      <c r="K37" s="229"/>
      <c r="L37" s="245"/>
      <c r="M37" s="14">
        <v>1</v>
      </c>
      <c r="N37" s="245">
        <v>20000</v>
      </c>
      <c r="O37" s="12">
        <f t="shared" si="22"/>
        <v>20000</v>
      </c>
      <c r="P37" s="36" t="s">
        <v>177</v>
      </c>
      <c r="Q37" s="39"/>
      <c r="S37" s="237"/>
      <c r="T37" s="251"/>
      <c r="U37" s="56"/>
      <c r="V37" s="56">
        <f>V36*20%</f>
        <v>181.25</v>
      </c>
      <c r="W37" s="292" t="s">
        <v>150</v>
      </c>
      <c r="X37" s="56"/>
    </row>
    <row r="38" spans="1:24" s="227" customFormat="1" ht="17.399999999999999" x14ac:dyDescent="0.35">
      <c r="B38" s="21" t="s">
        <v>161</v>
      </c>
      <c r="C38"/>
      <c r="D38"/>
      <c r="E38"/>
      <c r="F38"/>
      <c r="J38" s="257"/>
      <c r="K38" s="229"/>
      <c r="L38" s="245"/>
      <c r="M38" s="14">
        <v>1</v>
      </c>
      <c r="N38" s="245">
        <v>36381</v>
      </c>
      <c r="O38" s="12">
        <f t="shared" si="22"/>
        <v>36381</v>
      </c>
      <c r="P38" s="14" t="s">
        <v>176</v>
      </c>
      <c r="Q38" s="17"/>
      <c r="S38" s="235"/>
      <c r="T38" s="251"/>
      <c r="U38" s="56"/>
      <c r="V38" s="56">
        <f>V36+V37</f>
        <v>1087.5</v>
      </c>
      <c r="W38" s="292" t="s">
        <v>151</v>
      </c>
      <c r="X38" s="56"/>
    </row>
    <row r="39" spans="1:24" s="227" customFormat="1" ht="17.399999999999999" x14ac:dyDescent="0.35">
      <c r="B39" s="26" t="s">
        <v>123</v>
      </c>
      <c r="C39"/>
      <c r="D39"/>
      <c r="E39"/>
      <c r="F39" s="226" t="s">
        <v>15</v>
      </c>
      <c r="J39" s="257"/>
      <c r="K39" s="255">
        <v>30840</v>
      </c>
      <c r="L39" s="245"/>
      <c r="M39" s="244"/>
      <c r="N39" s="245">
        <v>900</v>
      </c>
      <c r="O39" s="12">
        <f t="shared" si="22"/>
        <v>0</v>
      </c>
      <c r="P39" s="14" t="s">
        <v>31</v>
      </c>
      <c r="Q39" s="14"/>
      <c r="R39" s="227">
        <v>1.52</v>
      </c>
      <c r="S39" s="235"/>
      <c r="T39" s="235"/>
    </row>
    <row r="40" spans="1:24" s="227" customFormat="1" ht="17.399999999999999" x14ac:dyDescent="0.35">
      <c r="J40" s="282"/>
      <c r="K40" s="255">
        <f>K39/1.19</f>
        <v>25915.966386554624</v>
      </c>
      <c r="L40" s="245"/>
      <c r="M40" s="261"/>
      <c r="N40" s="12">
        <v>1500</v>
      </c>
      <c r="O40" s="12">
        <f t="shared" si="22"/>
        <v>0</v>
      </c>
      <c r="P40" s="14" t="s">
        <v>22</v>
      </c>
      <c r="Q40" s="14"/>
      <c r="R40">
        <v>2.44</v>
      </c>
      <c r="S40"/>
      <c r="T40" s="235"/>
      <c r="X40" s="228"/>
    </row>
    <row r="41" spans="1:24" s="227" customFormat="1" ht="17.399999999999999" x14ac:dyDescent="0.35">
      <c r="K41" s="255"/>
      <c r="L41" s="245"/>
      <c r="M41" s="14"/>
      <c r="N41" s="12"/>
      <c r="O41" s="12">
        <f>SUM(O35:O40)</f>
        <v>111917.96</v>
      </c>
      <c r="P41" s="36" t="s">
        <v>23</v>
      </c>
      <c r="Q41" s="14"/>
      <c r="R41">
        <f>R39*R40</f>
        <v>3.7088000000000001</v>
      </c>
      <c r="S41"/>
      <c r="T41" s="235"/>
      <c r="X41" s="228"/>
    </row>
    <row r="42" spans="1:24" s="227" customFormat="1" ht="17.399999999999999" x14ac:dyDescent="0.35">
      <c r="L42" s="245"/>
      <c r="M42" s="249" t="s">
        <v>32</v>
      </c>
      <c r="N42" s="12"/>
      <c r="O42" s="250">
        <f>O41*2.5</f>
        <v>279794.90000000002</v>
      </c>
      <c r="P42" s="14" t="s">
        <v>137</v>
      </c>
      <c r="Q42" s="14"/>
      <c r="R42" s="37">
        <f>P33/R41</f>
        <v>1.05297670405522</v>
      </c>
      <c r="S42"/>
      <c r="T42" s="252"/>
    </row>
    <row r="43" spans="1:24" s="227" customFormat="1" ht="17.399999999999999" x14ac:dyDescent="0.35">
      <c r="G43"/>
      <c r="H43" s="255"/>
      <c r="I43" s="255"/>
      <c r="J43" s="255"/>
      <c r="L43" s="245"/>
      <c r="M43" s="14"/>
      <c r="N43" s="12"/>
      <c r="O43" s="12">
        <f>O42/P31</f>
        <v>85974.342428711898</v>
      </c>
      <c r="P43" s="42" t="s">
        <v>24</v>
      </c>
      <c r="Q43" s="14"/>
      <c r="R43" s="14"/>
      <c r="S43"/>
      <c r="T43" s="235"/>
      <c r="U43" s="56" t="s">
        <v>152</v>
      </c>
      <c r="V43" s="287">
        <v>43650</v>
      </c>
    </row>
    <row r="44" spans="1:24" s="227" customFormat="1" ht="17.399999999999999" x14ac:dyDescent="0.35">
      <c r="G44"/>
      <c r="L44" s="245"/>
      <c r="M44" s="13"/>
      <c r="N44" s="14"/>
      <c r="O44" s="17">
        <f>O42/O41</f>
        <v>2.5</v>
      </c>
      <c r="P44" s="15"/>
      <c r="Q44"/>
      <c r="R44"/>
      <c r="S44"/>
      <c r="T44" s="235"/>
      <c r="U44" s="56" t="s">
        <v>154</v>
      </c>
      <c r="V44" s="288" t="s">
        <v>153</v>
      </c>
      <c r="W44" s="56">
        <v>2.4</v>
      </c>
    </row>
    <row r="45" spans="1:24" s="227" customFormat="1" ht="17.399999999999999" x14ac:dyDescent="0.35">
      <c r="D45" s="279"/>
      <c r="E45" s="279"/>
      <c r="F45" s="278"/>
      <c r="G45" s="321"/>
      <c r="H45" s="320"/>
      <c r="L45" s="12"/>
      <c r="T45" s="235"/>
      <c r="U45" s="56" t="s">
        <v>155</v>
      </c>
      <c r="V45" s="289">
        <v>395.37</v>
      </c>
    </row>
    <row r="46" spans="1:24" s="227" customFormat="1" ht="17.399999999999999" x14ac:dyDescent="0.35">
      <c r="B46"/>
      <c r="C46" s="225"/>
      <c r="D46" s="279"/>
      <c r="E46" s="279"/>
      <c r="F46" s="278"/>
      <c r="G46" s="321"/>
      <c r="H46" s="320"/>
      <c r="L46" s="12"/>
      <c r="T46" s="235"/>
      <c r="U46" s="56" t="s">
        <v>150</v>
      </c>
      <c r="V46" s="56">
        <v>474.45</v>
      </c>
    </row>
    <row r="47" spans="1:24" ht="14.4" customHeight="1" x14ac:dyDescent="0.35">
      <c r="D47" s="279"/>
      <c r="E47" s="279"/>
      <c r="F47" s="278"/>
      <c r="G47" s="321"/>
      <c r="H47" s="320"/>
      <c r="L47" s="12"/>
      <c r="U47" s="56"/>
      <c r="V47" s="56"/>
    </row>
    <row r="48" spans="1:24" ht="17.399999999999999" x14ac:dyDescent="0.35">
      <c r="D48" s="279"/>
      <c r="E48" s="279"/>
      <c r="F48" s="278"/>
      <c r="G48" s="321"/>
      <c r="H48" s="320"/>
      <c r="L48" s="245"/>
    </row>
    <row r="49" spans="4:20" ht="17.399999999999999" x14ac:dyDescent="0.35">
      <c r="D49" s="279"/>
      <c r="E49" s="279"/>
      <c r="F49" s="278"/>
      <c r="G49" s="321"/>
      <c r="H49" s="320"/>
      <c r="L49" s="245"/>
      <c r="T49" s="265"/>
    </row>
    <row r="50" spans="4:20" ht="17.399999999999999" x14ac:dyDescent="0.35">
      <c r="D50" s="279"/>
      <c r="E50" s="279"/>
      <c r="F50" s="278"/>
      <c r="G50" s="321"/>
      <c r="H50" s="320"/>
      <c r="L50" s="245"/>
    </row>
    <row r="51" spans="4:20" ht="15" customHeight="1" x14ac:dyDescent="0.35">
      <c r="D51" s="279"/>
      <c r="E51" s="279"/>
      <c r="F51" s="278"/>
      <c r="G51" s="321"/>
      <c r="H51" s="320"/>
    </row>
    <row r="52" spans="4:20" ht="17.399999999999999" x14ac:dyDescent="0.35">
      <c r="D52" s="279"/>
      <c r="E52" s="279"/>
      <c r="F52" s="278"/>
      <c r="G52" s="321"/>
      <c r="H52" s="320"/>
    </row>
    <row r="53" spans="4:20" ht="17.399999999999999" x14ac:dyDescent="0.35">
      <c r="D53" s="279"/>
      <c r="E53" s="279"/>
      <c r="F53" s="278"/>
      <c r="G53" s="321"/>
      <c r="H53" s="320"/>
      <c r="O53">
        <v>40935</v>
      </c>
      <c r="P53" t="s">
        <v>16</v>
      </c>
      <c r="Q53" t="s">
        <v>26</v>
      </c>
    </row>
    <row r="54" spans="4:20" ht="17.399999999999999" x14ac:dyDescent="0.35">
      <c r="D54" s="279"/>
      <c r="E54" s="279"/>
      <c r="F54" s="278"/>
      <c r="G54" s="321"/>
      <c r="H54" s="320"/>
    </row>
    <row r="55" spans="4:20" ht="17.399999999999999" x14ac:dyDescent="0.35">
      <c r="D55" s="279"/>
      <c r="E55" s="279"/>
      <c r="F55" s="278"/>
      <c r="G55" s="321"/>
      <c r="H55" s="320"/>
      <c r="O55" s="51"/>
      <c r="P55" s="51"/>
    </row>
    <row r="56" spans="4:20" ht="17.399999999999999" x14ac:dyDescent="0.35">
      <c r="D56" s="279"/>
      <c r="E56" s="279"/>
      <c r="F56" s="278"/>
      <c r="G56" s="321"/>
      <c r="H56" s="320"/>
      <c r="S56" s="18"/>
      <c r="T56" s="18"/>
    </row>
    <row r="57" spans="4:20" ht="17.399999999999999" x14ac:dyDescent="0.35">
      <c r="D57" s="279"/>
      <c r="E57" s="279"/>
      <c r="F57" s="278"/>
      <c r="G57" s="321"/>
      <c r="H57" s="320"/>
      <c r="S57" s="18"/>
      <c r="T57" s="18"/>
    </row>
    <row r="58" spans="4:20" ht="17.399999999999999" x14ac:dyDescent="0.35">
      <c r="D58" s="279"/>
      <c r="E58" s="279"/>
      <c r="F58" s="278"/>
      <c r="G58" s="321"/>
      <c r="H58" s="320"/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4" spans="4:20" x14ac:dyDescent="0.3">
      <c r="S64" s="18"/>
      <c r="T64" s="18"/>
    </row>
    <row r="67" spans="15:15" x14ac:dyDescent="0.3">
      <c r="O67" s="40"/>
    </row>
    <row r="68" spans="15:15" x14ac:dyDescent="0.3">
      <c r="O68" s="40"/>
    </row>
    <row r="69" spans="15:15" x14ac:dyDescent="0.3">
      <c r="O69" s="6"/>
    </row>
    <row r="70" spans="15:15" x14ac:dyDescent="0.3">
      <c r="O70" s="6"/>
    </row>
    <row r="159" spans="3:3" x14ac:dyDescent="0.3">
      <c r="C159" t="s">
        <v>142</v>
      </c>
    </row>
    <row r="160" spans="3:3" x14ac:dyDescent="0.3">
      <c r="C160" t="s">
        <v>143</v>
      </c>
    </row>
    <row r="161" spans="3:3" x14ac:dyDescent="0.3">
      <c r="C161" t="s">
        <v>144</v>
      </c>
    </row>
    <row r="586" spans="3:3" x14ac:dyDescent="0.3">
      <c r="C586" t="s">
        <v>142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45931</v>
      </c>
    </row>
    <row r="6" spans="1:31" ht="16.2" thickBot="1" x14ac:dyDescent="0.35">
      <c r="B6" s="137" t="s">
        <v>2</v>
      </c>
      <c r="C6" s="136" t="str">
        <f>'2229'!C10</f>
        <v>SISTEMA MUEBLES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97</v>
      </c>
      <c r="I7" s="339"/>
      <c r="J7" s="339"/>
      <c r="K7" s="340"/>
      <c r="N7" s="72"/>
      <c r="O7" s="337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11678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7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-543051.58773067628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31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'2229'!H29</f>
        <v>3480544</v>
      </c>
      <c r="E11" s="129">
        <f>D11*0.19</f>
        <v>661303.36</v>
      </c>
      <c r="F11" s="128">
        <f>E11+D11</f>
        <v>4141847.36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-437061.58773067628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148156.31574396134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-455061.58773067628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3332387.6842560386</v>
      </c>
      <c r="E13" s="218">
        <f>(D11/D12)-1</f>
        <v>22.492376835388892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-464061.58773067628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-503061.58773067628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264459.02360297099</v>
      </c>
      <c r="C15" s="210" t="s">
        <v>120</v>
      </c>
      <c r="D15" s="211">
        <v>0.5</v>
      </c>
      <c r="E15" s="212">
        <f>(100%+D15)*D12</f>
        <v>222234.473615942</v>
      </c>
      <c r="F15" s="213">
        <f>E15-D12</f>
        <v>74078.157871980657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-503061.58773067628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-463061.58773067628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'2229'!O37</f>
        <v>20000</v>
      </c>
      <c r="E18" s="120">
        <f>D18*0.19</f>
        <v>3800</v>
      </c>
      <c r="F18" s="117">
        <f>SUM(D18:E18)</f>
        <v>23800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30</v>
      </c>
      <c r="D19" s="119">
        <f>'2229'!O36</f>
        <v>28200</v>
      </c>
      <c r="E19" s="120">
        <f>D19*0.19</f>
        <v>5358</v>
      </c>
      <c r="F19" s="117">
        <f>SUM(D19:E19)</f>
        <v>33558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'2229'!O35</f>
        <v>27336.960000000003</v>
      </c>
      <c r="E20" s="118">
        <f>D20*0.19</f>
        <v>5194.0224000000007</v>
      </c>
      <c r="F20" s="117">
        <f>SUM(D20:E20)</f>
        <v>32530.982400000004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75536.960000000006</v>
      </c>
      <c r="E21" s="113">
        <f>SUM(E18:E20)</f>
        <v>14352.022400000002</v>
      </c>
      <c r="F21" s="112">
        <f>SUM(F18:F20)</f>
        <v>89888.982400000008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45932.399222222215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9.6999999999999993</v>
      </c>
      <c r="I37" s="201">
        <f>32609.69/9</f>
        <v>3623.2988888888885</v>
      </c>
      <c r="J37" s="184" t="s">
        <v>44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42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43</v>
      </c>
      <c r="K39" s="81">
        <f>I39*H39</f>
        <v>1406.5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646951.33759999997</v>
      </c>
    </row>
    <row r="41" spans="2:16" ht="15" thickBot="1" x14ac:dyDescent="0.35">
      <c r="H41" s="341" t="s">
        <v>59</v>
      </c>
      <c r="I41" s="342"/>
      <c r="J41" s="342"/>
      <c r="K41" s="342"/>
      <c r="L41" s="342"/>
      <c r="M41" s="343"/>
    </row>
    <row r="42" spans="2:16" ht="15" thickBot="1" x14ac:dyDescent="0.35">
      <c r="B42" s="72" t="s">
        <v>45</v>
      </c>
      <c r="C42" s="72"/>
      <c r="D42" s="204">
        <f>E33</f>
        <v>9.6999999999999993</v>
      </c>
      <c r="H42" s="74" t="s">
        <v>57</v>
      </c>
      <c r="I42" s="156" t="s">
        <v>56</v>
      </c>
      <c r="J42" s="157"/>
      <c r="K42" s="157"/>
      <c r="L42" s="158"/>
      <c r="M42" s="73">
        <f>D11</f>
        <v>3480544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75536.960000000006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3332387.6842560386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3332387.6842560386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2025-10-01T12:06:58Z</cp:lastPrinted>
  <dcterms:created xsi:type="dcterms:W3CDTF">2013-03-18T13:35:42Z</dcterms:created>
  <dcterms:modified xsi:type="dcterms:W3CDTF">2025-10-02T00:50:16Z</dcterms:modified>
</cp:coreProperties>
</file>