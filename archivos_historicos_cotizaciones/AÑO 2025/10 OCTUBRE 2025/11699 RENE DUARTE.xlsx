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0 OCTUBRE 2025\"/>
    </mc:Choice>
  </mc:AlternateContent>
  <xr:revisionPtr revIDLastSave="0" documentId="13_ncr:1_{68DB346E-13DD-4D7C-ABF6-506991F6F0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P28" i="1"/>
  <c r="L21" i="1"/>
  <c r="L22" i="1"/>
  <c r="M21" i="1"/>
  <c r="O21" i="1" s="1"/>
  <c r="N21" i="1"/>
  <c r="S21" i="1"/>
  <c r="M22" i="1"/>
  <c r="O22" i="1" s="1"/>
  <c r="N22" i="1"/>
  <c r="J15" i="1"/>
  <c r="J10" i="1"/>
  <c r="P22" i="1" l="1"/>
  <c r="P21" i="1"/>
  <c r="S22" i="1"/>
  <c r="N23" i="1"/>
  <c r="M23" i="1" l="1"/>
  <c r="S23" i="1" s="1"/>
  <c r="M28" i="1" l="1"/>
  <c r="T23" i="1"/>
  <c r="T27" i="1" s="1"/>
  <c r="S29" i="1"/>
  <c r="O23" i="1"/>
  <c r="P23" i="1" s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Q21" i="1"/>
  <c r="O42" i="1"/>
  <c r="E15" i="3"/>
  <c r="R21" i="1" l="1"/>
  <c r="G21" i="1"/>
  <c r="H21" i="1" s="1"/>
  <c r="R22" i="1"/>
  <c r="G22" i="1"/>
  <c r="H22" i="1" s="1"/>
  <c r="Q23" i="1"/>
  <c r="G23" i="1" s="1"/>
  <c r="F15" i="3"/>
  <c r="R23" i="1" l="1"/>
  <c r="H23" i="1" l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<sst xmlns="http://schemas.openxmlformats.org/spreadsheetml/2006/main" count="233" uniqueCount="174">
  <si>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</si>
  <si>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</si>
  <si>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</si>
  <si>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</si>
  <si>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</si>
  <si>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</si>
  <si>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</si>
  <si>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</si>
  <si>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</si>
  <si>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</si>
  <si>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</si>
  <si>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</si>
  <si>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</si>
  <si>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</si>
  <si>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</si>
  <si>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</si>
  <si>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</si>
  <si>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</si>
  <si>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</si>
  <si>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</si>
  <si>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</si>
  <si>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</si>
  <si>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</si>
  <si>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</si>
  <si>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</si>
  <si>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</si>
  <si>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</si>
  <si>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</si>
  <si>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</si>
  <si>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</si>
  <si>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</si>
  <si>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</si>
  <si>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</si>
  <si>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</si>
  <si>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</si>
  <si>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</si>
  <si>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</si>
  <si>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</si>
  <si>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</si>
  <si>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</si>
  <si>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</si>
  <si>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</si>
  <si>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</si>
  <si>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</si>
  <si>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</si>
  <si>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</si>
  <si>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</si>
  <si>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</si>
  <si>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</si>
  <si>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</si>
  <si>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</si>
  <si>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</si>
  <si>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</si>
  <si>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</si>
  <si>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</si>
  <si>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</si>
  <si>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</si>
  <si>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</si>
  <si>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</si>
  <si>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</si>
  <si>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</si>
  <si>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</si>
  <si>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</si>
  <si>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</si>
  <si>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</si>
  <si>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</si>
  <si>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</si>
  <si>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</si>
  <si>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</si>
  <si>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</si>
  <si>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</si>
  <si>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</si>
  <si>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</si>
  <si>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</si>
  <si>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</si>
  <si>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</si>
  <si>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</si>
  <si>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</si>
  <si>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</si>
  <si>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</si>
  <si>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</si>
  <si>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</si>
  <si>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</si>
  <si>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</si>
  <si>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</si>
  <si>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</si>
  <si>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</si>
  <si>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</si>
  <si>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</si>
  <si>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</si>
  <si>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</si>
  <si>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</si>
  <si>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</si>
  <si>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</si>
  <si>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</si>
  <si>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</si>
  <si>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</si>
  <si>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</si>
  <si>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</si>
  <si>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</si>
  <si>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</si>
  <si>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</si>
  <si>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</si>
  <si>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</si>
  <si>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</si>
  <si>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</si>
  <si>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</si>
  <si>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</si>
  <si>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</si>
  <si>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</si>
  <si>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</si>
  <si>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</si>
  <si>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</si>
  <si>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</si>
  <si>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</si>
  <si>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</si>
  <si>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</si>
  <si>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</si>
  <si>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</si>
  <si>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</si>
  <si>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</si>
  <si>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</si>
  <si>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</si>
  <si>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</si>
  <si>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</si>
  <si>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</si>
  <si>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</si>
  <si>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</si>
  <si>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</si>
  <si>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</si>
  <si>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</si>
  <si>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</si>
  <si>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</si>
  <si>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</si>
  <si>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</si>
  <si>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</si>
  <si>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</si>
  <si>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</si>
  <si>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</si>
  <si>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</si>
  <si>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</si>
  <si>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</si>
  <si>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</si>
  <si>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</si>
  <si>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</si>
  <si>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</si>
  <si>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</si>
  <si>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</si>
  <si>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</si>
  <si>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</si>
  <si>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</si>
  <si>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</si>
  <si>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</si>
  <si>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</si>
  <si>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</si>
  <si>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</si>
  <si>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</si>
  <si>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</si>
  <si>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</si>
  <si>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</si>
  <si>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</si>
  <si>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</si>
  <si>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</si>
  <si>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</si>
  <si>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</si>
  <si>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</si>
  <si>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</si>
  <si>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11699</t>
  </si>
  <si>
    <t>RENE DUARTE</t>
  </si>
  <si>
    <t>+569 7748 3288</t>
  </si>
  <si>
    <t>CUB CON RESPALDO 90°</t>
  </si>
  <si>
    <t>MILENIA BRILLO PP</t>
  </si>
  <si>
    <t>10 DIAS HABILES</t>
  </si>
  <si>
    <t>CUB SIN RESPALDO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</si>
</sst>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21" borderId="0" xfId="0" applyNumberFormat="1" applyFill="1"/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166" fontId="32" fillId="0" borderId="58" xfId="0" applyNumberFormat="1" applyFont="1" applyBorder="1" applyAlignment="1">
      <alignment horizontal="center" vertical="center"/>
    </xf>
    <xf numFmtId="167" fontId="11" fillId="0" borderId="58" xfId="2" applyNumberFormat="1" applyFont="1" applyFill="1" applyBorder="1" applyAlignment="1">
      <alignment horizontal="center" vertical="center"/>
    </xf>
    <xf numFmtId="167" fontId="11" fillId="0" borderId="45" xfId="2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66" fontId="22" fillId="0" borderId="1" xfId="0" applyNumberFormat="1" applyFont="1" applyFill="1" applyBorder="1" applyAlignment="1">
      <alignment horizontal="center" vertical="center"/>
    </xf>
    <xf numFmtId="41" fontId="22" fillId="0" borderId="1" xfId="0" applyNumberFormat="1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2" fillId="0" borderId="36" xfId="0" applyFont="1" applyFill="1" applyBorder="1" applyAlignment="1">
      <alignment horizontal="center" vertical="center"/>
    </xf>
    <xf numFmtId="166" fontId="22" fillId="0" borderId="36" xfId="0" applyNumberFormat="1" applyFont="1" applyFill="1" applyBorder="1" applyAlignment="1">
      <alignment horizontal="center" vertical="center"/>
    </xf>
    <xf numFmtId="41" fontId="22" fillId="0" borderId="36" xfId="0" applyNumberFormat="1" applyFont="1" applyFill="1" applyBorder="1" applyAlignment="1">
      <alignment horizontal="center" vertical="center"/>
    </xf>
    <xf numFmtId="41" fontId="22" fillId="0" borderId="27" xfId="0" applyNumberFormat="1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center" vertical="center"/>
    </xf>
    <xf numFmtId="41" fontId="22" fillId="0" borderId="20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J19" sqref="J19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167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45946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0" t="s">
        <v>169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1" t="s">
        <v>165</v>
      </c>
      <c r="G17" s="331"/>
      <c r="H17" s="332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3" t="s">
        <v>95</v>
      </c>
      <c r="C19" s="334"/>
      <c r="D19" s="334"/>
      <c r="E19" s="334"/>
      <c r="F19" s="334"/>
      <c r="G19" s="334"/>
      <c r="H19" s="335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84842.357274401482</v>
      </c>
      <c r="R20" s="258">
        <v>1500</v>
      </c>
      <c r="S20" s="38"/>
      <c r="T20" s="14" t="s">
        <v>128</v>
      </c>
      <c r="U20" s="9"/>
      <c r="X20" s="4"/>
    </row>
    <row r="21" spans="2:25" ht="17.399999999999999" x14ac:dyDescent="0.3">
      <c r="B21" s="351">
        <v>1</v>
      </c>
      <c r="C21" s="352" t="s">
        <v>173</v>
      </c>
      <c r="D21" s="353">
        <v>1.3</v>
      </c>
      <c r="E21" s="353">
        <v>0.6</v>
      </c>
      <c r="F21" s="352" t="s">
        <v>171</v>
      </c>
      <c r="G21" s="354">
        <f>Q21</f>
        <v>70249.47182320444</v>
      </c>
      <c r="H21" s="355">
        <f>G21*B21</f>
        <v>70249.47182320444</v>
      </c>
      <c r="I21" s="265"/>
      <c r="J21" s="265"/>
      <c r="K21" s="47"/>
      <c r="L21" s="329">
        <f>B21</f>
        <v>1</v>
      </c>
      <c r="M21" s="39">
        <f t="shared" ref="M21:M22" si="1">D21+M$19</f>
        <v>1.3800000000000001</v>
      </c>
      <c r="N21" s="39">
        <f t="shared" ref="N21:N22" si="2">E21+$N$19</f>
        <v>0.6</v>
      </c>
      <c r="O21" s="261">
        <f t="shared" ref="O21:O22" si="3">M21*N21</f>
        <v>0.82800000000000007</v>
      </c>
      <c r="P21" s="259">
        <f t="shared" ref="P21:P22" si="4">O21*L21</f>
        <v>0.82800000000000007</v>
      </c>
      <c r="Q21" s="252">
        <f t="shared" ref="Q21:Q22" si="5">Q$20*O21</f>
        <v>70249.47182320444</v>
      </c>
      <c r="R21" s="318">
        <f t="shared" ref="R21:R22" si="6">Q21+R$20</f>
        <v>71749.47182320444</v>
      </c>
      <c r="S21" s="297">
        <f t="shared" ref="S21:S22" si="7">M21*L21</f>
        <v>1.3800000000000001</v>
      </c>
      <c r="T21" s="14"/>
      <c r="U21" s="9"/>
      <c r="X21" s="4"/>
    </row>
    <row r="22" spans="2:25" ht="17.399999999999999" x14ac:dyDescent="0.3">
      <c r="B22" s="356">
        <v>1</v>
      </c>
      <c r="C22" s="348" t="s">
        <v>170</v>
      </c>
      <c r="D22" s="349">
        <v>2.27</v>
      </c>
      <c r="E22" s="349">
        <v>0.6</v>
      </c>
      <c r="F22" s="348" t="s">
        <v>171</v>
      </c>
      <c r="G22" s="350">
        <f>Q22</f>
        <v>119627.72375690608</v>
      </c>
      <c r="H22" s="357">
        <f>G22*B22</f>
        <v>119627.72375690608</v>
      </c>
      <c r="I22" s="265"/>
      <c r="J22" s="265"/>
      <c r="K22" s="47"/>
      <c r="L22" s="329">
        <f>B22</f>
        <v>1</v>
      </c>
      <c r="M22" s="39">
        <f t="shared" si="1"/>
        <v>2.35</v>
      </c>
      <c r="N22" s="39">
        <f t="shared" si="2"/>
        <v>0.6</v>
      </c>
      <c r="O22" s="261">
        <f t="shared" si="3"/>
        <v>1.41</v>
      </c>
      <c r="P22" s="259">
        <f t="shared" si="4"/>
        <v>1.41</v>
      </c>
      <c r="Q22" s="252">
        <f t="shared" si="5"/>
        <v>119627.72375690608</v>
      </c>
      <c r="R22" s="318">
        <f t="shared" si="6"/>
        <v>121127.72375690608</v>
      </c>
      <c r="S22" s="297">
        <f t="shared" si="7"/>
        <v>2.35</v>
      </c>
      <c r="T22" s="14"/>
      <c r="U22" s="9"/>
      <c r="X22" s="4"/>
    </row>
    <row r="23" spans="2:25" ht="18" thickBot="1" x14ac:dyDescent="0.35">
      <c r="B23" s="343">
        <v>1</v>
      </c>
      <c r="C23" s="344" t="s">
        <v>170</v>
      </c>
      <c r="D23" s="345">
        <v>1.62</v>
      </c>
      <c r="E23" s="345">
        <v>0.6</v>
      </c>
      <c r="F23" s="344" t="s">
        <v>171</v>
      </c>
      <c r="G23" s="346">
        <f>Q23</f>
        <v>86539.204419889516</v>
      </c>
      <c r="H23" s="347">
        <f>G23*B23</f>
        <v>86539.204419889516</v>
      </c>
      <c r="I23" s="319"/>
      <c r="J23" s="265"/>
      <c r="K23" s="47"/>
      <c r="L23" s="329">
        <v>1</v>
      </c>
      <c r="M23" s="39">
        <f>D23+M$19</f>
        <v>1.7000000000000002</v>
      </c>
      <c r="N23" s="39">
        <f>E23+$N$19</f>
        <v>0.6</v>
      </c>
      <c r="O23" s="261">
        <f t="shared" ref="O23" si="8">M23*N23</f>
        <v>1.02</v>
      </c>
      <c r="P23" s="259">
        <f t="shared" ref="P23" si="9">O23*L23</f>
        <v>1.02</v>
      </c>
      <c r="Q23" s="252">
        <f t="shared" ref="Q23" si="10">Q$20*O23</f>
        <v>86539.204419889516</v>
      </c>
      <c r="R23" s="318">
        <f t="shared" ref="R23" si="11">Q23+R$20</f>
        <v>88039.204419889516</v>
      </c>
      <c r="S23" s="297">
        <f>M23*L23</f>
        <v>1.7000000000000002</v>
      </c>
      <c r="T23" s="46">
        <f>M23*L23</f>
        <v>1.7000000000000002</v>
      </c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19"/>
      <c r="H24" s="319"/>
      <c r="I24" s="319"/>
      <c r="J24" s="265"/>
      <c r="K24" s="47"/>
      <c r="L24" s="329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19"/>
      <c r="H25" s="319"/>
      <c r="I25" s="319"/>
      <c r="J25" s="265"/>
      <c r="K25" s="47"/>
      <c r="L25" s="47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0"/>
      <c r="I26" s="322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3" t="s">
        <v>28</v>
      </c>
      <c r="H27" s="324">
        <f>SUM(H21:H26)</f>
        <v>276416.40000000002</v>
      </c>
      <c r="I27" s="321"/>
      <c r="J27" s="265"/>
      <c r="K27" s="47"/>
      <c r="L27" s="47"/>
      <c r="M27" s="39"/>
      <c r="N27" s="39"/>
      <c r="O27" s="261"/>
      <c r="P27" s="259"/>
      <c r="Q27" s="252"/>
      <c r="R27" s="258"/>
      <c r="S27" s="297"/>
      <c r="T27" s="46">
        <f>SUM(T23:T26)</f>
        <v>1.7000000000000002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52519.116000000002</v>
      </c>
      <c r="I28" s="321"/>
      <c r="J28" s="265"/>
      <c r="K28" s="47"/>
      <c r="L28" s="47"/>
      <c r="M28" s="39">
        <f>SUM(M23:M27)</f>
        <v>1.7000000000000002</v>
      </c>
      <c r="N28" s="12"/>
      <c r="O28" s="12"/>
      <c r="P28" s="253">
        <f>SUM(P21:P26)</f>
        <v>3.258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328935.516</v>
      </c>
      <c r="I29" s="321"/>
      <c r="J29" s="265"/>
      <c r="K29" s="47"/>
      <c r="L29" s="47"/>
      <c r="M29" s="39"/>
      <c r="N29" s="12"/>
      <c r="O29" s="12"/>
      <c r="P29" s="253">
        <f>P28</f>
        <v>3.258</v>
      </c>
      <c r="Q29" s="14"/>
      <c r="R29" s="12"/>
      <c r="S29" s="239">
        <f>SUM(S23:S28)</f>
        <v>1.7000000000000002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0.65160000000000007</v>
      </c>
      <c r="Q30" s="39" t="s">
        <v>130</v>
      </c>
      <c r="R30" s="42"/>
      <c r="S30" s="240">
        <f>S29+T27</f>
        <v>3.4000000000000004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3.9096000000000002</v>
      </c>
      <c r="Q31" s="14"/>
      <c r="R31" s="14"/>
      <c r="S31" s="238">
        <f>S30*20%</f>
        <v>0.68000000000000016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4.08</v>
      </c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3.9096000000000002</v>
      </c>
      <c r="N33" s="12">
        <v>2500</v>
      </c>
      <c r="O33" s="12">
        <f t="shared" ref="O33:O38" si="12">M33*N33</f>
        <v>9774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1.1000000000000001</v>
      </c>
      <c r="N34" s="12">
        <v>23500</v>
      </c>
      <c r="O34" s="12">
        <f t="shared" si="12"/>
        <v>25850.000000000004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35000</v>
      </c>
      <c r="O35" s="12">
        <f t="shared" si="12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2</v>
      </c>
      <c r="N36" s="250">
        <v>39000</v>
      </c>
      <c r="O36" s="12">
        <f t="shared" si="12"/>
        <v>78000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2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>
        <v>4</v>
      </c>
      <c r="N38" s="12">
        <v>1000</v>
      </c>
      <c r="O38" s="12">
        <f t="shared" si="12"/>
        <v>4000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117624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O39*2.35</f>
        <v>276416.40000000002</v>
      </c>
      <c r="P40" s="14" t="s">
        <v>140</v>
      </c>
      <c r="Q40" s="14"/>
      <c r="R40" s="40">
        <f>P31/R39</f>
        <v>1.0541415012942192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L41" s="250"/>
      <c r="M41" s="14"/>
      <c r="N41" s="12"/>
      <c r="O41" s="12">
        <f>O40/P29</f>
        <v>84842.357274401482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L42" s="250"/>
      <c r="M42" s="13"/>
      <c r="N42" s="14"/>
      <c r="O42" s="17">
        <f>O40/O39</f>
        <v>2.35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45946</v>
      </c>
    </row>
    <row r="6" spans="2:31" ht="16.2" thickBot="1" x14ac:dyDescent="0.35">
      <c r="B6" s="140" t="s">
        <v>2</v>
      </c>
      <c r="C6" s="139" t="str">
        <f>'2229'!C10</f>
        <v>RENE DUARTE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98</v>
      </c>
      <c r="I7" s="338"/>
      <c r="J7" s="338"/>
      <c r="K7" s="339"/>
      <c r="N7" s="75"/>
      <c r="O7" s="33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11699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-28068.425033454114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276416.40000000002</v>
      </c>
      <c r="E11" s="132">
        <f>D11*0.19</f>
        <v>52519.116000000002</v>
      </c>
      <c r="F11" s="131">
        <f>E11+D11</f>
        <v>328935.516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77921.574966545886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65458.090787439614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59921.574966545886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210958.30921256042</v>
      </c>
      <c r="E13" s="221">
        <f>(D11/D12)-1</f>
        <v>3.2227996062029973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50921.574966545886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11921.574966545886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108005.84979927535</v>
      </c>
      <c r="F15" s="216">
        <f>E15-D12</f>
        <v>42547.75901183574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11921.574966545886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51921.574966545886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25850.000000000004</v>
      </c>
      <c r="E19" s="123">
        <f>D19*0.19</f>
        <v>4911.5000000000009</v>
      </c>
      <c r="F19" s="120">
        <f>SUM(D19:E19)</f>
        <v>30761.500000000004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9774</v>
      </c>
      <c r="E20" s="121">
        <f>D20*0.19</f>
        <v>1857.06</v>
      </c>
      <c r="F20" s="120">
        <f>SUM(D20:E20)</f>
        <v>11631.06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35624</v>
      </c>
      <c r="E21" s="116">
        <f>SUM(E18:E20)</f>
        <v>6768.5600000000013</v>
      </c>
      <c r="F21" s="115">
        <f>SUM(F18:F20)</f>
        <v>42392.560000000005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45750.555999999997</v>
      </c>
    </row>
    <row r="41" spans="2:16" ht="15" thickBot="1" x14ac:dyDescent="0.35">
      <c r="H41" s="340" t="s">
        <v>60</v>
      </c>
      <c r="I41" s="341"/>
      <c r="J41" s="341"/>
      <c r="K41" s="341"/>
      <c r="L41" s="341"/>
      <c r="M41" s="34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276416.40000000002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35624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210958.30921256042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210958.30921256042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2025-10-16T13:26:22Z</cp:lastPrinted>
  <dcterms:created xsi:type="dcterms:W3CDTF">2013-03-18T13:35:42Z</dcterms:created>
  <dcterms:modified xsi:type="dcterms:W3CDTF">2025-10-16T14:00:27Z</dcterms:modified>
</cp:coreProperties>
</file>