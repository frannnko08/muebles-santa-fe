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EB888BB7-E700-42F3-AA4B-0F6B902913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K36" i="1" l="1"/>
  <c r="M21" i="1"/>
  <c r="N21" i="1"/>
  <c r="M26" i="1" l="1"/>
  <c r="O21" i="1"/>
  <c r="P21" i="1" s="1"/>
  <c r="S21" i="1"/>
  <c r="P26" i="1" l="1"/>
  <c r="S26" i="1"/>
  <c r="T25" i="1"/>
  <c r="V33" i="1" l="1"/>
  <c r="V34" i="1" s="1"/>
  <c r="O32" i="1" l="1"/>
  <c r="P27" i="1" l="1"/>
  <c r="N20" i="1"/>
  <c r="L20" i="1"/>
  <c r="P28" i="1" l="1"/>
  <c r="O33" i="1"/>
  <c r="R37" i="1"/>
  <c r="P29" i="1" l="1"/>
  <c r="M31" i="1" s="1"/>
  <c r="O34" i="1"/>
  <c r="R38" i="1" l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1" i="1" l="1"/>
  <c r="O40" i="1"/>
  <c r="R21" i="1" l="1"/>
  <c r="H21" i="1" s="1"/>
  <c r="F15" i="3"/>
  <c r="H25" i="1" l="1"/>
  <c r="H26" i="1" s="1"/>
  <c r="D11" i="3" l="1"/>
  <c r="X9" i="3" s="1"/>
  <c r="X15" i="3" s="1"/>
  <c r="H27" i="1"/>
  <c r="E11" i="3"/>
  <c r="D40" i="3" s="1"/>
  <c r="X12" i="3" l="1"/>
  <c r="M42" i="3"/>
  <c r="M46" i="3" s="1"/>
  <c r="M49" i="3" s="1"/>
  <c r="E13" i="3"/>
  <c r="X11" i="3"/>
  <c r="X14" i="3"/>
  <c r="D13" i="3"/>
  <c r="X13" i="3"/>
  <c r="X16" i="3"/>
  <c r="F11" i="3"/>
</calcChain>
</file>

<file path=xl/sharedStrings.xml><?xml version="1.0" encoding="utf-8"?>
<sst xmlns="http://schemas.openxmlformats.org/spreadsheetml/2006/main" count="228" uniqueCount="175">
  <si>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</si>
  <si>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</si>
  <si>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</si>
  <si>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</si>
  <si>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</si>
  <si>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</si>
  <si>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</si>
  <si>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</si>
  <si>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</si>
  <si>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</si>
  <si>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</si>
  <si>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</si>
  <si>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</si>
  <si>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</si>
  <si>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</si>
  <si>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</si>
  <si>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</si>
  <si>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</si>
  <si>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</si>
  <si>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</si>
  <si>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</si>
  <si>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</si>
  <si>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</si>
  <si>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</si>
  <si>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</si>
  <si>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</si>
  <si>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</si>
  <si>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</si>
  <si>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</si>
  <si>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</si>
  <si>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</si>
  <si>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</si>
  <si>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</si>
  <si>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</si>
  <si>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</si>
  <si>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</si>
  <si>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</si>
  <si>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</si>
  <si>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</si>
  <si>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</si>
  <si>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</si>
  <si>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</si>
  <si>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</si>
  <si>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</si>
  <si>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</si>
  <si>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</si>
  <si>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</si>
  <si>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</si>
  <si>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</si>
  <si>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</si>
  <si>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</si>
  <si>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</si>
  <si>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</si>
  <si>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</si>
  <si>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</si>
  <si>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</si>
  <si>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</si>
  <si>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</si>
  <si>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</si>
  <si>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</si>
  <si>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</si>
  <si>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</si>
  <si>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</si>
  <si>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</si>
  <si>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</si>
  <si>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</si>
  <si>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</si>
  <si>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</si>
  <si>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</si>
  <si>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</si>
  <si>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</si>
  <si>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</si>
  <si>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</si>
  <si>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</si>
  <si>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</si>
  <si>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</si>
  <si>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</si>
  <si>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</si>
  <si>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</si>
  <si>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</si>
  <si>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</si>
  <si>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</si>
  <si>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</si>
  <si>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</si>
  <si>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</si>
  <si>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</si>
  <si>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</si>
  <si>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</si>
  <si>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</si>
  <si>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</si>
  <si>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</si>
  <si>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</si>
  <si>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</si>
  <si>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</si>
  <si>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</si>
  <si>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</si>
  <si>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</si>
  <si>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</si>
  <si>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</si>
  <si>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</si>
  <si>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</si>
  <si>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</si>
  <si>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</si>
  <si>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</si>
  <si>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</si>
  <si>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</si>
  <si>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</si>
  <si>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</si>
  <si>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</si>
  <si>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</si>
  <si>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</si>
  <si>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</si>
  <si>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</si>
  <si>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</si>
  <si>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</si>
  <si>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</si>
  <si>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</si>
  <si>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</si>
  <si>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</si>
  <si>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</si>
  <si>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</si>
  <si>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</si>
  <si>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</si>
  <si>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</si>
  <si>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</si>
  <si>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</si>
  <si>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</si>
  <si>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</si>
  <si>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</si>
  <si>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</si>
  <si>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</si>
  <si>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</si>
  <si>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</si>
  <si>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</si>
  <si>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</si>
  <si>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</si>
  <si>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</si>
  <si>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</si>
  <si>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</si>
  <si>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</si>
  <si>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</si>
  <si>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</si>
  <si>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</si>
  <si>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</si>
  <si>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</si>
  <si>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</si>
  <si>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</si>
  <si>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</si>
  <si>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</si>
  <si>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</si>
  <si>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</si>
  <si>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</si>
  <si>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</si>
  <si>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</si>
  <si>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</si>
  <si>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</si>
  <si>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</si>
  <si>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</si>
  <si>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</si>
  <si>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</si>
  <si>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</si>
  <si>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</si>
  <si>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</si>
  <si>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</si>
  <si>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</si>
  <si>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</si>
  <si>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</si>
  <si>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LAMINA 153X366</t>
  </si>
  <si>
    <t>LAMINA 122X 305</t>
  </si>
  <si>
    <t>N° 11683</t>
  </si>
  <si>
    <t>JUAN ZURA</t>
  </si>
  <si>
    <t>+56 9 44939030</t>
  </si>
  <si>
    <t>7 DIAS HABILES</t>
  </si>
  <si>
    <t>CUB SIN RESPALDO FRENTE 180°</t>
  </si>
  <si>
    <t>CLASSIC 3111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</si>
</sst>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b/>
      <sz val="12"/>
      <color rgb="FFFF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6" fontId="22" fillId="0" borderId="0" xfId="0" applyNumberFormat="1" applyFon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7" fontId="0" fillId="8" borderId="53" xfId="0" applyNumberForma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38" fillId="0" borderId="0" xfId="0" applyNumberFormat="1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6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41.21875" customWidth="1"/>
    <col min="4" max="4" width="11.109375" customWidth="1"/>
    <col min="5" max="5" width="14.44140625" customWidth="1"/>
    <col min="6" max="6" width="31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9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158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2" t="s">
        <v>124</v>
      </c>
      <c r="C8" s="323"/>
      <c r="D8" s="324" t="s">
        <v>169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156</v>
      </c>
      <c r="C10" s="305" t="s">
        <v>170</v>
      </c>
      <c r="D10" s="240"/>
      <c r="E10" s="240"/>
      <c r="F10" s="241" t="s">
        <v>164</v>
      </c>
      <c r="G10" s="271">
        <v>45936</v>
      </c>
      <c r="H10" s="328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6"/>
      <c r="F11" t="s">
        <v>163</v>
      </c>
      <c r="G11" s="307" t="s">
        <v>172</v>
      </c>
      <c r="H11" s="281"/>
      <c r="Q11" s="19"/>
      <c r="R11" s="22" t="s">
        <v>18</v>
      </c>
      <c r="S11" s="19"/>
    </row>
    <row r="12" spans="2:24" x14ac:dyDescent="0.3">
      <c r="B12" s="242" t="s">
        <v>140</v>
      </c>
      <c r="C12" s="308"/>
      <c r="D12" s="309"/>
      <c r="E12" s="309"/>
      <c r="F12" s="309" t="s">
        <v>125</v>
      </c>
      <c r="G12" s="310" t="s">
        <v>132</v>
      </c>
      <c r="H12" s="243"/>
      <c r="Q12" s="19"/>
      <c r="R12" s="22"/>
      <c r="S12" s="19"/>
    </row>
    <row r="13" spans="2:24" x14ac:dyDescent="0.3">
      <c r="B13" s="280" t="s">
        <v>141</v>
      </c>
      <c r="F13" t="s">
        <v>162</v>
      </c>
      <c r="G13" s="311" t="s">
        <v>132</v>
      </c>
      <c r="H13" s="281"/>
      <c r="Q13" s="19"/>
      <c r="R13" s="22"/>
      <c r="S13" s="19"/>
    </row>
    <row r="14" spans="2:24" x14ac:dyDescent="0.3">
      <c r="B14" s="242" t="s">
        <v>136</v>
      </c>
      <c r="C14" s="312"/>
      <c r="D14" s="309"/>
      <c r="E14" s="309"/>
      <c r="F14" s="309" t="s">
        <v>133</v>
      </c>
      <c r="G14" s="313" t="s">
        <v>132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4" t="s">
        <v>171</v>
      </c>
      <c r="D15" s="315"/>
      <c r="F15" t="s">
        <v>165</v>
      </c>
      <c r="G15" s="316" t="s">
        <v>132</v>
      </c>
      <c r="H15" s="281"/>
    </row>
    <row r="16" spans="2:24" ht="16.8" x14ac:dyDescent="0.4">
      <c r="B16" s="297" t="s">
        <v>3</v>
      </c>
      <c r="C16" s="317"/>
      <c r="D16" s="309"/>
      <c r="E16" s="309"/>
      <c r="F16" s="318" t="s">
        <v>127</v>
      </c>
      <c r="G16" s="319" t="s">
        <v>157</v>
      </c>
      <c r="H16" s="243"/>
    </row>
    <row r="17" spans="1:25" ht="15" thickBot="1" x14ac:dyDescent="0.35">
      <c r="B17" s="294" t="s">
        <v>13</v>
      </c>
      <c r="C17" s="295" t="s">
        <v>160</v>
      </c>
      <c r="D17" s="296"/>
      <c r="E17" s="116"/>
      <c r="F17" s="334" t="s">
        <v>159</v>
      </c>
      <c r="G17" s="334"/>
      <c r="H17" s="335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6" t="s">
        <v>94</v>
      </c>
      <c r="C19" s="337"/>
      <c r="D19" s="337"/>
      <c r="E19" s="337"/>
      <c r="F19" s="337"/>
      <c r="G19" s="337"/>
      <c r="H19" s="338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131</v>
      </c>
      <c r="S19" s="10" t="s">
        <v>134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129</v>
      </c>
      <c r="E20" s="326" t="s">
        <v>11</v>
      </c>
      <c r="F20" s="326" t="s">
        <v>8</v>
      </c>
      <c r="G20" s="326" t="s">
        <v>5</v>
      </c>
      <c r="H20" s="327" t="s">
        <v>6</v>
      </c>
      <c r="I20" s="260"/>
      <c r="J20" s="260"/>
      <c r="K20" s="44"/>
      <c r="L20" s="263" t="str">
        <f>B20</f>
        <v>UNIDAD</v>
      </c>
      <c r="M20" s="262" t="s">
        <v>129</v>
      </c>
      <c r="N20" s="36" t="str">
        <f t="shared" ref="N20" si="0">E20</f>
        <v>ANCHO</v>
      </c>
      <c r="O20" s="256" t="s">
        <v>130</v>
      </c>
      <c r="P20" s="254" t="s">
        <v>16</v>
      </c>
      <c r="Q20" s="247">
        <f>O39</f>
        <v>45318.620689655174</v>
      </c>
      <c r="R20" s="253">
        <v>3000</v>
      </c>
      <c r="S20" s="35"/>
      <c r="T20" s="14" t="s">
        <v>126</v>
      </c>
      <c r="U20" s="9"/>
      <c r="X20" s="4"/>
    </row>
    <row r="21" spans="1:25" ht="17.399999999999999" x14ac:dyDescent="0.3">
      <c r="B21" s="329">
        <v>1</v>
      </c>
      <c r="C21" s="329" t="s">
        <v>173</v>
      </c>
      <c r="D21" s="330">
        <v>3.4</v>
      </c>
      <c r="E21" s="330">
        <v>0.7</v>
      </c>
      <c r="F21" s="329" t="s">
        <v>174</v>
      </c>
      <c r="G21" s="331">
        <v>110396</v>
      </c>
      <c r="H21" s="331">
        <f t="shared" ref="H21" si="1">G21*B21</f>
        <v>110396</v>
      </c>
      <c r="I21" s="299"/>
      <c r="J21" s="260"/>
      <c r="K21" s="44"/>
      <c r="L21" s="44">
        <f>B21</f>
        <v>1</v>
      </c>
      <c r="M21" s="36">
        <f t="shared" ref="M21" si="2">D21+M$19</f>
        <v>3.48</v>
      </c>
      <c r="N21" s="36">
        <f t="shared" ref="N21" si="3">E21+$N$19</f>
        <v>0.7</v>
      </c>
      <c r="O21" s="256">
        <f t="shared" ref="O21" si="4">M21*N21</f>
        <v>2.4359999999999999</v>
      </c>
      <c r="P21" s="254">
        <f>O21*L21</f>
        <v>2.4359999999999999</v>
      </c>
      <c r="Q21" s="247">
        <f t="shared" ref="Q21" si="5">Q$20*O21</f>
        <v>110396.16</v>
      </c>
      <c r="R21" s="298">
        <f t="shared" ref="R21" si="6">Q21+R$20</f>
        <v>113396.16</v>
      </c>
      <c r="S21" s="286">
        <f t="shared" ref="S21" si="7">M21*L21</f>
        <v>3.48</v>
      </c>
      <c r="T21" s="43"/>
      <c r="U21" s="9"/>
      <c r="X21" s="4"/>
    </row>
    <row r="22" spans="1:25" ht="17.399999999999999" x14ac:dyDescent="0.3">
      <c r="B22" s="332"/>
      <c r="C22" s="332"/>
      <c r="D22" s="333"/>
      <c r="E22" s="279"/>
      <c r="F22" s="278"/>
      <c r="G22" s="299"/>
      <c r="H22" s="299"/>
      <c r="I22" s="299"/>
      <c r="J22" s="260"/>
      <c r="K22" s="44"/>
      <c r="L22" s="44"/>
      <c r="M22" s="36"/>
      <c r="N22" s="36"/>
      <c r="O22" s="256"/>
      <c r="P22" s="254"/>
      <c r="Q22" s="247"/>
      <c r="R22" s="298"/>
      <c r="S22" s="286"/>
      <c r="T22" s="43"/>
      <c r="U22" s="9"/>
      <c r="X22" s="4"/>
    </row>
    <row r="23" spans="1:25" ht="17.399999999999999" x14ac:dyDescent="0.3">
      <c r="B23" s="278"/>
      <c r="C23" s="278"/>
      <c r="D23" s="279"/>
      <c r="E23" s="279"/>
      <c r="F23" s="278"/>
      <c r="G23" s="299"/>
      <c r="H23" s="299"/>
      <c r="I23" s="299"/>
      <c r="J23" s="260"/>
      <c r="K23" s="44"/>
      <c r="L23" s="44"/>
      <c r="M23" s="36"/>
      <c r="N23" s="36"/>
      <c r="O23" s="256"/>
      <c r="P23" s="254"/>
      <c r="Q23" s="247"/>
      <c r="R23" s="298"/>
      <c r="S23" s="286"/>
      <c r="T23" s="43"/>
      <c r="U23" s="9"/>
      <c r="X23" s="4"/>
    </row>
    <row r="24" spans="1:25" ht="18" thickBot="1" x14ac:dyDescent="0.35">
      <c r="B24" s="278"/>
      <c r="C24" s="278"/>
      <c r="D24" s="279"/>
      <c r="E24" s="279"/>
      <c r="F24" s="278"/>
      <c r="G24" s="260"/>
      <c r="H24" s="300"/>
      <c r="I24" s="302"/>
      <c r="J24" s="230"/>
      <c r="K24" s="44"/>
      <c r="L24" s="44"/>
      <c r="M24" s="36"/>
      <c r="N24" s="36"/>
      <c r="O24" s="256"/>
      <c r="P24" s="254"/>
      <c r="Q24" s="247"/>
      <c r="R24" s="253"/>
      <c r="S24" s="286"/>
      <c r="T24" s="14"/>
      <c r="U24" s="9"/>
      <c r="X24" s="4"/>
    </row>
    <row r="25" spans="1:25" ht="17.399999999999999" x14ac:dyDescent="0.3">
      <c r="B25" s="278"/>
      <c r="C25" s="278"/>
      <c r="D25" s="279"/>
      <c r="E25" s="279"/>
      <c r="F25" s="278"/>
      <c r="G25" s="303" t="s">
        <v>28</v>
      </c>
      <c r="H25" s="304">
        <f>SUM(H21:H24)</f>
        <v>110396</v>
      </c>
      <c r="I25" s="301"/>
      <c r="J25" s="260"/>
      <c r="K25" s="44"/>
      <c r="L25" s="44"/>
      <c r="M25" s="36"/>
      <c r="N25" s="36"/>
      <c r="O25" s="256"/>
      <c r="P25" s="254"/>
      <c r="Q25" s="247"/>
      <c r="R25" s="253"/>
      <c r="S25" s="286"/>
      <c r="T25" s="43">
        <f>SUM(T21:T24)</f>
        <v>0</v>
      </c>
      <c r="U25" s="9"/>
      <c r="X25" s="4"/>
    </row>
    <row r="26" spans="1:25" ht="17.399999999999999" x14ac:dyDescent="0.3">
      <c r="B26" s="272"/>
      <c r="C26" s="275"/>
      <c r="D26" s="276"/>
      <c r="E26" s="276"/>
      <c r="F26" s="277"/>
      <c r="G26" s="285" t="s">
        <v>50</v>
      </c>
      <c r="H26" s="283">
        <f>H25*0.19</f>
        <v>20975.24</v>
      </c>
      <c r="I26" s="301"/>
      <c r="J26" s="260"/>
      <c r="K26" s="44"/>
      <c r="L26" s="44"/>
      <c r="M26" s="36">
        <f>SUM(M21:M21)</f>
        <v>3.48</v>
      </c>
      <c r="N26" s="12"/>
      <c r="O26" s="12"/>
      <c r="P26" s="248">
        <f>SUM(P21:P24)</f>
        <v>2.4359999999999999</v>
      </c>
      <c r="Q26" s="14"/>
      <c r="R26" s="12"/>
      <c r="S26" s="236">
        <f>SUM(S21:S25)</f>
        <v>3.48</v>
      </c>
      <c r="T26" s="43"/>
      <c r="U26" s="9"/>
      <c r="X26" s="4"/>
    </row>
    <row r="27" spans="1:25" ht="18" thickBot="1" x14ac:dyDescent="0.35">
      <c r="B27" s="270"/>
      <c r="C27" s="274"/>
      <c r="D27" s="267"/>
      <c r="E27" s="267"/>
      <c r="F27" s="268"/>
      <c r="G27" s="273" t="s">
        <v>6</v>
      </c>
      <c r="H27" s="284">
        <f>H25+H26</f>
        <v>131371.24</v>
      </c>
      <c r="I27" s="301"/>
      <c r="J27" s="260"/>
      <c r="K27" s="44"/>
      <c r="L27" s="44"/>
      <c r="M27" s="36"/>
      <c r="N27" s="12"/>
      <c r="O27" s="12"/>
      <c r="P27" s="248">
        <f>P26</f>
        <v>2.4359999999999999</v>
      </c>
      <c r="Q27" s="14"/>
      <c r="R27" s="12"/>
      <c r="S27" s="236"/>
      <c r="T27" s="43"/>
      <c r="U27" s="9"/>
      <c r="X27" s="4"/>
    </row>
    <row r="28" spans="1:25" ht="17.399999999999999" x14ac:dyDescent="0.3">
      <c r="B28" s="270"/>
      <c r="C28" s="266"/>
      <c r="D28" s="267"/>
      <c r="E28" s="267"/>
      <c r="F28" s="268"/>
      <c r="J28" s="260"/>
      <c r="K28" s="44"/>
      <c r="L28" s="44"/>
      <c r="M28" s="14"/>
      <c r="N28" s="12"/>
      <c r="O28" s="12"/>
      <c r="P28" s="36">
        <f>P27*20%</f>
        <v>0.48720000000000002</v>
      </c>
      <c r="Q28" s="36" t="s">
        <v>128</v>
      </c>
      <c r="R28" s="39"/>
      <c r="S28" s="237"/>
      <c r="T28" s="14"/>
      <c r="U28" s="9"/>
      <c r="X28" s="4"/>
    </row>
    <row r="29" spans="1:25" ht="17.399999999999999" x14ac:dyDescent="0.35">
      <c r="B29" s="264"/>
      <c r="C29" s="227"/>
      <c r="D29" s="227"/>
      <c r="E29" s="230"/>
      <c r="F29" s="231"/>
      <c r="G29" s="227"/>
      <c r="H29" s="269"/>
      <c r="I29" s="269"/>
      <c r="J29" s="260"/>
      <c r="K29" s="44"/>
      <c r="L29" s="44"/>
      <c r="M29" s="14"/>
      <c r="N29" s="12"/>
      <c r="O29" s="12"/>
      <c r="P29" s="43">
        <f>P27+P28</f>
        <v>2.9232</v>
      </c>
      <c r="Q29" s="14"/>
      <c r="R29" s="14"/>
      <c r="S29" s="235"/>
      <c r="T29" s="14"/>
      <c r="U29" s="9"/>
      <c r="X29" s="4"/>
    </row>
    <row r="30" spans="1:25" ht="17.399999999999999" x14ac:dyDescent="0.35">
      <c r="B30" s="232"/>
      <c r="C30" s="233"/>
      <c r="D30" s="234"/>
      <c r="E30" s="232"/>
      <c r="F30" s="227"/>
      <c r="G30" s="227"/>
      <c r="I30" s="269"/>
      <c r="J30" s="260"/>
      <c r="K30" s="44"/>
      <c r="L30" s="44"/>
      <c r="M30" s="14"/>
      <c r="N30" s="14"/>
      <c r="O30" s="14"/>
      <c r="P30" s="14"/>
      <c r="Q30" s="14"/>
      <c r="R30" s="14"/>
      <c r="S30" s="237"/>
      <c r="T30" s="14"/>
      <c r="U30" s="290" t="s">
        <v>21</v>
      </c>
      <c r="V30" s="287" t="s">
        <v>146</v>
      </c>
      <c r="W30" s="291">
        <v>44971</v>
      </c>
      <c r="X30" s="292"/>
    </row>
    <row r="31" spans="1:25" ht="17.399999999999999" x14ac:dyDescent="0.35">
      <c r="B31" s="227"/>
      <c r="C31" s="227"/>
      <c r="D31" s="227"/>
      <c r="E31" s="227"/>
      <c r="F31" s="227"/>
      <c r="G31" s="227"/>
      <c r="J31" s="260"/>
      <c r="K31" s="44"/>
      <c r="L31" s="44"/>
      <c r="M31" s="36">
        <f>P29</f>
        <v>2.9232</v>
      </c>
      <c r="N31" s="12">
        <v>3000</v>
      </c>
      <c r="O31" s="12">
        <f t="shared" ref="O31:O36" si="8">M31*N31</f>
        <v>8769.6</v>
      </c>
      <c r="P31" s="14" t="s">
        <v>21</v>
      </c>
      <c r="Q31" s="14"/>
      <c r="R31" s="14"/>
      <c r="S31" s="238"/>
      <c r="T31" s="14"/>
      <c r="U31" s="290" t="s">
        <v>147</v>
      </c>
      <c r="V31" s="287">
        <v>3625</v>
      </c>
      <c r="W31" s="56" t="s">
        <v>148</v>
      </c>
      <c r="X31" s="292"/>
    </row>
    <row r="32" spans="1:25" ht="17.399999999999999" x14ac:dyDescent="0.35">
      <c r="A32" s="227"/>
      <c r="B32" s="227"/>
      <c r="C32" s="227"/>
      <c r="D32" s="227"/>
      <c r="E32" s="227"/>
      <c r="F32" s="227"/>
      <c r="G32" s="227"/>
      <c r="H32" s="227"/>
      <c r="J32" s="260"/>
      <c r="K32" s="44"/>
      <c r="L32" s="44"/>
      <c r="M32" s="244">
        <v>0.8</v>
      </c>
      <c r="N32" s="12">
        <v>23500</v>
      </c>
      <c r="O32" s="12">
        <f t="shared" si="8"/>
        <v>18800</v>
      </c>
      <c r="P32" s="36" t="s">
        <v>166</v>
      </c>
      <c r="Q32" s="39"/>
      <c r="R32" s="14"/>
      <c r="S32" s="237"/>
      <c r="T32" s="14"/>
      <c r="U32" s="290"/>
      <c r="V32" s="56">
        <v>906.25</v>
      </c>
      <c r="W32" s="56" t="s">
        <v>149</v>
      </c>
      <c r="X32" s="292"/>
    </row>
    <row r="33" spans="2:24" s="227" customFormat="1" ht="17.399999999999999" x14ac:dyDescent="0.35">
      <c r="B33" s="21" t="s">
        <v>145</v>
      </c>
      <c r="J33" s="257"/>
      <c r="K33" s="229"/>
      <c r="L33" s="245"/>
      <c r="M33" s="14"/>
      <c r="N33" s="245">
        <v>20000</v>
      </c>
      <c r="O33" s="12">
        <f t="shared" si="8"/>
        <v>0</v>
      </c>
      <c r="P33" s="36" t="s">
        <v>168</v>
      </c>
      <c r="Q33" s="39"/>
      <c r="S33" s="237"/>
      <c r="T33" s="251"/>
      <c r="U33" s="56"/>
      <c r="V33" s="56">
        <f>V32*20%</f>
        <v>181.25</v>
      </c>
      <c r="W33" s="292" t="s">
        <v>150</v>
      </c>
      <c r="X33" s="56"/>
    </row>
    <row r="34" spans="2:24" s="227" customFormat="1" ht="17.399999999999999" x14ac:dyDescent="0.35">
      <c r="B34" s="21" t="s">
        <v>161</v>
      </c>
      <c r="C34"/>
      <c r="D34"/>
      <c r="E34"/>
      <c r="F34"/>
      <c r="J34" s="257"/>
      <c r="K34" s="229"/>
      <c r="L34" s="245"/>
      <c r="M34" s="14">
        <v>1</v>
      </c>
      <c r="N34" s="245">
        <v>25000</v>
      </c>
      <c r="O34" s="12">
        <f t="shared" si="8"/>
        <v>25000</v>
      </c>
      <c r="P34" s="14" t="s">
        <v>167</v>
      </c>
      <c r="Q34" s="17"/>
      <c r="S34" s="235"/>
      <c r="T34" s="251"/>
      <c r="U34" s="56"/>
      <c r="V34" s="56">
        <f>V32+V33</f>
        <v>1087.5</v>
      </c>
      <c r="W34" s="292" t="s">
        <v>151</v>
      </c>
      <c r="X34" s="56"/>
    </row>
    <row r="35" spans="2:24" s="227" customFormat="1" ht="17.399999999999999" x14ac:dyDescent="0.35">
      <c r="B35" s="26" t="s">
        <v>123</v>
      </c>
      <c r="C35"/>
      <c r="D35"/>
      <c r="E35"/>
      <c r="F35" s="226" t="s">
        <v>15</v>
      </c>
      <c r="J35" s="257"/>
      <c r="K35" s="255">
        <v>30840</v>
      </c>
      <c r="L35" s="245"/>
      <c r="M35" s="244"/>
      <c r="N35" s="245">
        <v>900</v>
      </c>
      <c r="O35" s="12">
        <f t="shared" si="8"/>
        <v>0</v>
      </c>
      <c r="P35" s="14" t="s">
        <v>31</v>
      </c>
      <c r="Q35" s="14"/>
      <c r="R35" s="227">
        <v>1.52</v>
      </c>
      <c r="S35" s="235"/>
      <c r="T35" s="235"/>
    </row>
    <row r="36" spans="2:24" s="227" customFormat="1" ht="17.399999999999999" x14ac:dyDescent="0.35">
      <c r="J36" s="282"/>
      <c r="K36" s="255">
        <f>K35/1.19</f>
        <v>25915.966386554624</v>
      </c>
      <c r="L36" s="245"/>
      <c r="M36" s="261"/>
      <c r="N36" s="12">
        <v>1500</v>
      </c>
      <c r="O36" s="12">
        <f t="shared" si="8"/>
        <v>0</v>
      </c>
      <c r="P36" s="14" t="s">
        <v>22</v>
      </c>
      <c r="Q36" s="14"/>
      <c r="R36">
        <v>2.44</v>
      </c>
      <c r="S36"/>
      <c r="T36" s="235"/>
      <c r="X36" s="228"/>
    </row>
    <row r="37" spans="2:24" s="227" customFormat="1" ht="17.399999999999999" x14ac:dyDescent="0.35">
      <c r="K37" s="255"/>
      <c r="L37" s="245"/>
      <c r="M37" s="14"/>
      <c r="N37" s="12"/>
      <c r="O37" s="12">
        <f>SUM(O31:O36)</f>
        <v>52569.599999999999</v>
      </c>
      <c r="P37" s="36" t="s">
        <v>23</v>
      </c>
      <c r="Q37" s="14"/>
      <c r="R37">
        <f>R35*R36</f>
        <v>3.7088000000000001</v>
      </c>
      <c r="S37"/>
      <c r="T37" s="235"/>
      <c r="X37" s="228"/>
    </row>
    <row r="38" spans="2:24" s="227" customFormat="1" ht="17.399999999999999" x14ac:dyDescent="0.35">
      <c r="L38" s="245"/>
      <c r="M38" s="249" t="s">
        <v>32</v>
      </c>
      <c r="N38" s="12"/>
      <c r="O38" s="250">
        <f>O37*2.1</f>
        <v>110396.16</v>
      </c>
      <c r="P38" s="14" t="s">
        <v>137</v>
      </c>
      <c r="Q38" s="14"/>
      <c r="R38" s="37">
        <f>P29/R37</f>
        <v>0.78817946505608283</v>
      </c>
      <c r="S38"/>
      <c r="T38" s="252"/>
    </row>
    <row r="39" spans="2:24" s="227" customFormat="1" ht="17.399999999999999" x14ac:dyDescent="0.35">
      <c r="G39"/>
      <c r="H39" s="255"/>
      <c r="I39" s="255"/>
      <c r="J39" s="255"/>
      <c r="L39" s="245"/>
      <c r="M39" s="14"/>
      <c r="N39" s="12"/>
      <c r="O39" s="12">
        <f>O38/P27</f>
        <v>45318.620689655174</v>
      </c>
      <c r="P39" s="42" t="s">
        <v>24</v>
      </c>
      <c r="Q39" s="14"/>
      <c r="R39" s="14"/>
      <c r="S39"/>
      <c r="T39" s="235"/>
      <c r="U39" s="56" t="s">
        <v>152</v>
      </c>
      <c r="V39" s="287">
        <v>43650</v>
      </c>
    </row>
    <row r="40" spans="2:24" s="227" customFormat="1" ht="17.399999999999999" x14ac:dyDescent="0.35">
      <c r="G40"/>
      <c r="L40" s="245"/>
      <c r="M40" s="13"/>
      <c r="N40" s="14"/>
      <c r="O40" s="17">
        <f>O38/O37</f>
        <v>2.1</v>
      </c>
      <c r="P40" s="15"/>
      <c r="Q40"/>
      <c r="R40"/>
      <c r="S40"/>
      <c r="T40" s="235"/>
      <c r="U40" s="56" t="s">
        <v>154</v>
      </c>
      <c r="V40" s="288" t="s">
        <v>153</v>
      </c>
      <c r="W40" s="56">
        <v>2.4</v>
      </c>
    </row>
    <row r="41" spans="2:24" s="227" customFormat="1" ht="17.399999999999999" x14ac:dyDescent="0.35">
      <c r="D41" s="279"/>
      <c r="E41" s="279"/>
      <c r="F41" s="278"/>
      <c r="G41" s="321"/>
      <c r="H41" s="320"/>
      <c r="L41" s="12"/>
      <c r="T41" s="235"/>
      <c r="U41" s="56" t="s">
        <v>155</v>
      </c>
      <c r="V41" s="289">
        <v>395.37</v>
      </c>
    </row>
    <row r="42" spans="2:24" s="227" customFormat="1" ht="17.399999999999999" x14ac:dyDescent="0.35">
      <c r="B42"/>
      <c r="C42" s="225"/>
      <c r="D42" s="279"/>
      <c r="E42" s="279"/>
      <c r="F42" s="278"/>
      <c r="G42" s="321"/>
      <c r="H42" s="320"/>
      <c r="L42" s="12"/>
      <c r="T42" s="235"/>
      <c r="U42" s="56" t="s">
        <v>150</v>
      </c>
      <c r="V42" s="56">
        <v>474.45</v>
      </c>
    </row>
    <row r="43" spans="2:24" ht="14.4" customHeight="1" x14ac:dyDescent="0.35">
      <c r="D43" s="279"/>
      <c r="E43" s="279"/>
      <c r="F43" s="278"/>
      <c r="G43" s="321"/>
      <c r="H43" s="320"/>
      <c r="L43" s="12"/>
      <c r="U43" s="56"/>
      <c r="V43" s="56"/>
    </row>
    <row r="44" spans="2:24" ht="17.399999999999999" x14ac:dyDescent="0.35">
      <c r="D44" s="279"/>
      <c r="E44" s="279"/>
      <c r="F44" s="278"/>
      <c r="G44" s="321"/>
      <c r="H44" s="320"/>
      <c r="L44" s="245"/>
    </row>
    <row r="45" spans="2:24" ht="17.399999999999999" x14ac:dyDescent="0.35">
      <c r="D45" s="279"/>
      <c r="E45" s="279"/>
      <c r="F45" s="278"/>
      <c r="G45" s="321"/>
      <c r="H45" s="320"/>
      <c r="L45" s="245"/>
      <c r="T45" s="265"/>
    </row>
    <row r="46" spans="2:24" ht="17.399999999999999" x14ac:dyDescent="0.35">
      <c r="D46" s="279"/>
      <c r="E46" s="279"/>
      <c r="F46" s="278"/>
      <c r="G46" s="321"/>
      <c r="H46" s="320"/>
      <c r="L46" s="245"/>
    </row>
    <row r="47" spans="2:24" ht="15" customHeight="1" x14ac:dyDescent="0.35">
      <c r="D47" s="279"/>
      <c r="E47" s="279"/>
      <c r="F47" s="278"/>
      <c r="G47" s="321"/>
      <c r="H47" s="320"/>
    </row>
    <row r="48" spans="2:24" ht="17.399999999999999" x14ac:dyDescent="0.35">
      <c r="D48" s="279"/>
      <c r="E48" s="279"/>
      <c r="F48" s="278"/>
      <c r="G48" s="321"/>
      <c r="H48" s="320"/>
    </row>
    <row r="49" spans="4:20" ht="17.399999999999999" x14ac:dyDescent="0.35">
      <c r="D49" s="279"/>
      <c r="E49" s="279"/>
      <c r="F49" s="278"/>
      <c r="G49" s="321"/>
      <c r="H49" s="320"/>
      <c r="O49">
        <v>40935</v>
      </c>
      <c r="P49" t="s">
        <v>16</v>
      </c>
      <c r="Q49" t="s">
        <v>26</v>
      </c>
    </row>
    <row r="50" spans="4:20" ht="17.399999999999999" x14ac:dyDescent="0.35">
      <c r="D50" s="279"/>
      <c r="E50" s="279"/>
      <c r="F50" s="278"/>
      <c r="G50" s="321"/>
      <c r="H50" s="320"/>
    </row>
    <row r="51" spans="4:20" ht="17.399999999999999" x14ac:dyDescent="0.35">
      <c r="D51" s="279"/>
      <c r="E51" s="279"/>
      <c r="F51" s="278"/>
      <c r="G51" s="321"/>
      <c r="H51" s="320"/>
      <c r="O51" s="51"/>
      <c r="P51" s="51"/>
    </row>
    <row r="52" spans="4:20" ht="17.399999999999999" x14ac:dyDescent="0.35">
      <c r="D52" s="279"/>
      <c r="E52" s="279"/>
      <c r="F52" s="278"/>
      <c r="G52" s="321"/>
      <c r="H52" s="320"/>
      <c r="S52" s="18"/>
      <c r="T52" s="18"/>
    </row>
    <row r="53" spans="4:20" ht="17.399999999999999" x14ac:dyDescent="0.35">
      <c r="D53" s="279"/>
      <c r="E53" s="279"/>
      <c r="F53" s="278"/>
      <c r="G53" s="321"/>
      <c r="H53" s="320"/>
      <c r="S53" s="18"/>
      <c r="T53" s="18"/>
    </row>
    <row r="54" spans="4:20" ht="17.399999999999999" x14ac:dyDescent="0.35">
      <c r="D54" s="279"/>
      <c r="E54" s="279"/>
      <c r="F54" s="278"/>
      <c r="G54" s="321"/>
      <c r="H54" s="320"/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3" spans="4:20" x14ac:dyDescent="0.3">
      <c r="O63" s="40"/>
    </row>
    <row r="64" spans="4:20" x14ac:dyDescent="0.3">
      <c r="O64" s="40"/>
    </row>
    <row r="65" spans="15:15" x14ac:dyDescent="0.3">
      <c r="O65" s="6"/>
    </row>
    <row r="66" spans="15:15" x14ac:dyDescent="0.3">
      <c r="O66" s="6"/>
    </row>
    <row r="155" spans="3:3" x14ac:dyDescent="0.3">
      <c r="C155" t="s">
        <v>142</v>
      </c>
    </row>
    <row r="156" spans="3:3" x14ac:dyDescent="0.3">
      <c r="C156" t="s">
        <v>143</v>
      </c>
    </row>
    <row r="157" spans="3:3" x14ac:dyDescent="0.3">
      <c r="C157" t="s">
        <v>144</v>
      </c>
    </row>
    <row r="582" spans="3:3" x14ac:dyDescent="0.3">
      <c r="C582" t="s">
        <v>142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A15" sqref="A15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104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45936</v>
      </c>
    </row>
    <row r="6" spans="1:31" ht="16.2" thickBot="1" x14ac:dyDescent="0.35">
      <c r="B6" s="137" t="s">
        <v>2</v>
      </c>
      <c r="C6" s="136" t="str">
        <f>'2229'!C10</f>
        <v>JUAN ZURA</v>
      </c>
      <c r="D6" s="135"/>
      <c r="E6" s="135"/>
      <c r="F6" s="135"/>
      <c r="N6" s="72" t="s">
        <v>103</v>
      </c>
      <c r="O6" s="72"/>
      <c r="P6" s="139" t="s">
        <v>102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0" t="s">
        <v>97</v>
      </c>
      <c r="I7" s="341"/>
      <c r="J7" s="341"/>
      <c r="K7" s="342"/>
      <c r="N7" s="72"/>
      <c r="O7" s="339" t="s">
        <v>101</v>
      </c>
      <c r="P7" s="138" t="s">
        <v>100</v>
      </c>
      <c r="Q7" s="138"/>
    </row>
    <row r="8" spans="1:31" ht="16.2" thickBot="1" x14ac:dyDescent="0.35">
      <c r="B8" s="137" t="s">
        <v>99</v>
      </c>
      <c r="C8" s="136" t="str">
        <f>'2229'!D8</f>
        <v>N° 11683</v>
      </c>
      <c r="D8" s="135"/>
      <c r="E8" s="135"/>
      <c r="F8" s="135"/>
      <c r="H8" s="179" t="s">
        <v>116</v>
      </c>
      <c r="I8" s="151" t="s">
        <v>115</v>
      </c>
      <c r="J8" s="224" t="s">
        <v>94</v>
      </c>
      <c r="K8" s="132" t="s">
        <v>6</v>
      </c>
      <c r="L8" s="131" t="s">
        <v>6</v>
      </c>
      <c r="N8" s="72"/>
      <c r="O8" s="339"/>
      <c r="P8" s="72" t="s">
        <v>98</v>
      </c>
      <c r="Q8" s="72"/>
      <c r="X8">
        <f>SUM(Q11:Q16)</f>
        <v>6</v>
      </c>
    </row>
    <row r="9" spans="1:31" ht="15" thickBot="1" x14ac:dyDescent="0.35">
      <c r="H9" s="194" t="s">
        <v>95</v>
      </c>
      <c r="I9" s="195" t="s">
        <v>114</v>
      </c>
      <c r="J9" s="180" t="s">
        <v>91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6647.9056026570033</v>
      </c>
    </row>
    <row r="10" spans="1:31" ht="16.2" thickBot="1" x14ac:dyDescent="0.35">
      <c r="D10" s="215" t="s">
        <v>28</v>
      </c>
      <c r="E10" s="216" t="s">
        <v>50</v>
      </c>
      <c r="F10" s="217" t="s">
        <v>6</v>
      </c>
      <c r="H10" s="187">
        <v>0</v>
      </c>
      <c r="I10" s="201">
        <v>350</v>
      </c>
      <c r="J10" s="198" t="s">
        <v>31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92</v>
      </c>
      <c r="D11" s="130">
        <f>'2229'!H25</f>
        <v>110396</v>
      </c>
      <c r="E11" s="129">
        <f>D11*0.19</f>
        <v>20975.24</v>
      </c>
      <c r="F11" s="128">
        <f>E11+D11</f>
        <v>131371.24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34</v>
      </c>
      <c r="S11" s="48">
        <v>2.8</v>
      </c>
      <c r="T11" s="48">
        <v>0.62</v>
      </c>
      <c r="U11" s="7" t="s">
        <v>37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112637.905602657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96</v>
      </c>
      <c r="D12" s="133">
        <f>SUM(M43:M45)</f>
        <v>100188.95574396134</v>
      </c>
      <c r="F12" s="58"/>
      <c r="H12" s="188">
        <v>0</v>
      </c>
      <c r="I12" s="171">
        <v>7500</v>
      </c>
      <c r="J12" s="147" t="s">
        <v>110</v>
      </c>
      <c r="K12" s="155">
        <f t="shared" si="0"/>
        <v>0</v>
      </c>
      <c r="L12" s="58"/>
      <c r="Q12" s="7">
        <v>1</v>
      </c>
      <c r="R12" s="7" t="s">
        <v>34</v>
      </c>
      <c r="S12" s="48">
        <v>2.2999999999999998</v>
      </c>
      <c r="T12" s="48">
        <v>0.62</v>
      </c>
      <c r="U12" s="7" t="s">
        <v>37</v>
      </c>
      <c r="V12" s="52">
        <v>87990</v>
      </c>
      <c r="W12" s="46">
        <f t="shared" si="1"/>
        <v>87990</v>
      </c>
      <c r="X12" s="173">
        <f t="shared" si="2"/>
        <v>94637.905602657003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90</v>
      </c>
      <c r="D13" s="214">
        <f>D11-D12</f>
        <v>10207.044256038658</v>
      </c>
      <c r="E13" s="218">
        <f>(D11/D12)-1</f>
        <v>0.10187793834405601</v>
      </c>
      <c r="H13" s="188">
        <v>0</v>
      </c>
      <c r="I13" s="171">
        <v>50</v>
      </c>
      <c r="J13" s="147" t="s">
        <v>111</v>
      </c>
      <c r="K13" s="155">
        <f t="shared" si="0"/>
        <v>0</v>
      </c>
      <c r="L13" s="58"/>
      <c r="Q13" s="7">
        <v>1</v>
      </c>
      <c r="R13" s="7" t="s">
        <v>34</v>
      </c>
      <c r="S13" s="48">
        <v>2.0299999999999998</v>
      </c>
      <c r="T13" s="48">
        <v>0.62</v>
      </c>
      <c r="U13" s="7" t="s">
        <v>37</v>
      </c>
      <c r="V13" s="52">
        <v>78990</v>
      </c>
      <c r="W13" s="46">
        <f t="shared" si="1"/>
        <v>78990</v>
      </c>
      <c r="X13" s="173">
        <f t="shared" si="2"/>
        <v>85637.905602657003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121</v>
      </c>
      <c r="E14" s="176" t="s">
        <v>28</v>
      </c>
      <c r="F14" s="175" t="s">
        <v>109</v>
      </c>
      <c r="H14" s="188">
        <v>0</v>
      </c>
      <c r="I14" s="171">
        <v>50</v>
      </c>
      <c r="J14" s="147" t="s">
        <v>112</v>
      </c>
      <c r="K14" s="155">
        <f t="shared" si="0"/>
        <v>0</v>
      </c>
      <c r="L14" s="58"/>
      <c r="P14" s="123"/>
      <c r="Q14" s="7">
        <v>1</v>
      </c>
      <c r="R14" s="7" t="s">
        <v>34</v>
      </c>
      <c r="S14" s="48">
        <v>1.08</v>
      </c>
      <c r="T14" s="48">
        <v>0.62</v>
      </c>
      <c r="U14" s="7" t="s">
        <v>37</v>
      </c>
      <c r="V14" s="52">
        <v>39990</v>
      </c>
      <c r="W14" s="46">
        <f t="shared" si="1"/>
        <v>39990</v>
      </c>
      <c r="X14" s="173">
        <f t="shared" si="2"/>
        <v>46637.905602657003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178837.286002971</v>
      </c>
      <c r="C15" s="210" t="s">
        <v>120</v>
      </c>
      <c r="D15" s="211">
        <v>0.5</v>
      </c>
      <c r="E15" s="212">
        <f>(100%+D15)*D12</f>
        <v>150283.43361594202</v>
      </c>
      <c r="F15" s="213">
        <f>E15-D12</f>
        <v>50094.477871980678</v>
      </c>
      <c r="H15" s="188">
        <v>0</v>
      </c>
      <c r="I15" s="171">
        <v>10</v>
      </c>
      <c r="J15" s="147" t="s">
        <v>113</v>
      </c>
      <c r="K15" s="155">
        <f t="shared" si="0"/>
        <v>0</v>
      </c>
      <c r="L15" s="58"/>
      <c r="Q15" s="7">
        <v>1</v>
      </c>
      <c r="R15" s="7" t="s">
        <v>34</v>
      </c>
      <c r="S15" s="48">
        <v>1.08</v>
      </c>
      <c r="T15" s="48">
        <v>0.62</v>
      </c>
      <c r="U15" s="7" t="s">
        <v>37</v>
      </c>
      <c r="V15" s="52">
        <v>39990</v>
      </c>
      <c r="W15" s="46">
        <f t="shared" si="1"/>
        <v>39990</v>
      </c>
      <c r="X15" s="173">
        <f t="shared" si="2"/>
        <v>46637.905602657003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89</v>
      </c>
      <c r="K16" s="155">
        <f t="shared" si="0"/>
        <v>0</v>
      </c>
      <c r="L16" s="58"/>
      <c r="Q16" s="7">
        <v>1</v>
      </c>
      <c r="R16" s="7" t="s">
        <v>34</v>
      </c>
      <c r="S16" s="48">
        <v>2.06</v>
      </c>
      <c r="T16" s="48">
        <v>0.62</v>
      </c>
      <c r="U16" s="7" t="s">
        <v>37</v>
      </c>
      <c r="V16" s="52">
        <v>79990</v>
      </c>
      <c r="W16" s="46">
        <f t="shared" si="1"/>
        <v>79990</v>
      </c>
      <c r="X16" s="173">
        <f t="shared" si="2"/>
        <v>86637.905602657003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87</v>
      </c>
      <c r="C17" s="126" t="s">
        <v>86</v>
      </c>
      <c r="D17" s="126" t="s">
        <v>28</v>
      </c>
      <c r="E17" s="125" t="s">
        <v>50</v>
      </c>
      <c r="F17" s="124" t="s">
        <v>6</v>
      </c>
      <c r="H17" s="190">
        <v>1</v>
      </c>
      <c r="I17" s="199"/>
      <c r="J17" s="185" t="s">
        <v>88</v>
      </c>
      <c r="K17" s="155">
        <f t="shared" si="0"/>
        <v>0</v>
      </c>
      <c r="L17" s="58"/>
      <c r="Q17" s="7">
        <v>6</v>
      </c>
      <c r="R17" s="7" t="s">
        <v>35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84</v>
      </c>
      <c r="D18" s="119">
        <f>'2229'!O33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85</v>
      </c>
      <c r="K18" s="155">
        <f t="shared" si="0"/>
        <v>0</v>
      </c>
      <c r="L18" s="58"/>
      <c r="Q18" s="7">
        <v>1</v>
      </c>
      <c r="R18" s="53" t="s">
        <v>36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30</v>
      </c>
      <c r="D19" s="119">
        <f>'2229'!O32</f>
        <v>18800</v>
      </c>
      <c r="E19" s="120">
        <f>D19*0.19</f>
        <v>3572</v>
      </c>
      <c r="F19" s="117">
        <f>SUM(D19:E19)</f>
        <v>22372</v>
      </c>
      <c r="H19" s="189">
        <v>1</v>
      </c>
      <c r="I19" s="199"/>
      <c r="J19" s="181" t="s">
        <v>83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'2229'!O31</f>
        <v>8769.6</v>
      </c>
      <c r="E20" s="118">
        <f>D20*0.19</f>
        <v>1666.2240000000002</v>
      </c>
      <c r="F20" s="117">
        <f>SUM(D20:E20)</f>
        <v>10435.824000000001</v>
      </c>
      <c r="H20" s="189">
        <v>1</v>
      </c>
      <c r="I20" s="199"/>
      <c r="J20" s="181" t="s">
        <v>82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27569.599999999999</v>
      </c>
      <c r="E21" s="113">
        <f>SUM(E18:E20)</f>
        <v>5238.2240000000002</v>
      </c>
      <c r="F21" s="112">
        <f>SUM(F18:F20)</f>
        <v>32807.824000000001</v>
      </c>
      <c r="H21" s="189">
        <v>1</v>
      </c>
      <c r="I21" s="199"/>
      <c r="J21" s="181" t="s">
        <v>81</v>
      </c>
      <c r="K21" s="155">
        <f t="shared" si="0"/>
        <v>0</v>
      </c>
      <c r="M21" s="150">
        <f>B32/9</f>
        <v>2318.840579710145</v>
      </c>
      <c r="Q21" s="47" t="s">
        <v>38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79</v>
      </c>
      <c r="C22" s="110" t="s">
        <v>78</v>
      </c>
      <c r="D22" s="109" t="s">
        <v>77</v>
      </c>
      <c r="E22" s="108" t="s">
        <v>76</v>
      </c>
      <c r="F22" s="107" t="s">
        <v>6</v>
      </c>
      <c r="H22" s="189">
        <v>1</v>
      </c>
      <c r="I22" s="199"/>
      <c r="J22" s="145" t="s">
        <v>80</v>
      </c>
      <c r="K22" s="155">
        <f t="shared" si="0"/>
        <v>0</v>
      </c>
      <c r="M22" s="102"/>
      <c r="N22" s="55"/>
      <c r="Q22" s="47" t="s">
        <v>33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0.7</v>
      </c>
      <c r="F23" s="104">
        <f t="shared" ref="F23:F32" si="4">D23*E23</f>
        <v>1826.086956521739</v>
      </c>
      <c r="H23" s="191">
        <v>1</v>
      </c>
      <c r="I23" s="200"/>
      <c r="J23" s="182" t="s">
        <v>75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73</v>
      </c>
      <c r="D24" s="97">
        <f t="shared" si="3"/>
        <v>2608.695652173913</v>
      </c>
      <c r="E24" s="96">
        <v>0.7</v>
      </c>
      <c r="F24" s="95">
        <f t="shared" si="4"/>
        <v>1826.086956521739</v>
      </c>
      <c r="H24" s="148" t="s">
        <v>116</v>
      </c>
      <c r="I24" s="152" t="s">
        <v>114</v>
      </c>
      <c r="J24" s="178" t="s">
        <v>74</v>
      </c>
      <c r="K24" s="149" t="s">
        <v>93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72</v>
      </c>
      <c r="D25" s="97">
        <f t="shared" si="3"/>
        <v>4637.68115942029</v>
      </c>
      <c r="E25" s="96"/>
      <c r="F25" s="95">
        <f t="shared" si="4"/>
        <v>0</v>
      </c>
      <c r="H25" s="206">
        <v>1</v>
      </c>
      <c r="I25" s="201">
        <f>((480000/23)/9)</f>
        <v>2318.840579710145</v>
      </c>
      <c r="J25" s="184" t="s">
        <v>107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70</v>
      </c>
      <c r="D26" s="97">
        <f t="shared" si="3"/>
        <v>2173.913043478261</v>
      </c>
      <c r="E26" s="96">
        <v>0.3</v>
      </c>
      <c r="F26" s="95">
        <f t="shared" si="4"/>
        <v>652.17391304347825</v>
      </c>
      <c r="H26" s="189">
        <v>2</v>
      </c>
      <c r="I26" s="171">
        <v>1300</v>
      </c>
      <c r="J26" s="181" t="s">
        <v>71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69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68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67</v>
      </c>
      <c r="D28" s="97">
        <f t="shared" si="3"/>
        <v>1690.8212560386473</v>
      </c>
      <c r="E28" s="96">
        <v>1.5</v>
      </c>
      <c r="F28" s="95">
        <f t="shared" si="4"/>
        <v>2536.231884057971</v>
      </c>
      <c r="H28" s="189">
        <v>0</v>
      </c>
      <c r="I28" s="171"/>
      <c r="J28" s="181" t="s">
        <v>105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66</v>
      </c>
      <c r="D29" s="97">
        <f t="shared" si="3"/>
        <v>2415.4589371980674</v>
      </c>
      <c r="E29" s="96">
        <v>3</v>
      </c>
      <c r="F29" s="95">
        <f t="shared" si="4"/>
        <v>7246.3768115942021</v>
      </c>
      <c r="H29" s="188">
        <v>0</v>
      </c>
      <c r="I29" s="171">
        <f>((550000*1.2)/23)/9</f>
        <v>3188.4057971014495</v>
      </c>
      <c r="J29" s="147" t="s">
        <v>117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118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64</v>
      </c>
      <c r="D31" s="97">
        <f>B31/9</f>
        <v>2173.913043478261</v>
      </c>
      <c r="E31" s="96">
        <v>3</v>
      </c>
      <c r="F31" s="95">
        <f t="shared" si="4"/>
        <v>6521.739130434783</v>
      </c>
      <c r="H31" s="188">
        <v>0</v>
      </c>
      <c r="I31" s="171">
        <f>((450000*1.2)/23)/9</f>
        <v>2608.695652173913</v>
      </c>
      <c r="J31" s="147" t="s">
        <v>119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63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40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9.6999999999999993</v>
      </c>
      <c r="F33" s="82">
        <f>SUM(F23:F32)</f>
        <v>21768.115942028984</v>
      </c>
      <c r="H33" s="192">
        <v>0</v>
      </c>
      <c r="I33" s="171"/>
      <c r="J33" s="183" t="s">
        <v>39</v>
      </c>
      <c r="K33" s="94">
        <f t="shared" si="5"/>
        <v>0</v>
      </c>
    </row>
    <row r="34" spans="2:16" ht="15" thickBot="1" x14ac:dyDescent="0.35">
      <c r="B34" s="80" t="s">
        <v>62</v>
      </c>
      <c r="C34" s="79" t="s">
        <v>61</v>
      </c>
      <c r="D34" s="78">
        <f>L9</f>
        <v>0</v>
      </c>
      <c r="H34" s="189">
        <v>1</v>
      </c>
      <c r="I34" s="171"/>
      <c r="J34" s="145" t="s">
        <v>106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60</v>
      </c>
      <c r="D35" s="75">
        <f>L24</f>
        <v>4918.840579710145</v>
      </c>
      <c r="H35" s="191">
        <v>6</v>
      </c>
      <c r="I35" s="203"/>
      <c r="J35" s="177" t="s">
        <v>108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58</v>
      </c>
      <c r="D36" s="75">
        <f>L36</f>
        <v>45932.399222222215</v>
      </c>
      <c r="E36" s="55"/>
      <c r="H36" s="148" t="s">
        <v>95</v>
      </c>
      <c r="I36" s="152" t="s">
        <v>114</v>
      </c>
      <c r="J36" s="186" t="s">
        <v>65</v>
      </c>
      <c r="K36" s="149" t="s">
        <v>93</v>
      </c>
      <c r="L36" s="205">
        <f>SUM(K37:K39)</f>
        <v>45932.399222222215</v>
      </c>
      <c r="N36" s="62"/>
    </row>
    <row r="37" spans="2:16" ht="15" thickBot="1" x14ac:dyDescent="0.35">
      <c r="B37" s="72"/>
      <c r="C37" s="71" t="s">
        <v>41</v>
      </c>
      <c r="D37" s="70"/>
      <c r="H37" s="196">
        <f>$E$33</f>
        <v>9.6999999999999993</v>
      </c>
      <c r="I37" s="201">
        <f>32609.69/9</f>
        <v>3623.2988888888885</v>
      </c>
      <c r="J37" s="184" t="s">
        <v>44</v>
      </c>
      <c r="K37" s="146">
        <f>I37*H37</f>
        <v>35145.999222222214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50851.239801932359</v>
      </c>
      <c r="H38" s="193">
        <f>$E$33</f>
        <v>9.6999999999999993</v>
      </c>
      <c r="I38" s="171">
        <v>967</v>
      </c>
      <c r="J38" s="181" t="s">
        <v>42</v>
      </c>
      <c r="K38" s="86">
        <f>I38*H38</f>
        <v>9379.9</v>
      </c>
    </row>
    <row r="39" spans="2:16" ht="15" thickBot="1" x14ac:dyDescent="0.35">
      <c r="H39" s="197">
        <f>$E$33</f>
        <v>9.6999999999999993</v>
      </c>
      <c r="I39" s="203">
        <v>145</v>
      </c>
      <c r="J39" s="182" t="s">
        <v>43</v>
      </c>
      <c r="K39" s="81">
        <f>I39*H39</f>
        <v>1406.5</v>
      </c>
    </row>
    <row r="40" spans="2:16" ht="15" thickBot="1" x14ac:dyDescent="0.35">
      <c r="B40" s="65" t="s">
        <v>51</v>
      </c>
      <c r="C40" s="64" t="s">
        <v>50</v>
      </c>
      <c r="D40" s="63">
        <f>E11-E21</f>
        <v>15737.016000000001</v>
      </c>
    </row>
    <row r="41" spans="2:16" ht="15" thickBot="1" x14ac:dyDescent="0.35">
      <c r="H41" s="343" t="s">
        <v>59</v>
      </c>
      <c r="I41" s="344"/>
      <c r="J41" s="344"/>
      <c r="K41" s="344"/>
      <c r="L41" s="344"/>
      <c r="M41" s="345"/>
    </row>
    <row r="42" spans="2:16" ht="15" thickBot="1" x14ac:dyDescent="0.35">
      <c r="B42" s="72" t="s">
        <v>45</v>
      </c>
      <c r="C42" s="72"/>
      <c r="D42" s="204">
        <f>E33</f>
        <v>9.6999999999999993</v>
      </c>
      <c r="H42" s="74" t="s">
        <v>57</v>
      </c>
      <c r="I42" s="156" t="s">
        <v>56</v>
      </c>
      <c r="J42" s="157"/>
      <c r="K42" s="157"/>
      <c r="L42" s="158"/>
      <c r="M42" s="73">
        <f>D11</f>
        <v>110396</v>
      </c>
    </row>
    <row r="43" spans="2:16" ht="15" thickBot="1" x14ac:dyDescent="0.35">
      <c r="D43" s="54"/>
      <c r="H43" s="69" t="s">
        <v>55</v>
      </c>
      <c r="I43" s="159" t="s">
        <v>54</v>
      </c>
      <c r="J43" s="160"/>
      <c r="K43" s="160"/>
      <c r="L43" s="161"/>
      <c r="M43" s="61">
        <f>D21</f>
        <v>27569.599999999999</v>
      </c>
    </row>
    <row r="44" spans="2:16" x14ac:dyDescent="0.3">
      <c r="D44" s="54"/>
      <c r="I44" s="162" t="s">
        <v>53</v>
      </c>
      <c r="J44" s="163"/>
      <c r="K44" s="163"/>
      <c r="L44" s="164"/>
      <c r="M44" s="66">
        <f>F33</f>
        <v>21768.115942028984</v>
      </c>
    </row>
    <row r="45" spans="2:16" ht="15" thickBot="1" x14ac:dyDescent="0.35">
      <c r="D45" s="57"/>
      <c r="I45" s="165" t="s">
        <v>52</v>
      </c>
      <c r="J45" s="166"/>
      <c r="K45" s="166"/>
      <c r="L45" s="167"/>
      <c r="M45" s="60">
        <f>D38</f>
        <v>50851.239801932359</v>
      </c>
    </row>
    <row r="46" spans="2:16" ht="15" thickBot="1" x14ac:dyDescent="0.35">
      <c r="D46" s="57"/>
      <c r="I46" s="168" t="s">
        <v>49</v>
      </c>
      <c r="J46" s="169"/>
      <c r="K46" s="169"/>
      <c r="L46" s="170"/>
      <c r="M46" s="59">
        <f>M42-(SUM(M43:M45))</f>
        <v>10207.044256038658</v>
      </c>
    </row>
    <row r="47" spans="2:16" x14ac:dyDescent="0.3">
      <c r="I47" s="159" t="s">
        <v>48</v>
      </c>
      <c r="J47" s="160"/>
      <c r="K47" s="160"/>
      <c r="L47" s="161"/>
      <c r="M47" s="61"/>
    </row>
    <row r="48" spans="2:16" ht="15" thickBot="1" x14ac:dyDescent="0.35">
      <c r="D48" s="57"/>
      <c r="I48" s="165" t="s">
        <v>47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46</v>
      </c>
      <c r="J49" s="169"/>
      <c r="K49" s="169"/>
      <c r="L49" s="170"/>
      <c r="M49" s="59">
        <f>M46-SUM(M47:M48)</f>
        <v>10207.044256038658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2025-10-01T12:06:58Z</cp:lastPrinted>
  <dcterms:created xsi:type="dcterms:W3CDTF">2013-03-18T13:35:42Z</dcterms:created>
  <dcterms:modified xsi:type="dcterms:W3CDTF">2025-10-06T23:17:02Z</dcterms:modified>
</cp:coreProperties>
</file>