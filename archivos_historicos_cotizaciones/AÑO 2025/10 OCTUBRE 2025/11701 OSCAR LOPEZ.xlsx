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320FD394-EB02-49B4-AB68-EC9304EC59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1" i="1" l="1"/>
  <c r="H22" i="1"/>
  <c r="H23" i="1"/>
  <c r="H24" i="1"/>
  <c r="H25" i="1"/>
  <c r="L22" i="1"/>
  <c r="L23" i="1"/>
  <c r="L24" i="1"/>
  <c r="L25" i="1"/>
  <c r="L21" i="1"/>
  <c r="M22" i="1"/>
  <c r="N22" i="1"/>
  <c r="M23" i="1"/>
  <c r="N23" i="1"/>
  <c r="O23" i="1" s="1"/>
  <c r="P23" i="1" s="1"/>
  <c r="M24" i="1"/>
  <c r="N24" i="1"/>
  <c r="M25" i="1"/>
  <c r="N25" i="1"/>
  <c r="J42" i="1"/>
  <c r="J15" i="1"/>
  <c r="J10" i="1"/>
  <c r="O25" i="1" l="1"/>
  <c r="O24" i="1"/>
  <c r="P24" i="1" s="1"/>
  <c r="O22" i="1"/>
  <c r="P22" i="1" s="1"/>
  <c r="P25" i="1"/>
  <c r="N21" i="1"/>
  <c r="M21" i="1" l="1"/>
  <c r="S21" i="1" l="1"/>
  <c r="M29" i="1"/>
  <c r="T21" i="1"/>
  <c r="T28" i="1" s="1"/>
  <c r="S30" i="1"/>
  <c r="O21" i="1"/>
  <c r="P21" i="1" s="1"/>
  <c r="P29" i="1" s="1"/>
  <c r="S31" i="1" l="1"/>
  <c r="S32" i="1" s="1"/>
  <c r="S33" i="1" s="1"/>
  <c r="V36" i="1"/>
  <c r="V37" i="1" s="1"/>
  <c r="O35" i="1" l="1"/>
  <c r="P30" i="1" l="1"/>
  <c r="N20" i="1"/>
  <c r="L20" i="1"/>
  <c r="P31" i="1" l="1"/>
  <c r="P32" i="1" s="1"/>
  <c r="M34" i="1" s="1"/>
  <c r="O36" i="1"/>
  <c r="R40" i="1"/>
  <c r="R41" i="1" l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D20" i="3" l="1"/>
  <c r="E20" i="3" s="1"/>
  <c r="E21" i="3" s="1"/>
  <c r="O42" i="1" l="1"/>
  <c r="Q20" i="1" s="1"/>
  <c r="D21" i="3"/>
  <c r="M43" i="3" s="1"/>
  <c r="D12" i="3" s="1"/>
  <c r="F20" i="3"/>
  <c r="F21" i="3" s="1"/>
  <c r="Q22" i="1" l="1"/>
  <c r="R22" i="1" s="1"/>
  <c r="Q24" i="1"/>
  <c r="R24" i="1" s="1"/>
  <c r="Q23" i="1"/>
  <c r="R23" i="1" s="1"/>
  <c r="Q25" i="1"/>
  <c r="R25" i="1" s="1"/>
  <c r="O43" i="1"/>
  <c r="E15" i="3"/>
  <c r="Q21" i="1" l="1"/>
  <c r="F15" i="3"/>
  <c r="R21" i="1" l="1"/>
  <c r="H21" i="1" l="1"/>
  <c r="H28" i="1" s="1"/>
  <c r="H29" i="1" s="1"/>
  <c r="H30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<sst xmlns="http://schemas.openxmlformats.org/spreadsheetml/2006/main" count="239" uniqueCount="178">
  <si>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</si>
  <si>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</si>
  <si>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</si>
  <si>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</si>
  <si>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</si>
  <si>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</si>
  <si>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</si>
  <si>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</si>
  <si>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</si>
  <si>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</si>
  <si>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</si>
  <si>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</si>
  <si>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</si>
  <si>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</si>
  <si>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</si>
  <si>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</si>
  <si>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</si>
  <si>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</si>
  <si>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</si>
  <si>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</si>
  <si>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</si>
  <si>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</si>
  <si>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</si>
  <si>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</si>
  <si>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</si>
  <si>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</si>
  <si>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</si>
  <si>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</si>
  <si>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</si>
  <si>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</si>
  <si>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</si>
  <si>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</si>
  <si>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</si>
  <si>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</si>
  <si>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</si>
  <si>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</si>
  <si>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</si>
  <si>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</si>
  <si>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</si>
  <si>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</si>
  <si>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</si>
  <si>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</si>
  <si>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</si>
  <si>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</si>
  <si>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</si>
  <si>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</si>
  <si>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</si>
  <si>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</si>
  <si>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</si>
  <si>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</si>
  <si>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</si>
  <si>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</si>
  <si>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</si>
  <si>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</si>
  <si>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</si>
  <si>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</si>
  <si>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</si>
  <si>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</si>
  <si>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</si>
  <si>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</si>
  <si>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</si>
  <si>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</si>
  <si>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</si>
  <si>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</si>
  <si>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</si>
  <si>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</si>
  <si>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</si>
  <si>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</si>
  <si>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</si>
  <si>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</si>
  <si>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</si>
  <si>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</si>
  <si>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</si>
  <si>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</si>
  <si>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</si>
  <si>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</si>
  <si>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</si>
  <si>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</si>
  <si>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</si>
  <si>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</si>
  <si>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</si>
  <si>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</si>
  <si>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</si>
  <si>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</si>
  <si>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</si>
  <si>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</si>
  <si>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</si>
  <si>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</si>
  <si>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</si>
  <si>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</si>
  <si>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</si>
  <si>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</si>
  <si>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</si>
  <si>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</si>
  <si>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</si>
  <si>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</si>
  <si>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</si>
  <si>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</si>
  <si>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</si>
  <si>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</si>
  <si>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</si>
  <si>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</si>
  <si>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</si>
  <si>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</si>
  <si>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</si>
  <si>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</si>
  <si>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</si>
  <si>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</si>
  <si>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</si>
  <si>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</si>
  <si>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</si>
  <si>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</si>
  <si>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</si>
  <si>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</si>
  <si>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</si>
  <si>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</si>
  <si>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</si>
  <si>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</si>
  <si>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</si>
  <si>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</si>
  <si>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</si>
  <si>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</si>
  <si>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</si>
  <si>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</si>
  <si>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</si>
  <si>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</si>
  <si>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</si>
  <si>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</si>
  <si>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</si>
  <si>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</si>
  <si>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</si>
  <si>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</si>
  <si>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</si>
  <si>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</si>
  <si>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</si>
  <si>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</si>
  <si>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</si>
  <si>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</si>
  <si>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</si>
  <si>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</si>
  <si>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</si>
  <si>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</si>
  <si>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</si>
  <si>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</si>
  <si>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</si>
  <si>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</si>
  <si>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</si>
  <si>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</si>
  <si>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</si>
  <si>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</si>
  <si>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</si>
  <si>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</si>
  <si>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</si>
  <si>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</si>
  <si>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</si>
  <si>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</si>
  <si>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</si>
  <si>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</si>
  <si>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</si>
  <si>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</si>
  <si>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</si>
  <si>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</si>
  <si>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</si>
  <si>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</si>
  <si>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</si>
  <si>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</si>
  <si>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</si>
  <si>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</si>
  <si>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</si>
  <si>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N° 11701</t>
  </si>
  <si>
    <t>OSCAR LOPEZ</t>
  </si>
  <si>
    <t>5697150 2245</t>
  </si>
  <si>
    <t>8 DIAS HABILES</t>
  </si>
  <si>
    <t>CUB MESA 90° 3 LADOS</t>
  </si>
  <si>
    <t>CUB CON RESPALDO 90° R6</t>
  </si>
  <si>
    <t>CORNISA FTE ESPAÑOL</t>
  </si>
  <si>
    <t>CEN R6 1 LADO</t>
  </si>
  <si>
    <t>COLOR POR DEFINIR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</si>
</sst>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CON SOBRE MEDIDA EN EL LARGO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zoomScale="93" zoomScaleNormal="93" workbookViewId="0">
      <selection activeCell="K32" sqref="K32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169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170</v>
      </c>
      <c r="D10" s="243"/>
      <c r="E10" s="243"/>
      <c r="F10" s="244" t="s">
        <v>0</v>
      </c>
      <c r="G10" s="276">
        <v>45945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171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129</v>
      </c>
      <c r="G16" s="317" t="s">
        <v>163</v>
      </c>
      <c r="H16" s="248"/>
    </row>
    <row r="17" spans="2:25" ht="15" thickBot="1" x14ac:dyDescent="0.35">
      <c r="B17" s="310" t="s">
        <v>13</v>
      </c>
      <c r="C17" s="311" t="s">
        <v>166</v>
      </c>
      <c r="D17" s="312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O42</f>
        <v>64021.10112766087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29">
        <v>1</v>
      </c>
      <c r="C21" s="329" t="s">
        <v>174</v>
      </c>
      <c r="D21" s="332">
        <v>3.03</v>
      </c>
      <c r="E21" s="332">
        <v>0.5</v>
      </c>
      <c r="F21" s="329" t="s">
        <v>177</v>
      </c>
      <c r="G21" s="330">
        <v>102553</v>
      </c>
      <c r="H21" s="330">
        <f>G21*B21</f>
        <v>102553</v>
      </c>
      <c r="I21" s="319"/>
      <c r="J21" s="265"/>
      <c r="K21" s="47"/>
      <c r="L21" s="331">
        <f>B21</f>
        <v>1</v>
      </c>
      <c r="M21" s="39">
        <f>D21+M$19</f>
        <v>3.11</v>
      </c>
      <c r="N21" s="39">
        <f>E21+$N$19</f>
        <v>0.5</v>
      </c>
      <c r="O21" s="261">
        <f t="shared" ref="O21" si="1">M21*N21</f>
        <v>1.5549999999999999</v>
      </c>
      <c r="P21" s="259">
        <f t="shared" ref="P21" si="2">O21*L21</f>
        <v>1.5549999999999999</v>
      </c>
      <c r="Q21" s="252">
        <f t="shared" ref="Q21" si="3">Q$20*O21</f>
        <v>99552.812253512646</v>
      </c>
      <c r="R21" s="318">
        <f t="shared" ref="R21" si="4">Q21+R$20</f>
        <v>102552.81225351265</v>
      </c>
      <c r="S21" s="297">
        <f>M21*L21</f>
        <v>3.11</v>
      </c>
      <c r="T21" s="46">
        <f>M21*L21</f>
        <v>3.11</v>
      </c>
      <c r="U21" s="9"/>
      <c r="X21" s="4"/>
    </row>
    <row r="22" spans="2:25" ht="17.399999999999999" x14ac:dyDescent="0.3">
      <c r="B22" s="329">
        <v>1</v>
      </c>
      <c r="C22" s="329" t="s">
        <v>174</v>
      </c>
      <c r="D22" s="332">
        <v>1.2</v>
      </c>
      <c r="E22" s="332">
        <v>0.5</v>
      </c>
      <c r="F22" s="329" t="s">
        <v>177</v>
      </c>
      <c r="G22" s="330">
        <v>43974</v>
      </c>
      <c r="H22" s="330">
        <f t="shared" ref="H22:H25" si="5">G22*B22</f>
        <v>43974</v>
      </c>
      <c r="I22" s="319"/>
      <c r="J22" s="265"/>
      <c r="K22" s="47"/>
      <c r="L22" s="331">
        <f t="shared" ref="L22:L25" si="6">B22</f>
        <v>1</v>
      </c>
      <c r="M22" s="39">
        <f t="shared" ref="M22:M25" si="7">D22+M$19</f>
        <v>1.28</v>
      </c>
      <c r="N22" s="39">
        <f t="shared" ref="N22:N25" si="8">E22+$N$19</f>
        <v>0.5</v>
      </c>
      <c r="O22" s="261">
        <f t="shared" ref="O22:O25" si="9">M22*N22</f>
        <v>0.64</v>
      </c>
      <c r="P22" s="259">
        <f t="shared" ref="P22:P25" si="10">O22*L22</f>
        <v>0.64</v>
      </c>
      <c r="Q22" s="252">
        <f t="shared" ref="Q22:Q25" si="11">Q$20*O22</f>
        <v>40973.504721702957</v>
      </c>
      <c r="R22" s="318">
        <f t="shared" ref="R22:R25" si="12">Q22+R$20</f>
        <v>43973.504721702957</v>
      </c>
      <c r="S22" s="297"/>
      <c r="T22" s="46"/>
      <c r="U22" s="9"/>
      <c r="X22" s="4"/>
    </row>
    <row r="23" spans="2:25" ht="17.399999999999999" x14ac:dyDescent="0.3">
      <c r="B23" s="329">
        <v>1</v>
      </c>
      <c r="C23" s="329" t="s">
        <v>173</v>
      </c>
      <c r="D23" s="332">
        <v>1.2</v>
      </c>
      <c r="E23" s="332">
        <v>0.5</v>
      </c>
      <c r="F23" s="329" t="s">
        <v>177</v>
      </c>
      <c r="G23" s="330">
        <v>48974</v>
      </c>
      <c r="H23" s="330">
        <f t="shared" si="5"/>
        <v>48974</v>
      </c>
      <c r="I23" s="319"/>
      <c r="J23" s="265"/>
      <c r="K23" s="47"/>
      <c r="L23" s="331">
        <f t="shared" si="6"/>
        <v>1</v>
      </c>
      <c r="M23" s="39">
        <f t="shared" si="7"/>
        <v>1.28</v>
      </c>
      <c r="N23" s="39">
        <f t="shared" si="8"/>
        <v>0.5</v>
      </c>
      <c r="O23" s="261">
        <f t="shared" si="9"/>
        <v>0.64</v>
      </c>
      <c r="P23" s="259">
        <f t="shared" si="10"/>
        <v>0.64</v>
      </c>
      <c r="Q23" s="252">
        <f t="shared" si="11"/>
        <v>40973.504721702957</v>
      </c>
      <c r="R23" s="318">
        <f t="shared" si="12"/>
        <v>43973.504721702957</v>
      </c>
      <c r="S23" s="297"/>
      <c r="T23" s="46"/>
      <c r="U23" s="9"/>
      <c r="X23" s="4"/>
    </row>
    <row r="24" spans="2:25" ht="17.399999999999999" x14ac:dyDescent="0.3">
      <c r="B24" s="329">
        <v>1</v>
      </c>
      <c r="C24" s="329" t="s">
        <v>175</v>
      </c>
      <c r="D24" s="332">
        <v>3</v>
      </c>
      <c r="E24" s="332">
        <v>0.1</v>
      </c>
      <c r="F24" s="329" t="s">
        <v>177</v>
      </c>
      <c r="G24" s="330">
        <v>22718</v>
      </c>
      <c r="H24" s="330">
        <f t="shared" si="5"/>
        <v>22718</v>
      </c>
      <c r="I24" s="319"/>
      <c r="J24" s="265"/>
      <c r="K24" s="47"/>
      <c r="L24" s="331">
        <f t="shared" si="6"/>
        <v>1</v>
      </c>
      <c r="M24" s="39">
        <f t="shared" si="7"/>
        <v>3.08</v>
      </c>
      <c r="N24" s="39">
        <f t="shared" si="8"/>
        <v>0.1</v>
      </c>
      <c r="O24" s="261">
        <f t="shared" si="9"/>
        <v>0.30800000000000005</v>
      </c>
      <c r="P24" s="259">
        <f t="shared" si="10"/>
        <v>0.30800000000000005</v>
      </c>
      <c r="Q24" s="252">
        <f t="shared" si="11"/>
        <v>19718.499147319551</v>
      </c>
      <c r="R24" s="318">
        <f t="shared" si="12"/>
        <v>22718.499147319551</v>
      </c>
      <c r="S24" s="297"/>
      <c r="T24" s="46"/>
      <c r="U24" s="9"/>
      <c r="X24" s="4"/>
    </row>
    <row r="25" spans="2:25" ht="17.399999999999999" x14ac:dyDescent="0.3">
      <c r="B25" s="329">
        <v>1</v>
      </c>
      <c r="C25" s="329" t="s">
        <v>176</v>
      </c>
      <c r="D25" s="332">
        <v>2.4</v>
      </c>
      <c r="E25" s="332">
        <v>7.0000000000000007E-2</v>
      </c>
      <c r="F25" s="329" t="s">
        <v>177</v>
      </c>
      <c r="G25" s="330">
        <v>14114</v>
      </c>
      <c r="H25" s="330">
        <f t="shared" si="5"/>
        <v>14114</v>
      </c>
      <c r="I25" s="319"/>
      <c r="J25" s="265"/>
      <c r="K25" s="47"/>
      <c r="L25" s="331">
        <f t="shared" si="6"/>
        <v>1</v>
      </c>
      <c r="M25" s="39">
        <f t="shared" si="7"/>
        <v>2.48</v>
      </c>
      <c r="N25" s="39">
        <f t="shared" si="8"/>
        <v>7.0000000000000007E-2</v>
      </c>
      <c r="O25" s="261">
        <f t="shared" si="9"/>
        <v>0.1736</v>
      </c>
      <c r="P25" s="259">
        <f t="shared" si="10"/>
        <v>0.1736</v>
      </c>
      <c r="Q25" s="252">
        <f t="shared" si="11"/>
        <v>11114.063155761927</v>
      </c>
      <c r="R25" s="318">
        <f t="shared" si="12"/>
        <v>14114.063155761927</v>
      </c>
      <c r="S25" s="297"/>
      <c r="T25" s="46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19"/>
      <c r="H26" s="319"/>
      <c r="I26" s="319"/>
      <c r="J26" s="265"/>
      <c r="K26" s="47"/>
      <c r="L26" s="47"/>
      <c r="M26" s="39"/>
      <c r="N26" s="39"/>
      <c r="O26" s="261"/>
      <c r="P26" s="259"/>
      <c r="Q26" s="252"/>
      <c r="R26" s="318"/>
      <c r="S26" s="297"/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20"/>
      <c r="I27" s="322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3" t="s">
        <v>28</v>
      </c>
      <c r="H28" s="324">
        <f>SUM(H21:H27)</f>
        <v>232333</v>
      </c>
      <c r="I28" s="321"/>
      <c r="J28" s="265"/>
      <c r="K28" s="47"/>
      <c r="L28" s="47"/>
      <c r="M28" s="39"/>
      <c r="N28" s="39"/>
      <c r="O28" s="261"/>
      <c r="P28" s="259"/>
      <c r="Q28" s="252"/>
      <c r="R28" s="258"/>
      <c r="S28" s="297"/>
      <c r="T28" s="46">
        <f>SUM(T21:T27)</f>
        <v>3.11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6" t="s">
        <v>51</v>
      </c>
      <c r="H29" s="294">
        <f>H28*19%</f>
        <v>44143.270000000004</v>
      </c>
      <c r="I29" s="321"/>
      <c r="J29" s="265"/>
      <c r="K29" s="47"/>
      <c r="L29" s="47"/>
      <c r="M29" s="39">
        <f>SUM(M21:M22)</f>
        <v>4.3899999999999997</v>
      </c>
      <c r="N29" s="12"/>
      <c r="O29" s="12"/>
      <c r="P29" s="253">
        <f>SUM(P21:P27)</f>
        <v>3.3165999999999998</v>
      </c>
      <c r="Q29" s="14"/>
      <c r="R29" s="12"/>
      <c r="S29" s="239"/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5">
        <f>H28+H29</f>
        <v>276476.27</v>
      </c>
      <c r="I30" s="321"/>
      <c r="J30" s="265"/>
      <c r="K30" s="47"/>
      <c r="L30" s="47"/>
      <c r="M30" s="39"/>
      <c r="N30" s="12"/>
      <c r="O30" s="12"/>
      <c r="P30" s="253">
        <f>P29</f>
        <v>3.3165999999999998</v>
      </c>
      <c r="Q30" s="14"/>
      <c r="R30" s="12"/>
      <c r="S30" s="239">
        <f>SUM(S21:S29)</f>
        <v>3.11</v>
      </c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0.66332000000000002</v>
      </c>
      <c r="Q31" s="39" t="s">
        <v>130</v>
      </c>
      <c r="R31" s="42"/>
      <c r="S31" s="240">
        <f>S30+T28</f>
        <v>6.22</v>
      </c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3.9799199999999999</v>
      </c>
      <c r="Q32" s="14"/>
      <c r="R32" s="14"/>
      <c r="S32" s="238">
        <f>S31*20%</f>
        <v>1.244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>
        <f>S31+S32</f>
        <v>7.4639999999999995</v>
      </c>
      <c r="T33" s="14"/>
      <c r="U33" s="302" t="s">
        <v>21</v>
      </c>
      <c r="V33" s="299" t="s">
        <v>152</v>
      </c>
      <c r="W33" s="303">
        <v>44971</v>
      </c>
      <c r="X33" s="304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</f>
        <v>3.9799199999999999</v>
      </c>
      <c r="N34" s="12">
        <v>3500</v>
      </c>
      <c r="O34" s="12">
        <f t="shared" ref="O34:O39" si="13">M34*N34</f>
        <v>13929.72</v>
      </c>
      <c r="P34" s="14" t="s">
        <v>21</v>
      </c>
      <c r="Q34" s="14"/>
      <c r="R34" s="14"/>
      <c r="S34" s="241"/>
      <c r="T34" s="14"/>
      <c r="U34" s="302" t="s">
        <v>153</v>
      </c>
      <c r="V34" s="299">
        <v>3625</v>
      </c>
      <c r="W34" s="59" t="s">
        <v>154</v>
      </c>
      <c r="X34" s="304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/>
      <c r="L35" s="47"/>
      <c r="M35" s="249">
        <v>1</v>
      </c>
      <c r="N35" s="12">
        <v>23500</v>
      </c>
      <c r="O35" s="12">
        <f t="shared" si="13"/>
        <v>23500</v>
      </c>
      <c r="P35" s="39" t="s">
        <v>31</v>
      </c>
      <c r="Q35" s="42"/>
      <c r="R35" s="14"/>
      <c r="S35" s="240"/>
      <c r="T35" s="14"/>
      <c r="U35" s="302"/>
      <c r="V35" s="59">
        <v>906.25</v>
      </c>
      <c r="W35" s="59" t="s">
        <v>155</v>
      </c>
      <c r="X35" s="304"/>
    </row>
    <row r="36" spans="1:24" s="230" customFormat="1" ht="17.399999999999999" x14ac:dyDescent="0.35">
      <c r="B36" s="24" t="s">
        <v>151</v>
      </c>
      <c r="J36" s="262"/>
      <c r="K36" s="232"/>
      <c r="L36" s="250"/>
      <c r="M36" s="14"/>
      <c r="N36" s="250">
        <v>35000</v>
      </c>
      <c r="O36" s="12">
        <f t="shared" si="13"/>
        <v>0</v>
      </c>
      <c r="P36" s="39" t="s">
        <v>30</v>
      </c>
      <c r="Q36" s="42"/>
      <c r="S36" s="240"/>
      <c r="T36" s="256"/>
      <c r="U36" s="59"/>
      <c r="V36" s="59">
        <f>V35*20%</f>
        <v>181.25</v>
      </c>
      <c r="W36" s="304" t="s">
        <v>156</v>
      </c>
      <c r="X36" s="59"/>
    </row>
    <row r="37" spans="1:24" s="230" customFormat="1" ht="17.399999999999999" x14ac:dyDescent="0.35">
      <c r="B37" s="24" t="s">
        <v>144</v>
      </c>
      <c r="C37"/>
      <c r="D37"/>
      <c r="E37"/>
      <c r="F37"/>
      <c r="J37" s="262"/>
      <c r="K37" s="232"/>
      <c r="L37" s="250"/>
      <c r="M37" s="14">
        <v>1.5</v>
      </c>
      <c r="N37" s="250">
        <v>35000</v>
      </c>
      <c r="O37" s="12">
        <f t="shared" si="13"/>
        <v>52500</v>
      </c>
      <c r="P37" s="14" t="s">
        <v>141</v>
      </c>
      <c r="Q37" s="17"/>
      <c r="S37" s="238"/>
      <c r="T37" s="256"/>
      <c r="U37" s="59"/>
      <c r="V37" s="59">
        <f>V35+V36</f>
        <v>1087.5</v>
      </c>
      <c r="W37" s="304" t="s">
        <v>157</v>
      </c>
      <c r="X37" s="59"/>
    </row>
    <row r="38" spans="1:24" s="230" customFormat="1" ht="17.399999999999999" x14ac:dyDescent="0.35">
      <c r="B38" s="29" t="s">
        <v>125</v>
      </c>
      <c r="C38"/>
      <c r="D38"/>
      <c r="E38"/>
      <c r="F38" s="229" t="s">
        <v>15</v>
      </c>
      <c r="J38" s="262"/>
      <c r="K38" s="260"/>
      <c r="L38" s="250"/>
      <c r="M38" s="249"/>
      <c r="N38" s="250">
        <v>900</v>
      </c>
      <c r="O38" s="12">
        <f t="shared" si="13"/>
        <v>0</v>
      </c>
      <c r="P38" s="14" t="s">
        <v>32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93" t="s">
        <v>168</v>
      </c>
      <c r="K39" s="260">
        <v>38300</v>
      </c>
      <c r="L39" s="250"/>
      <c r="M39" s="266">
        <v>4.3899999999999997</v>
      </c>
      <c r="N39" s="12">
        <v>1500</v>
      </c>
      <c r="O39" s="12">
        <f t="shared" si="13"/>
        <v>6584.9999999999991</v>
      </c>
      <c r="P39" s="14" t="s">
        <v>22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J40" s="230" t="s">
        <v>167</v>
      </c>
      <c r="K40" s="260">
        <v>31000</v>
      </c>
      <c r="L40" s="250"/>
      <c r="M40" s="14"/>
      <c r="N40" s="12"/>
      <c r="O40" s="12">
        <f>SUM(O34:O39)</f>
        <v>96514.72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J41" s="230">
        <v>49560</v>
      </c>
      <c r="L41" s="250"/>
      <c r="M41" s="254" t="s">
        <v>33</v>
      </c>
      <c r="N41" s="12"/>
      <c r="O41" s="255">
        <f>O40*2.2</f>
        <v>212332.38400000002</v>
      </c>
      <c r="P41" s="14" t="s">
        <v>140</v>
      </c>
      <c r="Q41" s="14"/>
      <c r="R41" s="40">
        <f>P32/R40</f>
        <v>1.0731018119068161</v>
      </c>
      <c r="S41"/>
      <c r="T41" s="257"/>
    </row>
    <row r="42" spans="1:24" s="230" customFormat="1" ht="17.399999999999999" x14ac:dyDescent="0.35">
      <c r="G42"/>
      <c r="H42" s="260"/>
      <c r="I42" s="260"/>
      <c r="J42" s="260">
        <f>J41/1.19</f>
        <v>41647.058823529413</v>
      </c>
      <c r="L42" s="250"/>
      <c r="M42" s="14"/>
      <c r="N42" s="12"/>
      <c r="O42" s="12">
        <f>O41/P30</f>
        <v>64021.10112766087</v>
      </c>
      <c r="P42" s="45" t="s">
        <v>24</v>
      </c>
      <c r="Q42" s="14"/>
      <c r="R42" s="14"/>
      <c r="S42"/>
      <c r="T42" s="238"/>
      <c r="U42" s="59" t="s">
        <v>158</v>
      </c>
      <c r="V42" s="299">
        <v>43650</v>
      </c>
    </row>
    <row r="43" spans="1:24" s="230" customFormat="1" ht="17.399999999999999" x14ac:dyDescent="0.35">
      <c r="G43"/>
      <c r="L43" s="250"/>
      <c r="M43" s="13"/>
      <c r="N43" s="14"/>
      <c r="O43" s="17">
        <f>O41/O40</f>
        <v>2.2000000000000002</v>
      </c>
      <c r="P43" s="15"/>
      <c r="Q43"/>
      <c r="R43"/>
      <c r="S43"/>
      <c r="T43" s="238"/>
      <c r="U43" s="59" t="s">
        <v>160</v>
      </c>
      <c r="V43" s="300" t="s">
        <v>159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161</v>
      </c>
      <c r="V44" s="301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156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148</v>
      </c>
    </row>
    <row r="78" spans="3:15" x14ac:dyDescent="0.3">
      <c r="C78" t="s">
        <v>147</v>
      </c>
    </row>
    <row r="81" spans="3:3" x14ac:dyDescent="0.3">
      <c r="C81" t="s">
        <v>147</v>
      </c>
    </row>
    <row r="158" spans="3:3" x14ac:dyDescent="0.3">
      <c r="C158" t="s">
        <v>147</v>
      </c>
    </row>
    <row r="159" spans="3:3" x14ac:dyDescent="0.3">
      <c r="C159" t="s">
        <v>149</v>
      </c>
    </row>
    <row r="160" spans="3:3" x14ac:dyDescent="0.3">
      <c r="C160" t="s">
        <v>150</v>
      </c>
    </row>
    <row r="585" spans="3:3" x14ac:dyDescent="0.3">
      <c r="C585" t="s">
        <v>147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45945</v>
      </c>
    </row>
    <row r="6" spans="2:31" ht="16.2" thickBot="1" x14ac:dyDescent="0.35">
      <c r="B6" s="140" t="s">
        <v>2</v>
      </c>
      <c r="C6" s="139" t="str">
        <f>'2229'!C10</f>
        <v>OSCAR LOPEZ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11701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-20224.618700120776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'2229'!H28</f>
        <v>232333</v>
      </c>
      <c r="E11" s="132">
        <f>D11*0.19</f>
        <v>44143.270000000004</v>
      </c>
      <c r="F11" s="131">
        <f>E11+D11</f>
        <v>276476.27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85765.381299879227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67263.810787439608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67765.381299879227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165069.18921256039</v>
      </c>
      <c r="E13" s="221">
        <f>(D11/D12)-1</f>
        <v>2.4540564574046448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58765.381299879227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19765.381299879224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110985.28779927535</v>
      </c>
      <c r="F15" s="216">
        <f>E15-D12</f>
        <v>43721.477011835741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19765.381299879224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59765.381299879227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'2229'!O35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'2229'!O34</f>
        <v>13929.72</v>
      </c>
      <c r="E20" s="121">
        <f>D20*0.19</f>
        <v>2646.6468</v>
      </c>
      <c r="F20" s="120">
        <f>SUM(D20:E20)</f>
        <v>16576.3668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37429.72</v>
      </c>
      <c r="E21" s="116">
        <f>SUM(E18:E20)</f>
        <v>7111.6468000000004</v>
      </c>
      <c r="F21" s="115">
        <f>SUM(F18:F20)</f>
        <v>44541.366800000003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37031.623200000002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232333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37429.72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165069.18921256039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165069.18921256039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2025-04-03T19:02:46Z</cp:lastPrinted>
  <dcterms:created xsi:type="dcterms:W3CDTF">2013-03-18T13:35:42Z</dcterms:created>
  <dcterms:modified xsi:type="dcterms:W3CDTF">2025-10-15T21:37:38Z</dcterms:modified>
</cp:coreProperties>
</file>