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3FCF9094-741E-4DC1-9156-EAEABF57B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M21" i="1"/>
  <c r="N21" i="1"/>
  <c r="J15" i="1"/>
  <c r="J10" i="1"/>
  <c r="O21" i="1" l="1"/>
  <c r="P21" i="1" s="1"/>
  <c r="S26" i="1"/>
  <c r="M25" i="1"/>
  <c r="T24" i="1"/>
  <c r="K39" i="1"/>
  <c r="P25" i="1" l="1"/>
  <c r="S27" i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1" i="1" s="1"/>
  <c r="R21" i="1" s="1"/>
  <c r="D21" i="3"/>
  <c r="M43" i="3" s="1"/>
  <c r="D12" i="3" s="1"/>
  <c r="F20" i="3"/>
  <c r="F21" i="3" s="1"/>
  <c r="O39" i="1" l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<sst xmlns="http://schemas.openxmlformats.org/spreadsheetml/2006/main" count="230" uniqueCount="175">
  <si>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</si>
  <si>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</si>
  <si>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</si>
  <si>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</si>
  <si>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</si>
  <si>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</si>
  <si>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</si>
  <si>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</si>
  <si>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</si>
  <si>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</si>
  <si>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</si>
  <si>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</si>
  <si>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</si>
  <si>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</si>
  <si>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</si>
  <si>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</si>
  <si>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</si>
  <si>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</si>
  <si>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</si>
  <si>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</si>
  <si>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</si>
  <si>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</si>
  <si>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</si>
  <si>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</si>
  <si>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</si>
  <si>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</si>
  <si>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</si>
  <si>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</si>
  <si>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</si>
  <si>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</si>
  <si>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</si>
  <si>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</si>
  <si>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</si>
  <si>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</si>
  <si>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</si>
  <si>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</si>
  <si>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</si>
  <si>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</si>
  <si>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</si>
  <si>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</si>
  <si>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</si>
  <si>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</si>
  <si>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</si>
  <si>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</si>
  <si>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</si>
  <si>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</si>
  <si>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</si>
  <si>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</si>
  <si>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</si>
  <si>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</si>
  <si>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</si>
  <si>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</si>
  <si>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</si>
  <si>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</si>
  <si>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</si>
  <si>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</si>
  <si>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</si>
  <si>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</si>
  <si>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</si>
  <si>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</si>
  <si>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</si>
  <si>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</si>
  <si>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</si>
  <si>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</si>
  <si>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</si>
  <si>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</si>
  <si>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</si>
  <si>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</si>
  <si>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</si>
  <si>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</si>
  <si>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</si>
  <si>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</si>
  <si>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</si>
  <si>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</si>
  <si>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</si>
  <si>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</si>
  <si>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</si>
  <si>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</si>
  <si>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</si>
  <si>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</si>
  <si>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</si>
  <si>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</si>
  <si>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</si>
  <si>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</si>
  <si>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</si>
  <si>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</si>
  <si>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</si>
  <si>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</si>
  <si>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</si>
  <si>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</si>
  <si>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</si>
  <si>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</si>
  <si>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</si>
  <si>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</si>
  <si>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</si>
  <si>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</si>
  <si>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</si>
  <si>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</si>
  <si>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</si>
  <si>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</si>
  <si>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</si>
  <si>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</si>
  <si>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</si>
  <si>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</si>
  <si>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</si>
  <si>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</si>
  <si>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</si>
  <si>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</si>
  <si>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</si>
  <si>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</si>
  <si>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</si>
  <si>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</si>
  <si>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</si>
  <si>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</si>
  <si>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</si>
  <si>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</si>
  <si>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</si>
  <si>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</si>
  <si>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</si>
  <si>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</si>
  <si>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</si>
  <si>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</si>
  <si>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</si>
  <si>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</si>
  <si>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</si>
  <si>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</si>
  <si>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</si>
  <si>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</si>
  <si>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</si>
  <si>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</si>
  <si>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</si>
  <si>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</si>
  <si>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</si>
  <si>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</si>
  <si>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</si>
  <si>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</si>
  <si>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</si>
  <si>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</si>
  <si>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</si>
  <si>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</si>
  <si>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</si>
  <si>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</si>
  <si>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</si>
  <si>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</si>
  <si>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</si>
  <si>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</si>
  <si>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</si>
  <si>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</si>
  <si>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</si>
  <si>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</si>
  <si>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</si>
  <si>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</si>
  <si>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</si>
  <si>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</si>
  <si>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</si>
  <si>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</si>
  <si>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</si>
  <si>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</si>
  <si>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</si>
  <si>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</si>
  <si>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</si>
  <si>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</si>
  <si>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</si>
  <si>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</si>
  <si>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</si>
  <si>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</si>
  <si>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</si>
  <si>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</si>
  <si>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</si>
  <si>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</si>
  <si>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</si>
  <si>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BLANCO MERINO SF</t>
  </si>
  <si>
    <t>5 DIAS HABILES</t>
  </si>
  <si>
    <t>CUB C/R 90° R8</t>
  </si>
  <si>
    <t>N° 11684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</si>
</sst>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45936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51269.166666666664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3">
        <v>2.2000000000000002</v>
      </c>
      <c r="E21" s="333">
        <v>0.8</v>
      </c>
      <c r="F21" s="330" t="s">
        <v>171</v>
      </c>
      <c r="G21" s="331">
        <v>92285</v>
      </c>
      <c r="H21" s="331">
        <f t="shared" ref="H21" si="1">G21*B21</f>
        <v>92285</v>
      </c>
      <c r="I21" s="320"/>
      <c r="J21" s="265"/>
      <c r="K21" s="47"/>
      <c r="L21" s="332">
        <f t="shared" ref="L21" si="2">B21</f>
        <v>1</v>
      </c>
      <c r="M21" s="39">
        <f t="shared" ref="M21" si="3">D21+M$19</f>
        <v>2.25</v>
      </c>
      <c r="N21" s="39">
        <f t="shared" ref="N21" si="4">E21+$N$19</f>
        <v>0.8</v>
      </c>
      <c r="O21" s="261">
        <f t="shared" ref="O21" si="5">M21*N21</f>
        <v>1.8</v>
      </c>
      <c r="P21" s="259">
        <f t="shared" ref="P21" si="6">O21*L21</f>
        <v>1.8</v>
      </c>
      <c r="Q21" s="252">
        <f t="shared" ref="Q21" si="7">Q$20*O21</f>
        <v>92284.5</v>
      </c>
      <c r="R21" s="319">
        <f t="shared" ref="R21" si="8">Q21+R$20</f>
        <v>95284.5</v>
      </c>
      <c r="S21" s="297"/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92285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17534.150000000001</v>
      </c>
      <c r="I25" s="322"/>
      <c r="J25" s="265"/>
      <c r="K25" s="47"/>
      <c r="L25" s="47"/>
      <c r="M25" s="39">
        <f>SUM(M21:M24)</f>
        <v>2.25</v>
      </c>
      <c r="N25" s="12"/>
      <c r="O25" s="12"/>
      <c r="P25" s="253">
        <f>SUM(P21:P23)</f>
        <v>1.8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109819.15</v>
      </c>
      <c r="I26" s="322"/>
      <c r="J26" s="265"/>
      <c r="K26" s="47"/>
      <c r="L26" s="47"/>
      <c r="M26" s="39"/>
      <c r="N26" s="12"/>
      <c r="O26" s="12"/>
      <c r="P26" s="253">
        <f>P25</f>
        <v>1.8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0.36000000000000004</v>
      </c>
      <c r="Q27" s="39" t="s">
        <v>130</v>
      </c>
      <c r="R27" s="42"/>
      <c r="S27" s="240">
        <f>S26+T24</f>
        <v>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2.16</v>
      </c>
      <c r="Q28" s="14"/>
      <c r="R28" s="14"/>
      <c r="S28" s="238">
        <f>S27*20%</f>
        <v>0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0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2.16</v>
      </c>
      <c r="N30" s="12">
        <v>2000</v>
      </c>
      <c r="O30" s="12">
        <f t="shared" ref="O30:O35" si="9">M30*N30</f>
        <v>4320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23500</v>
      </c>
      <c r="O31" s="12">
        <f t="shared" si="9"/>
        <v>23500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36831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</v>
      </c>
      <c r="N33" s="250">
        <v>15000</v>
      </c>
      <c r="O33" s="12">
        <f t="shared" si="9"/>
        <v>15000</v>
      </c>
      <c r="P33" s="14" t="s">
        <v>31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2.25</v>
      </c>
      <c r="N35" s="12">
        <v>500</v>
      </c>
      <c r="O35" s="12">
        <f t="shared" si="9"/>
        <v>1125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43945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92284.5</v>
      </c>
      <c r="P37" s="14" t="s">
        <v>140</v>
      </c>
      <c r="Q37" s="14"/>
      <c r="R37" s="40">
        <f>P28/R36</f>
        <v>0.47213114754098362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51269.166666666664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45936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11684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474.04163321256055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92285</v>
      </c>
      <c r="E11" s="132">
        <f>D11*0.19</f>
        <v>17534.150000000001</v>
      </c>
      <c r="F11" s="131">
        <f>E11+D11</f>
        <v>109819.15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106464.04163321256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57654.090787439614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88464.041633212561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34630.909212560386</v>
      </c>
      <c r="E13" s="221">
        <f>(D11/D12)-1</f>
        <v>0.60066699066053086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79464.041633212561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40464.041633212561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95129.249799275363</v>
      </c>
      <c r="F15" s="216">
        <f>E15-D12</f>
        <v>37475.159011835749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40464.041633212561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80464.041633212561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4320</v>
      </c>
      <c r="E20" s="121">
        <f>D20*0.19</f>
        <v>820.8</v>
      </c>
      <c r="F20" s="120">
        <f>SUM(D20:E20)</f>
        <v>5140.8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27820</v>
      </c>
      <c r="E21" s="116">
        <f>SUM(E18:E20)</f>
        <v>5285.8</v>
      </c>
      <c r="F21" s="115">
        <f>SUM(F18:F20)</f>
        <v>33105.800000000003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12248.350000000002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92285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27820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34630.909212560386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34630.909212560386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2025-10-03T19:04:09Z</cp:lastPrinted>
  <dcterms:created xsi:type="dcterms:W3CDTF">2013-03-18T13:35:42Z</dcterms:created>
  <dcterms:modified xsi:type="dcterms:W3CDTF">2025-10-06T23:25:15Z</dcterms:modified>
</cp:coreProperties>
</file>