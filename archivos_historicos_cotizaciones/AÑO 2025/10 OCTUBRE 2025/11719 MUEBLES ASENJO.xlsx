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8D5328E6-995D-4A23-8624-A1D2506BF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L21" i="1"/>
  <c r="M21" i="1"/>
  <c r="N21" i="1"/>
  <c r="J15" i="1"/>
  <c r="J10" i="1"/>
  <c r="O21" i="1" l="1"/>
  <c r="P21" i="1" s="1"/>
  <c r="S26" i="1"/>
  <c r="M25" i="1"/>
  <c r="T24" i="1"/>
  <c r="K39" i="1"/>
  <c r="P25" i="1" l="1"/>
  <c r="S27" i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R21" i="1" s="1"/>
  <c r="O39" i="1"/>
  <c r="E15" i="3"/>
  <c r="F15" i="3" l="1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<sst xmlns="http://schemas.openxmlformats.org/spreadsheetml/2006/main" count="231" uniqueCount="176">
  <si>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</si>
  <si>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</si>
  <si>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</si>
  <si>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</si>
  <si>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</si>
  <si>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</si>
  <si>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</si>
  <si>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</si>
  <si>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</si>
  <si>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</si>
  <si>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</si>
  <si>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</si>
  <si>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</si>
  <si>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</si>
  <si>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</si>
  <si>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</si>
  <si>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</si>
  <si>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</si>
  <si>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</si>
  <si>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</si>
  <si>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</si>
  <si>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</si>
  <si>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</si>
  <si>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</si>
  <si>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</si>
  <si>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</si>
  <si>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</si>
  <si>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</si>
  <si>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</si>
  <si>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</si>
  <si>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</si>
  <si>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</si>
  <si>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</si>
  <si>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</si>
  <si>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</si>
  <si>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</si>
  <si>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</si>
  <si>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</si>
  <si>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</si>
  <si>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</si>
  <si>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</si>
  <si>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</si>
  <si>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</si>
  <si>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</si>
  <si>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</si>
  <si>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</si>
  <si>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</si>
  <si>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</si>
  <si>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</si>
  <si>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</si>
  <si>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</si>
  <si>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</si>
  <si>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</si>
  <si>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</si>
  <si>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</si>
  <si>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</si>
  <si>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</si>
  <si>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</si>
  <si>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</si>
  <si>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</si>
  <si>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</si>
  <si>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</si>
  <si>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</si>
  <si>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</si>
  <si>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</si>
  <si>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</si>
  <si>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</si>
  <si>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</si>
  <si>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</si>
  <si>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</si>
  <si>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</si>
  <si>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</si>
  <si>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</si>
  <si>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</si>
  <si>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</si>
  <si>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</si>
  <si>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</si>
  <si>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</si>
  <si>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</si>
  <si>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</si>
  <si>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</si>
  <si>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</si>
  <si>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</si>
  <si>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</si>
  <si>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</si>
  <si>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</si>
  <si>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</si>
  <si>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</si>
  <si>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</si>
  <si>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</si>
  <si>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</si>
  <si>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</si>
  <si>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</si>
  <si>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</si>
  <si>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</si>
  <si>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</si>
  <si>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</si>
  <si>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</si>
  <si>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</si>
  <si>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</si>
  <si>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</si>
  <si>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</si>
  <si>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</si>
  <si>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</si>
  <si>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</si>
  <si>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</si>
  <si>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</si>
  <si>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</si>
  <si>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</si>
  <si>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</si>
  <si>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</si>
  <si>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</si>
  <si>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</si>
  <si>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</si>
  <si>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</si>
  <si>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</si>
  <si>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</si>
  <si>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</si>
  <si>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</si>
  <si>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</si>
  <si>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</si>
  <si>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</si>
  <si>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</si>
  <si>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</si>
  <si>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</si>
  <si>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</si>
  <si>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</si>
  <si>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</si>
  <si>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</si>
  <si>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</si>
  <si>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</si>
  <si>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</si>
  <si>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</si>
  <si>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</si>
  <si>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</si>
  <si>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</si>
  <si>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</si>
  <si>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</si>
  <si>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</si>
  <si>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</si>
  <si>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</si>
  <si>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</si>
  <si>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</si>
  <si>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</si>
  <si>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</si>
  <si>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</si>
  <si>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</si>
  <si>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</si>
  <si>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</si>
  <si>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</si>
  <si>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</si>
  <si>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</si>
  <si>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</si>
  <si>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</si>
  <si>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</si>
  <si>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</si>
  <si>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</si>
  <si>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</si>
  <si>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</si>
  <si>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</si>
  <si>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</si>
  <si>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</si>
  <si>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</si>
  <si>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</si>
  <si>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</si>
  <si>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</si>
  <si>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</si>
  <si>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</si>
  <si>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</si>
  <si>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</si>
  <si>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</si>
  <si>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5 DIAS HABILES</t>
  </si>
  <si>
    <t>CUB C/R 90° R8</t>
  </si>
  <si>
    <t>N° 11719</t>
  </si>
  <si>
    <t>MEDITERRANEO 2180 MT</t>
  </si>
  <si>
    <t>27-10-20255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</si>
</sst>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1" i="0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MDF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 t="s">
        <v>175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169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117668.90625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172</v>
      </c>
      <c r="D21" s="333">
        <v>1.2</v>
      </c>
      <c r="E21" s="333">
        <v>0.6</v>
      </c>
      <c r="F21" s="330" t="s">
        <v>174</v>
      </c>
      <c r="G21" s="331">
        <v>90370</v>
      </c>
      <c r="H21" s="331">
        <f t="shared" ref="H21" si="1">G21*B21</f>
        <v>90370</v>
      </c>
      <c r="I21" s="320"/>
      <c r="J21" s="265">
        <v>92285</v>
      </c>
      <c r="K21" s="47"/>
      <c r="L21" s="332">
        <f t="shared" ref="L21" si="2">B21</f>
        <v>1</v>
      </c>
      <c r="M21" s="39">
        <f t="shared" ref="M21" si="3">D21+M$19</f>
        <v>1.28</v>
      </c>
      <c r="N21" s="39">
        <f t="shared" ref="N21" si="4">E21+$N$19</f>
        <v>0.6</v>
      </c>
      <c r="O21" s="261">
        <f t="shared" ref="O21" si="5">M21*N21</f>
        <v>0.76800000000000002</v>
      </c>
      <c r="P21" s="259">
        <f t="shared" ref="P21" si="6">O21*L21</f>
        <v>0.76800000000000002</v>
      </c>
      <c r="Q21" s="252">
        <f t="shared" ref="Q21" si="7">Q$20*O21</f>
        <v>90369.72</v>
      </c>
      <c r="R21" s="319">
        <f t="shared" ref="R21" si="8">Q21+R$20</f>
        <v>93369.72</v>
      </c>
      <c r="S21" s="297"/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2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90370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17170.3</v>
      </c>
      <c r="I25" s="322"/>
      <c r="J25" s="265"/>
      <c r="K25" s="47"/>
      <c r="L25" s="47"/>
      <c r="M25" s="39">
        <f>SUM(M21:M24)</f>
        <v>1.28</v>
      </c>
      <c r="N25" s="12"/>
      <c r="O25" s="12"/>
      <c r="P25" s="253">
        <f>SUM(P21:P23)</f>
        <v>0.76800000000000002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107540.3</v>
      </c>
      <c r="I26" s="322"/>
      <c r="J26" s="265"/>
      <c r="K26" s="47"/>
      <c r="L26" s="47"/>
      <c r="M26" s="39"/>
      <c r="N26" s="12"/>
      <c r="O26" s="12"/>
      <c r="P26" s="253">
        <f>P25</f>
        <v>0.76800000000000002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0.15360000000000001</v>
      </c>
      <c r="Q27" s="39" t="s">
        <v>130</v>
      </c>
      <c r="R27" s="42"/>
      <c r="S27" s="240">
        <f>S26+T24</f>
        <v>0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0.92159999999999997</v>
      </c>
      <c r="Q28" s="14"/>
      <c r="R28" s="14"/>
      <c r="S28" s="238">
        <f>S27*20%</f>
        <v>0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0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0.92159999999999997</v>
      </c>
      <c r="N30" s="12">
        <v>2000</v>
      </c>
      <c r="O30" s="12">
        <f t="shared" ref="O30:O35" si="9">M30*N30</f>
        <v>1843.2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0.3</v>
      </c>
      <c r="N31" s="12">
        <v>23500</v>
      </c>
      <c r="O31" s="12">
        <f t="shared" si="9"/>
        <v>7050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36831</v>
      </c>
      <c r="O32" s="12">
        <f t="shared" si="9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/>
      <c r="K33" s="232"/>
      <c r="L33" s="250"/>
      <c r="M33" s="14">
        <v>1</v>
      </c>
      <c r="N33" s="250">
        <v>33500</v>
      </c>
      <c r="O33" s="12">
        <f t="shared" si="9"/>
        <v>33500</v>
      </c>
      <c r="P33" s="14" t="s">
        <v>31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9"/>
        <v>0</v>
      </c>
      <c r="P34" s="14" t="s">
        <v>32</v>
      </c>
      <c r="Q34" s="14"/>
      <c r="R34" s="230">
        <v>1.83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1.28</v>
      </c>
      <c r="N35" s="12">
        <v>500</v>
      </c>
      <c r="O35" s="12">
        <f t="shared" si="9"/>
        <v>640</v>
      </c>
      <c r="P35" s="14" t="s">
        <v>22</v>
      </c>
      <c r="Q35" s="14"/>
      <c r="R35">
        <v>2.5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43033.2</v>
      </c>
      <c r="P36" s="39" t="s">
        <v>23</v>
      </c>
      <c r="Q36" s="14"/>
      <c r="R36">
        <f>R34*R35</f>
        <v>4.5750000000000002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90369.72</v>
      </c>
      <c r="P37" s="14" t="s">
        <v>140</v>
      </c>
      <c r="Q37" s="14"/>
      <c r="R37" s="40">
        <f>P28/R36</f>
        <v>0.20144262295081966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117668.90625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'2229'!G10</f>
        <v>27-10-20255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11719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-4411.6617001207715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90370</v>
      </c>
      <c r="E11" s="132">
        <f>D11*0.19</f>
        <v>17170.3</v>
      </c>
      <c r="F11" s="131">
        <f>E11+D11</f>
        <v>107540.3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101578.33829987922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38727.290787439619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83578.338299879222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51642.709212560381</v>
      </c>
      <c r="E13" s="221">
        <f>(D11/D12)-1</f>
        <v>1.3334965643739172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74578.338299879222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35578.338299879229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63900.029799275369</v>
      </c>
      <c r="F15" s="216">
        <f>E15-D12</f>
        <v>25172.739011835751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35578.338299879229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75578.338299879222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1843.2</v>
      </c>
      <c r="E20" s="121">
        <f>D20*0.19</f>
        <v>350.20800000000003</v>
      </c>
      <c r="F20" s="120">
        <f>SUM(D20:E20)</f>
        <v>2193.4079999999999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8893.2000000000007</v>
      </c>
      <c r="E21" s="116">
        <f>SUM(E18:E20)</f>
        <v>1689.7080000000001</v>
      </c>
      <c r="F21" s="115">
        <f>SUM(F18:F20)</f>
        <v>10582.907999999999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15480.591999999999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90370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8893.2000000000007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51642.709212560381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51642.709212560381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2025-10-03T19:04:09Z</cp:lastPrinted>
  <dcterms:created xsi:type="dcterms:W3CDTF">2013-03-18T13:35:42Z</dcterms:created>
  <dcterms:modified xsi:type="dcterms:W3CDTF">2025-10-27T12:10:51Z</dcterms:modified>
</cp:coreProperties>
</file>