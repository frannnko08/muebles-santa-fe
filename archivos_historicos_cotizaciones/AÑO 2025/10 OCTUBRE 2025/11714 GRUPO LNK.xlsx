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7C513CF1-A03C-48D4-B0E0-903D675BD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O33" i="1" l="1"/>
  <c r="O34" i="1"/>
  <c r="H22" i="1"/>
  <c r="H23" i="1"/>
  <c r="M22" i="1"/>
  <c r="N22" i="1"/>
  <c r="M23" i="1"/>
  <c r="N23" i="1"/>
  <c r="J39" i="1"/>
  <c r="J15" i="1"/>
  <c r="J10" i="1"/>
  <c r="O23" i="1" l="1"/>
  <c r="P23" i="1" s="1"/>
  <c r="O22" i="1"/>
  <c r="P22" i="1" s="1"/>
  <c r="S23" i="1"/>
  <c r="T23" i="1"/>
  <c r="T22" i="1"/>
  <c r="S22" i="1"/>
  <c r="N21" i="1"/>
  <c r="T21" i="1" s="1"/>
  <c r="M21" i="1" l="1"/>
  <c r="S21" i="1" s="1"/>
  <c r="S26" i="1" s="1"/>
  <c r="M26" i="1" l="1"/>
  <c r="T25" i="1"/>
  <c r="S28" i="1" s="1"/>
  <c r="O21" i="1"/>
  <c r="P21" i="1" s="1"/>
  <c r="P26" i="1" s="1"/>
  <c r="S29" i="1" l="1"/>
  <c r="S30" i="1" s="1"/>
  <c r="V33" i="1"/>
  <c r="V34" i="1" s="1"/>
  <c r="O32" i="1" l="1"/>
  <c r="P27" i="1" l="1"/>
  <c r="N20" i="1"/>
  <c r="L20" i="1"/>
  <c r="P28" i="1" l="1"/>
  <c r="P29" i="1" s="1"/>
  <c r="M31" i="1" s="1"/>
  <c r="R37" i="1"/>
  <c r="R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3" i="1"/>
  <c r="R23" i="1" s="1"/>
  <c r="O40" i="1"/>
  <c r="E15" i="3"/>
  <c r="Q21" i="1" l="1"/>
  <c r="F15" i="3"/>
  <c r="R21" i="1" l="1"/>
  <c r="H21" i="1" l="1"/>
  <c r="H25" i="1" l="1"/>
  <c r="H26" i="1" s="1"/>
  <c r="D11" i="3" l="1"/>
  <c r="X9" i="3" s="1"/>
  <c r="X15" i="3" s="1"/>
  <c r="H27" i="1"/>
  <c r="M42" i="3" l="1"/>
  <c r="M46" i="3" s="1"/>
  <c r="M49" i="3" s="1"/>
  <c r="X16" i="3"/>
  <c r="X13" i="3"/>
  <c r="E11" i="3"/>
  <c r="D40" i="3" s="1"/>
  <c r="E13" i="3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<sst xmlns="http://schemas.openxmlformats.org/spreadsheetml/2006/main" count="234" uniqueCount="177">
  <si>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</si>
  <si>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</si>
  <si>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</si>
  <si>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</si>
  <si>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</si>
  <si>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</si>
  <si>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</si>
  <si>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</si>
  <si>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</si>
  <si>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</si>
  <si>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</si>
  <si>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</si>
  <si>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</si>
  <si>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</si>
  <si>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</si>
  <si>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</si>
  <si>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</si>
  <si>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</si>
  <si>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</si>
  <si>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</si>
  <si>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</si>
  <si>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</si>
  <si>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</si>
  <si>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</si>
  <si>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</si>
  <si>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</si>
  <si>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</si>
  <si>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</si>
  <si>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</si>
  <si>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</si>
  <si>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</si>
  <si>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</si>
  <si>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</si>
  <si>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</si>
  <si>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</si>
  <si>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</si>
  <si>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</si>
  <si>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</si>
  <si>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</si>
  <si>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</si>
  <si>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</si>
  <si>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</si>
  <si>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</si>
  <si>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</si>
  <si>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</si>
  <si>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</si>
  <si>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</si>
  <si>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</si>
  <si>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</si>
  <si>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</si>
  <si>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</si>
  <si>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</si>
  <si>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</si>
  <si>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</si>
  <si>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</si>
  <si>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</si>
  <si>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</si>
  <si>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</si>
  <si>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</si>
  <si>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</si>
  <si>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</si>
  <si>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</si>
  <si>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</si>
  <si>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</si>
  <si>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</si>
  <si>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</si>
  <si>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</si>
  <si>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</si>
  <si>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</si>
  <si>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</si>
  <si>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</si>
  <si>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</si>
  <si>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</si>
  <si>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</si>
  <si>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</si>
  <si>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</si>
  <si>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</si>
  <si>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</si>
  <si>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</si>
  <si>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</si>
  <si>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</si>
  <si>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</si>
  <si>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</si>
  <si>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</si>
  <si>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</si>
  <si>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</si>
  <si>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</si>
  <si>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</si>
  <si>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</si>
  <si>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</si>
  <si>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</si>
  <si>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</si>
  <si>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</si>
  <si>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</si>
  <si>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</si>
  <si>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</si>
  <si>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</si>
  <si>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</si>
  <si>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</si>
  <si>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</si>
  <si>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</si>
  <si>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</si>
  <si>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</si>
  <si>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</si>
  <si>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</si>
  <si>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</si>
  <si>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</si>
  <si>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</si>
  <si>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</si>
  <si>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</si>
  <si>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</si>
  <si>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</si>
  <si>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</si>
  <si>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</si>
  <si>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</si>
  <si>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</si>
  <si>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</si>
  <si>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</si>
  <si>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</si>
  <si>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</si>
  <si>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</si>
  <si>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</si>
  <si>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</si>
  <si>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</si>
  <si>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</si>
  <si>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</si>
  <si>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</si>
  <si>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</si>
  <si>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</si>
  <si>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</si>
  <si>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</si>
  <si>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</si>
  <si>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</si>
  <si>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</si>
  <si>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</si>
  <si>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</si>
  <si>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</si>
  <si>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</si>
  <si>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</si>
  <si>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</si>
  <si>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</si>
  <si>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</si>
  <si>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</si>
  <si>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</si>
  <si>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</si>
  <si>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</si>
  <si>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</si>
  <si>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</si>
  <si>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</si>
  <si>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</si>
  <si>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</si>
  <si>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</si>
  <si>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</si>
  <si>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</si>
  <si>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</si>
  <si>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</si>
  <si>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</si>
  <si>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</si>
  <si>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</si>
  <si>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</si>
  <si>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</si>
  <si>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</si>
  <si>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</si>
  <si>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</si>
  <si>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</si>
  <si>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NIEBLA</t>
  </si>
  <si>
    <t>WHITE OAK</t>
  </si>
  <si>
    <t>10 DIAS HABILES</t>
  </si>
  <si>
    <t>SANTIAGO</t>
  </si>
  <si>
    <t>TURQUESA BRILLO</t>
  </si>
  <si>
    <t>N° 11714</t>
  </si>
  <si>
    <t>GRUPO LNK</t>
  </si>
  <si>
    <t>LUIS SANTOS</t>
  </si>
  <si>
    <t>56966162817</t>
  </si>
  <si>
    <t>CUB C/R FRENTE 180°</t>
  </si>
  <si>
    <t>CUB S/R FRENTE 180°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</si>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</sst>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7" fillId="0" borderId="0" xfId="0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7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45952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172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2" t="s">
        <v>173</v>
      </c>
      <c r="D15" s="308"/>
      <c r="F15" t="s">
        <v>133</v>
      </c>
      <c r="G15" s="333"/>
      <c r="H15" s="289"/>
      <c r="J15">
        <f>SUM(J12:J14)</f>
        <v>158</v>
      </c>
    </row>
    <row r="16" spans="2:24" ht="16.8" x14ac:dyDescent="0.4">
      <c r="B16" s="314" t="s">
        <v>3</v>
      </c>
      <c r="C16" s="306"/>
      <c r="D16" s="247"/>
      <c r="E16" s="247"/>
      <c r="F16" s="315" t="s">
        <v>128</v>
      </c>
      <c r="G16" s="316" t="s">
        <v>162</v>
      </c>
      <c r="H16" s="248"/>
    </row>
    <row r="17" spans="1:25" ht="15" thickBot="1" x14ac:dyDescent="0.35">
      <c r="B17" s="309" t="s">
        <v>13</v>
      </c>
      <c r="C17" s="310" t="s">
        <v>168</v>
      </c>
      <c r="D17" s="311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4" t="s">
        <v>7</v>
      </c>
      <c r="C20" s="325" t="s">
        <v>1</v>
      </c>
      <c r="D20" s="325" t="s">
        <v>10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O39</f>
        <v>51194.729183508491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8">
        <v>1</v>
      </c>
      <c r="C21" s="328" t="s">
        <v>174</v>
      </c>
      <c r="D21" s="331">
        <v>2.44</v>
      </c>
      <c r="E21" s="331">
        <v>0.6</v>
      </c>
      <c r="F21" s="328" t="s">
        <v>176</v>
      </c>
      <c r="G21" s="329">
        <v>80406</v>
      </c>
      <c r="H21" s="329">
        <f>G21*B21</f>
        <v>80406</v>
      </c>
      <c r="I21" s="318"/>
      <c r="J21" s="265"/>
      <c r="K21" s="47"/>
      <c r="L21" s="330">
        <v>1</v>
      </c>
      <c r="M21" s="39">
        <f>D21+M$19</f>
        <v>2.52</v>
      </c>
      <c r="N21" s="39">
        <f>E21+$N$19</f>
        <v>0.6</v>
      </c>
      <c r="O21" s="261">
        <f t="shared" ref="O21" si="0">M21*N21</f>
        <v>1.512</v>
      </c>
      <c r="P21" s="259">
        <f t="shared" ref="P21" si="1">O21*L21</f>
        <v>1.512</v>
      </c>
      <c r="Q21" s="252">
        <f t="shared" ref="Q21" si="2">Q$20*O21</f>
        <v>77406.430525464835</v>
      </c>
      <c r="R21" s="317">
        <f t="shared" ref="R21" si="3">Q21+R$20</f>
        <v>80406.430525464835</v>
      </c>
      <c r="S21" s="297">
        <f>M21*L21*2</f>
        <v>5.04</v>
      </c>
      <c r="T21" s="46">
        <f>N21*L21*2</f>
        <v>1.2</v>
      </c>
      <c r="U21" s="9"/>
      <c r="X21" s="4"/>
    </row>
    <row r="22" spans="1:25" ht="17.399999999999999" x14ac:dyDescent="0.3">
      <c r="B22" s="328">
        <v>1</v>
      </c>
      <c r="C22" s="328" t="s">
        <v>175</v>
      </c>
      <c r="D22" s="331">
        <v>1.4</v>
      </c>
      <c r="E22" s="331">
        <v>0.65</v>
      </c>
      <c r="F22" s="328" t="s">
        <v>176</v>
      </c>
      <c r="G22" s="329">
        <v>52249</v>
      </c>
      <c r="H22" s="329">
        <f>G22*B22</f>
        <v>52249</v>
      </c>
      <c r="I22" s="318"/>
      <c r="J22" s="265"/>
      <c r="K22" s="47"/>
      <c r="L22" s="330">
        <v>1</v>
      </c>
      <c r="M22" s="39">
        <f>D22+M$19</f>
        <v>1.48</v>
      </c>
      <c r="N22" s="39">
        <f>E22+$N$19</f>
        <v>0.65</v>
      </c>
      <c r="O22" s="261">
        <f t="shared" ref="O22:O23" si="4">M22*N22</f>
        <v>0.96199999999999997</v>
      </c>
      <c r="P22" s="259">
        <f t="shared" ref="P22:P23" si="5">O22*L22</f>
        <v>0.96199999999999997</v>
      </c>
      <c r="Q22" s="252">
        <f t="shared" ref="Q22:Q23" si="6">Q$20*O22</f>
        <v>49249.329474535167</v>
      </c>
      <c r="R22" s="317">
        <f t="shared" ref="R22:R23" si="7">Q22+R$20</f>
        <v>52249.329474535167</v>
      </c>
      <c r="S22" s="297">
        <f t="shared" ref="S22:S23" si="8">M22*L22*2</f>
        <v>2.96</v>
      </c>
      <c r="T22" s="46">
        <f t="shared" ref="T22:T23" si="9">N22*L22*2</f>
        <v>1.3</v>
      </c>
      <c r="U22" s="9"/>
      <c r="X22" s="4"/>
    </row>
    <row r="23" spans="1:25" ht="17.399999999999999" x14ac:dyDescent="0.3">
      <c r="B23" s="328">
        <v>1</v>
      </c>
      <c r="C23" s="328" t="s">
        <v>174</v>
      </c>
      <c r="D23" s="331">
        <v>2.44</v>
      </c>
      <c r="E23" s="331">
        <v>0.48</v>
      </c>
      <c r="F23" s="328" t="s">
        <v>169</v>
      </c>
      <c r="G23" s="329">
        <v>95947</v>
      </c>
      <c r="H23" s="329">
        <f>G23*B23</f>
        <v>95947</v>
      </c>
      <c r="I23" s="318"/>
      <c r="J23" s="265"/>
      <c r="K23" s="47"/>
      <c r="L23" s="330"/>
      <c r="M23" s="39">
        <f>D23+M$19</f>
        <v>2.52</v>
      </c>
      <c r="N23" s="39">
        <f>E23+$N$19</f>
        <v>0.48</v>
      </c>
      <c r="O23" s="261">
        <f t="shared" si="4"/>
        <v>1.2096</v>
      </c>
      <c r="P23" s="259">
        <f t="shared" si="5"/>
        <v>0</v>
      </c>
      <c r="Q23" s="252">
        <f t="shared" si="6"/>
        <v>61925.144420371871</v>
      </c>
      <c r="R23" s="317">
        <f t="shared" si="7"/>
        <v>64925.144420371871</v>
      </c>
      <c r="S23" s="297">
        <f t="shared" si="8"/>
        <v>0</v>
      </c>
      <c r="T23" s="46">
        <f t="shared" si="9"/>
        <v>0</v>
      </c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9"/>
      <c r="I24" s="321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2" t="s">
        <v>28</v>
      </c>
      <c r="H25" s="323">
        <f>SUM(H21:H24)</f>
        <v>228602</v>
      </c>
      <c r="I25" s="320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2.5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43434.38</v>
      </c>
      <c r="I26" s="320"/>
      <c r="J26" s="265"/>
      <c r="K26" s="47"/>
      <c r="L26" s="47"/>
      <c r="M26" s="39">
        <f>SUM(M21:M21)</f>
        <v>2.52</v>
      </c>
      <c r="N26" s="12"/>
      <c r="O26" s="12"/>
      <c r="P26" s="253">
        <f>SUM(P21:P24)</f>
        <v>2.4740000000000002</v>
      </c>
      <c r="Q26" s="14"/>
      <c r="R26" s="12"/>
      <c r="S26" s="239">
        <f>SUM(S21:S25)</f>
        <v>8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272036.38</v>
      </c>
      <c r="I27" s="320"/>
      <c r="J27" s="265"/>
      <c r="K27" s="47"/>
      <c r="L27" s="47"/>
      <c r="M27" s="39"/>
      <c r="N27" s="12"/>
      <c r="O27" s="12"/>
      <c r="P27" s="253">
        <f>P26</f>
        <v>2.4740000000000002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0.49480000000000007</v>
      </c>
      <c r="Q28" s="39" t="s">
        <v>129</v>
      </c>
      <c r="R28" s="42"/>
      <c r="S28" s="240">
        <f>T25+S26</f>
        <v>10.5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2.9688000000000003</v>
      </c>
      <c r="Q29" s="14"/>
      <c r="R29" s="14"/>
      <c r="S29" s="238">
        <f>S28*20%</f>
        <v>2.1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12.6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2.9688000000000003</v>
      </c>
      <c r="N31" s="12">
        <v>3500</v>
      </c>
      <c r="O31" s="12">
        <f t="shared" ref="O31:O36" si="10">M31*N31</f>
        <v>10390.800000000001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0.4</v>
      </c>
      <c r="N32" s="12">
        <v>23500</v>
      </c>
      <c r="O32" s="12">
        <f t="shared" si="10"/>
        <v>9400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42000</v>
      </c>
      <c r="O33" s="12">
        <f t="shared" si="10"/>
        <v>0</v>
      </c>
      <c r="P33" s="39"/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2</v>
      </c>
      <c r="N34" s="250">
        <v>17000</v>
      </c>
      <c r="O34" s="12">
        <f t="shared" si="10"/>
        <v>34000</v>
      </c>
      <c r="P34" s="14" t="s">
        <v>140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0"/>
        <v>0</v>
      </c>
      <c r="P35" s="14" t="s">
        <v>31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166</v>
      </c>
      <c r="K36" s="260">
        <v>38300</v>
      </c>
      <c r="L36" s="250"/>
      <c r="M36" s="266">
        <v>2.52</v>
      </c>
      <c r="N36" s="12">
        <v>1500</v>
      </c>
      <c r="O36" s="12">
        <f t="shared" si="10"/>
        <v>3780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165</v>
      </c>
      <c r="K37" s="260">
        <v>31000</v>
      </c>
      <c r="L37" s="250"/>
      <c r="M37" s="14"/>
      <c r="N37" s="12"/>
      <c r="O37" s="12">
        <f>SUM(O31:O36)</f>
        <v>57570.8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73340</v>
      </c>
      <c r="L38" s="250"/>
      <c r="M38" s="254" t="s">
        <v>32</v>
      </c>
      <c r="N38" s="12"/>
      <c r="O38" s="255">
        <f>O37*2.2</f>
        <v>126655.76000000002</v>
      </c>
      <c r="P38" s="14" t="s">
        <v>139</v>
      </c>
      <c r="Q38" s="14"/>
      <c r="R38" s="40">
        <f>P29/R37</f>
        <v>0.80047454702329601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61630.252100840342</v>
      </c>
      <c r="L39" s="250"/>
      <c r="M39" s="14"/>
      <c r="N39" s="12"/>
      <c r="O39" s="12">
        <f>O38/P27</f>
        <v>51194.729183508491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45952</v>
      </c>
    </row>
    <row r="6" spans="2:31" ht="16.2" thickBot="1" x14ac:dyDescent="0.35">
      <c r="B6" s="140" t="s">
        <v>2</v>
      </c>
      <c r="C6" s="139" t="str">
        <f>'2229'!C10</f>
        <v>GRUPO LNK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97</v>
      </c>
      <c r="I7" s="341"/>
      <c r="J7" s="341"/>
      <c r="K7" s="342"/>
      <c r="N7" s="75"/>
      <c r="O7" s="339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11714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9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-24453.488366787438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228602</v>
      </c>
      <c r="E11" s="132">
        <f>D11*0.19</f>
        <v>43434.38</v>
      </c>
      <c r="F11" s="131">
        <f>E11+D11</f>
        <v>272036.38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81536.511633212562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49624.890787439617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63536.511633212562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178977.10921256038</v>
      </c>
      <c r="E13" s="221">
        <f>(D11/D12)-1</f>
        <v>3.6065995586606041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54536.511633212562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15536.511633212562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81881.06979927537</v>
      </c>
      <c r="F15" s="216">
        <f>E15-D12</f>
        <v>32256.179011835753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15536.511633212562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55536.511633212562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10390.800000000001</v>
      </c>
      <c r="E20" s="121">
        <f>D20*0.19</f>
        <v>1974.2520000000002</v>
      </c>
      <c r="F20" s="120">
        <f>SUM(D20:E20)</f>
        <v>12365.052000000001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19790.800000000003</v>
      </c>
      <c r="E21" s="116">
        <f>SUM(E18:E20)</f>
        <v>3760.2520000000004</v>
      </c>
      <c r="F21" s="115">
        <f>SUM(F18:F20)</f>
        <v>23551.052000000003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39674.127999999997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228602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19790.800000000003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178977.10921256038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178977.10921256038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2025-10-23T01:56:48Z</dcterms:modified>
</cp:coreProperties>
</file>