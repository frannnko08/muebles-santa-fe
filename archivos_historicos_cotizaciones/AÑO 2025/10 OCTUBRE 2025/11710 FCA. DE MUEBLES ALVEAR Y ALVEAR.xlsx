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A5767054-6BDA-41F9-A872-9F59FCC35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H26" i="1"/>
  <c r="M26" i="1"/>
  <c r="N26" i="1"/>
  <c r="S26" i="1"/>
  <c r="M27" i="1"/>
  <c r="N27" i="1"/>
  <c r="H22" i="1"/>
  <c r="H23" i="1"/>
  <c r="H24" i="1"/>
  <c r="O27" i="1" l="1"/>
  <c r="P27" i="1" s="1"/>
  <c r="O26" i="1"/>
  <c r="P26" i="1" s="1"/>
  <c r="S27" i="1"/>
  <c r="M22" i="1" l="1"/>
  <c r="N22" i="1"/>
  <c r="O22" i="1" s="1"/>
  <c r="P22" i="1" s="1"/>
  <c r="S22" i="1"/>
  <c r="M23" i="1"/>
  <c r="N23" i="1"/>
  <c r="O23" i="1" s="1"/>
  <c r="P23" i="1" s="1"/>
  <c r="S23" i="1"/>
  <c r="M24" i="1"/>
  <c r="N24" i="1"/>
  <c r="O24" i="1" s="1"/>
  <c r="P24" i="1" s="1"/>
  <c r="S24" i="1"/>
  <c r="H27" i="1" l="1"/>
  <c r="H25" i="1"/>
  <c r="N25" i="1"/>
  <c r="M25" i="1"/>
  <c r="S25" i="1" l="1"/>
  <c r="O25" i="1"/>
  <c r="P25" i="1" s="1"/>
  <c r="J45" i="1"/>
  <c r="J15" i="1"/>
  <c r="J10" i="1"/>
  <c r="N21" i="1" l="1"/>
  <c r="M21" i="1" l="1"/>
  <c r="S21" i="1" s="1"/>
  <c r="M32" i="1" l="1"/>
  <c r="T21" i="1"/>
  <c r="T31" i="1" s="1"/>
  <c r="S33" i="1"/>
  <c r="O21" i="1"/>
  <c r="P21" i="1" s="1"/>
  <c r="P32" i="1" s="1"/>
  <c r="S34" i="1" l="1"/>
  <c r="S35" i="1" s="1"/>
  <c r="S36" i="1" s="1"/>
  <c r="V39" i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D20" i="3" l="1"/>
  <c r="E20" i="3" s="1"/>
  <c r="E21" i="3" s="1"/>
  <c r="O45" i="1" l="1"/>
  <c r="Q20" i="1" s="1"/>
  <c r="D21" i="3"/>
  <c r="M43" i="3" s="1"/>
  <c r="D12" i="3" s="1"/>
  <c r="F20" i="3"/>
  <c r="F21" i="3" s="1"/>
  <c r="Q26" i="1" l="1"/>
  <c r="R26" i="1" s="1"/>
  <c r="Q27" i="1"/>
  <c r="R27" i="1" s="1"/>
  <c r="Q22" i="1"/>
  <c r="R22" i="1" s="1"/>
  <c r="Q23" i="1"/>
  <c r="R23" i="1" s="1"/>
  <c r="Q24" i="1"/>
  <c r="R24" i="1" s="1"/>
  <c r="Q25" i="1"/>
  <c r="R25" i="1" s="1"/>
  <c r="O46" i="1"/>
  <c r="E15" i="3"/>
  <c r="Q21" i="1" l="1"/>
  <c r="F15" i="3"/>
  <c r="R21" i="1" l="1"/>
  <c r="H21" i="1" l="1"/>
  <c r="H31" i="1" s="1"/>
  <c r="H32" i="1" s="1"/>
  <c r="H33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<sst xmlns="http://schemas.openxmlformats.org/spreadsheetml/2006/main" count="247" uniqueCount="180">
  <si>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</si>
  <si>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</si>
  <si>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</si>
  <si>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</si>
  <si>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</si>
  <si>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</si>
  <si>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</si>
  <si>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</si>
  <si>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</si>
  <si>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</si>
  <si>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</si>
  <si>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</si>
  <si>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</si>
  <si>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</si>
  <si>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</si>
  <si>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</si>
  <si>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</si>
  <si>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</si>
  <si>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</si>
  <si>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</si>
  <si>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</si>
  <si>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</si>
  <si>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</si>
  <si>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</si>
  <si>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</si>
  <si>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</si>
  <si>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</si>
  <si>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</si>
  <si>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</si>
  <si>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</si>
  <si>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</si>
  <si>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</si>
  <si>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</si>
  <si>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</si>
  <si>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</si>
  <si>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</si>
  <si>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</si>
  <si>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</si>
  <si>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</si>
  <si>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</si>
  <si>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</si>
  <si>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</si>
  <si>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</si>
  <si>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</si>
  <si>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</si>
  <si>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</si>
  <si>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</si>
  <si>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</si>
  <si>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</si>
  <si>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</si>
  <si>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</si>
  <si>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</si>
  <si>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</si>
  <si>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</si>
  <si>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</si>
  <si>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</si>
  <si>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</si>
  <si>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</si>
  <si>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</si>
  <si>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</si>
  <si>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</si>
  <si>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</si>
  <si>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</si>
  <si>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</si>
  <si>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</si>
  <si>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</si>
  <si>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</si>
  <si>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</si>
  <si>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</si>
  <si>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</si>
  <si>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</si>
  <si>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</si>
  <si>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</si>
  <si>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</si>
  <si>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</si>
  <si>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</si>
  <si>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</si>
  <si>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</si>
  <si>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</si>
  <si>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</si>
  <si>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</si>
  <si>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</si>
  <si>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</si>
  <si>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</si>
  <si>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</si>
  <si>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</si>
  <si>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</si>
  <si>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</si>
  <si>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</si>
  <si>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</si>
  <si>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</si>
  <si>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</si>
  <si>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</si>
  <si>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</si>
  <si>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</si>
  <si>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</si>
  <si>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</si>
  <si>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</si>
  <si>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</si>
  <si>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</si>
  <si>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</si>
  <si>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</si>
  <si>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</si>
  <si>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</si>
  <si>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</si>
  <si>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</si>
  <si>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</si>
  <si>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</si>
  <si>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</si>
  <si>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</si>
  <si>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</si>
  <si>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</si>
  <si>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</si>
  <si>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</si>
  <si>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</si>
  <si>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</si>
  <si>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</si>
  <si>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</si>
  <si>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</si>
  <si>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</si>
  <si>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</si>
  <si>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</si>
  <si>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</si>
  <si>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</si>
  <si>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</si>
  <si>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</si>
  <si>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</si>
  <si>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</si>
  <si>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</si>
  <si>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</si>
  <si>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</si>
  <si>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</si>
  <si>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</si>
  <si>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</si>
  <si>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</si>
  <si>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</si>
  <si>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</si>
  <si>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</si>
  <si>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</si>
  <si>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</si>
  <si>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</si>
  <si>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</si>
  <si>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</si>
  <si>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</si>
  <si>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</si>
  <si>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</si>
  <si>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</si>
  <si>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</si>
  <si>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</si>
  <si>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</si>
  <si>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</si>
  <si>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</si>
  <si>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</si>
  <si>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</si>
  <si>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</si>
  <si>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</si>
  <si>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</si>
  <si>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</si>
  <si>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</si>
  <si>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</si>
  <si>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</si>
  <si>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</si>
  <si>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</si>
  <si>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</si>
  <si>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</si>
  <si>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</si>
  <si>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</si>
  <si>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</si>
  <si>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</si>
  <si>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</si>
  <si>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</si>
  <si>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</si>
  <si>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</si>
  <si>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NIEBLA 2191 MT</t>
  </si>
  <si>
    <t>WHITE OAK  1336 MT</t>
  </si>
  <si>
    <t>NIEBLA</t>
  </si>
  <si>
    <t>WHITE OAK</t>
  </si>
  <si>
    <t>10 DIAS HABILES</t>
  </si>
  <si>
    <t>N° 11710</t>
  </si>
  <si>
    <t xml:space="preserve"> RESPALDO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</si>
</sst>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178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45952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 t="s">
        <v>171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56973069852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172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90476.470588235286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29">
        <v>2</v>
      </c>
      <c r="C21" s="329" t="s">
        <v>179</v>
      </c>
      <c r="D21" s="332">
        <v>3.06</v>
      </c>
      <c r="E21" s="332">
        <v>0.1</v>
      </c>
      <c r="F21" s="329" t="s">
        <v>173</v>
      </c>
      <c r="G21" s="330">
        <v>29210</v>
      </c>
      <c r="H21" s="330">
        <f>G21*B21</f>
        <v>58420</v>
      </c>
      <c r="I21" s="319"/>
      <c r="J21" s="265"/>
      <c r="K21" s="47"/>
      <c r="L21" s="331">
        <f t="shared" ref="L21:L25" si="1">B21</f>
        <v>2</v>
      </c>
      <c r="M21" s="39">
        <f>D21+M$19</f>
        <v>3.14</v>
      </c>
      <c r="N21" s="39">
        <f>E21+$N$19</f>
        <v>0.1</v>
      </c>
      <c r="O21" s="261">
        <f t="shared" ref="O21" si="2">M21*N21</f>
        <v>0.31400000000000006</v>
      </c>
      <c r="P21" s="259">
        <f t="shared" ref="P21" si="3">O21*L21</f>
        <v>0.62800000000000011</v>
      </c>
      <c r="Q21" s="252">
        <f t="shared" ref="Q21" si="4">Q$20*O21</f>
        <v>28409.611764705885</v>
      </c>
      <c r="R21" s="318">
        <f t="shared" ref="R21" si="5">Q21+R$20</f>
        <v>29909.611764705885</v>
      </c>
      <c r="S21" s="297">
        <f>M21*L21</f>
        <v>6.28</v>
      </c>
      <c r="T21" s="46">
        <f>M21*L21</f>
        <v>6.28</v>
      </c>
      <c r="U21" s="9"/>
      <c r="X21" s="4"/>
    </row>
    <row r="22" spans="2:25" ht="17.399999999999999" x14ac:dyDescent="0.3">
      <c r="B22" s="329">
        <v>2</v>
      </c>
      <c r="C22" s="329" t="s">
        <v>179</v>
      </c>
      <c r="D22" s="332">
        <v>1</v>
      </c>
      <c r="E22" s="332">
        <v>0.1</v>
      </c>
      <c r="F22" s="329" t="s">
        <v>173</v>
      </c>
      <c r="G22" s="330">
        <v>11271</v>
      </c>
      <c r="H22" s="330">
        <f t="shared" ref="H22:H24" si="6">G22*B22</f>
        <v>22542</v>
      </c>
      <c r="I22" s="319"/>
      <c r="J22" s="265"/>
      <c r="K22" s="47"/>
      <c r="L22" s="331">
        <f t="shared" si="1"/>
        <v>2</v>
      </c>
      <c r="M22" s="39">
        <f t="shared" ref="M22:M24" si="7">D22+M$19</f>
        <v>1.08</v>
      </c>
      <c r="N22" s="39">
        <f t="shared" ref="N22:N24" si="8">E22+$N$19</f>
        <v>0.1</v>
      </c>
      <c r="O22" s="261">
        <f t="shared" ref="O22:O24" si="9">M22*N22</f>
        <v>0.10800000000000001</v>
      </c>
      <c r="P22" s="259">
        <f t="shared" ref="P22:P24" si="10">O22*L22</f>
        <v>0.21600000000000003</v>
      </c>
      <c r="Q22" s="252">
        <f t="shared" ref="Q22:Q24" si="11">Q$20*O22</f>
        <v>9771.4588235294123</v>
      </c>
      <c r="R22" s="318">
        <f t="shared" ref="R22:R24" si="12">Q22+R$20</f>
        <v>11271.458823529412</v>
      </c>
      <c r="S22" s="297">
        <f t="shared" ref="S22:S24" si="13">M22*L22</f>
        <v>2.16</v>
      </c>
      <c r="T22" s="46"/>
      <c r="U22" s="9"/>
      <c r="X22" s="4"/>
    </row>
    <row r="23" spans="2:25" ht="17.399999999999999" x14ac:dyDescent="0.3">
      <c r="B23" s="329">
        <v>1</v>
      </c>
      <c r="C23" s="329" t="s">
        <v>179</v>
      </c>
      <c r="D23" s="332">
        <v>2.2999999999999998</v>
      </c>
      <c r="E23" s="332">
        <v>0.1</v>
      </c>
      <c r="F23" s="329" t="s">
        <v>173</v>
      </c>
      <c r="G23" s="330">
        <v>23033</v>
      </c>
      <c r="H23" s="330">
        <f t="shared" si="6"/>
        <v>23033</v>
      </c>
      <c r="I23" s="319"/>
      <c r="J23" s="265"/>
      <c r="K23" s="47"/>
      <c r="L23" s="331">
        <f t="shared" si="1"/>
        <v>1</v>
      </c>
      <c r="M23" s="39">
        <f t="shared" si="7"/>
        <v>2.38</v>
      </c>
      <c r="N23" s="39">
        <f t="shared" si="8"/>
        <v>0.1</v>
      </c>
      <c r="O23" s="261">
        <f t="shared" si="9"/>
        <v>0.23799999999999999</v>
      </c>
      <c r="P23" s="259">
        <f t="shared" si="10"/>
        <v>0.23799999999999999</v>
      </c>
      <c r="Q23" s="252">
        <f t="shared" si="11"/>
        <v>21533.399999999998</v>
      </c>
      <c r="R23" s="318">
        <f t="shared" si="12"/>
        <v>23033.399999999998</v>
      </c>
      <c r="S23" s="297">
        <f t="shared" si="13"/>
        <v>2.38</v>
      </c>
      <c r="T23" s="46"/>
      <c r="U23" s="9"/>
      <c r="X23" s="4"/>
    </row>
    <row r="24" spans="2:25" ht="17.399999999999999" x14ac:dyDescent="0.3">
      <c r="B24" s="329">
        <v>1</v>
      </c>
      <c r="C24" s="329" t="s">
        <v>179</v>
      </c>
      <c r="D24" s="332">
        <v>1</v>
      </c>
      <c r="E24" s="332">
        <v>0.1</v>
      </c>
      <c r="F24" s="329" t="s">
        <v>173</v>
      </c>
      <c r="G24" s="330">
        <v>11271</v>
      </c>
      <c r="H24" s="330">
        <f t="shared" si="6"/>
        <v>11271</v>
      </c>
      <c r="I24" s="319"/>
      <c r="J24" s="265"/>
      <c r="K24" s="47"/>
      <c r="L24" s="331">
        <f t="shared" si="1"/>
        <v>1</v>
      </c>
      <c r="M24" s="39">
        <f t="shared" si="7"/>
        <v>1.08</v>
      </c>
      <c r="N24" s="39">
        <f t="shared" si="8"/>
        <v>0.1</v>
      </c>
      <c r="O24" s="261">
        <f t="shared" si="9"/>
        <v>0.10800000000000001</v>
      </c>
      <c r="P24" s="259">
        <f t="shared" si="10"/>
        <v>0.10800000000000001</v>
      </c>
      <c r="Q24" s="252">
        <f t="shared" si="11"/>
        <v>9771.4588235294123</v>
      </c>
      <c r="R24" s="318">
        <f t="shared" si="12"/>
        <v>11271.458823529412</v>
      </c>
      <c r="S24" s="297">
        <f t="shared" si="13"/>
        <v>1.08</v>
      </c>
      <c r="T24" s="46"/>
      <c r="U24" s="9"/>
      <c r="X24" s="4"/>
    </row>
    <row r="25" spans="2:25" ht="17.399999999999999" x14ac:dyDescent="0.3">
      <c r="B25" s="329">
        <v>3</v>
      </c>
      <c r="C25" s="329" t="s">
        <v>179</v>
      </c>
      <c r="D25" s="332">
        <v>1.2</v>
      </c>
      <c r="E25" s="332">
        <v>0.1</v>
      </c>
      <c r="F25" s="329" t="s">
        <v>174</v>
      </c>
      <c r="G25" s="330">
        <v>11684</v>
      </c>
      <c r="H25" s="330">
        <f t="shared" ref="H25:H27" si="14">G25*B25</f>
        <v>35052</v>
      </c>
      <c r="I25" s="319"/>
      <c r="J25" s="265"/>
      <c r="K25" s="47"/>
      <c r="L25" s="331"/>
      <c r="M25" s="39">
        <f t="shared" ref="M25" si="15">D25+M$19</f>
        <v>1.28</v>
      </c>
      <c r="N25" s="39">
        <f t="shared" ref="N25" si="16">E25+$N$19</f>
        <v>0.1</v>
      </c>
      <c r="O25" s="261">
        <f t="shared" ref="O25" si="17">M25*N25</f>
        <v>0.128</v>
      </c>
      <c r="P25" s="259">
        <f t="shared" ref="P25" si="18">O25*L25</f>
        <v>0</v>
      </c>
      <c r="Q25" s="252">
        <f t="shared" ref="Q25" si="19">Q$20*O25</f>
        <v>11580.988235294117</v>
      </c>
      <c r="R25" s="318">
        <f t="shared" ref="R25" si="20">Q25+R$20</f>
        <v>13080.988235294117</v>
      </c>
      <c r="S25" s="297">
        <f t="shared" ref="S25" si="21">M25*L25</f>
        <v>0</v>
      </c>
      <c r="T25" s="46"/>
      <c r="U25" s="9"/>
      <c r="X25" s="4"/>
    </row>
    <row r="26" spans="2:25" ht="17.399999999999999" x14ac:dyDescent="0.3">
      <c r="B26" s="329">
        <v>1</v>
      </c>
      <c r="C26" s="329" t="s">
        <v>179</v>
      </c>
      <c r="D26" s="332">
        <v>2.7</v>
      </c>
      <c r="E26" s="332">
        <v>0.1</v>
      </c>
      <c r="F26" s="329" t="s">
        <v>174</v>
      </c>
      <c r="G26" s="330">
        <v>23619</v>
      </c>
      <c r="H26" s="330">
        <f t="shared" si="14"/>
        <v>23619</v>
      </c>
      <c r="I26" s="319"/>
      <c r="J26" s="265"/>
      <c r="K26" s="47"/>
      <c r="L26" s="331"/>
      <c r="M26" s="39">
        <f t="shared" ref="M26:M27" si="22">D26+M$19</f>
        <v>2.7800000000000002</v>
      </c>
      <c r="N26" s="39">
        <f t="shared" ref="N26:N27" si="23">E26+$N$19</f>
        <v>0.1</v>
      </c>
      <c r="O26" s="261">
        <f t="shared" ref="O26:O27" si="24">M26*N26</f>
        <v>0.27800000000000002</v>
      </c>
      <c r="P26" s="259">
        <f t="shared" ref="P26:P27" si="25">O26*L26</f>
        <v>0</v>
      </c>
      <c r="Q26" s="252">
        <f t="shared" ref="Q26:Q27" si="26">Q$20*O26</f>
        <v>25152.45882352941</v>
      </c>
      <c r="R26" s="318">
        <f t="shared" ref="R26:R27" si="27">Q26+R$20</f>
        <v>26652.45882352941</v>
      </c>
      <c r="S26" s="297">
        <f t="shared" ref="S26:S27" si="28">M26*L26</f>
        <v>0</v>
      </c>
      <c r="T26" s="46"/>
      <c r="U26" s="9"/>
      <c r="X26" s="4"/>
    </row>
    <row r="27" spans="2:25" ht="17.399999999999999" x14ac:dyDescent="0.3">
      <c r="B27" s="329">
        <v>2</v>
      </c>
      <c r="C27" s="329" t="s">
        <v>179</v>
      </c>
      <c r="D27" s="332">
        <v>2.4</v>
      </c>
      <c r="E27" s="332">
        <v>0.1</v>
      </c>
      <c r="F27" s="329" t="s">
        <v>174</v>
      </c>
      <c r="G27" s="330">
        <v>21232</v>
      </c>
      <c r="H27" s="330">
        <f t="shared" si="14"/>
        <v>42464</v>
      </c>
      <c r="I27" s="319"/>
      <c r="J27" s="265"/>
      <c r="K27" s="47"/>
      <c r="L27" s="331"/>
      <c r="M27" s="39">
        <f t="shared" si="22"/>
        <v>2.48</v>
      </c>
      <c r="N27" s="39">
        <f t="shared" si="23"/>
        <v>0.1</v>
      </c>
      <c r="O27" s="261">
        <f t="shared" si="24"/>
        <v>0.248</v>
      </c>
      <c r="P27" s="259">
        <f t="shared" si="25"/>
        <v>0</v>
      </c>
      <c r="Q27" s="252">
        <f t="shared" si="26"/>
        <v>22438.164705882351</v>
      </c>
      <c r="R27" s="318">
        <f t="shared" si="27"/>
        <v>23938.164705882351</v>
      </c>
      <c r="S27" s="297">
        <f t="shared" si="28"/>
        <v>0</v>
      </c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19"/>
      <c r="H28" s="319"/>
      <c r="I28" s="319"/>
      <c r="J28" s="265"/>
      <c r="K28" s="47"/>
      <c r="L28" s="331"/>
      <c r="M28" s="39"/>
      <c r="N28" s="39"/>
      <c r="O28" s="261"/>
      <c r="P28" s="259"/>
      <c r="Q28" s="252"/>
      <c r="R28" s="318"/>
      <c r="S28" s="297"/>
      <c r="T28" s="46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19"/>
      <c r="H29" s="319"/>
      <c r="I29" s="319"/>
      <c r="J29" s="265"/>
      <c r="K29" s="47"/>
      <c r="L29" s="47"/>
      <c r="M29" s="39"/>
      <c r="N29" s="39"/>
      <c r="O29" s="261"/>
      <c r="P29" s="259"/>
      <c r="Q29" s="252"/>
      <c r="R29" s="318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20"/>
      <c r="I30" s="322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3" t="s">
        <v>28</v>
      </c>
      <c r="H31" s="324">
        <f>SUM(H21:H30)</f>
        <v>216401</v>
      </c>
      <c r="I31" s="321"/>
      <c r="J31" s="265"/>
      <c r="K31" s="47"/>
      <c r="L31" s="47"/>
      <c r="M31" s="39"/>
      <c r="N31" s="39"/>
      <c r="O31" s="261"/>
      <c r="P31" s="259"/>
      <c r="Q31" s="252"/>
      <c r="R31" s="258"/>
      <c r="S31" s="297"/>
      <c r="T31" s="46">
        <f>SUM(T21:T30)</f>
        <v>6.28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41116.19</v>
      </c>
      <c r="I32" s="321"/>
      <c r="J32" s="265"/>
      <c r="K32" s="47"/>
      <c r="L32" s="47"/>
      <c r="M32" s="39">
        <f>SUM(M21:M31)</f>
        <v>14.220000000000002</v>
      </c>
      <c r="N32" s="12"/>
      <c r="O32" s="12"/>
      <c r="P32" s="253">
        <f>SUM(P21:P30)</f>
        <v>1.1900000000000002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257517.19</v>
      </c>
      <c r="I33" s="321"/>
      <c r="J33" s="265"/>
      <c r="K33" s="47"/>
      <c r="L33" s="47"/>
      <c r="M33" s="39"/>
      <c r="N33" s="12"/>
      <c r="O33" s="12"/>
      <c r="P33" s="253">
        <f>P32</f>
        <v>1.1900000000000002</v>
      </c>
      <c r="Q33" s="14"/>
      <c r="R33" s="12"/>
      <c r="S33" s="239">
        <f>SUM(S21:S32)</f>
        <v>11.9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0.23800000000000004</v>
      </c>
      <c r="Q34" s="39" t="s">
        <v>130</v>
      </c>
      <c r="R34" s="42"/>
      <c r="S34" s="240">
        <f>S33+T31</f>
        <v>18.18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1.4280000000000002</v>
      </c>
      <c r="Q35" s="14"/>
      <c r="R35" s="14"/>
      <c r="S35" s="238">
        <f>S34*20%</f>
        <v>3.6360000000000001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21.815999999999999</v>
      </c>
      <c r="T36" s="14"/>
      <c r="U36" s="302" t="s">
        <v>21</v>
      </c>
      <c r="V36" s="299" t="s">
        <v>152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1.4280000000000002</v>
      </c>
      <c r="N37" s="12">
        <v>2500</v>
      </c>
      <c r="O37" s="12">
        <f t="shared" ref="O37:O42" si="29">M37*N37</f>
        <v>3570.0000000000005</v>
      </c>
      <c r="P37" s="14" t="s">
        <v>21</v>
      </c>
      <c r="Q37" s="14"/>
      <c r="R37" s="14"/>
      <c r="S37" s="241"/>
      <c r="T37" s="14"/>
      <c r="U37" s="302" t="s">
        <v>153</v>
      </c>
      <c r="V37" s="299">
        <v>3625</v>
      </c>
      <c r="W37" s="59" t="s">
        <v>154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0.4</v>
      </c>
      <c r="N38" s="12">
        <v>23500</v>
      </c>
      <c r="O38" s="12">
        <f t="shared" si="29"/>
        <v>9400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155</v>
      </c>
      <c r="X38" s="304"/>
    </row>
    <row r="39" spans="1:24" s="230" customFormat="1" ht="17.399999999999999" x14ac:dyDescent="0.35">
      <c r="B39" s="24" t="s">
        <v>151</v>
      </c>
      <c r="J39" s="262"/>
      <c r="K39" s="232"/>
      <c r="L39" s="250"/>
      <c r="M39" s="14"/>
      <c r="N39" s="250">
        <v>35000</v>
      </c>
      <c r="O39" s="12">
        <f t="shared" si="29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156</v>
      </c>
      <c r="X39" s="59"/>
    </row>
    <row r="40" spans="1:24" s="230" customFormat="1" ht="17.399999999999999" x14ac:dyDescent="0.35">
      <c r="B40" s="24" t="s">
        <v>144</v>
      </c>
      <c r="C40"/>
      <c r="D40"/>
      <c r="E40"/>
      <c r="F40"/>
      <c r="J40" s="262"/>
      <c r="K40" s="232"/>
      <c r="L40" s="250"/>
      <c r="M40" s="14">
        <v>1</v>
      </c>
      <c r="N40" s="250">
        <v>38300</v>
      </c>
      <c r="O40" s="12">
        <f t="shared" si="29"/>
        <v>38300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157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29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 t="s">
        <v>176</v>
      </c>
      <c r="K42" s="260">
        <v>38300</v>
      </c>
      <c r="L42" s="250"/>
      <c r="M42" s="266"/>
      <c r="N42" s="12">
        <v>1000</v>
      </c>
      <c r="O42" s="12">
        <f t="shared" si="29"/>
        <v>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J43" s="230" t="s">
        <v>175</v>
      </c>
      <c r="K43" s="260">
        <v>31000</v>
      </c>
      <c r="L43" s="250"/>
      <c r="M43" s="14"/>
      <c r="N43" s="12"/>
      <c r="O43" s="12">
        <f>SUM(O37:O42)</f>
        <v>51270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J44" s="230">
        <v>49560</v>
      </c>
      <c r="L44" s="250"/>
      <c r="M44" s="254" t="s">
        <v>33</v>
      </c>
      <c r="N44" s="12"/>
      <c r="O44" s="255">
        <f>O43*2.1</f>
        <v>107667</v>
      </c>
      <c r="P44" s="14" t="s">
        <v>140</v>
      </c>
      <c r="Q44" s="14"/>
      <c r="R44" s="40">
        <f>P35/R43</f>
        <v>0.38503019844693703</v>
      </c>
      <c r="S44"/>
      <c r="T44" s="257"/>
    </row>
    <row r="45" spans="1:24" s="230" customFormat="1" ht="17.399999999999999" x14ac:dyDescent="0.35">
      <c r="G45"/>
      <c r="H45" s="260"/>
      <c r="I45" s="260"/>
      <c r="J45" s="260">
        <f>J44/1.19</f>
        <v>41647.058823529413</v>
      </c>
      <c r="L45" s="250"/>
      <c r="M45" s="14"/>
      <c r="N45" s="12"/>
      <c r="O45" s="12">
        <f>O44/P33</f>
        <v>90476.470588235286</v>
      </c>
      <c r="P45" s="45" t="s">
        <v>24</v>
      </c>
      <c r="Q45" s="14"/>
      <c r="R45" s="14"/>
      <c r="S45"/>
      <c r="T45" s="238"/>
      <c r="U45" s="59" t="s">
        <v>158</v>
      </c>
      <c r="V45" s="299">
        <v>43650</v>
      </c>
    </row>
    <row r="46" spans="1:24" s="230" customFormat="1" ht="17.399999999999999" x14ac:dyDescent="0.35">
      <c r="G46"/>
      <c r="L46" s="250"/>
      <c r="M46" s="13"/>
      <c r="N46" s="14"/>
      <c r="O46" s="17">
        <f>O44/O43</f>
        <v>2.1</v>
      </c>
      <c r="P46" s="15"/>
      <c r="Q46"/>
      <c r="R46"/>
      <c r="S46"/>
      <c r="T46" s="238"/>
      <c r="U46" s="59" t="s">
        <v>160</v>
      </c>
      <c r="V46" s="300" t="s">
        <v>159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161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156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45952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-24295.708366787439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216401</v>
      </c>
      <c r="E11" s="132">
        <f>D11*0.19</f>
        <v>41116.19</v>
      </c>
      <c r="F11" s="131">
        <f>E11+D11</f>
        <v>257517.19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81694.291633212561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42804.090787439614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63694.291633212561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173596.90921256039</v>
      </c>
      <c r="E13" s="221">
        <f>(D11/D12)-1</f>
        <v>4.0556149194856976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54694.291633212561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15694.291633212561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70626.749799275363</v>
      </c>
      <c r="F15" s="216">
        <f>E15-D12</f>
        <v>27822.659011835749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15694.291633212561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55694.291633212561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3570.0000000000005</v>
      </c>
      <c r="E20" s="121">
        <f>D20*0.19</f>
        <v>678.30000000000007</v>
      </c>
      <c r="F20" s="120">
        <f>SUM(D20:E20)</f>
        <v>4248.3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12970</v>
      </c>
      <c r="E21" s="116">
        <f>SUM(E18:E20)</f>
        <v>2464.3000000000002</v>
      </c>
      <c r="F21" s="115">
        <f>SUM(F18:F20)</f>
        <v>15434.3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38651.89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216401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12970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173596.90921256039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173596.90921256039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2025-10-22T23:18:32Z</dcterms:modified>
</cp:coreProperties>
</file>