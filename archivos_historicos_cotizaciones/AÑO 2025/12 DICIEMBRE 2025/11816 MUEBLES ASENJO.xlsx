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5\"/>
    </mc:Choice>
  </mc:AlternateContent>
  <xr:revisionPtr revIDLastSave="0" documentId="13_ncr:1_{393ABC06-197F-422F-8ED0-28E3F3C9EE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0" i="1" l="1"/>
  <c r="L21" i="1"/>
  <c r="J40" i="1"/>
  <c r="K34" i="1"/>
  <c r="K35" i="1" s="1"/>
  <c r="H21" i="1" l="1"/>
  <c r="M21" i="1"/>
  <c r="S21" i="1" s="1"/>
  <c r="N21" i="1"/>
  <c r="J15" i="1"/>
  <c r="J10" i="1"/>
  <c r="O21" i="1" l="1"/>
  <c r="P21" i="1" s="1"/>
  <c r="P25" i="1" s="1"/>
  <c r="S26" i="1"/>
  <c r="M25" i="1"/>
  <c r="T24" i="1"/>
  <c r="K39" i="1"/>
  <c r="S27" i="1" l="1"/>
  <c r="S28" i="1" s="1"/>
  <c r="S29" i="1" s="1"/>
  <c r="V32" i="1"/>
  <c r="V33" i="1" s="1"/>
  <c r="O31" i="1" l="1"/>
  <c r="P26" i="1" l="1"/>
  <c r="N20" i="1"/>
  <c r="L20" i="1"/>
  <c r="P27" i="1" l="1"/>
  <c r="P28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Q21" i="1" l="1"/>
  <c r="R21" i="1" s="1"/>
  <c r="O39" i="1"/>
  <c r="E15" i="3"/>
  <c r="F15" i="3" l="1"/>
  <c r="H24" i="1" l="1"/>
  <c r="H25" i="1" s="1"/>
  <c r="H26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<sst xmlns="http://schemas.openxmlformats.org/spreadsheetml/2006/main" count="230" uniqueCount="176">
  <si>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</si>
  <si>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</si>
  <si>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</si>
  <si>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</si>
  <si>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</si>
  <si>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</si>
  <si>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</si>
  <si>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</si>
  <si>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</si>
  <si>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</si>
  <si>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</si>
  <si>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</si>
  <si>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</si>
  <si>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</si>
  <si>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</si>
  <si>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</si>
  <si>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</si>
  <si>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</si>
  <si>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</si>
  <si>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</si>
  <si>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</si>
  <si>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</si>
  <si>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</si>
  <si>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</si>
  <si>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</si>
  <si>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</si>
  <si>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</si>
  <si>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</si>
  <si>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</si>
  <si>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</si>
  <si>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</si>
  <si>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</si>
  <si>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</si>
  <si>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</si>
  <si>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</si>
  <si>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</si>
  <si>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</si>
  <si>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</si>
  <si>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</si>
  <si>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</si>
  <si>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</si>
  <si>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</si>
  <si>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</si>
  <si>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</si>
  <si>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</si>
  <si>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</si>
  <si>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</si>
  <si>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</si>
  <si>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</si>
  <si>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</si>
  <si>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</si>
  <si>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</si>
  <si>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</si>
  <si>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</si>
  <si>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</si>
  <si>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</si>
  <si>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</si>
  <si>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</si>
  <si>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</si>
  <si>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</si>
  <si>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</si>
  <si>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</si>
  <si>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</si>
  <si>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</si>
  <si>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</si>
  <si>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</si>
  <si>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</si>
  <si>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</si>
  <si>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</si>
  <si>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</si>
  <si>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</si>
  <si>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</si>
  <si>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</si>
  <si>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</si>
  <si>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</si>
  <si>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</si>
  <si>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</si>
  <si>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</si>
  <si>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</si>
  <si>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</si>
  <si>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</si>
  <si>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</si>
  <si>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</si>
  <si>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</si>
  <si>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</si>
  <si>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</si>
  <si>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</si>
  <si>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</si>
  <si>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</si>
  <si>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</si>
  <si>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</si>
  <si>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</si>
  <si>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</si>
  <si>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</si>
  <si>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</si>
  <si>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</si>
  <si>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</si>
  <si>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</si>
  <si>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</si>
  <si>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</si>
  <si>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</si>
  <si>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</si>
  <si>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</si>
  <si>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</si>
  <si>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</si>
  <si>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</si>
  <si>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</si>
  <si>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</si>
  <si>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</si>
  <si>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</si>
  <si>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</si>
  <si>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</si>
  <si>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</si>
  <si>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</si>
  <si>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</si>
  <si>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</si>
  <si>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</si>
  <si>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</si>
  <si>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</si>
  <si>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</si>
  <si>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</si>
  <si>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</si>
  <si>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</si>
  <si>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</si>
  <si>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</si>
  <si>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</si>
  <si>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</si>
  <si>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</si>
  <si>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</si>
  <si>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</si>
  <si>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</si>
  <si>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</si>
  <si>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</si>
  <si>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</si>
  <si>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</si>
  <si>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</si>
  <si>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</si>
  <si>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</si>
  <si>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</si>
  <si>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</si>
  <si>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</si>
  <si>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</si>
  <si>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</si>
  <si>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</si>
  <si>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</si>
  <si>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</si>
  <si>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</si>
  <si>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</si>
  <si>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</si>
  <si>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</si>
  <si>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</si>
  <si>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</si>
  <si>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</si>
  <si>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</si>
  <si>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</si>
  <si>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</si>
  <si>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</si>
  <si>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</si>
  <si>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</si>
  <si>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</si>
  <si>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</si>
  <si>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</si>
  <si>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</si>
  <si>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</si>
  <si>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</si>
  <si>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</si>
  <si>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</si>
  <si>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</si>
  <si>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>no</t>
  </si>
  <si>
    <t xml:space="preserve">ORDEN DE COMPRA </t>
  </si>
  <si>
    <t>LAMINA 122X306</t>
  </si>
  <si>
    <t>CUB C/R 90° R8</t>
  </si>
  <si>
    <t>MEDITERRANEO 2180 F6 MT</t>
  </si>
  <si>
    <t>N° 11816</t>
  </si>
  <si>
    <t>10 DIAS HABILES</t>
  </si>
  <si>
    <t>CONTRA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</si>
</sst>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8" zoomScale="93" zoomScaleNormal="93" workbookViewId="0">
      <selection activeCell="A11" sqref="A11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162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173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165</v>
      </c>
      <c r="D10" s="243"/>
      <c r="E10" s="243"/>
      <c r="F10" s="244" t="s">
        <v>0</v>
      </c>
      <c r="G10" s="276">
        <v>46021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174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168</v>
      </c>
      <c r="H12" s="248"/>
      <c r="J12">
        <v>44</v>
      </c>
      <c r="Q12" s="19"/>
      <c r="R12" s="25"/>
      <c r="S12" s="19"/>
    </row>
    <row r="13" spans="2:24" x14ac:dyDescent="0.3">
      <c r="B13" s="287" t="s">
        <v>145</v>
      </c>
      <c r="C13" t="s">
        <v>166</v>
      </c>
      <c r="F13" t="s">
        <v>169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167</v>
      </c>
      <c r="H15" s="289"/>
      <c r="J15">
        <f>SUM(J12:J14)</f>
        <v>158</v>
      </c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175</v>
      </c>
      <c r="H16" s="248"/>
    </row>
    <row r="17" spans="1:25" ht="15" thickBot="1" x14ac:dyDescent="0.35">
      <c r="B17" s="311" t="s">
        <v>13</v>
      </c>
      <c r="C17" s="312" t="s">
        <v>164</v>
      </c>
      <c r="D17" s="313"/>
      <c r="E17" s="119"/>
      <c r="F17" s="334" t="s">
        <v>163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50243.722943722947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50</v>
      </c>
      <c r="C21" s="330" t="s">
        <v>171</v>
      </c>
      <c r="D21" s="333">
        <v>3</v>
      </c>
      <c r="E21" s="333">
        <v>0.6</v>
      </c>
      <c r="F21" s="330" t="s">
        <v>172</v>
      </c>
      <c r="G21" s="331">
        <v>92850</v>
      </c>
      <c r="H21" s="331">
        <f t="shared" ref="H21" si="1">G21*B21</f>
        <v>4642500</v>
      </c>
      <c r="I21" s="320"/>
      <c r="J21" s="265">
        <v>92285</v>
      </c>
      <c r="K21" s="47"/>
      <c r="L21" s="332">
        <f>B21</f>
        <v>50</v>
      </c>
      <c r="M21" s="39">
        <f t="shared" ref="M21" si="2">D21+M$19</f>
        <v>3.08</v>
      </c>
      <c r="N21" s="39">
        <f t="shared" ref="N21" si="3">E21+$N$19</f>
        <v>0.6</v>
      </c>
      <c r="O21" s="261">
        <f t="shared" ref="O21" si="4">M21*N21</f>
        <v>1.8479999999999999</v>
      </c>
      <c r="P21" s="259">
        <f t="shared" ref="P21" si="5">O21*L21</f>
        <v>92.399999999999991</v>
      </c>
      <c r="Q21" s="252">
        <f t="shared" ref="Q21" si="6">Q$20*O21</f>
        <v>92850.4</v>
      </c>
      <c r="R21" s="319">
        <f t="shared" ref="R21" si="7">Q21+R$20</f>
        <v>95850.4</v>
      </c>
      <c r="S21" s="297">
        <f>L21*M21</f>
        <v>154</v>
      </c>
      <c r="T21" s="46"/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332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4642500</v>
      </c>
      <c r="I24" s="322"/>
      <c r="J24" s="265">
        <v>442955</v>
      </c>
      <c r="K24" s="47"/>
      <c r="L24" s="47"/>
      <c r="M24" s="39"/>
      <c r="N24" s="39"/>
      <c r="O24" s="261"/>
      <c r="P24" s="259"/>
      <c r="Q24" s="252"/>
      <c r="R24" s="258"/>
      <c r="S24" s="297"/>
      <c r="T24" s="46">
        <f>SUM(T21:T23)</f>
        <v>0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882075</v>
      </c>
      <c r="I25" s="322"/>
      <c r="J25" s="265"/>
      <c r="K25" s="47"/>
      <c r="L25" s="47"/>
      <c r="M25" s="39">
        <f>SUM(M21:M24)</f>
        <v>3.08</v>
      </c>
      <c r="N25" s="12"/>
      <c r="O25" s="12"/>
      <c r="P25" s="253">
        <f>SUM(P21:P23)</f>
        <v>92.399999999999991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5524575</v>
      </c>
      <c r="I26" s="322"/>
      <c r="J26" s="265"/>
      <c r="K26" s="47"/>
      <c r="L26" s="47"/>
      <c r="M26" s="39"/>
      <c r="N26" s="12"/>
      <c r="O26" s="12"/>
      <c r="P26" s="253">
        <f>P25</f>
        <v>92.399999999999991</v>
      </c>
      <c r="Q26" s="14"/>
      <c r="R26" s="12"/>
      <c r="S26" s="239">
        <f>SUM(S21:S25)</f>
        <v>154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18.48</v>
      </c>
      <c r="Q27" s="39" t="s">
        <v>130</v>
      </c>
      <c r="R27" s="42"/>
      <c r="S27" s="240">
        <f>S26+T24</f>
        <v>154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110.88</v>
      </c>
      <c r="Q28" s="14"/>
      <c r="R28" s="14"/>
      <c r="S28" s="238">
        <f>S27*20%</f>
        <v>30.8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184.8</v>
      </c>
      <c r="T29" s="14"/>
      <c r="U29" s="302" t="s">
        <v>21</v>
      </c>
      <c r="V29" s="299" t="s">
        <v>151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110.88</v>
      </c>
      <c r="N30" s="12">
        <v>2000</v>
      </c>
      <c r="O30" s="12">
        <f t="shared" ref="O30:O35" si="8">M30*N30</f>
        <v>221760</v>
      </c>
      <c r="P30" s="14" t="s">
        <v>21</v>
      </c>
      <c r="Q30" s="14"/>
      <c r="R30" s="14"/>
      <c r="S30" s="241"/>
      <c r="T30" s="14"/>
      <c r="U30" s="302" t="s">
        <v>152</v>
      </c>
      <c r="V30" s="299">
        <v>3625</v>
      </c>
      <c r="W30" s="59" t="s">
        <v>153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25</v>
      </c>
      <c r="N31" s="12">
        <v>23500</v>
      </c>
      <c r="O31" s="12">
        <f t="shared" si="8"/>
        <v>587500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154</v>
      </c>
      <c r="X31" s="304"/>
    </row>
    <row r="32" spans="1:25" s="230" customFormat="1" ht="17.399999999999999" x14ac:dyDescent="0.35">
      <c r="B32" s="24" t="s">
        <v>150</v>
      </c>
      <c r="J32" s="262"/>
      <c r="K32" s="232">
        <v>1220</v>
      </c>
      <c r="L32" s="250"/>
      <c r="M32" s="14"/>
      <c r="N32" s="250">
        <v>23500</v>
      </c>
      <c r="O32" s="12">
        <f t="shared" si="8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155</v>
      </c>
      <c r="X32" s="59"/>
    </row>
    <row r="33" spans="2:24" s="230" customFormat="1" ht="17.399999999999999" x14ac:dyDescent="0.35">
      <c r="B33" s="24" t="s">
        <v>143</v>
      </c>
      <c r="C33"/>
      <c r="D33"/>
      <c r="E33"/>
      <c r="F33"/>
      <c r="J33" s="262">
        <v>32859</v>
      </c>
      <c r="K33" s="232">
        <v>230</v>
      </c>
      <c r="L33" s="250"/>
      <c r="M33" s="14">
        <v>50</v>
      </c>
      <c r="N33" s="250">
        <v>28700</v>
      </c>
      <c r="O33" s="12">
        <f t="shared" si="8"/>
        <v>1435000</v>
      </c>
      <c r="P33" s="14" t="s">
        <v>170</v>
      </c>
      <c r="Q33" s="17"/>
      <c r="S33" s="238"/>
      <c r="T33" s="256"/>
      <c r="U33" s="59"/>
      <c r="V33" s="59">
        <f>V31+V32</f>
        <v>1087.5</v>
      </c>
      <c r="W33" s="304" t="s">
        <v>156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>
        <f>K32/K33</f>
        <v>5.3043478260869561</v>
      </c>
      <c r="L34" s="250"/>
      <c r="M34" s="249"/>
      <c r="N34" s="250">
        <v>15700</v>
      </c>
      <c r="O34" s="12">
        <f t="shared" si="8"/>
        <v>0</v>
      </c>
      <c r="P34" s="14" t="s">
        <v>32</v>
      </c>
      <c r="Q34" s="14"/>
      <c r="R34" s="230">
        <v>1.83</v>
      </c>
      <c r="S34" s="238"/>
      <c r="T34" s="238"/>
    </row>
    <row r="35" spans="2:24" s="230" customFormat="1" ht="17.399999999999999" x14ac:dyDescent="0.35">
      <c r="J35" s="293"/>
      <c r="K35" s="260" t="e">
        <f>#REF!/K34</f>
        <v>#REF!</v>
      </c>
      <c r="L35" s="250"/>
      <c r="M35" s="266">
        <v>154</v>
      </c>
      <c r="N35" s="12">
        <v>500</v>
      </c>
      <c r="O35" s="12">
        <f t="shared" si="8"/>
        <v>77000</v>
      </c>
      <c r="P35" s="14" t="s">
        <v>22</v>
      </c>
      <c r="Q35" s="14"/>
      <c r="R35">
        <v>2.5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2321260</v>
      </c>
      <c r="P36" s="39" t="s">
        <v>23</v>
      </c>
      <c r="Q36" s="14"/>
      <c r="R36">
        <f>R34*R35</f>
        <v>4.5750000000000002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</f>
        <v>4642520</v>
      </c>
      <c r="P37" s="14" t="s">
        <v>140</v>
      </c>
      <c r="Q37" s="14"/>
      <c r="R37" s="40">
        <f>P28/R36</f>
        <v>24.236065573770489</v>
      </c>
      <c r="S37"/>
      <c r="T37" s="257"/>
    </row>
    <row r="38" spans="2:24" s="230" customFormat="1" ht="17.399999999999999" x14ac:dyDescent="0.35">
      <c r="G38"/>
      <c r="H38" s="260"/>
      <c r="I38" s="260"/>
      <c r="J38" s="260">
        <v>22475</v>
      </c>
      <c r="K38" s="230">
        <v>40000</v>
      </c>
      <c r="L38" s="250"/>
      <c r="M38" s="14"/>
      <c r="N38" s="12"/>
      <c r="O38" s="12">
        <f>O37/P26</f>
        <v>50243.722943722947</v>
      </c>
      <c r="P38" s="45" t="s">
        <v>24</v>
      </c>
      <c r="Q38" s="14"/>
      <c r="R38" s="14"/>
      <c r="S38"/>
      <c r="T38" s="238"/>
      <c r="U38" s="59" t="s">
        <v>157</v>
      </c>
      <c r="V38" s="299">
        <v>43650</v>
      </c>
    </row>
    <row r="39" spans="2:24" s="230" customFormat="1" ht="17.399999999999999" x14ac:dyDescent="0.35">
      <c r="G39"/>
      <c r="J39" s="230">
        <v>6</v>
      </c>
      <c r="K39" s="230">
        <f>K38/1.19</f>
        <v>33613.445378151264</v>
      </c>
      <c r="L39" s="250"/>
      <c r="M39" s="13"/>
      <c r="N39" s="14"/>
      <c r="O39" s="17">
        <f>O37/O36</f>
        <v>2</v>
      </c>
      <c r="P39" s="15"/>
      <c r="Q39"/>
      <c r="R39"/>
      <c r="S39"/>
      <c r="T39" s="238"/>
      <c r="U39" s="59" t="s">
        <v>159</v>
      </c>
      <c r="V39" s="300" t="s">
        <v>158</v>
      </c>
      <c r="W39" s="59">
        <v>2.4</v>
      </c>
    </row>
    <row r="40" spans="2:24" s="230" customFormat="1" ht="17.399999999999999" x14ac:dyDescent="0.35">
      <c r="G40" s="23"/>
      <c r="J40" s="260">
        <f>J38*J39</f>
        <v>134850</v>
      </c>
      <c r="L40" s="12"/>
      <c r="T40" s="238"/>
      <c r="U40" s="59" t="s">
        <v>160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155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147</v>
      </c>
    </row>
    <row r="74" spans="3:15" x14ac:dyDescent="0.3">
      <c r="C74" t="s">
        <v>146</v>
      </c>
    </row>
    <row r="77" spans="3:15" x14ac:dyDescent="0.3">
      <c r="C77" t="s">
        <v>146</v>
      </c>
    </row>
    <row r="154" spans="3:3" x14ac:dyDescent="0.3">
      <c r="C154" t="s">
        <v>146</v>
      </c>
    </row>
    <row r="155" spans="3:3" x14ac:dyDescent="0.3">
      <c r="C155" t="s">
        <v>148</v>
      </c>
    </row>
    <row r="156" spans="3:3" x14ac:dyDescent="0.3">
      <c r="C156" t="s">
        <v>149</v>
      </c>
    </row>
    <row r="581" spans="3:3" x14ac:dyDescent="0.3">
      <c r="C581" t="s">
        <v>146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46021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11816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-542999.12503345415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4642500</v>
      </c>
      <c r="E11" s="132">
        <f>D11*0.19</f>
        <v>882075</v>
      </c>
      <c r="F11" s="131">
        <f>E11+D11</f>
        <v>5524575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-437009.12503345415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839094.09078743961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-455009.12503345415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3803405.9092125604</v>
      </c>
      <c r="E13" s="221">
        <f>(D11/D12)-1</f>
        <v>4.5327525851639496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-464009.12503345415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-503009.12503345415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1384505.2497992753</v>
      </c>
      <c r="F15" s="216">
        <f>E15-D12</f>
        <v>545411.1590118357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-503009.12503345415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-463009.12503345415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587500</v>
      </c>
      <c r="E19" s="123">
        <f>D19*0.19</f>
        <v>111625</v>
      </c>
      <c r="F19" s="120">
        <f>SUM(D19:E19)</f>
        <v>699125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221760</v>
      </c>
      <c r="E20" s="121">
        <f>D20*0.19</f>
        <v>42134.400000000001</v>
      </c>
      <c r="F20" s="120">
        <f>SUM(D20:E20)</f>
        <v>263894.40000000002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809260</v>
      </c>
      <c r="E21" s="116">
        <f>SUM(E18:E20)</f>
        <v>153759.4</v>
      </c>
      <c r="F21" s="115">
        <f>SUM(F18:F20)</f>
        <v>963019.4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728315.6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4642500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809260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3803405.9092125604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3803405.9092125604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2025-11-10T20:44:42Z</cp:lastPrinted>
  <dcterms:created xsi:type="dcterms:W3CDTF">2013-03-18T13:35:42Z</dcterms:created>
  <dcterms:modified xsi:type="dcterms:W3CDTF">2025-12-30T11:31:38Z</dcterms:modified>
</cp:coreProperties>
</file>