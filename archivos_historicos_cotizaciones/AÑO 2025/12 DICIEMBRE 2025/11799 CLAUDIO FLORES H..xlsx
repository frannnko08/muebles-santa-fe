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5\"/>
    </mc:Choice>
  </mc:AlternateContent>
  <xr:revisionPtr revIDLastSave="0" documentId="13_ncr:1_{2E314CCC-7172-44F9-B63A-1BB72F5F19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l="1"/>
  <c r="S21" i="1"/>
  <c r="T21" i="1"/>
  <c r="T24" i="1" s="1"/>
  <c r="S26" i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s="1"/>
  <c r="G22" i="4" l="1"/>
  <c r="H22" i="4" s="1"/>
  <c r="H25" i="4" s="1"/>
  <c r="H26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<sst xmlns="http://schemas.openxmlformats.org/spreadsheetml/2006/main" count="486" uniqueCount="294">
  <si>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</si>
  <si>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</si>
  <si>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</si>
  <si>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</si>
  <si>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</si>
  <si>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</si>
  <si>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</si>
  <si>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</si>
  <si>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</si>
  <si>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</si>
  <si>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</si>
  <si>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</si>
  <si>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</si>
  <si>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</si>
  <si>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</si>
  <si>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</si>
  <si>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</si>
  <si>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</si>
  <si>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</si>
  <si>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</si>
  <si>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</si>
  <si>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</si>
  <si>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</si>
  <si>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</si>
  <si>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</si>
  <si>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</si>
  <si>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</si>
  <si>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</si>
  <si>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</si>
  <si>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</si>
  <si>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</si>
  <si>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</si>
  <si>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</si>
  <si>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</si>
  <si>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</si>
  <si>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</si>
  <si>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</si>
  <si>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</si>
  <si>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</si>
  <si>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</si>
  <si>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</si>
  <si>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</si>
  <si>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</si>
  <si>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</si>
  <si>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</si>
  <si>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</si>
  <si>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</si>
  <si>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</si>
  <si>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</si>
  <si>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</si>
  <si>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</si>
  <si>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</si>
  <si>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</si>
  <si>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</si>
  <si>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</si>
  <si>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</si>
  <si>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</si>
  <si>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</si>
  <si>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</si>
  <si>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</si>
  <si>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</si>
  <si>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</si>
  <si>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</si>
  <si>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</si>
  <si>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</si>
  <si>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</si>
  <si>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</si>
  <si>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</si>
  <si>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</si>
  <si>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</si>
  <si>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</si>
  <si>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</si>
  <si>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</si>
  <si>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</si>
  <si>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</si>
  <si>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</si>
  <si>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</si>
  <si>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</si>
  <si>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</si>
  <si>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</si>
  <si>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</si>
  <si>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</si>
  <si>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</si>
  <si>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</si>
  <si>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</si>
  <si>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</si>
  <si>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</si>
  <si>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</si>
  <si>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</si>
  <si>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</si>
  <si>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</si>
  <si>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</si>
  <si>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</si>
  <si>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</si>
  <si>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</si>
  <si>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</si>
  <si>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</si>
  <si>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</si>
  <si>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</si>
  <si>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</si>
  <si>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</si>
  <si>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</si>
  <si>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</si>
  <si>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</si>
  <si>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</si>
  <si>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</si>
  <si>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</si>
  <si>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</si>
  <si>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</si>
  <si>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</si>
  <si>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</si>
  <si>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</si>
  <si>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</si>
  <si>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</si>
  <si>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</si>
  <si>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</si>
  <si>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</si>
  <si>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</si>
  <si>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</si>
  <si>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</si>
  <si>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</si>
  <si>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</si>
  <si>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</si>
  <si>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</si>
  <si>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</si>
  <si>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</si>
  <si>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</si>
  <si>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</si>
  <si>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</si>
  <si>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</si>
  <si>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</si>
  <si>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</si>
  <si>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</si>
  <si>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</si>
  <si>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</si>
  <si>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</si>
  <si>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</si>
  <si>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</si>
  <si>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</si>
  <si>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</si>
  <si>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</si>
  <si>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</si>
  <si>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</si>
  <si>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</si>
  <si>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</si>
  <si>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</si>
  <si>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</si>
  <si>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</si>
  <si>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</si>
  <si>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</si>
  <si>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</si>
  <si>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</si>
  <si>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</si>
  <si>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</si>
  <si>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</si>
  <si>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</si>
  <si>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</si>
  <si>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</si>
  <si>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</si>
  <si>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</si>
  <si>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</si>
  <si>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</si>
  <si>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</si>
  <si>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</si>
  <si>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</si>
  <si>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</si>
  <si>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</si>
  <si>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</si>
  <si>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</si>
  <si>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</si>
  <si>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</si>
  <si>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</si>
  <si>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</si>
  <si>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</si>
  <si>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</si>
  <si>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</si>
  <si>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</si>
  <si>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</si>
  <si>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</si>
  <si>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</si>
  <si>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</si>
  <si>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</si>
  <si>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</si>
  <si>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</si>
  <si>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</si>
  <si>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</si>
  <si>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</si>
  <si>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</si>
  <si>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</si>
  <si>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</si>
  <si>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</si>
  <si>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</si>
  <si>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</si>
  <si>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</si>
  <si>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</si>
  <si>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</si>
  <si>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</si>
  <si>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</si>
  <si>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</si>
  <si>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</si>
  <si>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</si>
  <si>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</si>
  <si>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</si>
  <si>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</si>
  <si>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</si>
  <si>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</si>
  <si>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</si>
  <si>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</si>
  <si>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</si>
  <si>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</si>
  <si>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</si>
  <si>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</si>
  <si>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</si>
  <si>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</si>
  <si>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</si>
  <si>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</si>
  <si>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</si>
  <si>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</si>
  <si>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</si>
  <si>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</si>
  <si>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</si>
  <si>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</si>
  <si>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</si>
  <si>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</si>
  <si>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</si>
  <si>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</si>
  <si>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</si>
  <si>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</si>
  <si>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</si>
  <si>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</si>
  <si>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</si>
  <si>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</si>
  <si>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</si>
  <si>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</si>
  <si>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</si>
  <si>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</si>
  <si>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</si>
  <si>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</si>
  <si>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</si>
  <si>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</si>
  <si>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</si>
  <si>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</si>
  <si>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</si>
  <si>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</si>
  <si>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</si>
  <si>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</si>
  <si>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</si>
  <si>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</si>
  <si>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</si>
  <si>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</si>
  <si>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</si>
  <si>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</si>
  <si>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</si>
  <si>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</si>
  <si>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</si>
  <si>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</si>
  <si>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</si>
  <si>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</si>
  <si>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</si>
  <si>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</si>
  <si>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</si>
  <si>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</si>
  <si>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</si>
  <si>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</si>
  <si>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</si>
  <si>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</si>
  <si>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</si>
  <si>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</si>
  <si>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</si>
  <si>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</si>
  <si>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</si>
  <si>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</si>
  <si>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</si>
  <si>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</si>
  <si>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</si>
  <si>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</si>
  <si>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</si>
  <si>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</si>
  <si>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</si>
  <si>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</si>
  <si>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</si>
  <si>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</si>
  <si>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</si>
  <si>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</si>
  <si>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</si>
  <si>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</si>
  <si>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</si>
  <si>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</si>
  <si>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N° 11799</t>
  </si>
  <si>
    <t>+569 8847 3912</t>
  </si>
  <si>
    <t>5 DIAS HABILES</t>
  </si>
  <si>
    <t>CUB CON RESPALDO FRENTE 180°</t>
  </si>
  <si>
    <t>BELARUS CHERRY 10277 SF</t>
  </si>
  <si>
    <t>CLAUDIO FLORES HERNANDEZ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</si>
</sst>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214364</xdr:rowOff>
    </xdr:from>
    <xdr:to>
      <xdr:col>5</xdr:col>
      <xdr:colOff>1728839</xdr:colOff>
      <xdr:row>25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</a:t>
          </a:r>
          <a:r>
            <a:rPr lang="es-CL" sz="1200" b="1" baseline="0"/>
            <a:t> SE ENTREGA CON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endParaRPr lang="es-CL" sz="1200" b="1" i="1" u="sng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3" zoomScale="93" zoomScaleNormal="93" workbookViewId="0">
      <selection activeCell="C11" sqref="C11"/>
    </sheetView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288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293</v>
      </c>
      <c r="D10" s="243"/>
      <c r="E10" s="243"/>
      <c r="F10" s="418" t="s">
        <v>277</v>
      </c>
      <c r="G10" s="275">
        <v>46001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290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 t="s">
        <v>289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83877.508509189924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430">
        <v>1</v>
      </c>
      <c r="C21" s="430" t="s">
        <v>291</v>
      </c>
      <c r="D21" s="431">
        <v>2</v>
      </c>
      <c r="E21" s="431">
        <v>0.56499999999999995</v>
      </c>
      <c r="F21" s="430" t="s">
        <v>292</v>
      </c>
      <c r="G21" s="432">
        <v>98573</v>
      </c>
      <c r="H21" s="432">
        <f>G21*B21</f>
        <v>98573</v>
      </c>
      <c r="I21" s="306"/>
      <c r="J21" s="264"/>
      <c r="K21" s="47"/>
      <c r="L21" s="47">
        <f>B21</f>
        <v>1</v>
      </c>
      <c r="M21" s="39">
        <f>D21+M$19</f>
        <v>2.08</v>
      </c>
      <c r="N21" s="39">
        <f>E21+$N$19</f>
        <v>0.56499999999999995</v>
      </c>
      <c r="O21" s="260">
        <f t="shared" ref="O21" si="0">M21*N21</f>
        <v>1.1752</v>
      </c>
      <c r="P21" s="258">
        <f t="shared" ref="P21" si="1">O21*L21</f>
        <v>1.1752</v>
      </c>
      <c r="Q21" s="251">
        <f t="shared" ref="Q21" si="2">Q$20*O21</f>
        <v>98572.847999999998</v>
      </c>
      <c r="R21" s="305">
        <f t="shared" ref="R21" si="3">Q21+R$20</f>
        <v>101572.848</v>
      </c>
      <c r="S21" s="290">
        <f>M21*L21</f>
        <v>2.08</v>
      </c>
      <c r="T21" s="46">
        <f>N21*2*L21*2</f>
        <v>2.2599999999999998</v>
      </c>
      <c r="U21" s="9"/>
      <c r="X21" s="4"/>
    </row>
    <row r="22" spans="1:25" ht="17.399999999999999" x14ac:dyDescent="0.3">
      <c r="B22" s="283"/>
      <c r="C22" s="283"/>
      <c r="D22" s="284"/>
      <c r="E22" s="284"/>
      <c r="F22" s="283"/>
      <c r="G22" s="306"/>
      <c r="H22" s="306"/>
      <c r="I22" s="306"/>
      <c r="J22" s="264"/>
      <c r="K22" s="47"/>
      <c r="L22" s="47"/>
      <c r="M22" s="39"/>
      <c r="N22" s="39"/>
      <c r="O22" s="260"/>
      <c r="P22" s="258"/>
      <c r="Q22" s="251"/>
      <c r="R22" s="305"/>
      <c r="S22" s="290"/>
      <c r="T22" s="46"/>
      <c r="U22" s="9"/>
      <c r="X22" s="4"/>
    </row>
    <row r="23" spans="1:25" ht="18" thickBot="1" x14ac:dyDescent="0.35">
      <c r="B23" s="283"/>
      <c r="C23" s="283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SUM(H21:H23)</f>
        <v>98573</v>
      </c>
      <c r="I24" s="308"/>
      <c r="J24" s="264"/>
      <c r="K24" s="47">
        <v>2600000</v>
      </c>
      <c r="L24" s="47"/>
      <c r="M24" s="39"/>
      <c r="N24" s="39"/>
      <c r="O24" s="260"/>
      <c r="P24" s="258"/>
      <c r="Q24" s="251"/>
      <c r="R24" s="257"/>
      <c r="S24" s="290"/>
      <c r="T24" s="46">
        <f>SUM(T21:T23)</f>
        <v>2.2599999999999998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18728.87</v>
      </c>
      <c r="I25" s="308"/>
      <c r="J25" s="264"/>
      <c r="K25" s="47"/>
      <c r="L25" s="47"/>
      <c r="M25" s="39">
        <f>SUM(M21:M24)</f>
        <v>2.08</v>
      </c>
      <c r="N25" s="12"/>
      <c r="O25" s="12"/>
      <c r="P25" s="252">
        <f>SUM(P21:P21)</f>
        <v>1.1752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117301.87</v>
      </c>
      <c r="I26" s="308"/>
      <c r="J26" s="264"/>
      <c r="K26" s="47"/>
      <c r="L26" s="47"/>
      <c r="M26" s="39"/>
      <c r="N26" s="12"/>
      <c r="O26" s="12"/>
      <c r="P26" s="252">
        <f>P25</f>
        <v>1.1752</v>
      </c>
      <c r="Q26" s="14"/>
      <c r="R26" s="12"/>
      <c r="S26" s="239">
        <f>SUM(S21:S25)</f>
        <v>2.08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0.23504000000000003</v>
      </c>
      <c r="Q27" s="39" t="s">
        <v>129</v>
      </c>
      <c r="R27" s="42"/>
      <c r="S27" s="240">
        <f>S26+T24</f>
        <v>4.34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1.4102399999999999</v>
      </c>
      <c r="Q28" s="14"/>
      <c r="R28" s="14"/>
      <c r="S28" s="238">
        <f>S27*20%</f>
        <v>0.86799999999999999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5.2080000000000002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1.4102399999999999</v>
      </c>
      <c r="N30" s="12">
        <v>3500</v>
      </c>
      <c r="O30" s="12">
        <f t="shared" ref="O30:O35" si="4">M30*N30</f>
        <v>4935.84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0.5</v>
      </c>
      <c r="N31" s="12">
        <v>23500</v>
      </c>
      <c r="O31" s="12">
        <f t="shared" si="4"/>
        <v>11750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58860</v>
      </c>
      <c r="O32" s="12">
        <f t="shared" si="4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1</v>
      </c>
      <c r="N33" s="249">
        <v>25000</v>
      </c>
      <c r="O33" s="12">
        <f t="shared" si="4"/>
        <v>25000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4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>
        <v>2.08</v>
      </c>
      <c r="N35" s="12">
        <v>1500</v>
      </c>
      <c r="O35" s="12">
        <f t="shared" si="4"/>
        <v>3120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44805.84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98572.847999999998</v>
      </c>
      <c r="P37" s="14" t="s">
        <v>138</v>
      </c>
      <c r="Q37" s="14"/>
      <c r="R37" s="40">
        <f>P28/R36</f>
        <v>0.38024158757549609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49710</v>
      </c>
      <c r="L38" s="249"/>
      <c r="M38" s="14"/>
      <c r="N38" s="12"/>
      <c r="O38" s="12">
        <f>O37/P26</f>
        <v>83877.508509189924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41773.10924369748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46001</v>
      </c>
    </row>
    <row r="6" spans="2:31" ht="16.2" thickBot="1" x14ac:dyDescent="0.35">
      <c r="B6" s="140" t="s">
        <v>2</v>
      </c>
      <c r="C6" s="139" t="str">
        <f>'2229'!C10</f>
        <v>CLAUDIO FLORES HERNANDEZ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11799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-3635.8523667874397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98573</v>
      </c>
      <c r="E11" s="132">
        <f>D11*0.19</f>
        <v>18728.87</v>
      </c>
      <c r="F11" s="131">
        <f>E11+D11</f>
        <v>117301.87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102354.14763321256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46519.930787439618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84354.14763321256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52053.069212560382</v>
      </c>
      <c r="E13" s="221">
        <f>(D11/D12)-1</f>
        <v>1.1189412437091311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75354.14763321256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36354.14763321256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76757.885799275362</v>
      </c>
      <c r="F15" s="216">
        <f>E15-D12</f>
        <v>30237.955011835744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36354.14763321256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76354.14763321256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11750</v>
      </c>
      <c r="E19" s="123">
        <f>D19*0.19</f>
        <v>2232.5</v>
      </c>
      <c r="F19" s="120">
        <f>SUM(D19:E19)</f>
        <v>13982.5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4935.84</v>
      </c>
      <c r="E20" s="121">
        <f>D20*0.19</f>
        <v>937.80960000000005</v>
      </c>
      <c r="F20" s="120">
        <f>SUM(D20:E20)</f>
        <v>5873.6496000000006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16685.84</v>
      </c>
      <c r="E21" s="116">
        <f>SUM(E18:E20)</f>
        <v>3170.3096</v>
      </c>
      <c r="F21" s="115">
        <f>SUM(F18:F20)</f>
        <v>19856.149600000001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15558.560399999998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98573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16685.84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52053.069212560382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52053.069212560382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11799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CLAUDIO FLORES HERNANDEZ</v>
      </c>
      <c r="D10" s="350"/>
      <c r="E10" s="350"/>
      <c r="F10" s="351" t="s">
        <v>167</v>
      </c>
      <c r="G10" s="352">
        <f>'2229'!G10</f>
        <v>46001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46008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+569 8847 3912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CON RESPALDO FRENTE 180°</v>
      </c>
      <c r="D22" s="321">
        <f>'2229'!D21*1000</f>
        <v>2000</v>
      </c>
      <c r="E22" s="321">
        <f>'2229'!E21*1000</f>
        <v>565</v>
      </c>
      <c r="F22" s="322" t="str">
        <f>'2229'!F21</f>
        <v>BELARUS CHERRY 10277 SF</v>
      </c>
      <c r="G22" s="314">
        <f>'2229'!G21</f>
        <v>98573</v>
      </c>
      <c r="H22" s="323">
        <f>G22*B22</f>
        <v>98573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98573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18728.87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117301.87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CLAUDIO FLORES HERNANDEZ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46001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46008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11799</v>
      </c>
      <c r="C2" s="1">
        <f>'NOTA DE VENTA'!$G$10</f>
        <v>46001</v>
      </c>
      <c r="D2" s="1">
        <f>'NOTA DE VENTA'!$G$11</f>
        <v>46008</v>
      </c>
      <c r="E2" t="str">
        <f>'NOTA DE VENTA'!$C$10</f>
        <v>CLAUDIO FLORES HERNANDEZ</v>
      </c>
      <c r="F2" t="str">
        <f>'NOTA DE VENTA'!$C$22</f>
        <v>CUB CON RESPALDO FRENTE 180°</v>
      </c>
      <c r="G2" t="str">
        <f>'NOTA DE VENTA'!$F$22</f>
        <v>BELARUS CHERRY 10277 SF</v>
      </c>
      <c r="H2" s="416">
        <f>'NOTA DE VENTA'!$H$25</f>
        <v>98573</v>
      </c>
      <c r="I2" s="416">
        <f>H2*0.19</f>
        <v>18728.87</v>
      </c>
      <c r="J2" s="416">
        <f>I2+H2</f>
        <v>117301.87</v>
      </c>
      <c r="L2" s="61">
        <f>J2-K2</f>
        <v>117301.87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2025-12-10T19:42:00Z</cp:lastPrinted>
  <dcterms:created xsi:type="dcterms:W3CDTF">2013-03-18T13:35:42Z</dcterms:created>
  <dcterms:modified xsi:type="dcterms:W3CDTF">2025-12-10T19:45:13Z</dcterms:modified>
</cp:coreProperties>
</file>