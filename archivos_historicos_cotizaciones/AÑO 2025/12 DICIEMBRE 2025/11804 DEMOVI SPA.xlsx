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D90DCFC8-0403-4978-8D1F-F375450A7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O22" i="1" s="1"/>
  <c r="P22" i="1" s="1"/>
  <c r="H22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<sst xmlns="http://schemas.openxmlformats.org/spreadsheetml/2006/main" count="489" uniqueCount="296">
  <si>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</si>
  <si>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</si>
  <si>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</si>
  <si>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</si>
  <si>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</si>
  <si>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</si>
  <si>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</si>
  <si>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</si>
  <si>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</si>
  <si>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</si>
  <si>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</si>
  <si>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</si>
  <si>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</si>
  <si>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</si>
  <si>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</si>
  <si>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</si>
  <si>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</si>
  <si>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</si>
  <si>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</si>
  <si>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</si>
  <si>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</si>
  <si>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</si>
  <si>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</si>
  <si>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</si>
  <si>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</si>
  <si>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</si>
  <si>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</si>
  <si>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</si>
  <si>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</si>
  <si>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</si>
  <si>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</si>
  <si>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</si>
  <si>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</si>
  <si>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</si>
  <si>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</si>
  <si>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</si>
  <si>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</si>
  <si>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</si>
  <si>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</si>
  <si>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</si>
  <si>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</si>
  <si>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</si>
  <si>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</si>
  <si>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</si>
  <si>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</si>
  <si>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</si>
  <si>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</si>
  <si>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</si>
  <si>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</si>
  <si>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</si>
  <si>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</si>
  <si>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</si>
  <si>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</si>
  <si>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</si>
  <si>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</si>
  <si>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</si>
  <si>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</si>
  <si>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</si>
  <si>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</si>
  <si>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</si>
  <si>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</si>
  <si>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</si>
  <si>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</si>
  <si>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</si>
  <si>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</si>
  <si>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</si>
  <si>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</si>
  <si>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</si>
  <si>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</si>
  <si>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</si>
  <si>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</si>
  <si>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</si>
  <si>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</si>
  <si>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</si>
  <si>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</si>
  <si>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</si>
  <si>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</si>
  <si>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</si>
  <si>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</si>
  <si>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</si>
  <si>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</si>
  <si>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</si>
  <si>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</si>
  <si>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</si>
  <si>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</si>
  <si>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</si>
  <si>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</si>
  <si>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</si>
  <si>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</si>
  <si>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</si>
  <si>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</si>
  <si>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</si>
  <si>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</si>
  <si>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</si>
  <si>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</si>
  <si>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</si>
  <si>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</si>
  <si>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</si>
  <si>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</si>
  <si>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</si>
  <si>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</si>
  <si>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</si>
  <si>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</si>
  <si>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</si>
  <si>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</si>
  <si>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</si>
  <si>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</si>
  <si>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</si>
  <si>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</si>
  <si>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</si>
  <si>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</si>
  <si>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</si>
  <si>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</si>
  <si>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</si>
  <si>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</si>
  <si>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</si>
  <si>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</si>
  <si>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</si>
  <si>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</si>
  <si>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</si>
  <si>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</si>
  <si>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</si>
  <si>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</si>
  <si>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</si>
  <si>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</si>
  <si>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</si>
  <si>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</si>
  <si>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</si>
  <si>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</si>
  <si>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</si>
  <si>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</si>
  <si>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</si>
  <si>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</si>
  <si>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</si>
  <si>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</si>
  <si>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</si>
  <si>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</si>
  <si>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</si>
  <si>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</si>
  <si>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</si>
  <si>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</si>
  <si>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</si>
  <si>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</si>
  <si>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</si>
  <si>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</si>
  <si>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</si>
  <si>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</si>
  <si>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</si>
  <si>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</si>
  <si>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</si>
  <si>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</si>
  <si>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</si>
  <si>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</si>
  <si>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</si>
  <si>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</si>
  <si>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</si>
  <si>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</si>
  <si>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</si>
  <si>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</si>
  <si>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</si>
  <si>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</si>
  <si>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</si>
  <si>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</si>
  <si>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</si>
  <si>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</si>
  <si>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</si>
  <si>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</si>
  <si>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</si>
  <si>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</si>
  <si>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</si>
  <si>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</si>
  <si>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</si>
  <si>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</si>
  <si>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</si>
  <si>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</si>
  <si>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</si>
  <si>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</si>
  <si>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</si>
  <si>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</si>
  <si>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</si>
  <si>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</si>
  <si>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</si>
  <si>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</si>
  <si>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</si>
  <si>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</si>
  <si>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</si>
  <si>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</si>
  <si>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</si>
  <si>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</si>
  <si>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</si>
  <si>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</si>
  <si>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</si>
  <si>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</si>
  <si>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</si>
  <si>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</si>
  <si>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</si>
  <si>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</si>
  <si>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</si>
  <si>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</si>
  <si>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</si>
  <si>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</si>
  <si>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</si>
  <si>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</si>
  <si>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</si>
  <si>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</si>
  <si>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</si>
  <si>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</si>
  <si>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</si>
  <si>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</si>
  <si>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</si>
  <si>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</si>
  <si>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</si>
  <si>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</si>
  <si>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</si>
  <si>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</si>
  <si>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</si>
  <si>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</si>
  <si>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</si>
  <si>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</si>
  <si>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</si>
  <si>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</si>
  <si>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</si>
  <si>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</si>
  <si>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</si>
  <si>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</si>
  <si>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</si>
  <si>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</si>
  <si>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</si>
  <si>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</si>
  <si>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</si>
  <si>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</si>
  <si>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</si>
  <si>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</si>
  <si>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</si>
  <si>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</si>
  <si>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</si>
  <si>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</si>
  <si>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</si>
  <si>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</si>
  <si>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</si>
  <si>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</si>
  <si>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</si>
  <si>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</si>
  <si>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</si>
  <si>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</si>
  <si>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</si>
  <si>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</si>
  <si>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</si>
  <si>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</si>
  <si>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</si>
  <si>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</si>
  <si>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</si>
  <si>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</si>
  <si>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</si>
  <si>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</si>
  <si>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</si>
  <si>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</si>
  <si>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</si>
  <si>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</si>
  <si>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</si>
  <si>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</si>
  <si>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</si>
  <si>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</si>
  <si>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</si>
  <si>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</si>
  <si>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</si>
  <si>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</si>
  <si>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</si>
  <si>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</si>
  <si>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</si>
  <si>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</si>
  <si>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</si>
  <si>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</si>
  <si>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</si>
  <si>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</si>
  <si>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</si>
  <si>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</si>
  <si>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</si>
  <si>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</si>
  <si>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</si>
  <si>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</si>
  <si>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</si>
  <si>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</si>
  <si>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</si>
  <si>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</si>
  <si>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</si>
  <si>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</si>
  <si>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</si>
  <si>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11803</t>
  </si>
  <si>
    <t>7 DIAS HABILES</t>
  </si>
  <si>
    <t>DEMOVI</t>
  </si>
  <si>
    <t>NAIROBI</t>
  </si>
  <si>
    <t>+569 8466 2944</t>
  </si>
  <si>
    <t>CUB C/R  DE 30CMS SEPARADO Y FRENTE 90° R8</t>
  </si>
  <si>
    <t>DOMUS PP-5862 BRILLO</t>
  </si>
  <si>
    <t>CUB C/R  DE 30CMS SEPARADO Y FRENTE 90° 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</si>
</sst>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G17" zoomScale="93" zoomScaleNormal="93" workbookViewId="0">
      <selection activeCell="X23" sqref="X23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46006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289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95473.766233766233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293</v>
      </c>
      <c r="D21" s="431">
        <v>3</v>
      </c>
      <c r="E21" s="431">
        <v>0.8</v>
      </c>
      <c r="F21" s="430" t="s">
        <v>294</v>
      </c>
      <c r="G21" s="432">
        <v>326465</v>
      </c>
      <c r="H21" s="432">
        <f>G21*B21</f>
        <v>326465</v>
      </c>
      <c r="I21" s="306"/>
      <c r="J21" s="264"/>
      <c r="K21" s="47"/>
      <c r="L21" s="47">
        <f>B21</f>
        <v>1</v>
      </c>
      <c r="M21" s="39">
        <f>D21+M$19</f>
        <v>3.08</v>
      </c>
      <c r="N21" s="39">
        <f>E21+$N$19</f>
        <v>1.1000000000000001</v>
      </c>
      <c r="O21" s="260">
        <f t="shared" ref="O21" si="0">M21*N21</f>
        <v>3.3880000000000003</v>
      </c>
      <c r="P21" s="258">
        <f t="shared" ref="P21" si="1">O21*L21</f>
        <v>3.3880000000000003</v>
      </c>
      <c r="Q21" s="251">
        <f t="shared" ref="Q21" si="2">Q$20*O21</f>
        <v>323465.12000000005</v>
      </c>
      <c r="R21" s="305">
        <f t="shared" ref="R21" si="3">Q21+R$20</f>
        <v>326465.12000000005</v>
      </c>
      <c r="S21" s="290">
        <f>M21*L21</f>
        <v>3.08</v>
      </c>
      <c r="T21" s="46">
        <f>N21*2*L21*2</f>
        <v>4.4000000000000004</v>
      </c>
      <c r="U21" s="9"/>
      <c r="X21" s="4"/>
    </row>
    <row r="22" spans="1:25" ht="17.399999999999999" x14ac:dyDescent="0.3">
      <c r="B22" s="430">
        <v>1</v>
      </c>
      <c r="C22" s="430" t="s">
        <v>295</v>
      </c>
      <c r="D22" s="431">
        <v>2.5</v>
      </c>
      <c r="E22" s="431">
        <v>0.8</v>
      </c>
      <c r="F22" s="430" t="s">
        <v>294</v>
      </c>
      <c r="G22" s="432">
        <v>273955</v>
      </c>
      <c r="H22" s="432">
        <f>G22*B22</f>
        <v>273955</v>
      </c>
      <c r="I22" s="306"/>
      <c r="J22" s="264"/>
      <c r="K22" s="47"/>
      <c r="L22" s="47">
        <f>B22</f>
        <v>1</v>
      </c>
      <c r="M22" s="39">
        <f>D22+M$19</f>
        <v>2.58</v>
      </c>
      <c r="N22" s="39">
        <f>E22+$N$19</f>
        <v>1.1000000000000001</v>
      </c>
      <c r="O22" s="260">
        <f t="shared" ref="O22" si="4">M22*N22</f>
        <v>2.8380000000000005</v>
      </c>
      <c r="P22" s="258">
        <f t="shared" ref="P22" si="5">O22*L22</f>
        <v>2.8380000000000005</v>
      </c>
      <c r="Q22" s="251">
        <f t="shared" ref="Q22" si="6">Q$20*O22</f>
        <v>270954.54857142863</v>
      </c>
      <c r="R22" s="305">
        <f t="shared" ref="R22" si="7">Q22+R$20</f>
        <v>273954.54857142863</v>
      </c>
      <c r="S22" s="290">
        <f>M22*L22</f>
        <v>2.58</v>
      </c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600420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4.4000000000000004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114079.8</v>
      </c>
      <c r="I25" s="308"/>
      <c r="J25" s="264"/>
      <c r="K25" s="47"/>
      <c r="L25" s="47"/>
      <c r="M25" s="39">
        <f>SUM(M21:M24)</f>
        <v>5.66</v>
      </c>
      <c r="N25" s="12"/>
      <c r="O25" s="12"/>
      <c r="P25" s="252">
        <f>SUM(P21:P21)</f>
        <v>3.3880000000000003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714499.8</v>
      </c>
      <c r="I26" s="308"/>
      <c r="J26" s="264"/>
      <c r="K26" s="47"/>
      <c r="L26" s="47"/>
      <c r="M26" s="39"/>
      <c r="N26" s="12"/>
      <c r="O26" s="12"/>
      <c r="P26" s="252">
        <f>P25</f>
        <v>3.3880000000000003</v>
      </c>
      <c r="Q26" s="14"/>
      <c r="R26" s="12"/>
      <c r="S26" s="239">
        <f>SUM(S21:S25)</f>
        <v>5.66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0.67760000000000009</v>
      </c>
      <c r="Q27" s="39" t="s">
        <v>129</v>
      </c>
      <c r="R27" s="42"/>
      <c r="S27" s="240">
        <f>S26+T24</f>
        <v>10.06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4.0656000000000008</v>
      </c>
      <c r="Q28" s="14"/>
      <c r="R28" s="14"/>
      <c r="S28" s="238">
        <f>S27*20%</f>
        <v>2.012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12.072000000000001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4.0656000000000008</v>
      </c>
      <c r="N30" s="12">
        <v>3500</v>
      </c>
      <c r="O30" s="12">
        <f t="shared" ref="O30:O35" si="8">M30*N30</f>
        <v>14229.600000000002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2</v>
      </c>
      <c r="N31" s="12">
        <v>23500</v>
      </c>
      <c r="O31" s="12">
        <f t="shared" si="8"/>
        <v>47000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2</v>
      </c>
      <c r="N33" s="249">
        <v>38655</v>
      </c>
      <c r="O33" s="12">
        <f t="shared" si="8"/>
        <v>77310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5.66</v>
      </c>
      <c r="N35" s="12">
        <v>1500</v>
      </c>
      <c r="O35" s="12">
        <f t="shared" si="8"/>
        <v>8490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147029.6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323465.12000000005</v>
      </c>
      <c r="P37" s="14" t="s">
        <v>138</v>
      </c>
      <c r="Q37" s="14"/>
      <c r="R37" s="40">
        <f>P28/R36</f>
        <v>1.0962036238136326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46000</v>
      </c>
      <c r="L38" s="249"/>
      <c r="M38" s="14"/>
      <c r="N38" s="12"/>
      <c r="O38" s="12">
        <f>O37/P26</f>
        <v>95473.766233766233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38655.462184873948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46006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-75027.485033454097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600420</v>
      </c>
      <c r="E11" s="132">
        <f>D11*0.19</f>
        <v>114079.8</v>
      </c>
      <c r="F11" s="131">
        <f>E11+D11</f>
        <v>714499.8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30962.514966545903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91063.690787439613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12962.514966545903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509356.30921256042</v>
      </c>
      <c r="E13" s="221">
        <f>(D11/D12)-1</f>
        <v>5.5934072604359644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3962.514966545903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-35037.485033454097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150255.08979927536</v>
      </c>
      <c r="F15" s="216">
        <f>E15-D12</f>
        <v>59191.399011835747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-35037.485033454097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4962.514966545903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14229.600000000002</v>
      </c>
      <c r="E20" s="121">
        <f>D20*0.19</f>
        <v>2703.6240000000003</v>
      </c>
      <c r="F20" s="120">
        <f>SUM(D20:E20)</f>
        <v>16933.224000000002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61229.600000000006</v>
      </c>
      <c r="E21" s="116">
        <f>SUM(E18:E20)</f>
        <v>11633.624</v>
      </c>
      <c r="F21" s="115">
        <f>SUM(F18:F20)</f>
        <v>72863.224000000002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102446.17600000001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600420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61229.600000000006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509356.30921256042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509356.30921256042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DEMOVI</v>
      </c>
      <c r="D10" s="350"/>
      <c r="E10" s="350"/>
      <c r="F10" s="351" t="s">
        <v>167</v>
      </c>
      <c r="G10" s="352">
        <f>'2229'!G10</f>
        <v>46006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NAIROBI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 DE 30CMS SEPARADO Y FRENTE 90° R8</v>
      </c>
      <c r="D22" s="321">
        <f>'2229'!D21*1000</f>
        <v>3000</v>
      </c>
      <c r="E22" s="321">
        <f>'2229'!E21*1000</f>
        <v>800</v>
      </c>
      <c r="F22" s="322" t="str">
        <f>'2229'!F21</f>
        <v>DOMUS PP-5862 BRILLO</v>
      </c>
      <c r="G22" s="314">
        <f>'2229'!G21</f>
        <v>326465</v>
      </c>
      <c r="H22" s="323">
        <f>G22*B22</f>
        <v>326465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326465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62028.35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388493.35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DEMOVI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11803</v>
      </c>
      <c r="C2" s="1">
        <f>'NOTA DE VENTA'!$G$10</f>
        <v>46006</v>
      </c>
      <c r="D2" s="1">
        <f>'NOTA DE VENTA'!$G$11</f>
        <v>46013</v>
      </c>
      <c r="E2" t="str">
        <f>'NOTA DE VENTA'!$C$10</f>
        <v>DEMOVI</v>
      </c>
      <c r="F2" t="str">
        <f>'NOTA DE VENTA'!$C$22</f>
        <v>CUB C/R  DE 30CMS SEPARADO Y FRENTE 90° R8</v>
      </c>
      <c r="G2" t="str">
        <f>'NOTA DE VENTA'!$F$22</f>
        <v>DOMUS PP-5862 BRILLO</v>
      </c>
      <c r="H2" s="416">
        <f>'NOTA DE VENTA'!$H$25</f>
        <v>326465</v>
      </c>
      <c r="I2" s="416">
        <f>H2*0.19</f>
        <v>62028.35</v>
      </c>
      <c r="J2" s="416">
        <f>I2+H2</f>
        <v>388493.35</v>
      </c>
      <c r="L2" s="61">
        <f>J2-K2</f>
        <v>388493.35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2025-12-15T17:47:05Z</dcterms:modified>
</cp:coreProperties>
</file>