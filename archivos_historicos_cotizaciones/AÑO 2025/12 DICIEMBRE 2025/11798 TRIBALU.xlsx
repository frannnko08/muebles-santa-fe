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02591639-A146-47A7-8F62-F5F8FE78E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<sst xmlns="http://schemas.openxmlformats.org/spreadsheetml/2006/main" count="488" uniqueCount="296">
  <si>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</si>
  <si>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</si>
  <si>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</si>
  <si>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</si>
  <si>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</si>
  <si>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</si>
  <si>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</si>
  <si>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</si>
  <si>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</si>
  <si>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</si>
  <si>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</si>
  <si>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</si>
  <si>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</si>
  <si>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</si>
  <si>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</si>
  <si>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</si>
  <si>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</si>
  <si>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</si>
  <si>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</si>
  <si>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</si>
  <si>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</si>
  <si>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</si>
  <si>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</si>
  <si>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</si>
  <si>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</si>
  <si>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</si>
  <si>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</si>
  <si>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</si>
  <si>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</si>
  <si>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</si>
  <si>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</si>
  <si>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</si>
  <si>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</si>
  <si>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</si>
  <si>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</si>
  <si>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</si>
  <si>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</si>
  <si>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</si>
  <si>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</si>
  <si>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</si>
  <si>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</si>
  <si>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</si>
  <si>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</si>
  <si>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</si>
  <si>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</si>
  <si>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</si>
  <si>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</si>
  <si>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</si>
  <si>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</si>
  <si>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</si>
  <si>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</si>
  <si>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</si>
  <si>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</si>
  <si>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</si>
  <si>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</si>
  <si>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</si>
  <si>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</si>
  <si>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</si>
  <si>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</si>
  <si>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</si>
  <si>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</si>
  <si>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</si>
  <si>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</si>
  <si>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</si>
  <si>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</si>
  <si>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</si>
  <si>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</si>
  <si>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</si>
  <si>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</si>
  <si>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</si>
  <si>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</si>
  <si>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</si>
  <si>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</si>
  <si>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</si>
  <si>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</si>
  <si>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</si>
  <si>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</si>
  <si>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</si>
  <si>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</si>
  <si>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</si>
  <si>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</si>
  <si>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</si>
  <si>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</si>
  <si>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</si>
  <si>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</si>
  <si>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</si>
  <si>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</si>
  <si>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</si>
  <si>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</si>
  <si>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</si>
  <si>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</si>
  <si>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</si>
  <si>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</si>
  <si>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</si>
  <si>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</si>
  <si>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</si>
  <si>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</si>
  <si>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</si>
  <si>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</si>
  <si>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</si>
  <si>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</si>
  <si>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</si>
  <si>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</si>
  <si>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</si>
  <si>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</si>
  <si>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</si>
  <si>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</si>
  <si>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</si>
  <si>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</si>
  <si>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</si>
  <si>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</si>
  <si>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</si>
  <si>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</si>
  <si>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</si>
  <si>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</si>
  <si>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</si>
  <si>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</si>
  <si>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</si>
  <si>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</si>
  <si>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</si>
  <si>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</si>
  <si>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</si>
  <si>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</si>
  <si>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</si>
  <si>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</si>
  <si>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</si>
  <si>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</si>
  <si>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</si>
  <si>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</si>
  <si>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</si>
  <si>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</si>
  <si>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</si>
  <si>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</si>
  <si>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</si>
  <si>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</si>
  <si>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</si>
  <si>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</si>
  <si>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</si>
  <si>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</si>
  <si>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</si>
  <si>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</si>
  <si>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</si>
  <si>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</si>
  <si>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</si>
  <si>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</si>
  <si>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</si>
  <si>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</si>
  <si>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</si>
  <si>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</si>
  <si>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</si>
  <si>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</si>
  <si>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</si>
  <si>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</si>
  <si>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</si>
  <si>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</si>
  <si>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</si>
  <si>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</si>
  <si>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</si>
  <si>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</si>
  <si>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</si>
  <si>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</si>
  <si>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</si>
  <si>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</si>
  <si>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</si>
  <si>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</si>
  <si>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</si>
  <si>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</si>
  <si>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</si>
  <si>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</si>
  <si>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</si>
  <si>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</si>
  <si>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</si>
  <si>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</si>
  <si>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</si>
  <si>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</si>
  <si>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</si>
  <si>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</si>
  <si>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</si>
  <si>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</si>
  <si>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</si>
  <si>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</si>
  <si>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</si>
  <si>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</si>
  <si>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</si>
  <si>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</si>
  <si>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</si>
  <si>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</si>
  <si>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</si>
  <si>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</si>
  <si>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</si>
  <si>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</si>
  <si>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</si>
  <si>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</si>
  <si>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</si>
  <si>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</si>
  <si>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</si>
  <si>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</si>
  <si>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</si>
  <si>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</si>
  <si>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</si>
  <si>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</si>
  <si>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</si>
  <si>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</si>
  <si>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</si>
  <si>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</si>
  <si>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</si>
  <si>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</si>
  <si>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</si>
  <si>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</si>
  <si>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</si>
  <si>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</si>
  <si>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</si>
  <si>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</si>
  <si>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</si>
  <si>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</si>
  <si>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</si>
  <si>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</si>
  <si>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</si>
  <si>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</si>
  <si>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</si>
  <si>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</si>
  <si>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</si>
  <si>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</si>
  <si>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</si>
  <si>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</si>
  <si>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</si>
  <si>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</si>
  <si>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</si>
  <si>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</si>
  <si>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</si>
  <si>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</si>
  <si>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</si>
  <si>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</si>
  <si>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</si>
  <si>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</si>
  <si>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</si>
  <si>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</si>
  <si>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</si>
  <si>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</si>
  <si>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</si>
  <si>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</si>
  <si>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</si>
  <si>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</si>
  <si>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</si>
  <si>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</si>
  <si>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</si>
  <si>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</si>
  <si>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</si>
  <si>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</si>
  <si>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</si>
  <si>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</si>
  <si>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</si>
  <si>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</si>
  <si>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</si>
  <si>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</si>
  <si>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</si>
  <si>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</si>
  <si>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</si>
  <si>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</si>
  <si>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</si>
  <si>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</si>
  <si>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</si>
  <si>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</si>
  <si>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</si>
  <si>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</si>
  <si>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</si>
  <si>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</si>
  <si>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</si>
  <si>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</si>
  <si>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</si>
  <si>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</si>
  <si>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</si>
  <si>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</si>
  <si>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</si>
  <si>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</si>
  <si>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</si>
  <si>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</si>
  <si>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</si>
  <si>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</si>
  <si>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</si>
  <si>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</si>
  <si>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</si>
  <si>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</si>
  <si>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</si>
  <si>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</si>
  <si>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</si>
  <si>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</si>
  <si>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</si>
  <si>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11798</t>
  </si>
  <si>
    <t>TRIBALU</t>
  </si>
  <si>
    <t>CRISTIAN NAVIA</t>
  </si>
  <si>
    <t>+569 82788140</t>
  </si>
  <si>
    <t>76.322.767-7</t>
  </si>
  <si>
    <t>7 DIAS HABILES</t>
  </si>
  <si>
    <t>HUMO 2108 MT</t>
  </si>
  <si>
    <t xml:space="preserve">CUB MESA 2LADOS  90°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</si>
</sst>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46001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292</v>
      </c>
      <c r="F11" s="29" t="s">
        <v>286</v>
      </c>
      <c r="G11" s="421" t="s">
        <v>293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54980.986214209974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295</v>
      </c>
      <c r="D21" s="431">
        <v>3.6</v>
      </c>
      <c r="E21" s="431">
        <v>1.23</v>
      </c>
      <c r="F21" s="430" t="s">
        <v>294</v>
      </c>
      <c r="G21" s="432">
        <v>248561</v>
      </c>
      <c r="H21" s="432">
        <f>G21*B21</f>
        <v>248561</v>
      </c>
      <c r="I21" s="306"/>
      <c r="J21" s="264"/>
      <c r="K21" s="47"/>
      <c r="L21" s="47">
        <f>B21</f>
        <v>1</v>
      </c>
      <c r="M21" s="39">
        <f>D21+M$19</f>
        <v>3.68</v>
      </c>
      <c r="N21" s="39">
        <f>E21+$N$19</f>
        <v>1.23</v>
      </c>
      <c r="O21" s="260">
        <f t="shared" ref="O21" si="0">M21*N21</f>
        <v>4.5263999999999998</v>
      </c>
      <c r="P21" s="258">
        <f t="shared" ref="P21" si="1">O21*L21</f>
        <v>4.5263999999999998</v>
      </c>
      <c r="Q21" s="251">
        <f t="shared" ref="Q21" si="2">Q$20*O21</f>
        <v>248865.93600000002</v>
      </c>
      <c r="R21" s="305">
        <f t="shared" ref="R21" si="3">Q21+R$20</f>
        <v>251865.93600000002</v>
      </c>
      <c r="S21" s="290">
        <f>M21*L21</f>
        <v>3.68</v>
      </c>
      <c r="T21" s="46">
        <f>N21*2*L21*2</f>
        <v>4.92</v>
      </c>
      <c r="U21" s="9"/>
      <c r="X21" s="4"/>
    </row>
    <row r="22" spans="1:25" ht="17.399999999999999" x14ac:dyDescent="0.3">
      <c r="B22" s="283"/>
      <c r="C22" s="283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248561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4.92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47226.590000000004</v>
      </c>
      <c r="I25" s="308"/>
      <c r="J25" s="264"/>
      <c r="K25" s="47"/>
      <c r="L25" s="47"/>
      <c r="M25" s="39">
        <f>SUM(M21:M24)</f>
        <v>3.68</v>
      </c>
      <c r="N25" s="12"/>
      <c r="O25" s="12"/>
      <c r="P25" s="252">
        <f>SUM(P21:P21)</f>
        <v>4.5263999999999998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295787.59000000003</v>
      </c>
      <c r="I26" s="308"/>
      <c r="J26" s="264"/>
      <c r="K26" s="47"/>
      <c r="L26" s="47"/>
      <c r="M26" s="39"/>
      <c r="N26" s="12"/>
      <c r="O26" s="12"/>
      <c r="P26" s="252">
        <f>P25</f>
        <v>4.5263999999999998</v>
      </c>
      <c r="Q26" s="14"/>
      <c r="R26" s="12"/>
      <c r="S26" s="239">
        <f>SUM(S21:S25)</f>
        <v>3.68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0.90527999999999997</v>
      </c>
      <c r="Q27" s="39" t="s">
        <v>129</v>
      </c>
      <c r="R27" s="42"/>
      <c r="S27" s="240">
        <f>S26+T24</f>
        <v>8.6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5.4316800000000001</v>
      </c>
      <c r="Q28" s="14"/>
      <c r="R28" s="14"/>
      <c r="S28" s="238">
        <f>S27*20%</f>
        <v>1.72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10.32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5.4316800000000001</v>
      </c>
      <c r="N30" s="12">
        <v>3500</v>
      </c>
      <c r="O30" s="12">
        <f t="shared" ref="O30:O35" si="4">M30*N30</f>
        <v>19010.88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1.5</v>
      </c>
      <c r="N31" s="12">
        <v>23500</v>
      </c>
      <c r="O31" s="12">
        <f t="shared" si="4"/>
        <v>35250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58860</v>
      </c>
      <c r="O32" s="12">
        <f t="shared" si="4"/>
        <v>58860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20000</v>
      </c>
      <c r="O33" s="12">
        <f t="shared" si="4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113120.88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248865.93600000002</v>
      </c>
      <c r="P37" s="14" t="s">
        <v>138</v>
      </c>
      <c r="Q37" s="14"/>
      <c r="R37" s="40">
        <f>P28/R36</f>
        <v>1.4645383951682485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49710</v>
      </c>
      <c r="L38" s="249"/>
      <c r="M38" s="14"/>
      <c r="N38" s="12"/>
      <c r="O38" s="12">
        <f>O37/P26</f>
        <v>54980.986214209974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41773.10924369748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46001</v>
      </c>
    </row>
    <row r="6" spans="2:31" ht="16.2" thickBot="1" x14ac:dyDescent="0.35">
      <c r="B6" s="140" t="s">
        <v>2</v>
      </c>
      <c r="C6" s="139" t="str">
        <f>'2229'!C10</f>
        <v>TRIBALU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-2114.2163667874411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248561</v>
      </c>
      <c r="E11" s="132">
        <f>D11*0.19</f>
        <v>47226.590000000004</v>
      </c>
      <c r="F11" s="131">
        <f>E11+D11</f>
        <v>295787.59000000003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103875.78363321256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142954.97078743961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85875.783633212559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105606.02921256039</v>
      </c>
      <c r="E13" s="221">
        <f>(D11/D12)-1</f>
        <v>0.73873632117057664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76875.783633212559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37875.783633212559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235875.70179927535</v>
      </c>
      <c r="F15" s="216">
        <f>E15-D12</f>
        <v>92920.731011835742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37875.783633212559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77875.783633212559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58860</v>
      </c>
      <c r="E18" s="123">
        <f>D18*0.19</f>
        <v>11183.4</v>
      </c>
      <c r="F18" s="120">
        <f>SUM(D18:E18)</f>
        <v>70043.399999999994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19010.88</v>
      </c>
      <c r="E20" s="121">
        <f>D20*0.19</f>
        <v>3612.0672000000004</v>
      </c>
      <c r="F20" s="120">
        <f>SUM(D20:E20)</f>
        <v>22622.947200000002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113120.88</v>
      </c>
      <c r="E21" s="116">
        <f>SUM(E18:E20)</f>
        <v>21492.967200000003</v>
      </c>
      <c r="F21" s="115">
        <f>SUM(F18:F20)</f>
        <v>134613.84719999999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25733.622800000001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248561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113120.88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105606.02921256039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105606.02921256039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11798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TRIBALU</v>
      </c>
      <c r="D10" s="350"/>
      <c r="E10" s="350"/>
      <c r="F10" s="351" t="s">
        <v>167</v>
      </c>
      <c r="G10" s="352">
        <f>'2229'!G10</f>
        <v>46001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76.322.767-7</v>
      </c>
      <c r="D11" s="345"/>
      <c r="E11" s="345"/>
      <c r="F11" s="345" t="s">
        <v>168</v>
      </c>
      <c r="G11" s="340">
        <f>WORKDAY(G10,5)</f>
        <v>46008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CRISTIAN NAVIA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+569 82788140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 xml:space="preserve">CUB MESA 2LADOS  90° </v>
      </c>
      <c r="D22" s="321">
        <f>'2229'!D21*1000</f>
        <v>3600</v>
      </c>
      <c r="E22" s="321">
        <f>'2229'!E21*1000</f>
        <v>1230</v>
      </c>
      <c r="F22" s="322" t="str">
        <f>'2229'!F21</f>
        <v>HUMO 2108 MT</v>
      </c>
      <c r="G22" s="314">
        <f>'2229'!G21</f>
        <v>248561</v>
      </c>
      <c r="H22" s="323">
        <f>G22*B22</f>
        <v>248561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248561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47226.590000000004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295787.59000000003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TRIBALU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46008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11798</v>
      </c>
      <c r="C2" s="1">
        <f>'NOTA DE VENTA'!$G$10</f>
        <v>46001</v>
      </c>
      <c r="D2" s="1">
        <f>'NOTA DE VENTA'!$G$11</f>
        <v>46008</v>
      </c>
      <c r="E2" t="str">
        <f>'NOTA DE VENTA'!$C$10</f>
        <v>TRIBALU</v>
      </c>
      <c r="F2" t="str">
        <f>'NOTA DE VENTA'!$C$22</f>
        <v xml:space="preserve">CUB MESA 2LADOS  90° </v>
      </c>
      <c r="G2" t="str">
        <f>'NOTA DE VENTA'!$F$22</f>
        <v>HUMO 2108 MT</v>
      </c>
      <c r="H2" s="416">
        <f>'NOTA DE VENTA'!$H$25</f>
        <v>248561</v>
      </c>
      <c r="I2" s="416">
        <f>H2*0.19</f>
        <v>47226.590000000004</v>
      </c>
      <c r="J2" s="416">
        <f>I2+H2</f>
        <v>295787.59000000003</v>
      </c>
      <c r="L2" s="61">
        <f>J2-K2</f>
        <v>295787.59000000003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2025-12-10T19:10:04Z</dcterms:modified>
</cp:coreProperties>
</file>