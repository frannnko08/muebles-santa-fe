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97AEDEBA-E8B2-4EC9-B475-623D2CD8D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<sst xmlns="http://schemas.openxmlformats.org/spreadsheetml/2006/main" count="485" uniqueCount="294">
  <si>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</si>
  <si>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</si>
  <si>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</si>
  <si>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</si>
  <si>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</si>
  <si>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</si>
  <si>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</si>
  <si>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</si>
  <si>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</si>
  <si>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</si>
  <si>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</si>
  <si>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</si>
  <si>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</si>
  <si>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</si>
  <si>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</si>
  <si>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</si>
  <si>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</si>
  <si>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</si>
  <si>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</si>
  <si>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</si>
  <si>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</si>
  <si>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</si>
  <si>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</si>
  <si>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</si>
  <si>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</si>
  <si>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</si>
  <si>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</si>
  <si>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</si>
  <si>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</si>
  <si>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</si>
  <si>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</si>
  <si>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</si>
  <si>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</si>
  <si>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</si>
  <si>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</si>
  <si>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</si>
  <si>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</si>
  <si>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</si>
  <si>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</si>
  <si>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</si>
  <si>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</si>
  <si>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</si>
  <si>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</si>
  <si>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</si>
  <si>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</si>
  <si>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</si>
  <si>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</si>
  <si>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</si>
  <si>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</si>
  <si>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</si>
  <si>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</si>
  <si>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</si>
  <si>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</si>
  <si>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</si>
  <si>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</si>
  <si>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</si>
  <si>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</si>
  <si>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</si>
  <si>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</si>
  <si>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</si>
  <si>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</si>
  <si>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</si>
  <si>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</si>
  <si>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</si>
  <si>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</si>
  <si>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</si>
  <si>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</si>
  <si>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</si>
  <si>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</si>
  <si>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</si>
  <si>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</si>
  <si>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</si>
  <si>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</si>
  <si>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</si>
  <si>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</si>
  <si>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</si>
  <si>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</si>
  <si>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</si>
  <si>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</si>
  <si>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</si>
  <si>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</si>
  <si>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</si>
  <si>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</si>
  <si>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</si>
  <si>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</si>
  <si>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</si>
  <si>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</si>
  <si>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</si>
  <si>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</si>
  <si>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</si>
  <si>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</si>
  <si>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</si>
  <si>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</si>
  <si>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</si>
  <si>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</si>
  <si>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</si>
  <si>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</si>
  <si>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</si>
  <si>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</si>
  <si>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</si>
  <si>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</si>
  <si>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</si>
  <si>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</si>
  <si>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</si>
  <si>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</si>
  <si>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</si>
  <si>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</si>
  <si>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</si>
  <si>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</si>
  <si>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</si>
  <si>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</si>
  <si>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</si>
  <si>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</si>
  <si>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</si>
  <si>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</si>
  <si>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</si>
  <si>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</si>
  <si>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</si>
  <si>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</si>
  <si>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</si>
  <si>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</si>
  <si>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</si>
  <si>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</si>
  <si>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</si>
  <si>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</si>
  <si>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</si>
  <si>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</si>
  <si>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</si>
  <si>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</si>
  <si>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</si>
  <si>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</si>
  <si>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</si>
  <si>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</si>
  <si>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</si>
  <si>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</si>
  <si>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</si>
  <si>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</si>
  <si>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</si>
  <si>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</si>
  <si>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</si>
  <si>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</si>
  <si>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</si>
  <si>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</si>
  <si>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</si>
  <si>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</si>
  <si>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</si>
  <si>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</si>
  <si>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</si>
  <si>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</si>
  <si>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</si>
  <si>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</si>
  <si>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</si>
  <si>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</si>
  <si>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</si>
  <si>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</si>
  <si>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</si>
  <si>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</si>
  <si>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</si>
  <si>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</si>
  <si>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</si>
  <si>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</si>
  <si>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</si>
  <si>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</si>
  <si>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</si>
  <si>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</si>
  <si>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</si>
  <si>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</si>
  <si>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</si>
  <si>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</si>
  <si>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</si>
  <si>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</si>
  <si>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</si>
  <si>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</si>
  <si>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</si>
  <si>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</si>
  <si>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</si>
  <si>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</si>
  <si>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</si>
  <si>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</si>
  <si>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</si>
  <si>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</si>
  <si>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</si>
  <si>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</si>
  <si>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</si>
  <si>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</si>
  <si>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</si>
  <si>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</si>
  <si>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</si>
  <si>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</si>
  <si>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</si>
  <si>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</si>
  <si>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</si>
  <si>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</si>
  <si>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</si>
  <si>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</si>
  <si>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</si>
  <si>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</si>
  <si>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</si>
  <si>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</si>
  <si>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</si>
  <si>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</si>
  <si>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</si>
  <si>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</si>
  <si>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</si>
  <si>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</si>
  <si>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</si>
  <si>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</si>
  <si>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</si>
  <si>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</si>
  <si>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</si>
  <si>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</si>
  <si>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</si>
  <si>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</si>
  <si>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</si>
  <si>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</si>
  <si>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</si>
  <si>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</si>
  <si>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</si>
  <si>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</si>
  <si>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</si>
  <si>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</si>
  <si>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</si>
  <si>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</si>
  <si>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</si>
  <si>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</si>
  <si>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</si>
  <si>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</si>
  <si>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</si>
  <si>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</si>
  <si>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</si>
  <si>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</si>
  <si>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</si>
  <si>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</si>
  <si>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</si>
  <si>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</si>
  <si>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</si>
  <si>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</si>
  <si>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</si>
  <si>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</si>
  <si>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</si>
  <si>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</si>
  <si>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</si>
  <si>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</si>
  <si>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</si>
  <si>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</si>
  <si>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</si>
  <si>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</si>
  <si>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</si>
  <si>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</si>
  <si>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</si>
  <si>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</si>
  <si>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</si>
  <si>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</si>
  <si>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</si>
  <si>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</si>
  <si>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</si>
  <si>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</si>
  <si>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</si>
  <si>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</si>
  <si>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</si>
  <si>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</si>
  <si>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</si>
  <si>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</si>
  <si>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</si>
  <si>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</si>
  <si>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</si>
  <si>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</si>
  <si>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</si>
  <si>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</si>
  <si>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</si>
  <si>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</si>
  <si>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</si>
  <si>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</si>
  <si>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</si>
  <si>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</si>
  <si>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</si>
  <si>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</si>
  <si>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</si>
  <si>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</si>
  <si>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</si>
  <si>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</si>
  <si>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</si>
  <si>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</si>
  <si>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</si>
  <si>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</si>
  <si>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</si>
  <si>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</si>
  <si>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</si>
  <si>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PATRICIO VIDAL</t>
  </si>
  <si>
    <t>+569 8450 2924</t>
  </si>
  <si>
    <t>CUB CON RESPALDO FRENTE 90°</t>
  </si>
  <si>
    <t>GRANITO GOMBI 0670 BR F6</t>
  </si>
  <si>
    <t>SI</t>
  </si>
  <si>
    <t>N° 11800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</si>
</sst>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/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292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289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89117.637130801697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290</v>
      </c>
      <c r="D21" s="431">
        <v>1.5</v>
      </c>
      <c r="E21" s="431">
        <v>0.6</v>
      </c>
      <c r="F21" s="430" t="s">
        <v>291</v>
      </c>
      <c r="G21" s="432">
        <v>87484</v>
      </c>
      <c r="H21" s="432">
        <f>G21*B21</f>
        <v>87484</v>
      </c>
      <c r="I21" s="306"/>
      <c r="J21" s="264"/>
      <c r="K21" s="47"/>
      <c r="L21" s="47">
        <f>B21</f>
        <v>1</v>
      </c>
      <c r="M21" s="39">
        <f>D21+M$19</f>
        <v>1.58</v>
      </c>
      <c r="N21" s="39">
        <f>E21+$N$19</f>
        <v>0.6</v>
      </c>
      <c r="O21" s="260">
        <f t="shared" ref="O21" si="0">M21*N21</f>
        <v>0.94799999999999995</v>
      </c>
      <c r="P21" s="258">
        <f t="shared" ref="P21" si="1">O21*L21</f>
        <v>0.94799999999999995</v>
      </c>
      <c r="Q21" s="251">
        <f t="shared" ref="Q21" si="2">Q$20*O21</f>
        <v>84483.520000000004</v>
      </c>
      <c r="R21" s="305">
        <f t="shared" ref="R21" si="3">Q21+R$20</f>
        <v>87483.520000000004</v>
      </c>
      <c r="S21" s="290">
        <f>M21*L21</f>
        <v>1.58</v>
      </c>
      <c r="T21" s="46">
        <f>N21*2*L21*2</f>
        <v>2.4</v>
      </c>
      <c r="U21" s="9"/>
      <c r="X21" s="4"/>
    </row>
    <row r="22" spans="1:25" ht="17.399999999999999" x14ac:dyDescent="0.3">
      <c r="B22" s="283"/>
      <c r="C22" s="283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87484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16621.96</v>
      </c>
      <c r="I25" s="308"/>
      <c r="J25" s="264"/>
      <c r="K25" s="47"/>
      <c r="L25" s="47"/>
      <c r="M25" s="39">
        <f>SUM(M21:M24)</f>
        <v>1.58</v>
      </c>
      <c r="N25" s="12"/>
      <c r="O25" s="12"/>
      <c r="P25" s="252">
        <f>SUM(P21:P21)</f>
        <v>0.94799999999999995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104105.95999999999</v>
      </c>
      <c r="I26" s="308"/>
      <c r="J26" s="264"/>
      <c r="K26" s="47"/>
      <c r="L26" s="47"/>
      <c r="M26" s="39"/>
      <c r="N26" s="12"/>
      <c r="O26" s="12"/>
      <c r="P26" s="252">
        <f>P25</f>
        <v>0.94799999999999995</v>
      </c>
      <c r="Q26" s="14"/>
      <c r="R26" s="12"/>
      <c r="S26" s="239">
        <f>SUM(S21:S25)</f>
        <v>1.58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0.18959999999999999</v>
      </c>
      <c r="Q27" s="39" t="s">
        <v>129</v>
      </c>
      <c r="R27" s="42"/>
      <c r="S27" s="240">
        <f>S26+T24</f>
        <v>3.98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1.1375999999999999</v>
      </c>
      <c r="Q28" s="14"/>
      <c r="R28" s="14"/>
      <c r="S28" s="238">
        <f>S27*20%</f>
        <v>0.79600000000000004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4.7759999999999998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1.1375999999999999</v>
      </c>
      <c r="N30" s="12">
        <v>3500</v>
      </c>
      <c r="O30" s="12">
        <f t="shared" ref="O30:O35" si="4">M30*N30</f>
        <v>3981.6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4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25000</v>
      </c>
      <c r="O33" s="12">
        <f t="shared" si="4"/>
        <v>25000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1.58</v>
      </c>
      <c r="N35" s="12">
        <v>1500</v>
      </c>
      <c r="O35" s="12">
        <f t="shared" si="4"/>
        <v>2370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38401.599999999999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84483.520000000004</v>
      </c>
      <c r="P37" s="14" t="s">
        <v>138</v>
      </c>
      <c r="Q37" s="14"/>
      <c r="R37" s="40">
        <f>P28/R36</f>
        <v>0.30672993960310613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49710</v>
      </c>
      <c r="L38" s="249"/>
      <c r="M38" s="14"/>
      <c r="N38" s="12"/>
      <c r="O38" s="12">
        <f>O37/P26</f>
        <v>89117.637130801697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41773.10924369748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46001</v>
      </c>
    </row>
    <row r="6" spans="2:31" ht="16.2" thickBot="1" x14ac:dyDescent="0.35">
      <c r="B6" s="140" t="s">
        <v>2</v>
      </c>
      <c r="C6" s="139" t="str">
        <f>'2229'!C10</f>
        <v>PATRICIO VIDAL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-3342.6017001207729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87484</v>
      </c>
      <c r="E11" s="132">
        <f>D11*0.19</f>
        <v>16621.96</v>
      </c>
      <c r="F11" s="131">
        <f>E11+D11</f>
        <v>104105.95999999999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102647.39829987922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40865.690787439613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84647.39829987922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46618.309212560387</v>
      </c>
      <c r="E13" s="221">
        <f>(D11/D12)-1</f>
        <v>1.1407689020856804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75647.39829987922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36647.398299879227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67428.389799275363</v>
      </c>
      <c r="F15" s="216">
        <f>E15-D12</f>
        <v>26562.69901183575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36647.398299879227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76647.39829987922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3981.6</v>
      </c>
      <c r="E20" s="121">
        <f>D20*0.19</f>
        <v>756.50400000000002</v>
      </c>
      <c r="F20" s="120">
        <f>SUM(D20:E20)</f>
        <v>4738.1040000000003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11031.6</v>
      </c>
      <c r="E21" s="116">
        <f>SUM(E18:E20)</f>
        <v>2096.0039999999999</v>
      </c>
      <c r="F21" s="115">
        <f>SUM(F18:F20)</f>
        <v>13127.603999999999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14525.955999999998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87484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11031.6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46618.309212560387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46618.309212560387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PATRICIO VIDAL</v>
      </c>
      <c r="D10" s="350"/>
      <c r="E10" s="350"/>
      <c r="F10" s="351" t="s">
        <v>167</v>
      </c>
      <c r="G10" s="352">
        <f>'2229'!G10</f>
        <v>46001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46008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+569 8450 2924</v>
      </c>
      <c r="D15" s="347"/>
      <c r="E15" s="345"/>
      <c r="F15" s="345" t="s">
        <v>173</v>
      </c>
      <c r="G15" s="345" t="str">
        <f>'2229'!G12</f>
        <v>SI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FRENTE 90°</v>
      </c>
      <c r="D22" s="321">
        <f>'2229'!D21*1000</f>
        <v>1500</v>
      </c>
      <c r="E22" s="321">
        <f>'2229'!E21*1000</f>
        <v>600</v>
      </c>
      <c r="F22" s="322" t="str">
        <f>'2229'!F21</f>
        <v>GRANITO GOMBI 0670 BR F6</v>
      </c>
      <c r="G22" s="314">
        <f>'2229'!G21</f>
        <v>87484</v>
      </c>
      <c r="H22" s="323">
        <f>G22*B22</f>
        <v>87484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87484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16621.96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104105.95999999999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PATRICIO VIDAL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46008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11800</v>
      </c>
      <c r="C2" s="1">
        <f>'NOTA DE VENTA'!$G$10</f>
        <v>46001</v>
      </c>
      <c r="D2" s="1">
        <f>'NOTA DE VENTA'!$G$11</f>
        <v>46008</v>
      </c>
      <c r="E2" t="str">
        <f>'NOTA DE VENTA'!$C$10</f>
        <v>PATRICIO VIDAL</v>
      </c>
      <c r="F2" t="str">
        <f>'NOTA DE VENTA'!$C$22</f>
        <v>CUB CON RESPALDO FRENTE 90°</v>
      </c>
      <c r="G2" t="str">
        <f>'NOTA DE VENTA'!$F$22</f>
        <v>GRANITO GOMBI 0670 BR F6</v>
      </c>
      <c r="H2" s="416">
        <f>'NOTA DE VENTA'!$H$25</f>
        <v>87484</v>
      </c>
      <c r="I2" s="416">
        <f>H2*0.19</f>
        <v>16621.96</v>
      </c>
      <c r="J2" s="416">
        <f>I2+H2</f>
        <v>104105.95999999999</v>
      </c>
      <c r="L2" s="61">
        <f>J2-K2</f>
        <v>104105.95999999999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2025-12-10T19:42:00Z</cp:lastPrinted>
  <dcterms:created xsi:type="dcterms:W3CDTF">2013-03-18T13:35:42Z</dcterms:created>
  <dcterms:modified xsi:type="dcterms:W3CDTF">2025-12-11T12:26:12Z</dcterms:modified>
</cp:coreProperties>
</file>