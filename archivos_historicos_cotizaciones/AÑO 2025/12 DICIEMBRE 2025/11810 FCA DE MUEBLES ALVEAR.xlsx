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110EF66A-47AA-45A8-9433-6904CC1210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L21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4" i="1" l="1"/>
  <c r="S21" i="1"/>
  <c r="S25" i="1" s="1"/>
  <c r="T21" i="1"/>
  <c r="T23" i="1" s="1"/>
  <c r="O21" i="1"/>
  <c r="P21" i="1" s="1"/>
  <c r="P24" i="1" s="1"/>
  <c r="K38" i="1"/>
  <c r="S26" i="1" l="1"/>
  <c r="S27" i="1" s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l="1"/>
  <c r="H25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<sst xmlns="http://schemas.openxmlformats.org/spreadsheetml/2006/main" count="490" uniqueCount="298">
  <si>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</si>
  <si>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</si>
  <si>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</si>
  <si>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</si>
  <si>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</si>
  <si>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</si>
  <si>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</si>
  <si>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</si>
  <si>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</si>
  <si>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</si>
  <si>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</si>
  <si>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</si>
  <si>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</si>
  <si>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</si>
  <si>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</si>
  <si>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</si>
  <si>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</si>
  <si>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</si>
  <si>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</si>
  <si>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</si>
  <si>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</si>
  <si>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</si>
  <si>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</si>
  <si>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</si>
  <si>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</si>
  <si>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</si>
  <si>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</si>
  <si>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</si>
  <si>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</si>
  <si>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</si>
  <si>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</si>
  <si>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</si>
  <si>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</si>
  <si>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</si>
  <si>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</si>
  <si>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</si>
  <si>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</si>
  <si>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</si>
  <si>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</si>
  <si>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</si>
  <si>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</si>
  <si>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</si>
  <si>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</si>
  <si>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</si>
  <si>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</si>
  <si>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</si>
  <si>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</si>
  <si>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</si>
  <si>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</si>
  <si>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</si>
  <si>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</si>
  <si>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</si>
  <si>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</si>
  <si>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</si>
  <si>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</si>
  <si>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</si>
  <si>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</si>
  <si>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</si>
  <si>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</si>
  <si>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</si>
  <si>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</si>
  <si>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</si>
  <si>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</si>
  <si>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</si>
  <si>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</si>
  <si>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</si>
  <si>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</si>
  <si>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</si>
  <si>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</si>
  <si>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</si>
  <si>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</si>
  <si>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</si>
  <si>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</si>
  <si>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</si>
  <si>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</si>
  <si>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</si>
  <si>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</si>
  <si>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</si>
  <si>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</si>
  <si>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</si>
  <si>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</si>
  <si>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</si>
  <si>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</si>
  <si>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</si>
  <si>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</si>
  <si>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</si>
  <si>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</si>
  <si>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</si>
  <si>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</si>
  <si>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</si>
  <si>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</si>
  <si>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</si>
  <si>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</si>
  <si>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</si>
  <si>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</si>
  <si>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</si>
  <si>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</si>
  <si>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</si>
  <si>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</si>
  <si>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</si>
  <si>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</si>
  <si>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</si>
  <si>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</si>
  <si>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</si>
  <si>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</si>
  <si>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</si>
  <si>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</si>
  <si>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</si>
  <si>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</si>
  <si>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</si>
  <si>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</si>
  <si>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</si>
  <si>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</si>
  <si>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</si>
  <si>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</si>
  <si>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</si>
  <si>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</si>
  <si>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</si>
  <si>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</si>
  <si>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</si>
  <si>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</si>
  <si>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</si>
  <si>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</si>
  <si>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</si>
  <si>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</si>
  <si>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</si>
  <si>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</si>
  <si>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</si>
  <si>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</si>
  <si>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</si>
  <si>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</si>
  <si>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</si>
  <si>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</si>
  <si>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</si>
  <si>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</si>
  <si>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</si>
  <si>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</si>
  <si>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</si>
  <si>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</si>
  <si>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</si>
  <si>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</si>
  <si>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</si>
  <si>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</si>
  <si>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</si>
  <si>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</si>
  <si>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</si>
  <si>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</si>
  <si>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</si>
  <si>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</si>
  <si>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</si>
  <si>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</si>
  <si>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</si>
  <si>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</si>
  <si>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</si>
  <si>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</si>
  <si>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</si>
  <si>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</si>
  <si>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</si>
  <si>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</si>
  <si>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</si>
  <si>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</si>
  <si>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</si>
  <si>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</si>
  <si>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</si>
  <si>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</si>
  <si>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</si>
  <si>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</si>
  <si>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</si>
  <si>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</si>
  <si>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</si>
  <si>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</si>
  <si>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</si>
  <si>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</si>
  <si>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</si>
  <si>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</si>
  <si>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</si>
  <si>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</si>
  <si>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</si>
  <si>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</si>
  <si>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</si>
  <si>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</si>
  <si>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</si>
  <si>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</si>
  <si>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</si>
  <si>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</si>
  <si>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</si>
  <si>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</si>
  <si>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</si>
  <si>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</si>
  <si>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</si>
  <si>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</si>
  <si>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</si>
  <si>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</si>
  <si>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</si>
  <si>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</si>
  <si>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</si>
  <si>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</si>
  <si>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</si>
  <si>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</si>
  <si>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</si>
  <si>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</si>
  <si>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</si>
  <si>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</si>
  <si>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</si>
  <si>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</si>
  <si>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</si>
  <si>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</si>
  <si>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</si>
  <si>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</si>
  <si>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</si>
  <si>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</si>
  <si>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</si>
  <si>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</si>
  <si>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</si>
  <si>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</si>
  <si>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</si>
  <si>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</si>
  <si>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</si>
  <si>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</si>
  <si>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</si>
  <si>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</si>
  <si>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</si>
  <si>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</si>
  <si>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</si>
  <si>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</si>
  <si>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</si>
  <si>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</si>
  <si>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</si>
  <si>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</si>
  <si>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</si>
  <si>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</si>
  <si>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</si>
  <si>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</si>
  <si>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</si>
  <si>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</si>
  <si>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</si>
  <si>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</si>
  <si>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</si>
  <si>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</si>
  <si>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</si>
  <si>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</si>
  <si>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</si>
  <si>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</si>
  <si>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</si>
  <si>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</si>
  <si>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</si>
  <si>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</si>
  <si>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</si>
  <si>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</si>
  <si>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</si>
  <si>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</si>
  <si>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</si>
  <si>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</si>
  <si>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</si>
  <si>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</si>
  <si>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</si>
  <si>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</si>
  <si>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</si>
  <si>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</si>
  <si>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</si>
  <si>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</si>
  <si>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</si>
  <si>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</si>
  <si>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</si>
  <si>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</si>
  <si>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</si>
  <si>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</si>
  <si>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</si>
  <si>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</si>
  <si>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</si>
  <si>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</si>
  <si>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</si>
  <si>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</si>
  <si>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</si>
  <si>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</si>
  <si>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</si>
  <si>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</si>
  <si>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</si>
  <si>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</si>
  <si>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</si>
  <si>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</si>
  <si>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</si>
  <si>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</si>
  <si>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</si>
  <si>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</si>
  <si>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</si>
  <si>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</si>
  <si>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</si>
  <si>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FCA. DE MUEBLES ALVEAR Y ALVEAR LTDA</t>
  </si>
  <si>
    <t>76.143.978-2</t>
  </si>
  <si>
    <t>FCA DE MUEBLES</t>
  </si>
  <si>
    <t>CLAUDIO ALVEAR</t>
  </si>
  <si>
    <t>LINEALTA1</t>
  </si>
  <si>
    <t>ROSA ESTER 03281 LA PINTANA</t>
  </si>
  <si>
    <t>N° 11810</t>
  </si>
  <si>
    <t>2 DIAS HABILES</t>
  </si>
  <si>
    <t>CUB S/R 180°</t>
  </si>
  <si>
    <t>VAINILLA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</si>
</sst>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30" fillId="0" borderId="1" xfId="0" applyFont="1" applyBorder="1" applyAlignment="1">
      <alignment horizontal="center" vertical="center"/>
    </xf>
    <xf numFmtId="166" fontId="30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46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214364</xdr:rowOff>
    </xdr:from>
    <xdr:to>
      <xdr:col>5</xdr:col>
      <xdr:colOff>1728839</xdr:colOff>
      <xdr:row>24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CON SOBRE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3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125</v>
      </c>
      <c r="C8" s="408"/>
      <c r="D8" s="409" t="s">
        <v>294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33" t="s">
        <v>288</v>
      </c>
      <c r="D10" s="243"/>
      <c r="E10" s="243"/>
      <c r="F10" s="418" t="s">
        <v>277</v>
      </c>
      <c r="G10" s="275">
        <v>46009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289</v>
      </c>
      <c r="F11" s="29" t="s">
        <v>286</v>
      </c>
      <c r="G11" s="421" t="s">
        <v>295</v>
      </c>
      <c r="H11" s="422"/>
      <c r="Q11" s="19"/>
      <c r="R11" s="25" t="s">
        <v>18</v>
      </c>
      <c r="S11" s="19"/>
    </row>
    <row r="12" spans="2:24" x14ac:dyDescent="0.3">
      <c r="B12" s="245" t="s">
        <v>142</v>
      </c>
      <c r="C12" s="417" t="s">
        <v>290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9" t="s">
        <v>143</v>
      </c>
      <c r="C13" t="s">
        <v>291</v>
      </c>
      <c r="F13" s="29" t="s">
        <v>134</v>
      </c>
      <c r="G13" s="423" t="s">
        <v>133</v>
      </c>
      <c r="H13" s="422"/>
      <c r="Q13" s="19"/>
      <c r="R13" s="25"/>
      <c r="S13" s="19"/>
    </row>
    <row r="14" spans="2:24" x14ac:dyDescent="0.3">
      <c r="B14" s="245" t="s">
        <v>137</v>
      </c>
      <c r="C14" s="429" t="s">
        <v>292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24">
        <v>56973069852</v>
      </c>
      <c r="D15" s="425"/>
      <c r="F15" s="29" t="s">
        <v>284</v>
      </c>
      <c r="G15" s="75" t="s">
        <v>133</v>
      </c>
      <c r="H15" s="422"/>
    </row>
    <row r="16" spans="2:24" ht="16.8" x14ac:dyDescent="0.4">
      <c r="B16" s="302" t="s">
        <v>3</v>
      </c>
      <c r="C16" s="298" t="s">
        <v>293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6" t="s">
        <v>13</v>
      </c>
      <c r="C17" s="299" t="s">
        <v>287</v>
      </c>
      <c r="D17" s="300"/>
      <c r="E17" s="119"/>
      <c r="F17" s="427" t="s">
        <v>179</v>
      </c>
      <c r="G17" s="427" t="s">
        <v>180</v>
      </c>
      <c r="H17" s="428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5" t="s">
        <v>95</v>
      </c>
      <c r="C19" s="436"/>
      <c r="D19" s="436"/>
      <c r="E19" s="436"/>
      <c r="F19" s="436"/>
      <c r="G19" s="436"/>
      <c r="H19" s="4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O37</f>
        <v>78950.730337078639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430">
        <v>2</v>
      </c>
      <c r="C21" s="434" t="s">
        <v>296</v>
      </c>
      <c r="D21" s="431">
        <v>1.7</v>
      </c>
      <c r="E21" s="431">
        <v>0.5</v>
      </c>
      <c r="F21" s="430" t="s">
        <v>297</v>
      </c>
      <c r="G21" s="432">
        <v>73266</v>
      </c>
      <c r="H21" s="432">
        <f>G21*B21</f>
        <v>146532</v>
      </c>
      <c r="I21" s="306"/>
      <c r="J21" s="264"/>
      <c r="K21" s="47"/>
      <c r="L21" s="47">
        <f>B21</f>
        <v>2</v>
      </c>
      <c r="M21" s="39">
        <f>D21+M$19</f>
        <v>1.78</v>
      </c>
      <c r="N21" s="39">
        <f>E21+$N$19</f>
        <v>0.5</v>
      </c>
      <c r="O21" s="260">
        <f t="shared" ref="O21" si="0">M21*N21</f>
        <v>0.89</v>
      </c>
      <c r="P21" s="258">
        <f t="shared" ref="P21" si="1">O21*L21</f>
        <v>1.78</v>
      </c>
      <c r="Q21" s="251">
        <f t="shared" ref="Q21" si="2">Q$20*O21</f>
        <v>70266.149999999994</v>
      </c>
      <c r="R21" s="305">
        <f t="shared" ref="R21" si="3">Q21+R$20</f>
        <v>73266.149999999994</v>
      </c>
      <c r="S21" s="290">
        <f>M21*L21</f>
        <v>3.56</v>
      </c>
      <c r="T21" s="46">
        <f>N21*2*L21*2</f>
        <v>4</v>
      </c>
      <c r="U21" s="9"/>
      <c r="X21" s="4"/>
    </row>
    <row r="22" spans="1:25" ht="18" thickBot="1" x14ac:dyDescent="0.35">
      <c r="B22" s="283"/>
      <c r="C22" s="283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SUM(H21:H22)</f>
        <v>146532</v>
      </c>
      <c r="I23" s="308"/>
      <c r="J23" s="264"/>
      <c r="K23" s="47">
        <v>2600000</v>
      </c>
      <c r="L23" s="47"/>
      <c r="M23" s="39"/>
      <c r="N23" s="39"/>
      <c r="O23" s="260"/>
      <c r="P23" s="258"/>
      <c r="Q23" s="251"/>
      <c r="R23" s="257"/>
      <c r="S23" s="290"/>
      <c r="T23" s="46">
        <f>SUM(T21:T22)</f>
        <v>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51</v>
      </c>
      <c r="H24" s="287">
        <f>H23*19%</f>
        <v>27841.08</v>
      </c>
      <c r="I24" s="308"/>
      <c r="J24" s="264"/>
      <c r="K24" s="47"/>
      <c r="L24" s="47"/>
      <c r="M24" s="39">
        <f>SUM(M21:M23)</f>
        <v>1.78</v>
      </c>
      <c r="N24" s="12"/>
      <c r="O24" s="12"/>
      <c r="P24" s="252">
        <f>SUM(P21:P21)</f>
        <v>1.78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174373.08000000002</v>
      </c>
      <c r="I25" s="308"/>
      <c r="J25" s="264"/>
      <c r="K25" s="47"/>
      <c r="L25" s="47"/>
      <c r="M25" s="39"/>
      <c r="N25" s="12"/>
      <c r="O25" s="12"/>
      <c r="P25" s="252">
        <f>P24</f>
        <v>1.78</v>
      </c>
      <c r="Q25" s="14"/>
      <c r="R25" s="12"/>
      <c r="S25" s="239">
        <f>SUM(S21:S24)</f>
        <v>3.56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0.35600000000000004</v>
      </c>
      <c r="Q26" s="39" t="s">
        <v>129</v>
      </c>
      <c r="R26" s="42"/>
      <c r="S26" s="240">
        <f>S25+T23</f>
        <v>7.5600000000000005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2.1360000000000001</v>
      </c>
      <c r="Q27" s="14"/>
      <c r="R27" s="14"/>
      <c r="S27" s="238">
        <f>S26*20%</f>
        <v>1.5120000000000002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9.072000000000001</v>
      </c>
      <c r="T28" s="14"/>
      <c r="U28" s="294" t="s">
        <v>21</v>
      </c>
      <c r="V28" s="291" t="s">
        <v>149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2.1360000000000001</v>
      </c>
      <c r="N29" s="12">
        <v>3500</v>
      </c>
      <c r="O29" s="12">
        <f t="shared" ref="O29:O34" si="4">M29*N29</f>
        <v>7476</v>
      </c>
      <c r="P29" s="14" t="s">
        <v>21</v>
      </c>
      <c r="Q29" s="14"/>
      <c r="R29" s="14"/>
      <c r="S29" s="241"/>
      <c r="T29" s="14"/>
      <c r="U29" s="294" t="s">
        <v>150</v>
      </c>
      <c r="V29" s="291">
        <v>3625</v>
      </c>
      <c r="W29" s="59" t="s">
        <v>151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0.75</v>
      </c>
      <c r="N30" s="12">
        <v>23500</v>
      </c>
      <c r="O30" s="12">
        <f t="shared" si="4"/>
        <v>17625</v>
      </c>
      <c r="P30" s="39" t="s">
        <v>31</v>
      </c>
      <c r="Q30" s="42"/>
      <c r="R30" s="14"/>
      <c r="S30" s="240"/>
      <c r="T30" s="14"/>
      <c r="U30" s="294"/>
      <c r="V30" s="59">
        <v>906.25</v>
      </c>
      <c r="W30" s="59" t="s">
        <v>152</v>
      </c>
      <c r="X30" s="296"/>
    </row>
    <row r="31" spans="1:25" s="230" customFormat="1" ht="17.399999999999999" x14ac:dyDescent="0.35">
      <c r="B31" s="24" t="s">
        <v>148</v>
      </c>
      <c r="J31" s="261"/>
      <c r="K31" s="232"/>
      <c r="L31" s="249"/>
      <c r="M31" s="14"/>
      <c r="N31" s="249">
        <v>58860</v>
      </c>
      <c r="O31" s="12">
        <f t="shared" si="4"/>
        <v>0</v>
      </c>
      <c r="P31" s="39" t="s">
        <v>30</v>
      </c>
      <c r="Q31" s="42"/>
      <c r="S31" s="240"/>
      <c r="T31" s="255"/>
      <c r="U31" s="59"/>
      <c r="V31" s="59">
        <f>V30*20%</f>
        <v>181.25</v>
      </c>
      <c r="W31" s="296" t="s">
        <v>153</v>
      </c>
      <c r="X31" s="59"/>
    </row>
    <row r="32" spans="1:25" s="230" customFormat="1" ht="17.399999999999999" x14ac:dyDescent="0.35">
      <c r="B32" s="24" t="s">
        <v>162</v>
      </c>
      <c r="C32"/>
      <c r="D32"/>
      <c r="E32"/>
      <c r="F32"/>
      <c r="J32" s="261"/>
      <c r="K32" s="232"/>
      <c r="L32" s="249"/>
      <c r="M32" s="14">
        <v>1</v>
      </c>
      <c r="N32" s="249">
        <v>36000</v>
      </c>
      <c r="O32" s="12">
        <f t="shared" si="4"/>
        <v>36000</v>
      </c>
      <c r="P32" s="14" t="s">
        <v>139</v>
      </c>
      <c r="Q32" s="17"/>
      <c r="S32" s="238"/>
      <c r="T32" s="255"/>
      <c r="U32" s="59"/>
      <c r="V32" s="59">
        <f>V30+V31</f>
        <v>1087.5</v>
      </c>
      <c r="W32" s="296" t="s">
        <v>154</v>
      </c>
      <c r="X32" s="59"/>
    </row>
    <row r="33" spans="1:24" s="230" customFormat="1" ht="17.399999999999999" x14ac:dyDescent="0.35">
      <c r="A33" s="230" t="s">
        <v>283</v>
      </c>
      <c r="B33" s="29" t="s">
        <v>124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4"/>
        <v>0</v>
      </c>
      <c r="P33" s="14" t="s">
        <v>32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/>
      <c r="N34" s="12">
        <v>1500</v>
      </c>
      <c r="O34" s="12">
        <f t="shared" si="4"/>
        <v>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61101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33</v>
      </c>
      <c r="N36" s="12"/>
      <c r="O36" s="254">
        <f>O35*2.3</f>
        <v>140532.29999999999</v>
      </c>
      <c r="P36" s="14" t="s">
        <v>138</v>
      </c>
      <c r="Q36" s="14"/>
      <c r="R36" s="40">
        <f>P27/R35</f>
        <v>0.57592752372735123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42800</v>
      </c>
      <c r="L37" s="249"/>
      <c r="M37" s="14"/>
      <c r="N37" s="12"/>
      <c r="O37" s="12">
        <f>O36/P25</f>
        <v>78950.730337078639</v>
      </c>
      <c r="P37" s="45" t="s">
        <v>24</v>
      </c>
      <c r="Q37" s="14"/>
      <c r="R37" s="14"/>
      <c r="S37"/>
      <c r="T37" s="238"/>
      <c r="U37" s="59" t="s">
        <v>155</v>
      </c>
      <c r="V37" s="291">
        <v>43650</v>
      </c>
    </row>
    <row r="38" spans="1:24" s="230" customFormat="1" ht="17.399999999999999" x14ac:dyDescent="0.35">
      <c r="G38"/>
      <c r="K38" s="230">
        <f>K37/1.19</f>
        <v>35966.386554621851</v>
      </c>
      <c r="L38" s="249"/>
      <c r="M38" s="13"/>
      <c r="N38" s="14"/>
      <c r="O38" s="17">
        <f>O36/O35</f>
        <v>2.2999999999999998</v>
      </c>
      <c r="P38" s="15"/>
      <c r="Q38"/>
      <c r="R38"/>
      <c r="S38"/>
      <c r="T38" s="238"/>
      <c r="U38" s="59" t="s">
        <v>157</v>
      </c>
      <c r="V38" s="292" t="s">
        <v>156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158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153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46009</v>
      </c>
    </row>
    <row r="6" spans="2:31" ht="16.2" thickBot="1" x14ac:dyDescent="0.35">
      <c r="B6" s="140" t="s">
        <v>2</v>
      </c>
      <c r="C6" s="139" t="str">
        <f>'2229'!C10</f>
        <v>FCA. DE MUEBLES ALVEAR Y ALVEAR LTDA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39" t="s">
        <v>98</v>
      </c>
      <c r="I7" s="440"/>
      <c r="J7" s="440"/>
      <c r="K7" s="441"/>
      <c r="N7" s="75"/>
      <c r="O7" s="4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11810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-9314.8500334541077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146532</v>
      </c>
      <c r="E11" s="132">
        <f>D11*0.19</f>
        <v>27841.08</v>
      </c>
      <c r="F11" s="131">
        <f>E11+D11</f>
        <v>174373.08000000002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96675.149966545898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54935.090787439614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78675.149966545898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91596.909212560393</v>
      </c>
      <c r="E13" s="221">
        <f>(D11/D12)-1</f>
        <v>1.6673661206272756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69675.149966545898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30675.14996654589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90642.899799275358</v>
      </c>
      <c r="F15" s="216">
        <f>E15-D12</f>
        <v>35707.809011835743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30675.14996654589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70675.149966545898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17625</v>
      </c>
      <c r="E19" s="123">
        <f>D19*0.19</f>
        <v>3348.75</v>
      </c>
      <c r="F19" s="120">
        <f>SUM(D19:E19)</f>
        <v>20973.75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7476</v>
      </c>
      <c r="E20" s="121">
        <f>D20*0.19</f>
        <v>1420.44</v>
      </c>
      <c r="F20" s="120">
        <f>SUM(D20:E20)</f>
        <v>8896.44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25101</v>
      </c>
      <c r="E21" s="116">
        <f>SUM(E18:E20)</f>
        <v>4769.1900000000005</v>
      </c>
      <c r="F21" s="115">
        <f>SUM(F18:F20)</f>
        <v>29870.190000000002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23071.89</v>
      </c>
    </row>
    <row r="41" spans="2:16" ht="15" thickBot="1" x14ac:dyDescent="0.35">
      <c r="H41" s="442" t="s">
        <v>60</v>
      </c>
      <c r="I41" s="443"/>
      <c r="J41" s="443"/>
      <c r="K41" s="443"/>
      <c r="L41" s="443"/>
      <c r="M41" s="4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146532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25101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91596.909212560393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91596.909212560393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11810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FCA. DE MUEBLES ALVEAR Y ALVEAR LTDA</v>
      </c>
      <c r="D10" s="350"/>
      <c r="E10" s="350"/>
      <c r="F10" s="351" t="s">
        <v>167</v>
      </c>
      <c r="G10" s="352">
        <f>'2229'!G10</f>
        <v>46009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76.143.978-2</v>
      </c>
      <c r="D11" s="345"/>
      <c r="E11" s="345"/>
      <c r="F11" s="345" t="s">
        <v>168</v>
      </c>
      <c r="G11" s="340">
        <f>WORKDAY(G10,5)</f>
        <v>46016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FCA DE MUEBLES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CLAUDIO ALVEAR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>LINEALTA1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>
        <f>IF('2229'!C15="","",'2229'!C15)</f>
        <v>56973069852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ROSA ESTER 03281 LA PINTANA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5" t="s">
        <v>175</v>
      </c>
      <c r="G17" s="445"/>
      <c r="H17" s="446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47" t="s">
        <v>176</v>
      </c>
      <c r="C20" s="448"/>
      <c r="D20" s="448"/>
      <c r="E20" s="448"/>
      <c r="F20" s="448"/>
      <c r="G20" s="448"/>
      <c r="H20" s="449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tr">
        <f>'2229'!C21</f>
        <v>CUB S/R 180°</v>
      </c>
      <c r="D22" s="321">
        <f>'2229'!D21*1000</f>
        <v>1700</v>
      </c>
      <c r="E22" s="321">
        <f>'2229'!E21*1000</f>
        <v>500</v>
      </c>
      <c r="F22" s="322" t="str">
        <f>'2229'!F21</f>
        <v>VAINILLA 2109 MT</v>
      </c>
      <c r="G22" s="314">
        <f>'2229'!G21</f>
        <v>73266</v>
      </c>
      <c r="H22" s="323">
        <f>G22*B22</f>
        <v>146532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146532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27841.08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174373.08000000002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0" t="s">
        <v>182</v>
      </c>
      <c r="C2" s="450"/>
      <c r="D2" s="450"/>
      <c r="E2" s="361"/>
      <c r="G2" s="450" t="s">
        <v>183</v>
      </c>
      <c r="H2" s="450"/>
      <c r="I2" s="450"/>
      <c r="P2" s="451" t="s">
        <v>184</v>
      </c>
      <c r="Q2" s="451"/>
      <c r="R2" s="451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1" t="s">
        <v>184</v>
      </c>
      <c r="M8" s="451"/>
      <c r="N8" s="451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56" t="s">
        <v>265</v>
      </c>
      <c r="L3" s="456"/>
      <c r="M3" s="456" t="s">
        <v>266</v>
      </c>
      <c r="N3" s="456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FCA. DE MUEBLES ALVEAR Y ALVEAR LTDA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46009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5">
        <f>'NOTA DE VENTA'!$G$11</f>
        <v>46016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57" t="s">
        <v>265</v>
      </c>
      <c r="B10" s="457"/>
      <c r="C10" s="457"/>
      <c r="D10" s="457"/>
      <c r="E10" s="457"/>
      <c r="F10" s="457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57" t="s">
        <v>266</v>
      </c>
      <c r="B17" s="457"/>
      <c r="C17" s="457"/>
      <c r="D17" s="457"/>
      <c r="E17" s="457"/>
      <c r="F17" s="457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57" t="s">
        <v>272</v>
      </c>
      <c r="B45" s="457"/>
      <c r="C45" s="457"/>
      <c r="D45" s="457"/>
      <c r="E45" s="457"/>
      <c r="F45" s="457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2" t="s">
        <v>95</v>
      </c>
      <c r="C47" s="453"/>
      <c r="D47" s="454"/>
      <c r="E47" s="454"/>
      <c r="F47" s="455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275</v>
      </c>
      <c r="B1" s="414" t="s">
        <v>276</v>
      </c>
      <c r="C1" s="413" t="s">
        <v>277</v>
      </c>
      <c r="D1" s="413" t="s">
        <v>278</v>
      </c>
      <c r="E1" s="413" t="s">
        <v>279</v>
      </c>
      <c r="F1" s="413" t="s">
        <v>95</v>
      </c>
      <c r="G1" s="413" t="s">
        <v>8</v>
      </c>
      <c r="H1" s="415" t="s">
        <v>28</v>
      </c>
      <c r="I1" s="415" t="s">
        <v>51</v>
      </c>
      <c r="J1" s="415" t="s">
        <v>6</v>
      </c>
      <c r="K1" s="415" t="s">
        <v>280</v>
      </c>
      <c r="L1" s="415" t="s">
        <v>281</v>
      </c>
      <c r="M1" s="413" t="s">
        <v>282</v>
      </c>
    </row>
    <row r="2" spans="1:13" x14ac:dyDescent="0.3">
      <c r="A2">
        <f>'NOTA DE VENTA'!$G$8</f>
        <v>0</v>
      </c>
      <c r="B2" t="str">
        <f>'NOTA DE VENTA'!$D$8</f>
        <v>N° 11810</v>
      </c>
      <c r="C2" s="1">
        <f>'NOTA DE VENTA'!$G$10</f>
        <v>46009</v>
      </c>
      <c r="D2" s="1">
        <f>'NOTA DE VENTA'!$G$11</f>
        <v>46016</v>
      </c>
      <c r="E2" t="str">
        <f>'NOTA DE VENTA'!$C$10</f>
        <v>FCA. DE MUEBLES ALVEAR Y ALVEAR LTDA</v>
      </c>
      <c r="F2" t="str">
        <f>'NOTA DE VENTA'!$C$22</f>
        <v>CUB S/R 180°</v>
      </c>
      <c r="G2" t="str">
        <f>'NOTA DE VENTA'!$F$22</f>
        <v>VAINILLA 2109 MT</v>
      </c>
      <c r="H2" s="416">
        <f>'NOTA DE VENTA'!$H$25</f>
        <v>146532</v>
      </c>
      <c r="I2" s="416">
        <f>H2*0.19</f>
        <v>27841.08</v>
      </c>
      <c r="J2" s="416">
        <f>I2+H2</f>
        <v>174373.08000000002</v>
      </c>
      <c r="L2" s="61">
        <f>J2-K2</f>
        <v>174373.08000000002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2025-12-15T17:39:33Z</cp:lastPrinted>
  <dcterms:created xsi:type="dcterms:W3CDTF">2013-03-18T13:35:42Z</dcterms:created>
  <dcterms:modified xsi:type="dcterms:W3CDTF">2025-12-18T18:35:50Z</dcterms:modified>
</cp:coreProperties>
</file>