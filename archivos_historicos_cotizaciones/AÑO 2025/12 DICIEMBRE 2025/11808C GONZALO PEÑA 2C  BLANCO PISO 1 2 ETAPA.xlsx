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A1685890-43D5-47AA-8396-EB649DAE27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'2229'!$B$1:$I$40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1" i="1" l="1"/>
  <c r="B27" i="1"/>
  <c r="M23" i="1"/>
  <c r="N23" i="1"/>
  <c r="O23" i="1"/>
  <c r="M24" i="1"/>
  <c r="N24" i="1"/>
  <c r="O24" i="1"/>
  <c r="M25" i="1"/>
  <c r="N25" i="1"/>
  <c r="O25" i="1"/>
  <c r="T24" i="1" l="1"/>
  <c r="T23" i="1"/>
  <c r="T25" i="1"/>
  <c r="P23" i="1"/>
  <c r="Q23" i="1" s="1"/>
  <c r="P24" i="1"/>
  <c r="Q24" i="1" s="1"/>
  <c r="P25" i="1"/>
  <c r="Q25" i="1" s="1"/>
  <c r="M22" i="1"/>
  <c r="N22" i="1"/>
  <c r="O22" i="1"/>
  <c r="M21" i="1"/>
  <c r="N5" i="6"/>
  <c r="A2" i="7"/>
  <c r="T22" i="1" l="1"/>
  <c r="P22" i="1"/>
  <c r="Q22" i="1" s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K14" i="6" s="1"/>
  <c r="D27" i="6"/>
  <c r="J14" i="6" s="1"/>
  <c r="C27" i="6"/>
  <c r="F21" i="6" s="1"/>
  <c r="B27" i="6"/>
  <c r="I21" i="6" s="1"/>
  <c r="K21" i="6"/>
  <c r="J21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O21" i="1"/>
  <c r="K5" i="6" l="1"/>
  <c r="D14" i="6"/>
  <c r="E14" i="6"/>
  <c r="E21" i="6"/>
  <c r="D21" i="6"/>
  <c r="L5" i="6"/>
  <c r="M5" i="6"/>
  <c r="D2" i="7"/>
  <c r="D8" i="6"/>
  <c r="N21" i="1"/>
  <c r="T31" i="1" s="1"/>
  <c r="N30" i="1" l="1"/>
  <c r="U29" i="1"/>
  <c r="P21" i="1"/>
  <c r="Q21" i="1" s="1"/>
  <c r="Q30" i="1" s="1"/>
  <c r="L44" i="1"/>
  <c r="T32" i="1" l="1"/>
  <c r="T33" i="1" s="1"/>
  <c r="T34" i="1" s="1"/>
  <c r="W37" i="1"/>
  <c r="W38" i="1" s="1"/>
  <c r="Q31" i="1" l="1"/>
  <c r="O20" i="1"/>
  <c r="M20" i="1"/>
  <c r="Q32" i="1" l="1"/>
  <c r="Q33" i="1" s="1"/>
  <c r="N35" i="1" s="1"/>
  <c r="P37" i="1"/>
  <c r="S41" i="1"/>
  <c r="S42" i="1" l="1"/>
  <c r="P36" i="1" s="1"/>
  <c r="P38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P40" i="1"/>
  <c r="P39" i="1"/>
  <c r="F18" i="3" l="1"/>
  <c r="P35" i="1" l="1"/>
  <c r="P41" i="1" s="1"/>
  <c r="P42" i="1" s="1"/>
  <c r="D20" i="3" l="1"/>
  <c r="E20" i="3" s="1"/>
  <c r="E21" i="3" s="1"/>
  <c r="P43" i="1" l="1"/>
  <c r="R20" i="1" s="1"/>
  <c r="D21" i="3"/>
  <c r="M43" i="3" s="1"/>
  <c r="D12" i="3" s="1"/>
  <c r="F20" i="3"/>
  <c r="F21" i="3" s="1"/>
  <c r="R22" i="1" l="1"/>
  <c r="S22" i="1" s="1"/>
  <c r="H22" i="1" s="1"/>
  <c r="I22" i="1" s="1"/>
  <c r="R24" i="1"/>
  <c r="S24" i="1" s="1"/>
  <c r="H24" i="1" s="1"/>
  <c r="I24" i="1" s="1"/>
  <c r="R25" i="1"/>
  <c r="S25" i="1" s="1"/>
  <c r="H25" i="1" s="1"/>
  <c r="I25" i="1" s="1"/>
  <c r="R23" i="1"/>
  <c r="S23" i="1" s="1"/>
  <c r="H23" i="1" s="1"/>
  <c r="I23" i="1" s="1"/>
  <c r="P44" i="1"/>
  <c r="E15" i="3"/>
  <c r="R21" i="1" l="1"/>
  <c r="F15" i="3"/>
  <c r="S21" i="1" l="1"/>
  <c r="H21" i="1" s="1"/>
  <c r="I21" i="1" l="1"/>
  <c r="I29" i="1" s="1"/>
  <c r="I30" i="1" s="1"/>
  <c r="G22" i="4" l="1"/>
  <c r="H22" i="4" s="1"/>
  <c r="H25" i="4" s="1"/>
  <c r="I31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<sst xmlns="http://schemas.openxmlformats.org/spreadsheetml/2006/main" count="501" uniqueCount="296">
  <si>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</si>
  <si>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</si>
  <si>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</si>
  <si>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</si>
  <si>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</si>
  <si>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</si>
  <si>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</si>
  <si>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</si>
  <si>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</si>
  <si>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</si>
  <si>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</si>
  <si>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</si>
  <si>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</si>
  <si>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</si>
  <si>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</si>
  <si>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</si>
  <si>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</si>
  <si>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</si>
  <si>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</si>
  <si>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</si>
  <si>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</si>
  <si>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</si>
  <si>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</si>
  <si>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</si>
  <si>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</si>
  <si>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</si>
  <si>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</si>
  <si>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</si>
  <si>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</si>
  <si>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</si>
  <si>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</si>
  <si>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</si>
  <si>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</si>
  <si>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</si>
  <si>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</si>
  <si>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</si>
  <si>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</si>
  <si>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</si>
  <si>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</si>
  <si>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</si>
  <si>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</si>
  <si>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</si>
  <si>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</si>
  <si>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</si>
  <si>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</si>
  <si>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</si>
  <si>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</si>
  <si>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</si>
  <si>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</si>
  <si>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</si>
  <si>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</si>
  <si>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</si>
  <si>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</si>
  <si>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</si>
  <si>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</si>
  <si>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</si>
  <si>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</si>
  <si>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</si>
  <si>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</si>
  <si>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</si>
  <si>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</si>
  <si>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</si>
  <si>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</si>
  <si>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</si>
  <si>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</si>
  <si>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</si>
  <si>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</si>
  <si>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</si>
  <si>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</si>
  <si>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</si>
  <si>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</si>
  <si>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</si>
  <si>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</si>
  <si>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</si>
  <si>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</si>
  <si>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</si>
  <si>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</si>
  <si>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</si>
  <si>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</si>
  <si>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</si>
  <si>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</si>
  <si>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</si>
  <si>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</si>
  <si>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</si>
  <si>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</si>
  <si>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</si>
  <si>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</si>
  <si>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</si>
  <si>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</si>
  <si>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</si>
  <si>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</si>
  <si>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</si>
  <si>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</si>
  <si>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</si>
  <si>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</si>
  <si>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</si>
  <si>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</si>
  <si>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</si>
  <si>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</si>
  <si>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</si>
  <si>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</si>
  <si>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</si>
  <si>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</si>
  <si>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</si>
  <si>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</si>
  <si>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</si>
  <si>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</si>
  <si>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</si>
  <si>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</si>
  <si>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</si>
  <si>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</si>
  <si>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</si>
  <si>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</si>
  <si>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</si>
  <si>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</si>
  <si>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</si>
  <si>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</si>
  <si>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</si>
  <si>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</si>
  <si>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</si>
  <si>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</si>
  <si>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</si>
  <si>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</si>
  <si>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</si>
  <si>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</si>
  <si>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</si>
  <si>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</si>
  <si>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</si>
  <si>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</si>
  <si>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</si>
  <si>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</si>
  <si>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</si>
  <si>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</si>
  <si>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</si>
  <si>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</si>
  <si>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</si>
  <si>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</si>
  <si>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</si>
  <si>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</si>
  <si>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</si>
  <si>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</si>
  <si>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</si>
  <si>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</si>
  <si>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</si>
  <si>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</si>
  <si>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</si>
  <si>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</si>
  <si>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</si>
  <si>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</si>
  <si>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</si>
  <si>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</si>
  <si>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</si>
  <si>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</si>
  <si>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</si>
  <si>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</si>
  <si>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</si>
  <si>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</si>
  <si>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</si>
  <si>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</si>
  <si>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</si>
  <si>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</si>
  <si>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</si>
  <si>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</si>
  <si>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</si>
  <si>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</si>
  <si>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</si>
  <si>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</si>
  <si>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</si>
  <si>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</si>
  <si>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</si>
  <si>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</si>
  <si>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</si>
  <si>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</si>
  <si>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</si>
  <si>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</si>
  <si>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</si>
  <si>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</si>
  <si>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</si>
  <si>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</si>
  <si>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</si>
  <si>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</si>
  <si>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</si>
  <si>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</si>
  <si>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</si>
  <si>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</si>
  <si>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</si>
  <si>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</si>
  <si>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</si>
  <si>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</si>
  <si>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</si>
  <si>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</si>
  <si>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</si>
  <si>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</si>
  <si>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</si>
  <si>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</si>
  <si>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</si>
  <si>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</si>
  <si>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</si>
  <si>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</si>
  <si>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</si>
  <si>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</si>
  <si>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</si>
  <si>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</si>
  <si>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</si>
  <si>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</si>
  <si>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</si>
  <si>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</si>
  <si>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</si>
  <si>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</si>
  <si>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</si>
  <si>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</si>
  <si>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</si>
  <si>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</si>
  <si>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</si>
  <si>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</si>
  <si>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</si>
  <si>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</si>
  <si>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</si>
  <si>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</si>
  <si>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</si>
  <si>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</si>
  <si>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</si>
  <si>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</si>
  <si>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</si>
  <si>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</si>
  <si>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</si>
  <si>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</si>
  <si>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</si>
  <si>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</si>
  <si>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</si>
  <si>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</si>
  <si>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</si>
  <si>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</si>
  <si>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</si>
  <si>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</si>
  <si>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</si>
  <si>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</si>
  <si>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</si>
  <si>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</si>
  <si>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</si>
  <si>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</si>
  <si>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</si>
  <si>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</si>
  <si>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</si>
  <si>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</si>
  <si>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</si>
  <si>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</si>
  <si>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</si>
  <si>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</si>
  <si>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</si>
  <si>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</si>
  <si>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</si>
  <si>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</si>
  <si>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</si>
  <si>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</si>
  <si>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</si>
  <si>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</si>
  <si>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</si>
  <si>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</si>
  <si>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</si>
  <si>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</si>
  <si>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</si>
  <si>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</si>
  <si>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</si>
  <si>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</si>
  <si>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</si>
  <si>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</si>
  <si>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</si>
  <si>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</si>
  <si>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</si>
  <si>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</si>
  <si>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</si>
  <si>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</si>
  <si>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</si>
  <si>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</si>
  <si>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</si>
  <si>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</si>
  <si>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</si>
  <si>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</si>
  <si>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</si>
  <si>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</si>
  <si>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</si>
  <si>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</si>
  <si>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</si>
  <si>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</si>
  <si>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</si>
  <si>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+569 8466 2944</t>
  </si>
  <si>
    <t>TAPACANTO 100 MTS 1,5X22</t>
  </si>
  <si>
    <t>GONZALO PEÑA</t>
  </si>
  <si>
    <t>15 DIAS HABILES</t>
  </si>
  <si>
    <t>SI</t>
  </si>
  <si>
    <t>Cotizado por: Fernando Donoso</t>
  </si>
  <si>
    <t>1L</t>
  </si>
  <si>
    <t>BLANCO MT</t>
  </si>
  <si>
    <t>ENCHAPE RECTO 2 CARAS MDF 18MM</t>
  </si>
  <si>
    <t>N° 11808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</si>
</sst>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32</xdr:row>
      <xdr:rowOff>8194</xdr:rowOff>
    </xdr:from>
    <xdr:to>
      <xdr:col>9</xdr:col>
      <xdr:colOff>8193</xdr:colOff>
      <xdr:row>35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7</xdr:col>
      <xdr:colOff>222885</xdr:colOff>
      <xdr:row>34</xdr:row>
      <xdr:rowOff>154305</xdr:rowOff>
    </xdr:from>
    <xdr:to>
      <xdr:col>8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6</xdr:col>
      <xdr:colOff>1745226</xdr:colOff>
      <xdr:row>35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214364</xdr:rowOff>
    </xdr:from>
    <xdr:to>
      <xdr:col>6</xdr:col>
      <xdr:colOff>1728839</xdr:colOff>
      <xdr:row>30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CORTADOS A LA MEDIDA Y ENCHAPADOS CON TAPACANTO PVC 1MM</a:t>
          </a:r>
          <a:endParaRPr lang="es-CL" sz="1200" b="1" baseline="0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586"/>
  <sheetViews>
    <sheetView tabSelected="1" topLeftCell="A3" zoomScale="93" zoomScaleNormal="93" workbookViewId="0">
      <selection activeCell="C13" sqref="C13"/>
    </sheetView>
  </sheetViews>
  <sheetFormatPr baseColWidth="10" defaultRowHeight="14.4" x14ac:dyDescent="0.3"/>
  <cols>
    <col min="1" max="1" width="6" customWidth="1"/>
    <col min="2" max="2" width="10.5546875" customWidth="1"/>
    <col min="3" max="3" width="45.5546875" customWidth="1"/>
    <col min="4" max="4" width="12.44140625" customWidth="1"/>
    <col min="5" max="5" width="10.5546875" customWidth="1"/>
    <col min="6" max="6" width="11.77734375" customWidth="1"/>
    <col min="7" max="7" width="30.77734375" customWidth="1"/>
    <col min="8" max="8" width="14" customWidth="1"/>
    <col min="9" max="10" width="15.44140625" customWidth="1"/>
    <col min="11" max="11" width="13.44140625" customWidth="1"/>
    <col min="13" max="13" width="9.5546875" style="18" customWidth="1"/>
    <col min="14" max="14" width="8.88671875" customWidth="1"/>
    <col min="15" max="15" width="8.33203125" customWidth="1"/>
    <col min="16" max="16" width="9.44140625" customWidth="1"/>
    <col min="17" max="17" width="7.6640625" customWidth="1"/>
    <col min="18" max="18" width="9.44140625" customWidth="1"/>
    <col min="19" max="19" width="10.109375" customWidth="1"/>
    <col min="20" max="20" width="8.88671875" customWidth="1"/>
    <col min="21" max="21" width="9.6640625" customWidth="1"/>
    <col min="22" max="22" width="9.33203125" customWidth="1"/>
    <col min="23" max="23" width="9.6640625" customWidth="1"/>
    <col min="24" max="24" width="10.88671875" customWidth="1"/>
    <col min="25" max="25" width="10.44140625" customWidth="1"/>
    <col min="26" max="26" width="9" customWidth="1"/>
  </cols>
  <sheetData>
    <row r="2" spans="2:25" ht="15.6" x14ac:dyDescent="0.3">
      <c r="G2" s="242" t="s">
        <v>139</v>
      </c>
      <c r="R2" s="2"/>
      <c r="S2" s="2"/>
      <c r="T2" s="3"/>
      <c r="U2" s="3"/>
      <c r="V2" s="2"/>
      <c r="W2" s="2"/>
      <c r="X2" s="3"/>
      <c r="Y2" s="4"/>
    </row>
    <row r="3" spans="2:25" x14ac:dyDescent="0.3">
      <c r="G3" s="59" t="s">
        <v>135</v>
      </c>
      <c r="R3" s="2"/>
      <c r="S3" s="2"/>
      <c r="T3" s="3"/>
      <c r="U3" s="3"/>
      <c r="V3" s="2"/>
      <c r="W3" s="2"/>
      <c r="X3" s="3"/>
      <c r="Y3" s="4"/>
    </row>
    <row r="4" spans="2:25" x14ac:dyDescent="0.3">
      <c r="G4" s="59" t="s">
        <v>140</v>
      </c>
      <c r="R4" s="2"/>
      <c r="S4" s="2"/>
      <c r="T4" s="3"/>
      <c r="U4" s="3"/>
      <c r="V4" s="2"/>
      <c r="W4" s="2"/>
      <c r="X4" s="3"/>
      <c r="Y4" s="4"/>
    </row>
    <row r="5" spans="2:25" x14ac:dyDescent="0.3">
      <c r="G5" s="59" t="s">
        <v>14</v>
      </c>
      <c r="R5" s="2"/>
      <c r="S5" s="2"/>
      <c r="T5" s="3"/>
      <c r="U5" s="3"/>
      <c r="V5" s="2"/>
      <c r="W5" s="2"/>
      <c r="X5" s="3"/>
      <c r="Y5" s="4"/>
    </row>
    <row r="6" spans="2:25" ht="15.6" x14ac:dyDescent="0.3">
      <c r="G6" s="59" t="s">
        <v>160</v>
      </c>
      <c r="P6" s="33" t="s">
        <v>19</v>
      </c>
      <c r="R6" s="2"/>
      <c r="S6" s="2"/>
      <c r="T6" s="3"/>
      <c r="U6" s="3"/>
      <c r="V6" s="2"/>
      <c r="W6" s="2"/>
      <c r="X6" s="3"/>
    </row>
    <row r="7" spans="2:25" ht="15" thickBot="1" x14ac:dyDescent="0.35">
      <c r="G7" s="59" t="s">
        <v>123</v>
      </c>
      <c r="R7" s="2"/>
      <c r="S7" s="2"/>
      <c r="T7" s="3"/>
      <c r="U7" s="3"/>
      <c r="V7" s="2"/>
      <c r="W7" s="2"/>
      <c r="X7" s="3"/>
    </row>
    <row r="8" spans="2:25" ht="21.6" thickBot="1" x14ac:dyDescent="0.45">
      <c r="B8" s="407" t="s">
        <v>125</v>
      </c>
      <c r="C8" s="408"/>
      <c r="D8" s="409" t="s">
        <v>295</v>
      </c>
      <c r="G8" s="59"/>
      <c r="L8" s="52"/>
      <c r="S8" s="2"/>
      <c r="T8" s="3"/>
      <c r="U8" s="3"/>
      <c r="V8" s="2"/>
      <c r="W8" s="2"/>
      <c r="X8" s="3"/>
    </row>
    <row r="9" spans="2:25" ht="15" thickBot="1" x14ac:dyDescent="0.35">
      <c r="S9" s="2"/>
      <c r="T9" s="3"/>
      <c r="U9" s="3"/>
      <c r="V9" s="4"/>
      <c r="W9" s="2"/>
      <c r="X9" s="3"/>
    </row>
    <row r="10" spans="2:25" x14ac:dyDescent="0.3">
      <c r="B10" s="297" t="s">
        <v>158</v>
      </c>
      <c r="C10" s="433" t="s">
        <v>288</v>
      </c>
      <c r="D10" s="243"/>
      <c r="E10" s="243"/>
      <c r="F10" s="243"/>
      <c r="G10" s="418" t="s">
        <v>275</v>
      </c>
      <c r="H10" s="275">
        <v>46008</v>
      </c>
      <c r="I10" s="244"/>
      <c r="L10" s="1"/>
      <c r="S10" s="2"/>
      <c r="T10" s="3"/>
      <c r="U10" s="3"/>
      <c r="V10" s="4"/>
      <c r="W10" s="2"/>
      <c r="X10" s="3"/>
    </row>
    <row r="11" spans="2:25" ht="16.8" x14ac:dyDescent="0.4">
      <c r="B11" s="419" t="s">
        <v>12</v>
      </c>
      <c r="C11" s="420"/>
      <c r="G11" s="29" t="s">
        <v>284</v>
      </c>
      <c r="H11" s="421" t="s">
        <v>289</v>
      </c>
      <c r="I11" s="422"/>
      <c r="R11" s="19"/>
      <c r="S11" s="25" t="s">
        <v>18</v>
      </c>
      <c r="T11" s="19"/>
    </row>
    <row r="12" spans="2:25" x14ac:dyDescent="0.3">
      <c r="B12" s="245" t="s">
        <v>141</v>
      </c>
      <c r="C12" s="417"/>
      <c r="D12" s="246"/>
      <c r="E12" s="246"/>
      <c r="F12" s="246"/>
      <c r="G12" s="301" t="s">
        <v>126</v>
      </c>
      <c r="H12" s="276" t="s">
        <v>132</v>
      </c>
      <c r="I12" s="247"/>
      <c r="R12" s="19"/>
      <c r="S12" s="25"/>
      <c r="T12" s="19"/>
    </row>
    <row r="13" spans="2:25" x14ac:dyDescent="0.3">
      <c r="B13" s="419" t="s">
        <v>142</v>
      </c>
      <c r="G13" s="29" t="s">
        <v>133</v>
      </c>
      <c r="H13" s="423" t="s">
        <v>290</v>
      </c>
      <c r="I13" s="422"/>
      <c r="R13" s="19"/>
      <c r="S13" s="25"/>
      <c r="T13" s="19"/>
    </row>
    <row r="14" spans="2:25" x14ac:dyDescent="0.3">
      <c r="B14" s="245" t="s">
        <v>136</v>
      </c>
      <c r="C14" s="429"/>
      <c r="D14" s="246"/>
      <c r="E14" s="246"/>
      <c r="F14" s="246"/>
      <c r="G14" s="301" t="s">
        <v>283</v>
      </c>
      <c r="H14" s="285" t="s">
        <v>132</v>
      </c>
      <c r="I14" s="247"/>
      <c r="L14" s="29"/>
      <c r="R14" s="20"/>
      <c r="S14" s="26" t="s">
        <v>17</v>
      </c>
      <c r="T14" s="20"/>
    </row>
    <row r="15" spans="2:25" ht="15.6" x14ac:dyDescent="0.3">
      <c r="B15" s="419" t="s">
        <v>4</v>
      </c>
      <c r="C15" s="424" t="s">
        <v>286</v>
      </c>
      <c r="D15" s="425"/>
      <c r="G15" s="29" t="s">
        <v>282</v>
      </c>
      <c r="H15" s="75" t="s">
        <v>132</v>
      </c>
      <c r="I15" s="422"/>
    </row>
    <row r="16" spans="2:25" ht="16.8" x14ac:dyDescent="0.4">
      <c r="B16" s="302" t="s">
        <v>3</v>
      </c>
      <c r="C16" s="298"/>
      <c r="D16" s="246"/>
      <c r="E16" s="246"/>
      <c r="F16" s="246"/>
      <c r="G16" s="303" t="s">
        <v>127</v>
      </c>
      <c r="H16" s="304" t="s">
        <v>159</v>
      </c>
      <c r="I16" s="247"/>
    </row>
    <row r="17" spans="2:26" ht="15" thickBot="1" x14ac:dyDescent="0.35">
      <c r="B17" s="426" t="s">
        <v>13</v>
      </c>
      <c r="C17" s="299" t="s">
        <v>285</v>
      </c>
      <c r="D17" s="300"/>
      <c r="E17" s="119"/>
      <c r="F17" s="119"/>
      <c r="G17" s="427" t="s">
        <v>178</v>
      </c>
      <c r="H17" s="427" t="s">
        <v>291</v>
      </c>
      <c r="I17" s="428"/>
      <c r="J17" s="262"/>
      <c r="K17" s="262"/>
      <c r="U17" s="6"/>
      <c r="V17" s="6"/>
    </row>
    <row r="18" spans="2:26" ht="15.75" customHeight="1" thickBot="1" x14ac:dyDescent="0.35">
      <c r="K18" s="47"/>
      <c r="L18" s="5"/>
      <c r="W18" s="9"/>
      <c r="Y18" s="6"/>
      <c r="Z18" s="6"/>
    </row>
    <row r="19" spans="2:26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5"/>
      <c r="I19" s="436"/>
      <c r="J19" s="263"/>
      <c r="K19" s="263"/>
      <c r="L19" s="5"/>
      <c r="M19" s="249"/>
      <c r="N19" s="14">
        <v>0.02</v>
      </c>
      <c r="O19" s="14">
        <v>0.02</v>
      </c>
      <c r="P19" s="14"/>
      <c r="Q19" s="250" t="s">
        <v>6</v>
      </c>
      <c r="R19" s="36" t="s">
        <v>20</v>
      </c>
      <c r="S19" s="37" t="s">
        <v>131</v>
      </c>
      <c r="T19" s="10" t="s">
        <v>134</v>
      </c>
      <c r="V19" s="9"/>
      <c r="W19" s="9"/>
      <c r="Y19" s="6"/>
      <c r="Z19" s="6"/>
    </row>
    <row r="20" spans="2:26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131</v>
      </c>
      <c r="G20" s="411" t="s">
        <v>8</v>
      </c>
      <c r="H20" s="411" t="s">
        <v>5</v>
      </c>
      <c r="I20" s="412" t="s">
        <v>6</v>
      </c>
      <c r="J20" s="264"/>
      <c r="K20" s="264"/>
      <c r="L20" s="47"/>
      <c r="M20" s="267" t="str">
        <f>B20</f>
        <v>UNIDAD</v>
      </c>
      <c r="N20" s="266" t="s">
        <v>129</v>
      </c>
      <c r="O20" s="39" t="str">
        <f>E20</f>
        <v>ANCHO</v>
      </c>
      <c r="P20" s="260" t="s">
        <v>130</v>
      </c>
      <c r="Q20" s="258" t="s">
        <v>16</v>
      </c>
      <c r="R20" s="251">
        <f>P43</f>
        <v>57633.735339584964</v>
      </c>
      <c r="S20" s="257">
        <v>1000</v>
      </c>
      <c r="T20" s="38" t="s">
        <v>10</v>
      </c>
      <c r="U20" s="43" t="s">
        <v>11</v>
      </c>
      <c r="V20" s="9"/>
      <c r="Y20" s="4"/>
    </row>
    <row r="21" spans="2:26" ht="17.399999999999999" x14ac:dyDescent="0.3">
      <c r="B21" s="430">
        <v>21</v>
      </c>
      <c r="C21" s="430" t="s">
        <v>294</v>
      </c>
      <c r="D21" s="431">
        <v>0.66400000000000003</v>
      </c>
      <c r="E21" s="431">
        <v>0.27900000000000003</v>
      </c>
      <c r="F21" s="431" t="s">
        <v>292</v>
      </c>
      <c r="G21" s="430" t="s">
        <v>293</v>
      </c>
      <c r="H21" s="432">
        <f>S21</f>
        <v>12787.021016710562</v>
      </c>
      <c r="I21" s="432">
        <f>H21*B21</f>
        <v>268527.44135092181</v>
      </c>
      <c r="J21" s="306"/>
      <c r="K21" s="264"/>
      <c r="L21" s="47"/>
      <c r="M21" s="47">
        <f>B21</f>
        <v>21</v>
      </c>
      <c r="N21" s="39">
        <f>D21+N$19</f>
        <v>0.68400000000000005</v>
      </c>
      <c r="O21" s="39">
        <f>E21+$O$19</f>
        <v>0.29900000000000004</v>
      </c>
      <c r="P21" s="260">
        <f t="shared" ref="P21" si="0">N21*O21</f>
        <v>0.20451600000000006</v>
      </c>
      <c r="Q21" s="258">
        <f t="shared" ref="Q21" si="1">P21*M21</f>
        <v>4.294836000000001</v>
      </c>
      <c r="R21" s="251">
        <f t="shared" ref="R21" si="2">R$20*P21</f>
        <v>11787.021016710562</v>
      </c>
      <c r="S21" s="305">
        <f t="shared" ref="S21" si="3">R21+S$20</f>
        <v>12787.021016710562</v>
      </c>
      <c r="T21" s="290">
        <f>N21*M21</f>
        <v>14.364000000000001</v>
      </c>
      <c r="U21" s="46"/>
      <c r="V21" s="9"/>
      <c r="Y21" s="4"/>
    </row>
    <row r="22" spans="2:26" ht="17.399999999999999" x14ac:dyDescent="0.3">
      <c r="B22" s="430">
        <v>21</v>
      </c>
      <c r="C22" s="430" t="s">
        <v>294</v>
      </c>
      <c r="D22" s="431">
        <v>0.66400000000000003</v>
      </c>
      <c r="E22" s="431">
        <v>0.27900000000000003</v>
      </c>
      <c r="F22" s="431" t="s">
        <v>292</v>
      </c>
      <c r="G22" s="430" t="s">
        <v>293</v>
      </c>
      <c r="H22" s="432">
        <f t="shared" ref="H22:H25" si="4">S22</f>
        <v>12787.021016710562</v>
      </c>
      <c r="I22" s="432">
        <f t="shared" ref="I22:I25" si="5">H22*B22</f>
        <v>268527.44135092181</v>
      </c>
      <c r="J22" s="306"/>
      <c r="K22" s="264"/>
      <c r="L22" s="47"/>
      <c r="M22" s="47">
        <f>B22</f>
        <v>21</v>
      </c>
      <c r="N22" s="39">
        <f>D22+N$19</f>
        <v>0.68400000000000005</v>
      </c>
      <c r="O22" s="39">
        <f>E22+$O$19</f>
        <v>0.29900000000000004</v>
      </c>
      <c r="P22" s="260">
        <f t="shared" ref="P22" si="6">N22*O22</f>
        <v>0.20451600000000006</v>
      </c>
      <c r="Q22" s="258">
        <f t="shared" ref="Q22" si="7">P22*M22</f>
        <v>4.294836000000001</v>
      </c>
      <c r="R22" s="251">
        <f t="shared" ref="R22" si="8">R$20*P22</f>
        <v>11787.021016710562</v>
      </c>
      <c r="S22" s="305">
        <f t="shared" ref="S22" si="9">R22+S$20</f>
        <v>12787.021016710562</v>
      </c>
      <c r="T22" s="290">
        <f t="shared" ref="T22:T25" si="10">N22*M22</f>
        <v>14.364000000000001</v>
      </c>
      <c r="U22" s="46"/>
      <c r="V22" s="9"/>
      <c r="Y22" s="4"/>
    </row>
    <row r="23" spans="2:26" ht="17.399999999999999" x14ac:dyDescent="0.3">
      <c r="B23" s="430">
        <v>9</v>
      </c>
      <c r="C23" s="430" t="s">
        <v>294</v>
      </c>
      <c r="D23" s="431">
        <v>0.44600000000000001</v>
      </c>
      <c r="E23" s="431">
        <v>0.52300000000000002</v>
      </c>
      <c r="F23" s="431" t="s">
        <v>292</v>
      </c>
      <c r="G23" s="430" t="s">
        <v>293</v>
      </c>
      <c r="H23" s="432">
        <f t="shared" si="4"/>
        <v>15583.525122857902</v>
      </c>
      <c r="I23" s="432">
        <f t="shared" si="5"/>
        <v>140251.72610572111</v>
      </c>
      <c r="J23" s="306"/>
      <c r="K23" s="264"/>
      <c r="L23" s="47"/>
      <c r="M23" s="47">
        <f t="shared" ref="M23:M25" si="11">B23</f>
        <v>9</v>
      </c>
      <c r="N23" s="39">
        <f t="shared" ref="N23:N25" si="12">D23+N$19</f>
        <v>0.46600000000000003</v>
      </c>
      <c r="O23" s="39">
        <f t="shared" ref="O23:O25" si="13">E23+$O$19</f>
        <v>0.54300000000000004</v>
      </c>
      <c r="P23" s="260">
        <f t="shared" ref="P23:P25" si="14">N23*O23</f>
        <v>0.25303800000000004</v>
      </c>
      <c r="Q23" s="258">
        <f t="shared" ref="Q23:Q25" si="15">P23*M23</f>
        <v>2.2773420000000004</v>
      </c>
      <c r="R23" s="251">
        <f t="shared" ref="R23:R25" si="16">R$20*P23</f>
        <v>14583.525122857902</v>
      </c>
      <c r="S23" s="305">
        <f t="shared" ref="S23:S25" si="17">R23+S$20</f>
        <v>15583.525122857902</v>
      </c>
      <c r="T23" s="290">
        <f t="shared" si="10"/>
        <v>4.194</v>
      </c>
      <c r="U23" s="46"/>
      <c r="V23" s="9"/>
      <c r="Y23" s="4"/>
    </row>
    <row r="24" spans="2:26" ht="17.399999999999999" x14ac:dyDescent="0.3">
      <c r="B24" s="430">
        <v>9</v>
      </c>
      <c r="C24" s="430" t="s">
        <v>294</v>
      </c>
      <c r="D24" s="431">
        <v>0.69599999999999995</v>
      </c>
      <c r="E24" s="431">
        <v>0.52300000000000002</v>
      </c>
      <c r="F24" s="431" t="s">
        <v>292</v>
      </c>
      <c r="G24" s="430" t="s">
        <v>293</v>
      </c>
      <c r="H24" s="432">
        <f t="shared" si="4"/>
        <v>23407.30469520656</v>
      </c>
      <c r="I24" s="432">
        <f t="shared" si="5"/>
        <v>210665.74225685903</v>
      </c>
      <c r="J24" s="306"/>
      <c r="K24" s="264"/>
      <c r="L24" s="47"/>
      <c r="M24" s="47">
        <f t="shared" si="11"/>
        <v>9</v>
      </c>
      <c r="N24" s="39">
        <f t="shared" si="12"/>
        <v>0.71599999999999997</v>
      </c>
      <c r="O24" s="39">
        <f t="shared" si="13"/>
        <v>0.54300000000000004</v>
      </c>
      <c r="P24" s="260">
        <f t="shared" si="14"/>
        <v>0.38878800000000002</v>
      </c>
      <c r="Q24" s="258">
        <f t="shared" si="15"/>
        <v>3.4990920000000001</v>
      </c>
      <c r="R24" s="251">
        <f t="shared" si="16"/>
        <v>22407.30469520656</v>
      </c>
      <c r="S24" s="305">
        <f t="shared" si="17"/>
        <v>23407.30469520656</v>
      </c>
      <c r="T24" s="290">
        <f t="shared" si="10"/>
        <v>6.444</v>
      </c>
      <c r="U24" s="46"/>
      <c r="V24" s="9"/>
      <c r="Y24" s="4"/>
    </row>
    <row r="25" spans="2:26" ht="17.399999999999999" x14ac:dyDescent="0.3">
      <c r="B25" s="430">
        <v>9</v>
      </c>
      <c r="C25" s="430" t="s">
        <v>294</v>
      </c>
      <c r="D25" s="431">
        <v>0.69599999999999995</v>
      </c>
      <c r="E25" s="431">
        <v>0.51300000000000001</v>
      </c>
      <c r="F25" s="431" t="s">
        <v>292</v>
      </c>
      <c r="G25" s="430" t="s">
        <v>293</v>
      </c>
      <c r="H25" s="432">
        <f t="shared" si="4"/>
        <v>22994.647150175133</v>
      </c>
      <c r="I25" s="432">
        <f t="shared" si="5"/>
        <v>206951.82435157619</v>
      </c>
      <c r="J25" s="306"/>
      <c r="K25" s="264"/>
      <c r="L25" s="47"/>
      <c r="M25" s="47">
        <f t="shared" si="11"/>
        <v>9</v>
      </c>
      <c r="N25" s="39">
        <f t="shared" si="12"/>
        <v>0.71599999999999997</v>
      </c>
      <c r="O25" s="39">
        <f t="shared" si="13"/>
        <v>0.53300000000000003</v>
      </c>
      <c r="P25" s="260">
        <f t="shared" si="14"/>
        <v>0.38162800000000002</v>
      </c>
      <c r="Q25" s="258">
        <f t="shared" si="15"/>
        <v>3.4346520000000003</v>
      </c>
      <c r="R25" s="251">
        <f t="shared" si="16"/>
        <v>21994.647150175133</v>
      </c>
      <c r="S25" s="305">
        <f t="shared" si="17"/>
        <v>22994.647150175133</v>
      </c>
      <c r="T25" s="290">
        <f t="shared" si="10"/>
        <v>6.444</v>
      </c>
      <c r="U25" s="46"/>
      <c r="V25" s="9"/>
      <c r="Y25" s="4"/>
    </row>
    <row r="26" spans="2:26" ht="17.399999999999999" x14ac:dyDescent="0.3">
      <c r="B26" s="283"/>
      <c r="C26" s="283"/>
      <c r="D26" s="284"/>
      <c r="E26" s="284"/>
      <c r="F26" s="284"/>
      <c r="G26" s="283"/>
      <c r="H26" s="306"/>
      <c r="I26" s="306"/>
      <c r="J26" s="306"/>
      <c r="K26" s="264"/>
      <c r="L26" s="47"/>
      <c r="M26" s="47"/>
      <c r="N26" s="39"/>
      <c r="O26" s="39"/>
      <c r="P26" s="260"/>
      <c r="Q26" s="258"/>
      <c r="R26" s="251"/>
      <c r="S26" s="305"/>
      <c r="T26" s="290"/>
      <c r="U26" s="46"/>
      <c r="V26" s="9"/>
      <c r="Y26" s="4"/>
    </row>
    <row r="27" spans="2:26" ht="17.399999999999999" x14ac:dyDescent="0.3">
      <c r="B27" s="283">
        <f>SUM(B21:B25)</f>
        <v>69</v>
      </c>
      <c r="C27" s="283"/>
      <c r="D27" s="284"/>
      <c r="E27" s="284"/>
      <c r="F27" s="284"/>
      <c r="G27" s="283"/>
      <c r="H27" s="306"/>
      <c r="I27" s="306"/>
      <c r="J27" s="306"/>
      <c r="K27" s="264"/>
      <c r="L27" s="47"/>
      <c r="M27" s="47"/>
      <c r="N27" s="39"/>
      <c r="O27" s="39"/>
      <c r="P27" s="260"/>
      <c r="Q27" s="258"/>
      <c r="R27" s="251"/>
      <c r="S27" s="305"/>
      <c r="T27" s="290"/>
      <c r="U27" s="46"/>
      <c r="V27" s="9"/>
      <c r="Y27" s="4"/>
    </row>
    <row r="28" spans="2:26" ht="18" thickBot="1" x14ac:dyDescent="0.35">
      <c r="B28" s="283"/>
      <c r="C28" s="283"/>
      <c r="D28" s="284"/>
      <c r="E28" s="284"/>
      <c r="F28" s="284"/>
      <c r="G28" s="283"/>
      <c r="H28" s="264"/>
      <c r="I28" s="307"/>
      <c r="J28" s="309"/>
      <c r="K28" s="233"/>
      <c r="L28" s="47"/>
      <c r="M28" s="47"/>
      <c r="N28" s="39"/>
      <c r="O28" s="39"/>
      <c r="P28" s="260"/>
      <c r="Q28" s="258"/>
      <c r="R28" s="251"/>
      <c r="S28" s="257"/>
      <c r="T28" s="290"/>
      <c r="U28" s="14"/>
      <c r="V28" s="9"/>
      <c r="Y28" s="4"/>
    </row>
    <row r="29" spans="2:26" ht="17.399999999999999" x14ac:dyDescent="0.3">
      <c r="B29" s="283"/>
      <c r="C29" s="283"/>
      <c r="D29" s="284"/>
      <c r="E29" s="284"/>
      <c r="F29" s="284"/>
      <c r="G29" s="283"/>
      <c r="H29" s="310" t="s">
        <v>28</v>
      </c>
      <c r="I29" s="311">
        <f>SUM(I21:I28)</f>
        <v>1094924.175416</v>
      </c>
      <c r="J29" s="308"/>
      <c r="K29" s="264"/>
      <c r="L29" s="47">
        <v>2600000</v>
      </c>
      <c r="M29" s="47"/>
      <c r="N29" s="39"/>
      <c r="O29" s="39"/>
      <c r="P29" s="260"/>
      <c r="Q29" s="258"/>
      <c r="R29" s="251"/>
      <c r="S29" s="257"/>
      <c r="T29" s="290"/>
      <c r="U29" s="46">
        <f>SUM(U21:U28)</f>
        <v>0</v>
      </c>
      <c r="V29" s="9"/>
      <c r="Y29" s="4"/>
    </row>
    <row r="30" spans="2:26" ht="17.399999999999999" x14ac:dyDescent="0.3">
      <c r="B30" s="277"/>
      <c r="C30" s="280"/>
      <c r="D30" s="281"/>
      <c r="E30" s="281"/>
      <c r="F30" s="281"/>
      <c r="G30" s="282"/>
      <c r="H30" s="289" t="s">
        <v>51</v>
      </c>
      <c r="I30" s="287">
        <f>I29*19%</f>
        <v>208035.59332903998</v>
      </c>
      <c r="J30" s="308"/>
      <c r="K30" s="264"/>
      <c r="L30" s="47"/>
      <c r="M30" s="47"/>
      <c r="N30" s="39">
        <f>SUM(N21:N29)</f>
        <v>3.266</v>
      </c>
      <c r="O30" s="12"/>
      <c r="P30" s="12"/>
      <c r="Q30" s="252">
        <f>SUM(Q21:Q27)</f>
        <v>17.800758000000002</v>
      </c>
      <c r="R30" s="14"/>
      <c r="S30" s="12"/>
      <c r="T30" s="239"/>
      <c r="U30" s="46"/>
      <c r="V30" s="9"/>
      <c r="Y30" s="4"/>
    </row>
    <row r="31" spans="2:26" ht="18" thickBot="1" x14ac:dyDescent="0.35">
      <c r="B31" s="274"/>
      <c r="C31" s="279"/>
      <c r="D31" s="271"/>
      <c r="E31" s="271"/>
      <c r="F31" s="271"/>
      <c r="G31" s="272"/>
      <c r="H31" s="278" t="s">
        <v>6</v>
      </c>
      <c r="I31" s="288">
        <f>I29+I30</f>
        <v>1302959.7687450401</v>
      </c>
      <c r="J31" s="308"/>
      <c r="K31" s="264"/>
      <c r="L31" s="47"/>
      <c r="M31" s="47"/>
      <c r="N31" s="39"/>
      <c r="O31" s="12"/>
      <c r="P31" s="12"/>
      <c r="Q31" s="252">
        <f>Q30</f>
        <v>17.800758000000002</v>
      </c>
      <c r="R31" s="14"/>
      <c r="S31" s="12"/>
      <c r="T31" s="239">
        <f>SUM(T21:T30)</f>
        <v>45.810000000000009</v>
      </c>
      <c r="U31" s="46"/>
      <c r="V31" s="9"/>
      <c r="Y31" s="4"/>
    </row>
    <row r="32" spans="2:26" ht="17.399999999999999" x14ac:dyDescent="0.3">
      <c r="B32" s="274"/>
      <c r="C32" s="270"/>
      <c r="D32" s="271"/>
      <c r="E32" s="271"/>
      <c r="F32" s="271"/>
      <c r="G32" s="272"/>
      <c r="K32" s="264"/>
      <c r="L32" s="47"/>
      <c r="M32" s="47"/>
      <c r="N32" s="14"/>
      <c r="O32" s="12"/>
      <c r="P32" s="12"/>
      <c r="Q32" s="39">
        <f>Q31*20%</f>
        <v>3.5601516000000006</v>
      </c>
      <c r="R32" s="39" t="s">
        <v>128</v>
      </c>
      <c r="S32" s="42"/>
      <c r="T32" s="240">
        <f>T31+U29</f>
        <v>45.810000000000009</v>
      </c>
      <c r="U32" s="14"/>
      <c r="V32" s="9"/>
      <c r="Y32" s="4"/>
    </row>
    <row r="33" spans="1:25" ht="17.399999999999999" x14ac:dyDescent="0.35">
      <c r="B33" s="268"/>
      <c r="C33" s="230"/>
      <c r="D33" s="230"/>
      <c r="E33" s="233"/>
      <c r="F33" s="233"/>
      <c r="G33" s="234"/>
      <c r="H33" s="230"/>
      <c r="I33" s="273"/>
      <c r="J33" s="273"/>
      <c r="K33" s="264"/>
      <c r="L33" s="47"/>
      <c r="M33" s="47"/>
      <c r="N33" s="14"/>
      <c r="O33" s="12"/>
      <c r="P33" s="12"/>
      <c r="Q33" s="46">
        <f>Q31+Q32</f>
        <v>21.360909600000003</v>
      </c>
      <c r="R33" s="14"/>
      <c r="S33" s="14"/>
      <c r="T33" s="238">
        <f>T32*20%</f>
        <v>9.1620000000000026</v>
      </c>
      <c r="U33" s="14"/>
      <c r="V33" s="9"/>
      <c r="Y33" s="4"/>
    </row>
    <row r="34" spans="1:25" ht="17.399999999999999" x14ac:dyDescent="0.35">
      <c r="B34" s="235"/>
      <c r="C34" s="236"/>
      <c r="D34" s="237"/>
      <c r="E34" s="235"/>
      <c r="F34" s="235"/>
      <c r="G34" s="230"/>
      <c r="H34" s="230"/>
      <c r="J34" s="273"/>
      <c r="K34" s="264"/>
      <c r="L34" s="47"/>
      <c r="M34" s="47"/>
      <c r="N34" s="14"/>
      <c r="O34" s="14"/>
      <c r="P34" s="14"/>
      <c r="Q34" s="14"/>
      <c r="R34" s="14"/>
      <c r="S34" s="14"/>
      <c r="T34" s="240">
        <f>T32+T33</f>
        <v>54.972000000000008</v>
      </c>
      <c r="U34" s="14"/>
      <c r="V34" s="294" t="s">
        <v>21</v>
      </c>
      <c r="W34" s="291" t="s">
        <v>148</v>
      </c>
      <c r="X34" s="295">
        <v>44971</v>
      </c>
      <c r="Y34" s="296"/>
    </row>
    <row r="35" spans="1:25" ht="17.399999999999999" x14ac:dyDescent="0.35">
      <c r="B35" s="230"/>
      <c r="C35" s="230"/>
      <c r="D35" s="230"/>
      <c r="E35" s="230"/>
      <c r="F35" s="230"/>
      <c r="G35" s="230"/>
      <c r="H35" s="230"/>
      <c r="K35" s="264"/>
      <c r="L35" s="47"/>
      <c r="M35" s="47"/>
      <c r="N35" s="39">
        <f>Q33*2</f>
        <v>42.721819200000006</v>
      </c>
      <c r="O35" s="12">
        <v>3500</v>
      </c>
      <c r="P35" s="12">
        <f t="shared" ref="P35:P40" si="18">N35*O35</f>
        <v>149526.36720000001</v>
      </c>
      <c r="Q35" s="14" t="s">
        <v>21</v>
      </c>
      <c r="R35" s="14"/>
      <c r="S35" s="14"/>
      <c r="T35" s="241"/>
      <c r="U35" s="14"/>
      <c r="V35" s="294" t="s">
        <v>149</v>
      </c>
      <c r="W35" s="291">
        <v>3625</v>
      </c>
      <c r="X35" s="59" t="s">
        <v>150</v>
      </c>
      <c r="Y35" s="296"/>
    </row>
    <row r="36" spans="1:25" ht="17.399999999999999" x14ac:dyDescent="0.35">
      <c r="A36" s="230"/>
      <c r="B36" s="230"/>
      <c r="C36" s="230"/>
      <c r="D36" s="230"/>
      <c r="E36" s="230"/>
      <c r="F36" s="230"/>
      <c r="G36" s="230"/>
      <c r="H36" s="230"/>
      <c r="I36" s="230"/>
      <c r="K36" s="264"/>
      <c r="L36" s="47"/>
      <c r="M36" s="47"/>
      <c r="N36" s="248">
        <v>6</v>
      </c>
      <c r="O36" s="12">
        <v>23500</v>
      </c>
      <c r="P36" s="12">
        <f t="shared" si="18"/>
        <v>141000</v>
      </c>
      <c r="Q36" s="39" t="s">
        <v>31</v>
      </c>
      <c r="R36" s="42"/>
      <c r="S36" s="14"/>
      <c r="T36" s="240"/>
      <c r="U36" s="14"/>
      <c r="V36" s="294"/>
      <c r="W36" s="59">
        <v>906.25</v>
      </c>
      <c r="X36" s="59" t="s">
        <v>151</v>
      </c>
      <c r="Y36" s="296"/>
    </row>
    <row r="37" spans="1:25" s="230" customFormat="1" ht="17.399999999999999" x14ac:dyDescent="0.35">
      <c r="B37" s="24" t="s">
        <v>147</v>
      </c>
      <c r="K37" s="261"/>
      <c r="L37" s="232"/>
      <c r="M37" s="249"/>
      <c r="N37" s="14">
        <v>12</v>
      </c>
      <c r="O37" s="249">
        <v>15700</v>
      </c>
      <c r="P37" s="12">
        <f t="shared" si="18"/>
        <v>188400</v>
      </c>
      <c r="Q37" s="39" t="s">
        <v>30</v>
      </c>
      <c r="R37" s="42"/>
      <c r="T37" s="240"/>
      <c r="U37" s="255"/>
      <c r="V37" s="59"/>
      <c r="W37" s="59">
        <f>W36*20%</f>
        <v>181.25</v>
      </c>
      <c r="X37" s="296" t="s">
        <v>152</v>
      </c>
      <c r="Y37" s="59"/>
    </row>
    <row r="38" spans="1:25" s="230" customFormat="1" ht="17.399999999999999" x14ac:dyDescent="0.35">
      <c r="B38" s="24" t="s">
        <v>161</v>
      </c>
      <c r="C38"/>
      <c r="D38"/>
      <c r="E38"/>
      <c r="F38"/>
      <c r="G38"/>
      <c r="K38" s="261"/>
      <c r="L38" s="232"/>
      <c r="M38" s="249"/>
      <c r="N38" s="14"/>
      <c r="O38" s="249">
        <v>28500</v>
      </c>
      <c r="P38" s="12">
        <f t="shared" si="18"/>
        <v>0</v>
      </c>
      <c r="Q38" s="14" t="s">
        <v>138</v>
      </c>
      <c r="R38" s="17"/>
      <c r="T38" s="238"/>
      <c r="U38" s="255"/>
      <c r="V38" s="59"/>
      <c r="W38" s="59">
        <f>W36+W37</f>
        <v>1087.5</v>
      </c>
      <c r="X38" s="296" t="s">
        <v>153</v>
      </c>
      <c r="Y38" s="59"/>
    </row>
    <row r="39" spans="1:25" s="230" customFormat="1" ht="17.399999999999999" x14ac:dyDescent="0.35">
      <c r="A39" s="230" t="s">
        <v>281</v>
      </c>
      <c r="B39" s="29" t="s">
        <v>124</v>
      </c>
      <c r="C39"/>
      <c r="D39"/>
      <c r="E39"/>
      <c r="F39"/>
      <c r="G39" s="229" t="s">
        <v>15</v>
      </c>
      <c r="K39" s="261"/>
      <c r="L39" s="259"/>
      <c r="M39" s="249"/>
      <c r="N39" s="248">
        <v>55</v>
      </c>
      <c r="O39" s="249">
        <v>481</v>
      </c>
      <c r="P39" s="12">
        <f t="shared" si="18"/>
        <v>26455</v>
      </c>
      <c r="Q39" s="14" t="s">
        <v>287</v>
      </c>
      <c r="R39" s="14"/>
      <c r="S39" s="230">
        <v>1.52</v>
      </c>
      <c r="T39" s="238"/>
      <c r="U39" s="238"/>
    </row>
    <row r="40" spans="1:25" s="230" customFormat="1" ht="17.399999999999999" x14ac:dyDescent="0.35">
      <c r="K40" s="286"/>
      <c r="L40" s="259"/>
      <c r="M40" s="249"/>
      <c r="N40" s="265"/>
      <c r="O40" s="12">
        <v>1500</v>
      </c>
      <c r="P40" s="12">
        <f t="shared" si="18"/>
        <v>0</v>
      </c>
      <c r="Q40" s="14" t="s">
        <v>22</v>
      </c>
      <c r="R40" s="14"/>
      <c r="S40">
        <v>2.44</v>
      </c>
      <c r="T40"/>
      <c r="U40" s="238"/>
      <c r="Y40" s="231"/>
    </row>
    <row r="41" spans="1:25" s="230" customFormat="1" ht="17.399999999999999" x14ac:dyDescent="0.35">
      <c r="L41" s="259"/>
      <c r="M41" s="249"/>
      <c r="N41" s="14"/>
      <c r="O41" s="12"/>
      <c r="P41" s="12">
        <f>SUM(P35:P40)</f>
        <v>505381.36719999998</v>
      </c>
      <c r="Q41" s="39" t="s">
        <v>23</v>
      </c>
      <c r="R41" s="14"/>
      <c r="S41">
        <f>S39*S40</f>
        <v>3.7088000000000001</v>
      </c>
      <c r="T41"/>
      <c r="U41" s="238"/>
      <c r="Y41" s="231"/>
    </row>
    <row r="42" spans="1:25" s="230" customFormat="1" ht="17.399999999999999" x14ac:dyDescent="0.35">
      <c r="M42" s="249"/>
      <c r="N42" s="253" t="s">
        <v>33</v>
      </c>
      <c r="O42" s="12"/>
      <c r="P42" s="254">
        <f>P41*2.03</f>
        <v>1025924.1754159998</v>
      </c>
      <c r="Q42" s="14" t="s">
        <v>137</v>
      </c>
      <c r="R42" s="14"/>
      <c r="S42" s="40">
        <f>Q33/S41</f>
        <v>5.7595204918032792</v>
      </c>
      <c r="T42"/>
      <c r="U42" s="256"/>
    </row>
    <row r="43" spans="1:25" s="230" customFormat="1" ht="17.399999999999999" x14ac:dyDescent="0.35">
      <c r="H43"/>
      <c r="I43" s="259"/>
      <c r="J43" s="259"/>
      <c r="K43" s="259"/>
      <c r="L43" s="230">
        <v>46000</v>
      </c>
      <c r="M43" s="249"/>
      <c r="N43" s="14"/>
      <c r="O43" s="12"/>
      <c r="P43" s="12">
        <f>P42/Q31</f>
        <v>57633.735339584964</v>
      </c>
      <c r="Q43" s="45" t="s">
        <v>24</v>
      </c>
      <c r="R43" s="14"/>
      <c r="S43" s="14"/>
      <c r="T43"/>
      <c r="U43" s="238"/>
      <c r="V43" s="59" t="s">
        <v>154</v>
      </c>
      <c r="W43" s="291">
        <v>43650</v>
      </c>
    </row>
    <row r="44" spans="1:25" s="230" customFormat="1" ht="17.399999999999999" x14ac:dyDescent="0.35">
      <c r="H44"/>
      <c r="L44" s="230">
        <f>L43/1.19</f>
        <v>38655.462184873948</v>
      </c>
      <c r="M44" s="249"/>
      <c r="N44" s="13"/>
      <c r="O44" s="14"/>
      <c r="P44" s="17">
        <f>P42/P41</f>
        <v>2.0299999999999998</v>
      </c>
      <c r="Q44" s="15"/>
      <c r="R44"/>
      <c r="S44"/>
      <c r="T44"/>
      <c r="U44" s="238"/>
      <c r="V44" s="59" t="s">
        <v>156</v>
      </c>
      <c r="W44" s="292" t="s">
        <v>155</v>
      </c>
      <c r="X44" s="59">
        <v>2.4</v>
      </c>
    </row>
    <row r="45" spans="1:25" s="230" customFormat="1" ht="17.399999999999999" x14ac:dyDescent="0.35">
      <c r="H45" s="23"/>
      <c r="M45" s="12"/>
      <c r="U45" s="238"/>
      <c r="V45" s="59" t="s">
        <v>157</v>
      </c>
      <c r="W45" s="293">
        <v>395.37</v>
      </c>
    </row>
    <row r="46" spans="1:25" s="230" customFormat="1" ht="17.399999999999999" x14ac:dyDescent="0.35">
      <c r="B46"/>
      <c r="C46" s="228"/>
      <c r="D46" s="22"/>
      <c r="E46" s="22"/>
      <c r="F46" s="22"/>
      <c r="G46" s="21"/>
      <c r="H46" s="23"/>
      <c r="M46" s="12"/>
      <c r="U46" s="238"/>
      <c r="V46" s="59" t="s">
        <v>152</v>
      </c>
      <c r="W46" s="59">
        <v>474.45</v>
      </c>
    </row>
    <row r="47" spans="1:25" ht="14.4" customHeight="1" x14ac:dyDescent="0.3">
      <c r="M47" s="12"/>
      <c r="V47" s="59"/>
      <c r="W47" s="59"/>
    </row>
    <row r="48" spans="1:25" x14ac:dyDescent="0.3">
      <c r="M48" s="249"/>
    </row>
    <row r="49" spans="13:21" x14ac:dyDescent="0.3">
      <c r="M49" s="249"/>
      <c r="U49" s="269"/>
    </row>
    <row r="50" spans="13:21" x14ac:dyDescent="0.3">
      <c r="M50" s="249"/>
    </row>
    <row r="51" spans="13:21" ht="15" customHeight="1" x14ac:dyDescent="0.3"/>
    <row r="53" spans="13:21" x14ac:dyDescent="0.3">
      <c r="P53">
        <v>40935</v>
      </c>
      <c r="Q53" t="s">
        <v>16</v>
      </c>
      <c r="R53" t="s">
        <v>26</v>
      </c>
    </row>
    <row r="55" spans="13:21" x14ac:dyDescent="0.3">
      <c r="P55" s="54"/>
      <c r="Q55" s="54"/>
    </row>
    <row r="56" spans="13:21" x14ac:dyDescent="0.3">
      <c r="T56" s="18"/>
      <c r="U56" s="18"/>
    </row>
    <row r="57" spans="13:21" x14ac:dyDescent="0.3">
      <c r="T57" s="18"/>
      <c r="U57" s="18"/>
    </row>
    <row r="58" spans="13:21" x14ac:dyDescent="0.3">
      <c r="T58" s="18"/>
      <c r="U58" s="18"/>
    </row>
    <row r="59" spans="13:21" x14ac:dyDescent="0.3">
      <c r="T59" s="18"/>
      <c r="U59" s="18"/>
    </row>
    <row r="60" spans="13:21" x14ac:dyDescent="0.3">
      <c r="T60" s="18"/>
      <c r="U60" s="18"/>
    </row>
    <row r="61" spans="13:21" x14ac:dyDescent="0.3">
      <c r="T61" s="18"/>
      <c r="U61" s="18"/>
    </row>
    <row r="62" spans="13:21" x14ac:dyDescent="0.3">
      <c r="T62" s="18"/>
      <c r="U62" s="18"/>
    </row>
    <row r="63" spans="13:21" x14ac:dyDescent="0.3">
      <c r="T63" s="18"/>
      <c r="U63" s="18"/>
    </row>
    <row r="64" spans="13:21" x14ac:dyDescent="0.3">
      <c r="T64" s="18"/>
      <c r="U64" s="18"/>
    </row>
    <row r="67" spans="3:16" x14ac:dyDescent="0.3">
      <c r="P67" s="43"/>
    </row>
    <row r="68" spans="3:16" x14ac:dyDescent="0.3">
      <c r="P68" s="43"/>
    </row>
    <row r="69" spans="3:16" x14ac:dyDescent="0.3">
      <c r="P69" s="6"/>
    </row>
    <row r="70" spans="3:16" x14ac:dyDescent="0.3">
      <c r="P70" s="6"/>
    </row>
    <row r="78" spans="3:16" x14ac:dyDescent="0.3">
      <c r="C78" t="s">
        <v>144</v>
      </c>
    </row>
    <row r="79" spans="3:16" x14ac:dyDescent="0.3">
      <c r="C79" t="s">
        <v>143</v>
      </c>
    </row>
    <row r="82" spans="3:3" x14ac:dyDescent="0.3">
      <c r="C82" t="s">
        <v>143</v>
      </c>
    </row>
    <row r="159" spans="3:3" x14ac:dyDescent="0.3">
      <c r="C159" t="s">
        <v>143</v>
      </c>
    </row>
    <row r="160" spans="3:3" x14ac:dyDescent="0.3">
      <c r="C160" t="s">
        <v>145</v>
      </c>
    </row>
    <row r="161" spans="3:3" x14ac:dyDescent="0.3">
      <c r="C161" t="s">
        <v>146</v>
      </c>
    </row>
    <row r="586" spans="3:3" x14ac:dyDescent="0.3">
      <c r="C586" t="s">
        <v>143</v>
      </c>
    </row>
  </sheetData>
  <mergeCells count="1">
    <mergeCell ref="B19:I19"/>
  </mergeCells>
  <phoneticPr fontId="32" type="noConversion"/>
  <hyperlinks>
    <hyperlink ref="G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'2229'!H10</f>
        <v>46008</v>
      </c>
    </row>
    <row r="6" spans="2:31" ht="16.2" thickBot="1" x14ac:dyDescent="0.35">
      <c r="B6" s="140" t="s">
        <v>2</v>
      </c>
      <c r="C6" s="139" t="str">
        <f>'2229'!C10</f>
        <v>GONZALO PEÑA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11808 C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-42578.236622787452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'2229'!I29</f>
        <v>1094924.175416</v>
      </c>
      <c r="E11" s="132">
        <f>D11*0.19</f>
        <v>208035.59332903998</v>
      </c>
      <c r="F11" s="131">
        <f>E11+D11</f>
        <v>1302959.7687450401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63411.763377212548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508760.45798743959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45411.763377212548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586163.71742856037</v>
      </c>
      <c r="E13" s="221">
        <f>(D11/D12)-1</f>
        <v>1.1521408714570969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36411.763377212548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-2588.2366227874518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839454.75567927526</v>
      </c>
      <c r="F15" s="216">
        <f>E15-D12</f>
        <v>330694.29769183567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-2588.2366227874518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37411.763377212548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'2229'!P37</f>
        <v>188400</v>
      </c>
      <c r="E18" s="123">
        <f>D18*0.19</f>
        <v>35796</v>
      </c>
      <c r="F18" s="120">
        <f>SUM(D18:E18)</f>
        <v>224196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'2229'!P36</f>
        <v>141000</v>
      </c>
      <c r="E19" s="123">
        <f>D19*0.19</f>
        <v>26790</v>
      </c>
      <c r="F19" s="120">
        <f>SUM(D19:E19)</f>
        <v>167790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'2229'!P35</f>
        <v>149526.36720000001</v>
      </c>
      <c r="E20" s="121">
        <f>D20*0.19</f>
        <v>28410.009768000004</v>
      </c>
      <c r="F20" s="120">
        <f>SUM(D20:E20)</f>
        <v>177936.37696800003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478926.36719999998</v>
      </c>
      <c r="E21" s="116">
        <f>SUM(E18:E20)</f>
        <v>90996.009768000004</v>
      </c>
      <c r="F21" s="115">
        <f>SUM(F18:F20)</f>
        <v>569922.37696800008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117039.58356103998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1094924.175416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478926.36719999998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586163.71742856037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586163.71742856037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139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140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162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163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11808 C</v>
      </c>
      <c r="E8" s="138"/>
      <c r="F8" s="318" t="s">
        <v>164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165</v>
      </c>
      <c r="C10" s="350" t="str">
        <f>IF('2229'!C10="","",'2229'!C10)</f>
        <v>GONZALO PEÑA</v>
      </c>
      <c r="D10" s="350"/>
      <c r="E10" s="350"/>
      <c r="F10" s="351" t="s">
        <v>166</v>
      </c>
      <c r="G10" s="352">
        <f>'2229'!H10</f>
        <v>46008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167</v>
      </c>
      <c r="G11" s="340">
        <f>WORKDAY(G10,5)</f>
        <v>46015</v>
      </c>
      <c r="H11" s="341"/>
      <c r="I11" s="138"/>
    </row>
    <row r="12" spans="1:17" ht="15.6" x14ac:dyDescent="0.3">
      <c r="A12" s="138"/>
      <c r="B12" s="354" t="s">
        <v>168</v>
      </c>
      <c r="C12" s="355" t="str">
        <f>IF('2229'!C12="","",'2229'!C12)</f>
        <v/>
      </c>
      <c r="D12" s="355"/>
      <c r="E12" s="355"/>
      <c r="F12" s="355" t="s">
        <v>179</v>
      </c>
      <c r="G12" s="355" t="str">
        <f>'2229'!H14</f>
        <v>NO</v>
      </c>
      <c r="H12" s="356"/>
      <c r="I12" s="138"/>
    </row>
    <row r="13" spans="1:17" ht="15.6" x14ac:dyDescent="0.3">
      <c r="A13" s="138"/>
      <c r="B13" s="245" t="s">
        <v>142</v>
      </c>
      <c r="C13" s="246" t="str">
        <f>IF('2229'!C13="","",'2229'!C13)</f>
        <v/>
      </c>
      <c r="D13" s="246"/>
      <c r="E13" s="246"/>
      <c r="F13" s="246" t="s">
        <v>169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170</v>
      </c>
      <c r="G14" s="357" t="s">
        <v>171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+569 8466 2944</v>
      </c>
      <c r="D15" s="347"/>
      <c r="E15" s="345"/>
      <c r="F15" s="345" t="s">
        <v>172</v>
      </c>
      <c r="G15" s="345" t="str">
        <f>'2229'!H12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173</v>
      </c>
      <c r="G16" s="355" t="str">
        <f>'2229'!H16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174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175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21</v>
      </c>
      <c r="C22" s="313" t="str">
        <f>'2229'!C21</f>
        <v>ENCHAPE RECTO 2 CARAS MDF 18MM</v>
      </c>
      <c r="D22" s="321">
        <f>'2229'!D21*1000</f>
        <v>664</v>
      </c>
      <c r="E22" s="321">
        <f>'2229'!E21*1000</f>
        <v>279</v>
      </c>
      <c r="F22" s="322" t="str">
        <f>'2229'!G21</f>
        <v>BLANCO MT</v>
      </c>
      <c r="G22" s="314">
        <f>'2229'!H21</f>
        <v>12787.021016710562</v>
      </c>
      <c r="H22" s="323">
        <f>G22*B22</f>
        <v>268527.44135092181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268527.44135092181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51020.213856675146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319547.65520759695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176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177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180</v>
      </c>
      <c r="C2" s="449"/>
      <c r="D2" s="449"/>
      <c r="E2" s="361"/>
      <c r="G2" s="449" t="s">
        <v>181</v>
      </c>
      <c r="H2" s="449"/>
      <c r="I2" s="449"/>
      <c r="P2" s="450" t="s">
        <v>182</v>
      </c>
      <c r="Q2" s="450"/>
      <c r="R2" s="450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183</v>
      </c>
      <c r="E4" s="246" t="s">
        <v>184</v>
      </c>
      <c r="G4" s="362">
        <v>50</v>
      </c>
      <c r="H4" s="362">
        <v>100</v>
      </c>
      <c r="I4" s="367" t="s">
        <v>183</v>
      </c>
      <c r="J4" s="54" t="s">
        <v>185</v>
      </c>
      <c r="K4" s="54"/>
      <c r="L4" s="54"/>
      <c r="M4" s="54"/>
      <c r="P4">
        <v>50</v>
      </c>
      <c r="Q4">
        <v>-30</v>
      </c>
      <c r="R4" t="s">
        <v>186</v>
      </c>
    </row>
    <row r="5" spans="2:18" x14ac:dyDescent="0.3">
      <c r="B5" s="365">
        <v>40</v>
      </c>
      <c r="C5" s="365">
        <v>90</v>
      </c>
      <c r="D5" s="366" t="s">
        <v>187</v>
      </c>
      <c r="E5" s="246" t="s">
        <v>188</v>
      </c>
      <c r="G5" s="362">
        <v>50</v>
      </c>
      <c r="H5" s="362"/>
      <c r="I5" s="367" t="s">
        <v>189</v>
      </c>
      <c r="J5" s="54" t="s">
        <v>190</v>
      </c>
      <c r="K5" s="54"/>
      <c r="L5" s="54"/>
      <c r="M5" s="54"/>
      <c r="P5">
        <v>50</v>
      </c>
      <c r="Q5">
        <v>-30</v>
      </c>
      <c r="R5" t="s">
        <v>186</v>
      </c>
    </row>
    <row r="6" spans="2:18" x14ac:dyDescent="0.3">
      <c r="B6" s="365">
        <v>40</v>
      </c>
      <c r="C6" s="365">
        <v>100</v>
      </c>
      <c r="D6" s="366" t="s">
        <v>191</v>
      </c>
      <c r="E6" s="246" t="s">
        <v>192</v>
      </c>
      <c r="G6" s="365">
        <v>50</v>
      </c>
      <c r="H6" s="365">
        <v>100</v>
      </c>
      <c r="I6" s="366" t="s">
        <v>191</v>
      </c>
      <c r="P6">
        <v>50</v>
      </c>
      <c r="Q6">
        <v>-30</v>
      </c>
      <c r="R6" t="s">
        <v>193</v>
      </c>
    </row>
    <row r="7" spans="2:18" x14ac:dyDescent="0.3">
      <c r="B7" s="365">
        <v>40</v>
      </c>
      <c r="C7" s="365">
        <v>150</v>
      </c>
      <c r="D7" s="366" t="s">
        <v>194</v>
      </c>
      <c r="E7" s="246" t="s">
        <v>195</v>
      </c>
      <c r="G7" s="365">
        <v>50</v>
      </c>
      <c r="H7" s="365"/>
      <c r="I7" s="366" t="s">
        <v>194</v>
      </c>
      <c r="P7">
        <v>50</v>
      </c>
      <c r="Q7">
        <v>-30</v>
      </c>
      <c r="R7" t="s">
        <v>196</v>
      </c>
    </row>
    <row r="8" spans="2:18" x14ac:dyDescent="0.3">
      <c r="B8" s="365">
        <v>40</v>
      </c>
      <c r="C8" s="365">
        <v>100</v>
      </c>
      <c r="D8" s="366" t="s">
        <v>197</v>
      </c>
      <c r="E8" s="246" t="s">
        <v>198</v>
      </c>
      <c r="G8" s="365">
        <v>50</v>
      </c>
      <c r="H8" s="365">
        <v>100</v>
      </c>
      <c r="I8" s="366" t="s">
        <v>197</v>
      </c>
      <c r="L8" s="450" t="s">
        <v>182</v>
      </c>
      <c r="M8" s="450"/>
      <c r="N8" s="450"/>
      <c r="P8">
        <v>50</v>
      </c>
      <c r="Q8">
        <v>-30</v>
      </c>
      <c r="R8" t="s">
        <v>199</v>
      </c>
    </row>
    <row r="9" spans="2:18" x14ac:dyDescent="0.3">
      <c r="B9" s="365">
        <v>40</v>
      </c>
      <c r="C9" s="365">
        <v>50</v>
      </c>
      <c r="D9" s="366" t="s">
        <v>200</v>
      </c>
      <c r="E9" s="246" t="s">
        <v>201</v>
      </c>
      <c r="G9" s="365">
        <v>50</v>
      </c>
      <c r="H9" s="365">
        <v>100</v>
      </c>
      <c r="I9" s="366" t="s">
        <v>202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203</v>
      </c>
    </row>
    <row r="10" spans="2:18" x14ac:dyDescent="0.3">
      <c r="B10" s="365">
        <v>40</v>
      </c>
      <c r="C10" s="365">
        <v>80</v>
      </c>
      <c r="D10" s="366" t="s">
        <v>204</v>
      </c>
      <c r="E10" s="246" t="s">
        <v>205</v>
      </c>
      <c r="G10" s="365">
        <v>50</v>
      </c>
      <c r="H10" s="365"/>
      <c r="I10" s="366" t="s">
        <v>206</v>
      </c>
      <c r="L10" s="365">
        <v>50</v>
      </c>
      <c r="M10" s="365">
        <v>-30</v>
      </c>
      <c r="N10" s="366" t="s">
        <v>186</v>
      </c>
      <c r="P10">
        <v>50</v>
      </c>
      <c r="Q10">
        <v>0</v>
      </c>
      <c r="R10" t="s">
        <v>207</v>
      </c>
    </row>
    <row r="11" spans="2:18" x14ac:dyDescent="0.3">
      <c r="B11" s="365">
        <v>40</v>
      </c>
      <c r="C11" s="365">
        <v>60</v>
      </c>
      <c r="D11" s="366" t="s">
        <v>208</v>
      </c>
      <c r="E11" s="246" t="s">
        <v>209</v>
      </c>
      <c r="G11" s="365">
        <v>50</v>
      </c>
      <c r="H11" s="365">
        <v>100</v>
      </c>
      <c r="I11" s="366" t="s">
        <v>200</v>
      </c>
      <c r="L11" s="365">
        <v>50</v>
      </c>
      <c r="M11" s="365">
        <v>0</v>
      </c>
      <c r="N11" s="366" t="s">
        <v>210</v>
      </c>
      <c r="P11">
        <v>50</v>
      </c>
      <c r="Q11">
        <v>0</v>
      </c>
      <c r="R11" t="s">
        <v>211</v>
      </c>
    </row>
    <row r="12" spans="2:18" x14ac:dyDescent="0.3">
      <c r="B12" s="365">
        <v>40</v>
      </c>
      <c r="C12" s="365">
        <v>100</v>
      </c>
      <c r="D12" s="366" t="s">
        <v>212</v>
      </c>
      <c r="E12" s="246" t="s">
        <v>213</v>
      </c>
      <c r="G12" s="365">
        <v>50</v>
      </c>
      <c r="H12" s="365"/>
      <c r="I12" s="366" t="s">
        <v>204</v>
      </c>
      <c r="L12" s="365">
        <v>50</v>
      </c>
      <c r="M12" s="365">
        <v>-2</v>
      </c>
      <c r="N12" s="366" t="s">
        <v>214</v>
      </c>
      <c r="P12">
        <v>50</v>
      </c>
      <c r="Q12">
        <v>0</v>
      </c>
      <c r="R12" t="s">
        <v>215</v>
      </c>
    </row>
    <row r="13" spans="2:18" x14ac:dyDescent="0.3">
      <c r="B13" s="365">
        <v>40</v>
      </c>
      <c r="C13" s="365">
        <v>130</v>
      </c>
      <c r="D13" s="366" t="s">
        <v>216</v>
      </c>
      <c r="E13" s="246" t="s">
        <v>217</v>
      </c>
      <c r="G13" s="365">
        <v>50</v>
      </c>
      <c r="H13" s="365">
        <v>-30</v>
      </c>
      <c r="I13" s="366" t="s">
        <v>186</v>
      </c>
      <c r="P13">
        <v>50</v>
      </c>
      <c r="Q13">
        <v>0</v>
      </c>
      <c r="R13" t="s">
        <v>218</v>
      </c>
    </row>
    <row r="14" spans="2:18" x14ac:dyDescent="0.3">
      <c r="B14" s="365">
        <v>40</v>
      </c>
      <c r="C14" s="365">
        <v>150</v>
      </c>
      <c r="D14" s="366" t="s">
        <v>193</v>
      </c>
      <c r="E14" s="246"/>
      <c r="G14" s="365">
        <v>50</v>
      </c>
      <c r="H14" s="365">
        <v>-30</v>
      </c>
      <c r="I14" s="366" t="s">
        <v>193</v>
      </c>
    </row>
    <row r="15" spans="2:18" x14ac:dyDescent="0.3">
      <c r="B15" s="365">
        <v>40</v>
      </c>
      <c r="C15" s="365">
        <v>150</v>
      </c>
      <c r="D15" s="366" t="s">
        <v>219</v>
      </c>
      <c r="E15" s="246" t="s">
        <v>220</v>
      </c>
      <c r="G15" s="365">
        <v>50</v>
      </c>
      <c r="H15" s="365">
        <v>-30</v>
      </c>
      <c r="I15" s="366" t="s">
        <v>196</v>
      </c>
      <c r="P15">
        <v>50</v>
      </c>
      <c r="Q15">
        <v>0</v>
      </c>
      <c r="R15" t="s">
        <v>221</v>
      </c>
    </row>
    <row r="16" spans="2:18" x14ac:dyDescent="0.3">
      <c r="B16" s="365">
        <v>40</v>
      </c>
      <c r="C16" s="365">
        <v>130</v>
      </c>
      <c r="D16" s="366" t="s">
        <v>222</v>
      </c>
      <c r="E16" s="246" t="s">
        <v>223</v>
      </c>
      <c r="G16" s="365">
        <v>50</v>
      </c>
      <c r="H16" s="365">
        <v>-30</v>
      </c>
      <c r="I16" s="366" t="s">
        <v>224</v>
      </c>
      <c r="P16">
        <v>50</v>
      </c>
      <c r="Q16">
        <v>0</v>
      </c>
      <c r="R16" t="s">
        <v>225</v>
      </c>
    </row>
    <row r="17" spans="2:18" x14ac:dyDescent="0.3">
      <c r="B17" s="365">
        <v>40</v>
      </c>
      <c r="C17" s="365">
        <v>150</v>
      </c>
      <c r="D17" s="366" t="s">
        <v>211</v>
      </c>
      <c r="E17" s="246" t="s">
        <v>226</v>
      </c>
      <c r="G17" s="365">
        <v>50</v>
      </c>
      <c r="H17" s="365"/>
      <c r="I17" s="366" t="s">
        <v>211</v>
      </c>
      <c r="P17">
        <v>50</v>
      </c>
      <c r="Q17">
        <v>0</v>
      </c>
      <c r="R17" t="s">
        <v>227</v>
      </c>
    </row>
    <row r="18" spans="2:18" x14ac:dyDescent="0.3">
      <c r="B18" s="365">
        <v>140</v>
      </c>
      <c r="C18" s="365">
        <v>150</v>
      </c>
      <c r="D18" s="366" t="s">
        <v>215</v>
      </c>
      <c r="E18" s="246" t="s">
        <v>228</v>
      </c>
      <c r="G18" s="365">
        <v>50</v>
      </c>
      <c r="H18" s="365"/>
      <c r="I18" s="366" t="s">
        <v>215</v>
      </c>
      <c r="P18">
        <v>50</v>
      </c>
      <c r="Q18">
        <v>0</v>
      </c>
      <c r="R18" t="s">
        <v>229</v>
      </c>
    </row>
    <row r="19" spans="2:18" x14ac:dyDescent="0.3">
      <c r="B19" s="365">
        <v>150</v>
      </c>
      <c r="C19" s="365">
        <v>150</v>
      </c>
      <c r="D19" s="366" t="s">
        <v>218</v>
      </c>
      <c r="E19" s="246" t="s">
        <v>230</v>
      </c>
      <c r="G19" s="365">
        <v>50</v>
      </c>
      <c r="H19" s="365"/>
      <c r="I19" s="366" t="s">
        <v>218</v>
      </c>
      <c r="P19">
        <v>50</v>
      </c>
      <c r="Q19">
        <v>0</v>
      </c>
      <c r="R19" t="s">
        <v>231</v>
      </c>
    </row>
    <row r="20" spans="2:18" x14ac:dyDescent="0.3">
      <c r="B20" s="365">
        <v>40</v>
      </c>
      <c r="C20" s="365">
        <v>100</v>
      </c>
      <c r="D20" s="366" t="s">
        <v>232</v>
      </c>
      <c r="E20" s="246" t="s">
        <v>233</v>
      </c>
      <c r="G20" s="365">
        <v>50</v>
      </c>
      <c r="H20" s="365">
        <v>0</v>
      </c>
      <c r="I20" s="366" t="s">
        <v>232</v>
      </c>
      <c r="J20" s="54" t="s">
        <v>234</v>
      </c>
      <c r="K20" s="54"/>
      <c r="L20" s="54"/>
      <c r="M20" s="54"/>
      <c r="P20">
        <v>50</v>
      </c>
      <c r="Q20">
        <v>0</v>
      </c>
      <c r="R20" t="s">
        <v>235</v>
      </c>
    </row>
    <row r="21" spans="2:18" x14ac:dyDescent="0.3">
      <c r="B21" s="365">
        <v>100</v>
      </c>
      <c r="C21" s="365">
        <v>100</v>
      </c>
      <c r="D21" s="366" t="s">
        <v>236</v>
      </c>
      <c r="E21" s="246" t="s">
        <v>237</v>
      </c>
      <c r="G21" s="365">
        <v>50</v>
      </c>
      <c r="H21" s="365">
        <v>0</v>
      </c>
      <c r="I21" s="366" t="s">
        <v>236</v>
      </c>
      <c r="P21">
        <v>50</v>
      </c>
      <c r="Q21">
        <v>0</v>
      </c>
      <c r="R21" t="s">
        <v>238</v>
      </c>
    </row>
    <row r="22" spans="2:18" x14ac:dyDescent="0.3">
      <c r="B22" s="365">
        <v>100</v>
      </c>
      <c r="C22" s="365">
        <v>100</v>
      </c>
      <c r="D22" s="366" t="s">
        <v>221</v>
      </c>
      <c r="E22" s="246" t="s">
        <v>239</v>
      </c>
      <c r="G22" s="362"/>
      <c r="H22" s="362"/>
      <c r="I22" s="367" t="s">
        <v>221</v>
      </c>
      <c r="P22">
        <v>50</v>
      </c>
      <c r="Q22">
        <v>0</v>
      </c>
      <c r="R22" t="s">
        <v>240</v>
      </c>
    </row>
    <row r="23" spans="2:18" x14ac:dyDescent="0.3">
      <c r="B23" s="365">
        <v>40</v>
      </c>
      <c r="C23" s="365">
        <v>150</v>
      </c>
      <c r="D23" s="366" t="s">
        <v>225</v>
      </c>
      <c r="E23" s="246" t="s">
        <v>241</v>
      </c>
      <c r="G23" s="365">
        <v>50</v>
      </c>
      <c r="H23" s="365"/>
      <c r="I23" s="366" t="s">
        <v>225</v>
      </c>
      <c r="R23" t="s">
        <v>242</v>
      </c>
    </row>
    <row r="24" spans="2:18" x14ac:dyDescent="0.3">
      <c r="B24" s="365">
        <v>140</v>
      </c>
      <c r="C24" s="365">
        <v>150</v>
      </c>
      <c r="D24" s="366" t="s">
        <v>227</v>
      </c>
      <c r="E24" s="246" t="s">
        <v>243</v>
      </c>
      <c r="G24" s="365">
        <v>50</v>
      </c>
      <c r="H24" s="365"/>
      <c r="I24" s="366" t="s">
        <v>227</v>
      </c>
      <c r="R24" t="s">
        <v>244</v>
      </c>
    </row>
    <row r="25" spans="2:18" x14ac:dyDescent="0.3">
      <c r="B25" s="365">
        <v>150</v>
      </c>
      <c r="C25" s="365">
        <v>150</v>
      </c>
      <c r="D25" s="366" t="s">
        <v>229</v>
      </c>
      <c r="E25" s="246" t="s">
        <v>245</v>
      </c>
      <c r="G25" s="365">
        <v>50</v>
      </c>
      <c r="H25" s="365"/>
      <c r="I25" s="366" t="s">
        <v>229</v>
      </c>
      <c r="R25" t="s">
        <v>191</v>
      </c>
    </row>
    <row r="26" spans="2:18" x14ac:dyDescent="0.3">
      <c r="B26" s="365">
        <v>40</v>
      </c>
      <c r="C26" s="365">
        <v>77</v>
      </c>
      <c r="D26" s="366" t="s">
        <v>231</v>
      </c>
      <c r="E26" s="246" t="s">
        <v>246</v>
      </c>
      <c r="G26" s="365">
        <v>50</v>
      </c>
      <c r="H26" s="365"/>
      <c r="I26" s="366" t="s">
        <v>231</v>
      </c>
      <c r="R26" t="s">
        <v>194</v>
      </c>
    </row>
    <row r="27" spans="2:18" x14ac:dyDescent="0.3">
      <c r="B27" s="365">
        <v>110</v>
      </c>
      <c r="C27" s="365">
        <v>77</v>
      </c>
      <c r="D27" s="366" t="s">
        <v>235</v>
      </c>
      <c r="E27" s="246" t="s">
        <v>247</v>
      </c>
      <c r="G27" s="365">
        <v>50</v>
      </c>
      <c r="H27" s="365"/>
      <c r="I27" s="366" t="s">
        <v>235</v>
      </c>
      <c r="R27" t="s">
        <v>197</v>
      </c>
    </row>
    <row r="28" spans="2:18" x14ac:dyDescent="0.3">
      <c r="B28" s="365">
        <v>120</v>
      </c>
      <c r="C28" s="365">
        <v>77</v>
      </c>
      <c r="D28" s="366" t="s">
        <v>238</v>
      </c>
      <c r="E28" s="246" t="s">
        <v>248</v>
      </c>
      <c r="G28" s="365">
        <v>50</v>
      </c>
      <c r="H28" s="365"/>
      <c r="I28" s="366" t="s">
        <v>238</v>
      </c>
      <c r="R28" t="s">
        <v>202</v>
      </c>
    </row>
    <row r="29" spans="2:18" x14ac:dyDescent="0.3">
      <c r="B29" s="365">
        <v>40</v>
      </c>
      <c r="C29" s="365">
        <v>50</v>
      </c>
      <c r="D29" s="366" t="s">
        <v>240</v>
      </c>
      <c r="E29" s="246" t="s">
        <v>249</v>
      </c>
      <c r="G29" s="365">
        <v>50</v>
      </c>
      <c r="H29" s="365"/>
      <c r="I29" s="366" t="s">
        <v>240</v>
      </c>
      <c r="R29" t="s">
        <v>206</v>
      </c>
    </row>
    <row r="30" spans="2:18" x14ac:dyDescent="0.3">
      <c r="B30" s="365">
        <v>40</v>
      </c>
      <c r="C30" s="365">
        <v>60</v>
      </c>
      <c r="D30" s="366" t="s">
        <v>250</v>
      </c>
      <c r="E30" s="246" t="s">
        <v>251</v>
      </c>
      <c r="G30" s="365">
        <v>50</v>
      </c>
      <c r="H30" s="365"/>
      <c r="I30" s="366" t="s">
        <v>207</v>
      </c>
      <c r="R30" t="s">
        <v>200</v>
      </c>
    </row>
    <row r="31" spans="2:18" x14ac:dyDescent="0.3">
      <c r="B31" s="365">
        <v>40</v>
      </c>
      <c r="C31" s="365">
        <v>100</v>
      </c>
      <c r="D31" s="366" t="s">
        <v>203</v>
      </c>
      <c r="E31" s="246" t="s">
        <v>252</v>
      </c>
      <c r="G31" s="365">
        <v>50</v>
      </c>
      <c r="H31" s="365"/>
      <c r="I31" s="366" t="s">
        <v>203</v>
      </c>
      <c r="R31" t="s">
        <v>204</v>
      </c>
    </row>
    <row r="32" spans="2:18" x14ac:dyDescent="0.3">
      <c r="B32" s="365">
        <v>40</v>
      </c>
      <c r="C32" s="365">
        <v>60</v>
      </c>
      <c r="D32" s="366" t="s">
        <v>253</v>
      </c>
      <c r="E32" s="246" t="s">
        <v>254</v>
      </c>
      <c r="G32" s="365">
        <v>50</v>
      </c>
      <c r="H32" s="365"/>
      <c r="I32" s="366" t="s">
        <v>253</v>
      </c>
      <c r="R32" t="s">
        <v>255</v>
      </c>
    </row>
    <row r="33" spans="2:18" x14ac:dyDescent="0.3">
      <c r="B33" s="365">
        <v>40</v>
      </c>
      <c r="C33" s="365">
        <v>90</v>
      </c>
      <c r="D33" s="366" t="s">
        <v>256</v>
      </c>
      <c r="E33" s="246" t="s">
        <v>257</v>
      </c>
      <c r="G33" s="365">
        <v>50</v>
      </c>
      <c r="H33" s="365">
        <v>-2</v>
      </c>
      <c r="I33" s="366" t="s">
        <v>256</v>
      </c>
      <c r="R33" t="s">
        <v>258</v>
      </c>
    </row>
    <row r="34" spans="2:18" x14ac:dyDescent="0.3">
      <c r="B34" s="365">
        <v>40</v>
      </c>
      <c r="C34" s="365">
        <v>90</v>
      </c>
      <c r="D34" s="366" t="s">
        <v>259</v>
      </c>
      <c r="E34" s="246"/>
      <c r="G34" s="365">
        <v>50</v>
      </c>
      <c r="H34" s="365">
        <v>-2</v>
      </c>
      <c r="I34" s="366" t="s">
        <v>259</v>
      </c>
    </row>
    <row r="35" spans="2:18" x14ac:dyDescent="0.3">
      <c r="B35" s="365">
        <v>40</v>
      </c>
      <c r="C35" s="365">
        <v>90</v>
      </c>
      <c r="D35" s="366" t="s">
        <v>255</v>
      </c>
      <c r="E35" s="246" t="s">
        <v>260</v>
      </c>
      <c r="G35" s="365">
        <v>50</v>
      </c>
      <c r="H35" s="365">
        <v>-2</v>
      </c>
      <c r="I35" s="366" t="s">
        <v>255</v>
      </c>
      <c r="R35" t="s">
        <v>261</v>
      </c>
    </row>
    <row r="36" spans="2:18" x14ac:dyDescent="0.3">
      <c r="B36" s="368">
        <v>40</v>
      </c>
      <c r="C36" s="368">
        <v>90</v>
      </c>
      <c r="D36" s="369" t="s">
        <v>258</v>
      </c>
      <c r="G36" s="365">
        <v>50</v>
      </c>
      <c r="H36" s="365">
        <v>-2</v>
      </c>
      <c r="I36" s="366" t="s">
        <v>258</v>
      </c>
      <c r="R36" t="s">
        <v>256</v>
      </c>
    </row>
    <row r="37" spans="2:18" x14ac:dyDescent="0.3">
      <c r="B37" s="368">
        <v>40</v>
      </c>
      <c r="C37" s="368">
        <v>90</v>
      </c>
      <c r="D37" s="369" t="s">
        <v>261</v>
      </c>
      <c r="G37" s="365">
        <v>50</v>
      </c>
      <c r="H37" s="365">
        <v>-2</v>
      </c>
      <c r="I37" s="366" t="s">
        <v>261</v>
      </c>
      <c r="R37" t="s">
        <v>259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262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263</v>
      </c>
      <c r="L3" s="455"/>
      <c r="M3" s="455" t="s">
        <v>264</v>
      </c>
      <c r="N3" s="455"/>
    </row>
    <row r="4" spans="1:14" ht="15.75" customHeight="1" x14ac:dyDescent="0.3">
      <c r="A4" s="138"/>
      <c r="B4" s="138"/>
      <c r="C4" s="370" t="s">
        <v>164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265</v>
      </c>
      <c r="D5" s="372" t="str">
        <f>'NOTA DE VENTA'!$C$10</f>
        <v>GONZALO PEÑA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46008</v>
      </c>
      <c r="E7" s="138"/>
      <c r="F7" s="138"/>
      <c r="G7" s="138"/>
    </row>
    <row r="8" spans="1:14" ht="15.6" x14ac:dyDescent="0.3">
      <c r="A8" s="138"/>
      <c r="B8" s="138"/>
      <c r="C8" s="370" t="s">
        <v>266</v>
      </c>
      <c r="D8" s="405">
        <f>'NOTA DE VENTA'!$G$11</f>
        <v>46015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263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267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264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267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268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269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267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164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265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270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129</v>
      </c>
      <c r="E48" s="398" t="s">
        <v>11</v>
      </c>
      <c r="F48" s="399" t="s">
        <v>271</v>
      </c>
      <c r="G48" s="138"/>
    </row>
    <row r="49" spans="1:7" s="59" customFormat="1" ht="15" customHeight="1" x14ac:dyDescent="0.3">
      <c r="A49" s="380" t="s">
        <v>272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273</v>
      </c>
      <c r="B1" s="414" t="s">
        <v>274</v>
      </c>
      <c r="C1" s="413" t="s">
        <v>275</v>
      </c>
      <c r="D1" s="413" t="s">
        <v>276</v>
      </c>
      <c r="E1" s="413" t="s">
        <v>277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278</v>
      </c>
      <c r="L1" s="415" t="s">
        <v>279</v>
      </c>
      <c r="M1" s="413" t="s">
        <v>280</v>
      </c>
    </row>
    <row r="2" spans="1:13" x14ac:dyDescent="0.3">
      <c r="A2">
        <f>'NOTA DE VENTA'!$G$8</f>
        <v>0</v>
      </c>
      <c r="B2" t="str">
        <f>'NOTA DE VENTA'!$D$8</f>
        <v>N° 11808 C</v>
      </c>
      <c r="C2" s="1">
        <f>'NOTA DE VENTA'!$G$10</f>
        <v>46008</v>
      </c>
      <c r="D2" s="1">
        <f>'NOTA DE VENTA'!$G$11</f>
        <v>46015</v>
      </c>
      <c r="E2" t="str">
        <f>'NOTA DE VENTA'!$C$10</f>
        <v>GONZALO PEÑA</v>
      </c>
      <c r="F2" t="str">
        <f>'NOTA DE VENTA'!$C$22</f>
        <v>ENCHAPE RECTO 2 CARAS MDF 18MM</v>
      </c>
      <c r="G2" t="str">
        <f>'NOTA DE VENTA'!$F$22</f>
        <v>BLANCO MT</v>
      </c>
      <c r="H2" s="416">
        <f>'NOTA DE VENTA'!$H$25</f>
        <v>268527.44135092181</v>
      </c>
      <c r="I2" s="416">
        <f>H2*0.19</f>
        <v>51020.213856675146</v>
      </c>
      <c r="J2" s="416">
        <f>I2+H2</f>
        <v>319547.65520759695</v>
      </c>
      <c r="L2" s="61">
        <f>J2-K2</f>
        <v>319547.65520759695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2025-12-18T00:55:28Z</cp:lastPrinted>
  <dcterms:created xsi:type="dcterms:W3CDTF">2013-03-18T13:35:42Z</dcterms:created>
  <dcterms:modified xsi:type="dcterms:W3CDTF">2025-12-18T00:57:58Z</dcterms:modified>
</cp:coreProperties>
</file>