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F8F8C9DD-797B-4660-ACF7-83B2E67C2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<sst xmlns="http://schemas.openxmlformats.org/spreadsheetml/2006/main" count="488" uniqueCount="294">
  <si>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</si>
  <si>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</si>
  <si>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</si>
  <si>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</si>
  <si>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</si>
  <si>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</si>
  <si>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</si>
  <si>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</si>
  <si>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</si>
  <si>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</si>
  <si>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</si>
  <si>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</si>
  <si>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</si>
  <si>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</si>
  <si>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</si>
  <si>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</si>
  <si>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</si>
  <si>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</si>
  <si>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</si>
  <si>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</si>
  <si>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</si>
  <si>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</si>
  <si>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</si>
  <si>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</si>
  <si>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</si>
  <si>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</si>
  <si>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</si>
  <si>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</si>
  <si>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</si>
  <si>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</si>
  <si>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</si>
  <si>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</si>
  <si>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</si>
  <si>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</si>
  <si>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</si>
  <si>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</si>
  <si>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</si>
  <si>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</si>
  <si>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</si>
  <si>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</si>
  <si>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</si>
  <si>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</si>
  <si>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</si>
  <si>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</si>
  <si>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</si>
  <si>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</si>
  <si>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</si>
  <si>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</si>
  <si>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</si>
  <si>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</si>
  <si>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</si>
  <si>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</si>
  <si>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</si>
  <si>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</si>
  <si>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</si>
  <si>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</si>
  <si>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</si>
  <si>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</si>
  <si>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</si>
  <si>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</si>
  <si>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</si>
  <si>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</si>
  <si>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</si>
  <si>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</si>
  <si>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</si>
  <si>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</si>
  <si>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</si>
  <si>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</si>
  <si>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</si>
  <si>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</si>
  <si>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</si>
  <si>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</si>
  <si>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</si>
  <si>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</si>
  <si>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</si>
  <si>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</si>
  <si>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</si>
  <si>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</si>
  <si>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</si>
  <si>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</si>
  <si>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</si>
  <si>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</si>
  <si>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</si>
  <si>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</si>
  <si>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</si>
  <si>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</si>
  <si>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</si>
  <si>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</si>
  <si>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</si>
  <si>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</si>
  <si>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</si>
  <si>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</si>
  <si>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</si>
  <si>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</si>
  <si>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</si>
  <si>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</si>
  <si>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</si>
  <si>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</si>
  <si>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</si>
  <si>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</si>
  <si>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</si>
  <si>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</si>
  <si>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</si>
  <si>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</si>
  <si>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</si>
  <si>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</si>
  <si>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</si>
  <si>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</si>
  <si>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</si>
  <si>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</si>
  <si>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</si>
  <si>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</si>
  <si>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</si>
  <si>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</si>
  <si>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</si>
  <si>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</si>
  <si>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</si>
  <si>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</si>
  <si>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</si>
  <si>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</si>
  <si>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</si>
  <si>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</si>
  <si>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</si>
  <si>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</si>
  <si>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</si>
  <si>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</si>
  <si>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</si>
  <si>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</si>
  <si>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</si>
  <si>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</si>
  <si>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</si>
  <si>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</si>
  <si>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</si>
  <si>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</si>
  <si>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</si>
  <si>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</si>
  <si>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</si>
  <si>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</si>
  <si>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</si>
  <si>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</si>
  <si>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</si>
  <si>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</si>
  <si>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</si>
  <si>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</si>
  <si>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</si>
  <si>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</si>
  <si>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</si>
  <si>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</si>
  <si>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</si>
  <si>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</si>
  <si>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</si>
  <si>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</si>
  <si>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</si>
  <si>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</si>
  <si>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</si>
  <si>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</si>
  <si>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</si>
  <si>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</si>
  <si>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</si>
  <si>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</si>
  <si>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</si>
  <si>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</si>
  <si>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</si>
  <si>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</si>
  <si>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</si>
  <si>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</si>
  <si>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</si>
  <si>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</si>
  <si>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</si>
  <si>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</si>
  <si>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</si>
  <si>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</si>
  <si>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</si>
  <si>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</si>
  <si>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</si>
  <si>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</si>
  <si>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</si>
  <si>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</si>
  <si>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</si>
  <si>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</si>
  <si>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</si>
  <si>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</si>
  <si>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</si>
  <si>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</si>
  <si>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</si>
  <si>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</si>
  <si>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</si>
  <si>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</si>
  <si>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</si>
  <si>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</si>
  <si>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</si>
  <si>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</si>
  <si>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</si>
  <si>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</si>
  <si>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</si>
  <si>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</si>
  <si>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</si>
  <si>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</si>
  <si>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</si>
  <si>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</si>
  <si>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</si>
  <si>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</si>
  <si>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</si>
  <si>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</si>
  <si>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</si>
  <si>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</si>
  <si>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</si>
  <si>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</si>
  <si>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</si>
  <si>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</si>
  <si>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</si>
  <si>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</si>
  <si>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</si>
  <si>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</si>
  <si>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</si>
  <si>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</si>
  <si>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</si>
  <si>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</si>
  <si>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</si>
  <si>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</si>
  <si>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</si>
  <si>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</si>
  <si>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</si>
  <si>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</si>
  <si>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</si>
  <si>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</si>
  <si>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</si>
  <si>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</si>
  <si>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</si>
  <si>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</si>
  <si>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</si>
  <si>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</si>
  <si>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</si>
  <si>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</si>
  <si>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</si>
  <si>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</si>
  <si>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</si>
  <si>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</si>
  <si>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</si>
  <si>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</si>
  <si>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</si>
  <si>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</si>
  <si>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</si>
  <si>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</si>
  <si>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</si>
  <si>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</si>
  <si>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</si>
  <si>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</si>
  <si>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</si>
  <si>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</si>
  <si>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</si>
  <si>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</si>
  <si>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</si>
  <si>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</si>
  <si>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</si>
  <si>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</si>
  <si>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</si>
  <si>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</si>
  <si>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</si>
  <si>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</si>
  <si>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</si>
  <si>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</si>
  <si>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</si>
  <si>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</si>
  <si>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</si>
  <si>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</si>
  <si>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</si>
  <si>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</si>
  <si>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</si>
  <si>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</si>
  <si>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</si>
  <si>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</si>
  <si>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</si>
  <si>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</si>
  <si>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</si>
  <si>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</si>
  <si>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</si>
  <si>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</si>
  <si>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</si>
  <si>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</si>
  <si>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</si>
  <si>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</si>
  <si>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</si>
  <si>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</si>
  <si>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</si>
  <si>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</si>
  <si>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</si>
  <si>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</si>
  <si>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</si>
  <si>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CUBIERTA SIN RESPALDO FRENTE 90°</t>
  </si>
  <si>
    <t>WHITE MARBLE 42004 GL</t>
  </si>
  <si>
    <t>NICOLAS SEPULVEDA</t>
  </si>
  <si>
    <t>+569 4527 8842</t>
  </si>
  <si>
    <t>N° 11802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</si>
</sst>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ENCHAPADA  LADO IZQUIERDO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46003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54570.695308083676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289</v>
      </c>
      <c r="D21" s="431">
        <v>2.82</v>
      </c>
      <c r="E21" s="431">
        <v>0.55000000000000004</v>
      </c>
      <c r="F21" s="430" t="s">
        <v>290</v>
      </c>
      <c r="G21" s="432">
        <v>90040</v>
      </c>
      <c r="H21" s="432">
        <f>G21*B21</f>
        <v>90040</v>
      </c>
      <c r="I21" s="306"/>
      <c r="J21" s="264"/>
      <c r="K21" s="47"/>
      <c r="L21" s="47">
        <f>B21</f>
        <v>1</v>
      </c>
      <c r="M21" s="39">
        <f>D21+M$19</f>
        <v>2.9</v>
      </c>
      <c r="N21" s="39">
        <f>E21+$N$19</f>
        <v>0.55000000000000004</v>
      </c>
      <c r="O21" s="260">
        <f t="shared" ref="O21" si="0">M21*N21</f>
        <v>1.595</v>
      </c>
      <c r="P21" s="258">
        <f t="shared" ref="P21" si="1">O21*L21</f>
        <v>1.595</v>
      </c>
      <c r="Q21" s="251">
        <f t="shared" ref="Q21" si="2">Q$20*O21</f>
        <v>87040.259016393466</v>
      </c>
      <c r="R21" s="305">
        <f t="shared" ref="R21" si="3">Q21+R$20</f>
        <v>90040.259016393466</v>
      </c>
      <c r="S21" s="290">
        <f>M21*L21</f>
        <v>2.9</v>
      </c>
      <c r="T21" s="46">
        <f>N21*2*L21*2</f>
        <v>2.2000000000000002</v>
      </c>
      <c r="U21" s="9"/>
      <c r="X21" s="4"/>
    </row>
    <row r="22" spans="1:25" ht="17.399999999999999" x14ac:dyDescent="0.3">
      <c r="B22" s="430">
        <v>1</v>
      </c>
      <c r="C22" s="430" t="s">
        <v>32</v>
      </c>
      <c r="D22" s="431">
        <v>2.82</v>
      </c>
      <c r="E22" s="431">
        <v>0.06</v>
      </c>
      <c r="F22" s="430" t="s">
        <v>290</v>
      </c>
      <c r="G22" s="432">
        <v>11898</v>
      </c>
      <c r="H22" s="432">
        <f>G22*B22</f>
        <v>11898</v>
      </c>
      <c r="I22" s="306"/>
      <c r="J22" s="264"/>
      <c r="K22" s="47"/>
      <c r="L22" s="47">
        <f>B22</f>
        <v>1</v>
      </c>
      <c r="M22" s="39">
        <f>D22+M$19</f>
        <v>2.9</v>
      </c>
      <c r="N22" s="39">
        <f>E22+$N$19</f>
        <v>0.06</v>
      </c>
      <c r="O22" s="260">
        <f t="shared" ref="O22" si="4">M22*N22</f>
        <v>0.17399999999999999</v>
      </c>
      <c r="P22" s="258">
        <f t="shared" ref="P22" si="5">O22*L22</f>
        <v>0.17399999999999999</v>
      </c>
      <c r="Q22" s="251">
        <f t="shared" ref="Q22" si="6">Q$20*O22</f>
        <v>9495.3009836065594</v>
      </c>
      <c r="R22" s="305">
        <f t="shared" ref="R22" si="7">Q22+R$20</f>
        <v>12495.300983606559</v>
      </c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101938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19368.22</v>
      </c>
      <c r="I25" s="308"/>
      <c r="J25" s="264"/>
      <c r="K25" s="47"/>
      <c r="L25" s="47"/>
      <c r="M25" s="39">
        <f>SUM(M21:M24)</f>
        <v>5.8</v>
      </c>
      <c r="N25" s="12"/>
      <c r="O25" s="12"/>
      <c r="P25" s="252">
        <f>SUM(P21:P22)</f>
        <v>1.7689999999999999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121306.22</v>
      </c>
      <c r="I26" s="308"/>
      <c r="J26" s="264"/>
      <c r="K26" s="47"/>
      <c r="L26" s="47"/>
      <c r="M26" s="39"/>
      <c r="N26" s="12"/>
      <c r="O26" s="12"/>
      <c r="P26" s="252">
        <f>P25</f>
        <v>1.7689999999999999</v>
      </c>
      <c r="Q26" s="14"/>
      <c r="R26" s="12"/>
      <c r="S26" s="239">
        <f>SUM(S21:S25)</f>
        <v>2.9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0.3538</v>
      </c>
      <c r="Q27" s="39" t="s">
        <v>129</v>
      </c>
      <c r="R27" s="42"/>
      <c r="S27" s="240">
        <f>S26+T24</f>
        <v>5.0999999999999996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2.1227999999999998</v>
      </c>
      <c r="Q28" s="14"/>
      <c r="R28" s="14"/>
      <c r="S28" s="238">
        <f>S27*20%</f>
        <v>1.02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6.1199999999999992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2.1227999999999998</v>
      </c>
      <c r="N30" s="12">
        <v>3500</v>
      </c>
      <c r="O30" s="12">
        <f t="shared" ref="O30:O35" si="8">M30*N30</f>
        <v>7429.7999999999993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0.7</v>
      </c>
      <c r="N31" s="12">
        <v>23500</v>
      </c>
      <c r="O31" s="12">
        <f t="shared" si="8"/>
        <v>16450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8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43879.8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96535.560000000012</v>
      </c>
      <c r="P37" s="14" t="s">
        <v>138</v>
      </c>
      <c r="Q37" s="14"/>
      <c r="R37" s="40">
        <f>P28/R36</f>
        <v>0.57236842105263153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49710</v>
      </c>
      <c r="L38" s="249"/>
      <c r="M38" s="14"/>
      <c r="N38" s="12"/>
      <c r="O38" s="12">
        <f>O37/P26</f>
        <v>54570.695308083676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41773.10924369748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46003</v>
      </c>
    </row>
    <row r="6" spans="2:31" ht="16.2" thickBot="1" x14ac:dyDescent="0.35">
      <c r="B6" s="140" t="s">
        <v>2</v>
      </c>
      <c r="C6" s="139" t="str">
        <f>'2229'!C10</f>
        <v>NICOLAS SEPULVEDA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-2218.3467001207755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101938</v>
      </c>
      <c r="E11" s="132">
        <f>D11*0.19</f>
        <v>19368.22</v>
      </c>
      <c r="F11" s="131">
        <f>E11+D11</f>
        <v>121306.22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103771.65329987922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53713.89078743961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85771.653299879225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48224.10921256039</v>
      </c>
      <c r="E13" s="221">
        <f>(D11/D12)-1</f>
        <v>0.89779586817488655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76771.653299879225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37771.653299879225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88627.919799275347</v>
      </c>
      <c r="F15" s="216">
        <f>E15-D12</f>
        <v>34914.029011835737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37771.653299879225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77771.653299879225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7429.7999999999993</v>
      </c>
      <c r="E20" s="121">
        <f>D20*0.19</f>
        <v>1411.6619999999998</v>
      </c>
      <c r="F20" s="120">
        <f>SUM(D20:E20)</f>
        <v>8841.4619999999995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23879.8</v>
      </c>
      <c r="E21" s="116">
        <f>SUM(E18:E20)</f>
        <v>4537.1620000000003</v>
      </c>
      <c r="F21" s="115">
        <f>SUM(F18:F20)</f>
        <v>28416.962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14831.058000000001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101938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23879.8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48224.10921256039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48224.10921256039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NICOLAS SEPULVEDA</v>
      </c>
      <c r="D10" s="350"/>
      <c r="E10" s="350"/>
      <c r="F10" s="351" t="s">
        <v>167</v>
      </c>
      <c r="G10" s="352">
        <f>'2229'!G10</f>
        <v>46003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+569 4527 8842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CUBIERTA SIN RESPALDO FRENTE 90°</v>
      </c>
      <c r="D22" s="321">
        <f>'2229'!D21*1000</f>
        <v>2820</v>
      </c>
      <c r="E22" s="321">
        <f>'2229'!E21*1000</f>
        <v>550</v>
      </c>
      <c r="F22" s="322" t="str">
        <f>'2229'!F21</f>
        <v>WHITE MARBLE 42004 GL</v>
      </c>
      <c r="G22" s="314">
        <f>'2229'!G21</f>
        <v>90040</v>
      </c>
      <c r="H22" s="323">
        <f>G22*B22</f>
        <v>90040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90040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17107.599999999999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107147.6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NICOLAS SEPULVEDA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11802</v>
      </c>
      <c r="C2" s="1">
        <f>'NOTA DE VENTA'!$G$10</f>
        <v>46003</v>
      </c>
      <c r="D2" s="1">
        <f>'NOTA DE VENTA'!$G$11</f>
        <v>46010</v>
      </c>
      <c r="E2" t="str">
        <f>'NOTA DE VENTA'!$C$10</f>
        <v>NICOLAS SEPULVEDA</v>
      </c>
      <c r="F2" t="str">
        <f>'NOTA DE VENTA'!$C$22</f>
        <v>CUBIERTA SIN RESPALDO FRENTE 90°</v>
      </c>
      <c r="G2" t="str">
        <f>'NOTA DE VENTA'!$F$22</f>
        <v>WHITE MARBLE 42004 GL</v>
      </c>
      <c r="H2" s="416">
        <f>'NOTA DE VENTA'!$H$25</f>
        <v>90040</v>
      </c>
      <c r="I2" s="416">
        <f>H2*0.19</f>
        <v>17107.599999999999</v>
      </c>
      <c r="J2" s="416">
        <f>I2+H2</f>
        <v>107147.6</v>
      </c>
      <c r="L2" s="61">
        <f>J2-K2</f>
        <v>107147.6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2025-12-12T12:56:13Z</cp:lastPrinted>
  <dcterms:created xsi:type="dcterms:W3CDTF">2013-03-18T13:35:42Z</dcterms:created>
  <dcterms:modified xsi:type="dcterms:W3CDTF">2025-12-12T14:59:49Z</dcterms:modified>
</cp:coreProperties>
</file>