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5E18FB7C-B124-4289-9951-B198E60E41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J37" i="1"/>
  <c r="J15" i="1"/>
  <c r="J10" i="1"/>
  <c r="N21" i="1" l="1"/>
  <c r="M21" i="1" l="1"/>
  <c r="S21" i="1" s="1"/>
  <c r="M24" i="1" l="1"/>
  <c r="T21" i="1"/>
  <c r="T23" i="1" s="1"/>
  <c r="S25" i="1"/>
  <c r="O21" i="1"/>
  <c r="P21" i="1" s="1"/>
  <c r="P24" i="1" s="1"/>
  <c r="S26" i="1" l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H24" i="1" s="1"/>
  <c r="H2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<sst xmlns="http://schemas.openxmlformats.org/spreadsheetml/2006/main" count="231" uniqueCount="175">
  <si>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</si>
  <si>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</si>
  <si>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</si>
  <si>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</si>
  <si>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</si>
  <si>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</si>
  <si>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</si>
  <si>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</si>
  <si>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</si>
  <si>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</si>
  <si>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</si>
  <si>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</si>
  <si>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</si>
  <si>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</si>
  <si>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</si>
  <si>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</si>
  <si>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</si>
  <si>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</si>
  <si>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</si>
  <si>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</si>
  <si>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</si>
  <si>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</si>
  <si>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</si>
  <si>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</si>
  <si>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</si>
  <si>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</si>
  <si>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</si>
  <si>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</si>
  <si>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</si>
  <si>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</si>
  <si>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</si>
  <si>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</si>
  <si>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</si>
  <si>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</si>
  <si>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</si>
  <si>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</si>
  <si>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</si>
  <si>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</si>
  <si>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</si>
  <si>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</si>
  <si>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</si>
  <si>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</si>
  <si>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</si>
  <si>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</si>
  <si>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</si>
  <si>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</si>
  <si>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</si>
  <si>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</si>
  <si>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</si>
  <si>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</si>
  <si>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</si>
  <si>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</si>
  <si>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</si>
  <si>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</si>
  <si>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</si>
  <si>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</si>
  <si>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</si>
  <si>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</si>
  <si>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</si>
  <si>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</si>
  <si>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</si>
  <si>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</si>
  <si>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</si>
  <si>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</si>
  <si>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</si>
  <si>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</si>
  <si>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</si>
  <si>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</si>
  <si>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</si>
  <si>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</si>
  <si>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</si>
  <si>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</si>
  <si>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</si>
  <si>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</si>
  <si>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</si>
  <si>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</si>
  <si>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</si>
  <si>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</si>
  <si>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</si>
  <si>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</si>
  <si>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</si>
  <si>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</si>
  <si>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</si>
  <si>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</si>
  <si>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</si>
  <si>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</si>
  <si>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</si>
  <si>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</si>
  <si>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</si>
  <si>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</si>
  <si>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</si>
  <si>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</si>
  <si>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</si>
  <si>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</si>
  <si>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</si>
  <si>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</si>
  <si>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</si>
  <si>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</si>
  <si>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</si>
  <si>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</si>
  <si>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</si>
  <si>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</si>
  <si>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</si>
  <si>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</si>
  <si>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</si>
  <si>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</si>
  <si>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</si>
  <si>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</si>
  <si>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</si>
  <si>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</si>
  <si>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</si>
  <si>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</si>
  <si>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</si>
  <si>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</si>
  <si>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</si>
  <si>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</si>
  <si>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</si>
  <si>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</si>
  <si>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</si>
  <si>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</si>
  <si>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</si>
  <si>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</si>
  <si>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</si>
  <si>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</si>
  <si>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</si>
  <si>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</si>
  <si>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</si>
  <si>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</si>
  <si>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</si>
  <si>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</si>
  <si>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</si>
  <si>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</si>
  <si>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</si>
  <si>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</si>
  <si>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</si>
  <si>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</si>
  <si>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</si>
  <si>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</si>
  <si>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</si>
  <si>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</si>
  <si>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</si>
  <si>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</si>
  <si>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</si>
  <si>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</si>
  <si>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</si>
  <si>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</si>
  <si>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</si>
  <si>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</si>
  <si>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</si>
  <si>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</si>
  <si>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</si>
  <si>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</si>
  <si>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</si>
  <si>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</si>
  <si>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</si>
  <si>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</si>
  <si>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</si>
  <si>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</si>
  <si>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</si>
  <si>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</si>
  <si>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</si>
  <si>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</si>
  <si>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</si>
  <si>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</si>
  <si>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</si>
  <si>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</si>
  <si>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</si>
  <si>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</si>
  <si>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CUB C/R 90° R8</t>
  </si>
  <si>
    <t>5 DIAS HABILES</t>
  </si>
  <si>
    <t>FLORENTINO NEGRO BR</t>
  </si>
  <si>
    <t>N° 11778</t>
  </si>
  <si>
    <t>MANUEL GUTIERREZ</t>
  </si>
  <si>
    <t>+56 9 9538 3854</t>
  </si>
  <si>
    <t>RUT : 77.054.606-0 FRANCODONOSO@TOPMOBILI.CL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</si>
</sst>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12" zoomScale="93" zoomScaleNormal="93" workbookViewId="0">
      <selection activeCell="D35" sqref="D35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171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172</v>
      </c>
      <c r="D10" s="243"/>
      <c r="E10" s="243"/>
      <c r="F10" s="244" t="s">
        <v>0</v>
      </c>
      <c r="G10" s="276">
        <v>45992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173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162</v>
      </c>
      <c r="H16" s="248"/>
    </row>
    <row r="17" spans="1:25" ht="15" thickBot="1" x14ac:dyDescent="0.35">
      <c r="B17" s="310" t="s">
        <v>13</v>
      </c>
      <c r="C17" s="311" t="s">
        <v>165</v>
      </c>
      <c r="D17" s="312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64499.870129870127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168</v>
      </c>
      <c r="D21" s="332">
        <v>2.67</v>
      </c>
      <c r="E21" s="332">
        <v>0.56000000000000005</v>
      </c>
      <c r="F21" s="329" t="s">
        <v>170</v>
      </c>
      <c r="G21" s="330">
        <f>Q21</f>
        <v>99329.8</v>
      </c>
      <c r="H21" s="330">
        <f>G21*B21</f>
        <v>99329.8</v>
      </c>
      <c r="I21" s="319"/>
      <c r="J21" s="265"/>
      <c r="K21" s="47"/>
      <c r="L21" s="331">
        <f>B21</f>
        <v>1</v>
      </c>
      <c r="M21" s="39">
        <f>D21+M$19</f>
        <v>2.75</v>
      </c>
      <c r="N21" s="39">
        <f>E21+$N$19</f>
        <v>0.56000000000000005</v>
      </c>
      <c r="O21" s="261">
        <f t="shared" ref="O21" si="1">M21*N21</f>
        <v>1.54</v>
      </c>
      <c r="P21" s="259">
        <f t="shared" ref="P21" si="2">O21*L21</f>
        <v>1.54</v>
      </c>
      <c r="Q21" s="252">
        <f t="shared" ref="Q21" si="3">Q$20*O21</f>
        <v>99329.8</v>
      </c>
      <c r="R21" s="318">
        <f t="shared" ref="R21" si="4">Q21+R$20</f>
        <v>102329.8</v>
      </c>
      <c r="S21" s="297">
        <f>M21*L21</f>
        <v>2.75</v>
      </c>
      <c r="T21" s="46">
        <f>M21*L21</f>
        <v>2.75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0"/>
      <c r="I22" s="322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3" t="s">
        <v>28</v>
      </c>
      <c r="H23" s="324">
        <f>SUM(H21:H22)</f>
        <v>99329.8</v>
      </c>
      <c r="I23" s="321"/>
      <c r="J23" s="265"/>
      <c r="K23" s="47"/>
      <c r="L23" s="47"/>
      <c r="M23" s="39"/>
      <c r="N23" s="39"/>
      <c r="O23" s="261"/>
      <c r="P23" s="259"/>
      <c r="Q23" s="252"/>
      <c r="R23" s="258"/>
      <c r="S23" s="297"/>
      <c r="T23" s="46">
        <f>SUM(T21:T22)</f>
        <v>2.75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18872.662</v>
      </c>
      <c r="I24" s="321"/>
      <c r="J24" s="265"/>
      <c r="K24" s="47"/>
      <c r="L24" s="47"/>
      <c r="M24" s="39">
        <f>SUM(M21:M23)</f>
        <v>2.75</v>
      </c>
      <c r="N24" s="12"/>
      <c r="O24" s="12"/>
      <c r="P24" s="253">
        <f>SUM(P21:P22)</f>
        <v>1.54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118202.462</v>
      </c>
      <c r="I25" s="321"/>
      <c r="J25" s="265"/>
      <c r="K25" s="47"/>
      <c r="L25" s="47"/>
      <c r="M25" s="39"/>
      <c r="N25" s="12"/>
      <c r="O25" s="12"/>
      <c r="P25" s="253">
        <f>P24</f>
        <v>1.54</v>
      </c>
      <c r="Q25" s="14"/>
      <c r="R25" s="12"/>
      <c r="S25" s="239">
        <f>SUM(S21:S24)</f>
        <v>2.75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0.30800000000000005</v>
      </c>
      <c r="Q26" s="39" t="s">
        <v>130</v>
      </c>
      <c r="R26" s="42"/>
      <c r="S26" s="240">
        <f>S25+T23</f>
        <v>5.5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1.8480000000000001</v>
      </c>
      <c r="Q27" s="14"/>
      <c r="R27" s="14"/>
      <c r="S27" s="238">
        <f>S26*20%</f>
        <v>1.1000000000000001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6.6</v>
      </c>
      <c r="T28" s="14"/>
      <c r="U28" s="302" t="s">
        <v>21</v>
      </c>
      <c r="V28" s="299" t="s">
        <v>151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1.8480000000000001</v>
      </c>
      <c r="N29" s="12">
        <v>3500</v>
      </c>
      <c r="O29" s="12">
        <f t="shared" ref="O29:O34" si="5">M29*N29</f>
        <v>6468</v>
      </c>
      <c r="P29" s="14" t="s">
        <v>21</v>
      </c>
      <c r="Q29" s="14"/>
      <c r="R29" s="14"/>
      <c r="S29" s="241"/>
      <c r="T29" s="14"/>
      <c r="U29" s="302" t="s">
        <v>152</v>
      </c>
      <c r="V29" s="299">
        <v>3625</v>
      </c>
      <c r="W29" s="59" t="s">
        <v>153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0.5</v>
      </c>
      <c r="N30" s="12">
        <v>23500</v>
      </c>
      <c r="O30" s="12">
        <f t="shared" si="5"/>
        <v>11750</v>
      </c>
      <c r="P30" s="39" t="s">
        <v>31</v>
      </c>
      <c r="Q30" s="42"/>
      <c r="R30" s="14"/>
      <c r="S30" s="240"/>
      <c r="T30" s="14"/>
      <c r="U30" s="302"/>
      <c r="V30" s="59">
        <v>906.25</v>
      </c>
      <c r="W30" s="59" t="s">
        <v>154</v>
      </c>
      <c r="X30" s="304"/>
    </row>
    <row r="31" spans="1:25" s="230" customFormat="1" ht="17.399999999999999" x14ac:dyDescent="0.35">
      <c r="B31" s="24" t="s">
        <v>150</v>
      </c>
      <c r="J31" s="262"/>
      <c r="K31" s="232"/>
      <c r="L31" s="250"/>
      <c r="M31" s="14"/>
      <c r="N31" s="250">
        <v>35000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155</v>
      </c>
      <c r="X31" s="59"/>
    </row>
    <row r="32" spans="1:25" s="230" customFormat="1" ht="17.399999999999999" x14ac:dyDescent="0.35">
      <c r="B32" s="24" t="s">
        <v>174</v>
      </c>
      <c r="C32"/>
      <c r="D32"/>
      <c r="E32"/>
      <c r="F32"/>
      <c r="J32" s="262"/>
      <c r="K32" s="232"/>
      <c r="L32" s="250"/>
      <c r="M32" s="14">
        <v>1</v>
      </c>
      <c r="N32" s="250">
        <v>20000</v>
      </c>
      <c r="O32" s="12">
        <f t="shared" si="5"/>
        <v>20000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156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 t="s">
        <v>167</v>
      </c>
      <c r="K34" s="260">
        <v>38300</v>
      </c>
      <c r="L34" s="250"/>
      <c r="M34" s="266">
        <v>2.7</v>
      </c>
      <c r="N34" s="12">
        <v>1500</v>
      </c>
      <c r="O34" s="12">
        <f t="shared" si="5"/>
        <v>4050.0000000000005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J35" s="230" t="s">
        <v>166</v>
      </c>
      <c r="K35" s="260">
        <v>31000</v>
      </c>
      <c r="L35" s="250"/>
      <c r="M35" s="14"/>
      <c r="N35" s="12"/>
      <c r="O35" s="12">
        <f>SUM(O29:O34)</f>
        <v>42268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J36" s="230">
        <v>49560</v>
      </c>
      <c r="L36" s="250"/>
      <c r="M36" s="254" t="s">
        <v>33</v>
      </c>
      <c r="N36" s="12"/>
      <c r="O36" s="255">
        <f>O35*2.35</f>
        <v>99329.8</v>
      </c>
      <c r="P36" s="14" t="s">
        <v>140</v>
      </c>
      <c r="Q36" s="14"/>
      <c r="R36" s="40">
        <f>P27/R35</f>
        <v>0.49827437446074202</v>
      </c>
      <c r="S36"/>
      <c r="T36" s="257"/>
    </row>
    <row r="37" spans="2:24" s="230" customFormat="1" ht="17.399999999999999" x14ac:dyDescent="0.35">
      <c r="G37"/>
      <c r="H37" s="260"/>
      <c r="I37" s="260"/>
      <c r="J37" s="260">
        <f>J36/1.19</f>
        <v>41647.058823529413</v>
      </c>
      <c r="L37" s="250"/>
      <c r="M37" s="14"/>
      <c r="N37" s="12"/>
      <c r="O37" s="12">
        <f>O36/P25</f>
        <v>64499.870129870127</v>
      </c>
      <c r="P37" s="45" t="s">
        <v>24</v>
      </c>
      <c r="Q37" s="14"/>
      <c r="R37" s="14"/>
      <c r="S37"/>
      <c r="T37" s="238"/>
      <c r="U37" s="59" t="s">
        <v>157</v>
      </c>
      <c r="V37" s="299">
        <v>43650</v>
      </c>
    </row>
    <row r="38" spans="2:24" s="230" customFormat="1" ht="17.399999999999999" x14ac:dyDescent="0.35">
      <c r="G38"/>
      <c r="L38" s="250"/>
      <c r="M38" s="13"/>
      <c r="N38" s="14"/>
      <c r="O38" s="17">
        <f>O36/O35</f>
        <v>2.35</v>
      </c>
      <c r="P38" s="15"/>
      <c r="Q38"/>
      <c r="R38"/>
      <c r="S38"/>
      <c r="T38" s="238"/>
      <c r="U38" s="59" t="s">
        <v>159</v>
      </c>
      <c r="V38" s="300" t="s">
        <v>158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160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155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147</v>
      </c>
    </row>
    <row r="73" spans="3:3" x14ac:dyDescent="0.3">
      <c r="C73" t="s">
        <v>146</v>
      </c>
    </row>
    <row r="76" spans="3:3" x14ac:dyDescent="0.3">
      <c r="C76" t="s">
        <v>146</v>
      </c>
    </row>
    <row r="153" spans="3:3" x14ac:dyDescent="0.3">
      <c r="C153" t="s">
        <v>146</v>
      </c>
    </row>
    <row r="154" spans="3:3" x14ac:dyDescent="0.3">
      <c r="C154" t="s">
        <v>148</v>
      </c>
    </row>
    <row r="155" spans="3:3" x14ac:dyDescent="0.3">
      <c r="C155" t="s">
        <v>149</v>
      </c>
    </row>
    <row r="580" spans="3:3" x14ac:dyDescent="0.3">
      <c r="C580" t="s">
        <v>146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45992</v>
      </c>
    </row>
    <row r="6" spans="2:31" ht="16.2" thickBot="1" x14ac:dyDescent="0.35">
      <c r="B6" s="140" t="s">
        <v>2</v>
      </c>
      <c r="C6" s="139" t="str">
        <f>'2229'!C10</f>
        <v>MANUEL GUTIERREZ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11778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-3340.6417001207737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99329.8</v>
      </c>
      <c r="E11" s="132">
        <f>D11*0.19</f>
        <v>18872.662</v>
      </c>
      <c r="F11" s="131">
        <f>E11+D11</f>
        <v>118202.462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102649.35829987923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48052.090787439614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84649.358299879226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51277.709212560389</v>
      </c>
      <c r="E13" s="221">
        <f>(D11/D12)-1</f>
        <v>1.0671275353946497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75649.358299879226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36649.358299879226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79285.94979927536</v>
      </c>
      <c r="F15" s="216">
        <f>E15-D12</f>
        <v>31233.859011835746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36649.358299879226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76649.358299879226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6468</v>
      </c>
      <c r="E20" s="121">
        <f>D20*0.19</f>
        <v>1228.92</v>
      </c>
      <c r="F20" s="120">
        <f>SUM(D20:E20)</f>
        <v>7696.92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18218</v>
      </c>
      <c r="E21" s="116">
        <f>SUM(E18:E20)</f>
        <v>3461.42</v>
      </c>
      <c r="F21" s="115">
        <f>SUM(F18:F20)</f>
        <v>21679.42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15411.242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99329.8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18218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51277.709212560389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51277.709212560389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2025-12-02T20:21:50Z</dcterms:modified>
</cp:coreProperties>
</file>