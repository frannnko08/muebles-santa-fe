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CF4A96B3-72F7-41E9-A756-B73495CE8D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ERDOR MUEBLE CON REPISAS" sheetId="10" r:id="rId1"/>
    <sheet name="COMEDOR OPERACIONES" sheetId="9" r:id="rId2"/>
    <sheet name="JEFE DE BODEGA" sheetId="8" r:id="rId3"/>
    <sheet name="SALA REUNIONES" sheetId="1" r:id="rId4"/>
    <sheet name="COSTOS" sheetId="3" r:id="rId5"/>
    <sheet name="NOTA DE VENTA" sheetId="4" r:id="rId6"/>
    <sheet name="REGLAS" sheetId="5" r:id="rId7"/>
    <sheet name="PRODUCCION" sheetId="6" r:id="rId8"/>
    <sheet name="SEGUIMIENTO" sheetId="7" r:id="rId9"/>
  </sheets>
  <externalReferences>
    <externalReference r:id="rId10"/>
  </externalReferences>
  <definedNames>
    <definedName name="_xlnm.Print_Area" localSheetId="1">'COMEDOR OPERACIONES'!$B$1:$H$34</definedName>
    <definedName name="_xlnm.Print_Area" localSheetId="0">'COMERDOR MUEBLE CON REPISAS'!$B$1:$H$35</definedName>
    <definedName name="_xlnm.Print_Area" localSheetId="2">'JEFE DE BODEGA'!$B$1:$H$34</definedName>
    <definedName name="_xlnm.Print_Area" localSheetId="3">'SALA REUNIONES'!$B$1:$H$34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0" l="1"/>
  <c r="L22" i="10"/>
  <c r="S22" i="10" s="1"/>
  <c r="M22" i="10"/>
  <c r="N22" i="10"/>
  <c r="O22" i="10"/>
  <c r="K39" i="10"/>
  <c r="R36" i="10"/>
  <c r="O35" i="10"/>
  <c r="O34" i="10"/>
  <c r="O33" i="10"/>
  <c r="V32" i="10"/>
  <c r="V33" i="10" s="1"/>
  <c r="O32" i="10"/>
  <c r="O31" i="10"/>
  <c r="N21" i="10"/>
  <c r="M21" i="10"/>
  <c r="M25" i="10" s="1"/>
  <c r="H21" i="10"/>
  <c r="N20" i="10"/>
  <c r="L20" i="10"/>
  <c r="M29" i="9"/>
  <c r="K38" i="9"/>
  <c r="R35" i="9"/>
  <c r="O34" i="9"/>
  <c r="O33" i="9"/>
  <c r="O32" i="9"/>
  <c r="V31" i="9"/>
  <c r="V32" i="9" s="1"/>
  <c r="O31" i="9"/>
  <c r="O30" i="9"/>
  <c r="N21" i="9"/>
  <c r="M21" i="9"/>
  <c r="M24" i="9" s="1"/>
  <c r="L21" i="9"/>
  <c r="S21" i="9" s="1"/>
  <c r="S25" i="9" s="1"/>
  <c r="H21" i="9"/>
  <c r="H23" i="9" s="1"/>
  <c r="N20" i="9"/>
  <c r="L20" i="9"/>
  <c r="P22" i="10" l="1"/>
  <c r="H24" i="10"/>
  <c r="H25" i="10" s="1"/>
  <c r="T21" i="10"/>
  <c r="T24" i="10" s="1"/>
  <c r="O21" i="10"/>
  <c r="P21" i="10" s="1"/>
  <c r="S21" i="10"/>
  <c r="S26" i="10" s="1"/>
  <c r="O21" i="9"/>
  <c r="P21" i="9"/>
  <c r="P24" i="9" s="1"/>
  <c r="P25" i="9" s="1"/>
  <c r="H24" i="9"/>
  <c r="H25" i="9" s="1"/>
  <c r="T21" i="9"/>
  <c r="T23" i="9" s="1"/>
  <c r="S26" i="9" s="1"/>
  <c r="P25" i="10" l="1"/>
  <c r="P26" i="10" s="1"/>
  <c r="P27" i="10" s="1"/>
  <c r="P28" i="10" s="1"/>
  <c r="M30" i="10" s="1"/>
  <c r="H26" i="10"/>
  <c r="S27" i="10"/>
  <c r="S28" i="10" s="1"/>
  <c r="P26" i="9"/>
  <c r="P27" i="9" s="1"/>
  <c r="S27" i="9"/>
  <c r="S28" i="9" s="1"/>
  <c r="S29" i="10" l="1"/>
  <c r="R37" i="10"/>
  <c r="O30" i="10"/>
  <c r="O36" i="10" s="1"/>
  <c r="O37" i="10" s="1"/>
  <c r="O29" i="9"/>
  <c r="O35" i="9" s="1"/>
  <c r="O36" i="9" s="1"/>
  <c r="O38" i="9" s="1"/>
  <c r="R36" i="9"/>
  <c r="O38" i="10" l="1"/>
  <c r="Q20" i="10" s="1"/>
  <c r="O39" i="10"/>
  <c r="O37" i="9"/>
  <c r="Q20" i="9" s="1"/>
  <c r="Q21" i="9" s="1"/>
  <c r="R21" i="9" s="1"/>
  <c r="Q21" i="10" l="1"/>
  <c r="R21" i="10" s="1"/>
  <c r="Q22" i="10"/>
  <c r="R22" i="10" s="1"/>
  <c r="M29" i="1" l="1"/>
  <c r="K38" i="8" l="1"/>
  <c r="R35" i="8"/>
  <c r="O34" i="8"/>
  <c r="O33" i="8"/>
  <c r="O32" i="8"/>
  <c r="V31" i="8"/>
  <c r="V32" i="8" s="1"/>
  <c r="O31" i="8"/>
  <c r="O30" i="8"/>
  <c r="N21" i="8"/>
  <c r="M21" i="8"/>
  <c r="M24" i="8" s="1"/>
  <c r="L21" i="8"/>
  <c r="H21" i="8"/>
  <c r="H23" i="8" s="1"/>
  <c r="N20" i="8"/>
  <c r="L20" i="8"/>
  <c r="L21" i="1"/>
  <c r="N5" i="6"/>
  <c r="A2" i="7"/>
  <c r="S21" i="8" l="1"/>
  <c r="S25" i="8" s="1"/>
  <c r="T21" i="8"/>
  <c r="T23" i="8" s="1"/>
  <c r="S26" i="8" s="1"/>
  <c r="H24" i="8"/>
  <c r="H25" i="8" s="1"/>
  <c r="O21" i="8"/>
  <c r="P21" i="8" s="1"/>
  <c r="P24" i="8" s="1"/>
  <c r="P25" i="8" s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P26" i="8" l="1"/>
  <c r="P27" i="8" s="1"/>
  <c r="S27" i="8"/>
  <c r="S28" i="8" s="1"/>
  <c r="F14" i="6"/>
  <c r="D5" i="6"/>
  <c r="G11" i="4"/>
  <c r="D7" i="6"/>
  <c r="I14" i="6"/>
  <c r="B14" i="6" s="1"/>
  <c r="B21" i="6"/>
  <c r="N21" i="1"/>
  <c r="M29" i="8" l="1"/>
  <c r="O29" i="8" s="1"/>
  <c r="O35" i="8" s="1"/>
  <c r="O36" i="8" s="1"/>
  <c r="R36" i="8"/>
  <c r="K5" i="6"/>
  <c r="D14" i="6"/>
  <c r="E14" i="6"/>
  <c r="E21" i="6"/>
  <c r="D21" i="6"/>
  <c r="L5" i="6"/>
  <c r="M5" i="6"/>
  <c r="D2" i="7"/>
  <c r="D8" i="6"/>
  <c r="M21" i="1"/>
  <c r="O38" i="8" l="1"/>
  <c r="O37" i="8"/>
  <c r="Q20" i="8" s="1"/>
  <c r="Q21" i="8" s="1"/>
  <c r="R21" i="8" s="1"/>
  <c r="M24" i="1"/>
  <c r="S21" i="1"/>
  <c r="S25" i="1" s="1"/>
  <c r="T21" i="1"/>
  <c r="T23" i="1" s="1"/>
  <c r="O21" i="1"/>
  <c r="P21" i="1" s="1"/>
  <c r="P24" i="1" s="1"/>
  <c r="K38" i="1"/>
  <c r="S26" i="1" l="1"/>
  <c r="S27" i="1" s="1"/>
  <c r="S28" i="1" s="1"/>
  <c r="V31" i="1"/>
  <c r="V32" i="1" s="1"/>
  <c r="P25" i="1" l="1"/>
  <c r="N20" i="1"/>
  <c r="L20" i="1"/>
  <c r="P26" i="1" l="1"/>
  <c r="P27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F15" i="3"/>
  <c r="R21" i="1" l="1"/>
  <c r="H21" i="1" l="1"/>
  <c r="H23" i="1" s="1"/>
  <c r="H24" i="1" l="1"/>
  <c r="H25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<sst xmlns="http://schemas.openxmlformats.org/spreadsheetml/2006/main" count="788" uniqueCount="300">
  <si>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</si>
  <si>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</si>
  <si>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</si>
  <si>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</si>
  <si>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</si>
  <si>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</si>
  <si>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</si>
  <si>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</si>
  <si>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</si>
  <si>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</si>
  <si>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</si>
  <si>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</si>
  <si>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</si>
  <si>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</si>
  <si>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</si>
  <si>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</si>
  <si>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</si>
  <si>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</si>
  <si>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</si>
  <si>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</si>
  <si>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</si>
  <si>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</si>
  <si>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</si>
  <si>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</si>
  <si>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</si>
  <si>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</si>
  <si>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</si>
  <si>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</si>
  <si>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</si>
  <si>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</si>
  <si>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</si>
  <si>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</si>
  <si>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</si>
  <si>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</si>
  <si>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</si>
  <si>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</si>
  <si>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</si>
  <si>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</si>
  <si>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</si>
  <si>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</si>
  <si>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</si>
  <si>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</si>
  <si>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</si>
  <si>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</si>
  <si>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</si>
  <si>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</si>
  <si>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</si>
  <si>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</si>
  <si>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</si>
  <si>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</si>
  <si>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</si>
  <si>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</si>
  <si>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</si>
  <si>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</si>
  <si>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</si>
  <si>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</si>
  <si>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</si>
  <si>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</si>
  <si>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</si>
  <si>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</si>
  <si>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</si>
  <si>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</si>
  <si>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</si>
  <si>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</si>
  <si>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</si>
  <si>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</si>
  <si>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</si>
  <si>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</si>
  <si>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</si>
  <si>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</si>
  <si>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</si>
  <si>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</si>
  <si>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</si>
  <si>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</si>
  <si>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</si>
  <si>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</si>
  <si>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</si>
  <si>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</si>
  <si>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</si>
  <si>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</si>
  <si>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</si>
  <si>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</si>
  <si>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</si>
  <si>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</si>
  <si>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</si>
  <si>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</si>
  <si>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</si>
  <si>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</si>
  <si>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</si>
  <si>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</si>
  <si>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</si>
  <si>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</si>
  <si>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</si>
  <si>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</si>
  <si>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</si>
  <si>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</si>
  <si>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</si>
  <si>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</si>
  <si>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</si>
  <si>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</si>
  <si>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</si>
  <si>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</si>
  <si>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</si>
  <si>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</si>
  <si>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</si>
  <si>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</si>
  <si>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</si>
  <si>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</si>
  <si>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</si>
  <si>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</si>
  <si>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</si>
  <si>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</si>
  <si>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</si>
  <si>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</si>
  <si>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</si>
  <si>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</si>
  <si>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</si>
  <si>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</si>
  <si>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</si>
  <si>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</si>
  <si>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</si>
  <si>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</si>
  <si>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</si>
  <si>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</si>
  <si>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</si>
  <si>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</si>
  <si>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</si>
  <si>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</si>
  <si>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</si>
  <si>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</si>
  <si>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</si>
  <si>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</si>
  <si>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</si>
  <si>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</si>
  <si>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</si>
  <si>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</si>
  <si>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</si>
  <si>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</si>
  <si>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</si>
  <si>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</si>
  <si>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</si>
  <si>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</si>
  <si>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</si>
  <si>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</si>
  <si>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</si>
  <si>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</si>
  <si>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</si>
  <si>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</si>
  <si>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</si>
  <si>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</si>
  <si>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</si>
  <si>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</si>
  <si>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</si>
  <si>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</si>
  <si>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</si>
  <si>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</si>
  <si>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</si>
  <si>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</si>
  <si>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</si>
  <si>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</si>
  <si>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</si>
  <si>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</si>
  <si>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</si>
  <si>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</si>
  <si>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</si>
  <si>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</si>
  <si>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</si>
  <si>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</si>
  <si>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</si>
  <si>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</si>
  <si>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</si>
  <si>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</si>
  <si>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</si>
  <si>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</si>
  <si>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</si>
  <si>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</si>
  <si>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</si>
  <si>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</si>
  <si>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</si>
  <si>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</si>
  <si>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</si>
  <si>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</si>
  <si>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</si>
  <si>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</si>
  <si>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</si>
  <si>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</si>
  <si>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</si>
  <si>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</si>
  <si>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</si>
  <si>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</si>
  <si>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</si>
  <si>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</si>
  <si>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</si>
  <si>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</si>
  <si>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</si>
  <si>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</si>
  <si>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</si>
  <si>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</si>
  <si>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</si>
  <si>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</si>
  <si>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</si>
  <si>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</si>
  <si>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</si>
  <si>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</si>
  <si>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</si>
  <si>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</si>
  <si>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</si>
  <si>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</si>
  <si>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</si>
  <si>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</si>
  <si>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</si>
  <si>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</si>
  <si>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</si>
  <si>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</si>
  <si>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</si>
  <si>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</si>
  <si>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</si>
  <si>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</si>
  <si>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</si>
  <si>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</si>
  <si>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</si>
  <si>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</si>
  <si>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</si>
  <si>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</si>
  <si>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</si>
  <si>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</si>
  <si>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</si>
  <si>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</si>
  <si>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</si>
  <si>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</si>
  <si>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</si>
  <si>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</si>
  <si>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</si>
  <si>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</si>
  <si>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</si>
  <si>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</si>
  <si>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</si>
  <si>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</si>
  <si>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</si>
  <si>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</si>
  <si>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</si>
  <si>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</si>
  <si>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</si>
  <si>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</si>
  <si>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</si>
  <si>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</si>
  <si>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</si>
  <si>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</si>
  <si>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</si>
  <si>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</si>
  <si>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</si>
  <si>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</si>
  <si>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</si>
  <si>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</si>
  <si>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</si>
  <si>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</si>
  <si>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</si>
  <si>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</si>
  <si>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</si>
  <si>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</si>
  <si>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</si>
  <si>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</si>
  <si>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</si>
  <si>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</si>
  <si>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</si>
  <si>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</si>
  <si>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</si>
  <si>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</si>
  <si>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</si>
  <si>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</si>
  <si>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</si>
  <si>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</si>
  <si>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</si>
  <si>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</si>
  <si>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</si>
  <si>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</si>
  <si>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</si>
  <si>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</si>
  <si>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</si>
  <si>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</si>
  <si>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</si>
  <si>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</si>
  <si>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</si>
  <si>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</si>
  <si>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</si>
  <si>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</si>
  <si>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</si>
  <si>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</si>
  <si>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FCA. DE MUEBLES ALVEAR Y ALVEAR LTDA</t>
  </si>
  <si>
    <t>76.143.978-2</t>
  </si>
  <si>
    <t>FCA DE MUEBLES</t>
  </si>
  <si>
    <t>CLAUDIO ALVEAR</t>
  </si>
  <si>
    <t>LINEALTA1</t>
  </si>
  <si>
    <t>ROSA ESTER 03281 LA PINTANA</t>
  </si>
  <si>
    <t>N° 11810</t>
  </si>
  <si>
    <t>2 DIAS HABILES</t>
  </si>
  <si>
    <t>VAINILLA 2109 MT</t>
  </si>
  <si>
    <t>CUB DIAMETRO</t>
  </si>
  <si>
    <t>CUB ENCHAPE RECTO 1 CARA TRASCARA BALENCE</t>
  </si>
  <si>
    <t>PUERTAS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</si>
</sst>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1978051E-8910-4B45-87E6-4079259DBEA3}"/>
            </a:ext>
          </a:extLst>
        </xdr:cNvPr>
        <xdr:cNvSpPr/>
      </xdr:nvSpPr>
      <xdr:spPr>
        <a:xfrm>
          <a:off x="7840980" y="5265994"/>
          <a:ext cx="2027493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DF768D91-FB16-4CF4-B7D4-F7A13CE497F7}"/>
            </a:ext>
          </a:extLst>
        </xdr:cNvPr>
        <xdr:cNvCxnSpPr/>
      </xdr:nvCxnSpPr>
      <xdr:spPr>
        <a:xfrm>
          <a:off x="8063865" y="585406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96A55136-BFAA-4D9C-8E34-550987A41CE7}"/>
            </a:ext>
          </a:extLst>
        </xdr:cNvPr>
        <xdr:cNvSpPr/>
      </xdr:nvSpPr>
      <xdr:spPr>
        <a:xfrm>
          <a:off x="390525" y="5267325"/>
          <a:ext cx="7084941" cy="65341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BAC1B40D-459C-458A-A479-F59184B120E8}"/>
            </a:ext>
          </a:extLst>
        </xdr:cNvPr>
        <xdr:cNvSpPr/>
      </xdr:nvSpPr>
      <xdr:spPr>
        <a:xfrm>
          <a:off x="411480" y="4352024"/>
          <a:ext cx="7047599" cy="67742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9EFDB14-BB02-4985-8D1A-1A57646C84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1480" y="182880"/>
          <a:ext cx="1025297" cy="964689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6F49AA8-5F62-4D4B-A6A9-D3503E47B0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2638" y="367235"/>
          <a:ext cx="1809442" cy="763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C8AB9761-6FEF-425A-AEBE-7A06C0865662}"/>
            </a:ext>
          </a:extLst>
        </xdr:cNvPr>
        <xdr:cNvSpPr/>
      </xdr:nvSpPr>
      <xdr:spPr>
        <a:xfrm>
          <a:off x="7840980" y="5265994"/>
          <a:ext cx="2027493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7911E854-6CD2-4807-914A-8398DFD1E28B}"/>
            </a:ext>
          </a:extLst>
        </xdr:cNvPr>
        <xdr:cNvCxnSpPr/>
      </xdr:nvCxnSpPr>
      <xdr:spPr>
        <a:xfrm>
          <a:off x="8063865" y="585406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E74AFC12-FD35-46AA-9791-AD6ECE09FEAC}"/>
            </a:ext>
          </a:extLst>
        </xdr:cNvPr>
        <xdr:cNvSpPr/>
      </xdr:nvSpPr>
      <xdr:spPr>
        <a:xfrm>
          <a:off x="390525" y="5267325"/>
          <a:ext cx="7084941" cy="65341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214364</xdr:rowOff>
    </xdr:from>
    <xdr:to>
      <xdr:col>5</xdr:col>
      <xdr:colOff>1728839</xdr:colOff>
      <xdr:row>24</xdr:row>
      <xdr:rowOff>221226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26426186-F4DD-4FCD-85B3-140667D37AA8}"/>
            </a:ext>
          </a:extLst>
        </xdr:cNvPr>
        <xdr:cNvSpPr/>
      </xdr:nvSpPr>
      <xdr:spPr>
        <a:xfrm>
          <a:off x="411480" y="4352024"/>
          <a:ext cx="7047599" cy="67742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570F0C0-DD3D-4778-B8FA-577B152074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1480" y="182880"/>
          <a:ext cx="1025297" cy="964689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9EA75F3-A1E4-4AA3-8F58-7740B54D0E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2638" y="367235"/>
          <a:ext cx="1809442" cy="763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FF0E264-F9EF-4321-8846-FDEE895E2846}"/>
            </a:ext>
          </a:extLst>
        </xdr:cNvPr>
        <xdr:cNvSpPr/>
      </xdr:nvSpPr>
      <xdr:spPr>
        <a:xfrm>
          <a:off x="7117080" y="5265994"/>
          <a:ext cx="2027493" cy="662941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E5BE907E-12CE-4F68-836F-CC5FBBFC9D8E}"/>
            </a:ext>
          </a:extLst>
        </xdr:cNvPr>
        <xdr:cNvCxnSpPr/>
      </xdr:nvCxnSpPr>
      <xdr:spPr>
        <a:xfrm>
          <a:off x="7339965" y="5854065"/>
          <a:ext cx="1590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B7DA1D6E-D9B5-40B0-A72F-C70B94650B00}"/>
            </a:ext>
          </a:extLst>
        </xdr:cNvPr>
        <xdr:cNvSpPr/>
      </xdr:nvSpPr>
      <xdr:spPr>
        <a:xfrm>
          <a:off x="390525" y="5267325"/>
          <a:ext cx="6361041" cy="653415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214364</xdr:rowOff>
    </xdr:from>
    <xdr:to>
      <xdr:col>5</xdr:col>
      <xdr:colOff>1728839</xdr:colOff>
      <xdr:row>24</xdr:row>
      <xdr:rowOff>221226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49043B55-E1E9-4B48-B76A-3A033A3AD5AF}"/>
            </a:ext>
          </a:extLst>
        </xdr:cNvPr>
        <xdr:cNvSpPr/>
      </xdr:nvSpPr>
      <xdr:spPr>
        <a:xfrm>
          <a:off x="411480" y="4352024"/>
          <a:ext cx="6323699" cy="67742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1C39D0A-2DEE-4F97-9E6C-F8FD9D4B4B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1480" y="182880"/>
          <a:ext cx="1025297" cy="964689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3D76912-246F-41A5-B3EF-C25D285199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2638" y="367235"/>
          <a:ext cx="1809442" cy="763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214364</xdr:rowOff>
    </xdr:from>
    <xdr:to>
      <xdr:col>5</xdr:col>
      <xdr:colOff>1728839</xdr:colOff>
      <xdr:row>24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topmobilichile.cl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topmobilichile.cl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://www.topmobilichile.cl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CB1DF-F2BD-4B60-8D7C-6E463FFC8A76}">
  <sheetPr>
    <pageSetUpPr fitToPage="1"/>
  </sheetPr>
  <dimension ref="A2:Y581"/>
  <sheetViews>
    <sheetView tabSelected="1" topLeftCell="D18" zoomScale="93" zoomScaleNormal="93" workbookViewId="0">
      <selection activeCell="E22" sqref="E22"/>
    </sheetView>
  </sheetViews>
  <sheetFormatPr baseColWidth="10" defaultRowHeight="14.4" x14ac:dyDescent="0.3"/>
  <cols>
    <col min="1" max="1" width="6" customWidth="1"/>
    <col min="2" max="2" width="10.5546875" customWidth="1"/>
    <col min="3" max="3" width="45.332031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288</v>
      </c>
      <c r="D10" s="243"/>
      <c r="E10" s="243"/>
      <c r="F10" s="418" t="s">
        <v>277</v>
      </c>
      <c r="G10" s="275">
        <v>46009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 t="s">
        <v>289</v>
      </c>
      <c r="F11" s="29" t="s">
        <v>286</v>
      </c>
      <c r="G11" s="421" t="s">
        <v>295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 t="s">
        <v>290</v>
      </c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291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 t="s">
        <v>292</v>
      </c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>
        <v>56973069852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 t="s">
        <v>293</v>
      </c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162002.83317800559</v>
      </c>
      <c r="R20" s="257">
        <v>20000</v>
      </c>
      <c r="S20" s="38"/>
      <c r="T20" s="14" t="s">
        <v>127</v>
      </c>
      <c r="U20" s="9"/>
      <c r="X20" s="4"/>
    </row>
    <row r="21" spans="1:25" ht="17.399999999999999" x14ac:dyDescent="0.3">
      <c r="B21" s="430">
        <v>1</v>
      </c>
      <c r="C21" s="434" t="s">
        <v>298</v>
      </c>
      <c r="D21" s="431">
        <v>1.4</v>
      </c>
      <c r="E21" s="431">
        <v>1.74</v>
      </c>
      <c r="F21" s="430" t="s">
        <v>296</v>
      </c>
      <c r="G21" s="432">
        <v>474978</v>
      </c>
      <c r="H21" s="432">
        <f>G21*B21</f>
        <v>474978</v>
      </c>
      <c r="I21" s="306"/>
      <c r="J21" s="264"/>
      <c r="K21" s="47"/>
      <c r="L21" s="47">
        <v>1</v>
      </c>
      <c r="M21" s="39">
        <f>D21+M$19</f>
        <v>1.48</v>
      </c>
      <c r="N21" s="39">
        <f>E21+$N$19</f>
        <v>1.74</v>
      </c>
      <c r="O21" s="260">
        <f t="shared" ref="O21" si="0">M21*N21</f>
        <v>2.5752000000000002</v>
      </c>
      <c r="P21" s="258">
        <f t="shared" ref="P21" si="1">O21*L21</f>
        <v>2.5752000000000002</v>
      </c>
      <c r="Q21" s="251">
        <f t="shared" ref="Q21" si="2">Q$20*O21</f>
        <v>417189.696</v>
      </c>
      <c r="R21" s="305">
        <f t="shared" ref="R21" si="3">Q21+R$20</f>
        <v>437189.696</v>
      </c>
      <c r="S21" s="290">
        <f>M21*L21</f>
        <v>1.48</v>
      </c>
      <c r="T21" s="46">
        <f>N21*2*L21*2</f>
        <v>6.96</v>
      </c>
      <c r="U21" s="9"/>
      <c r="X21" s="4"/>
    </row>
    <row r="22" spans="1:25" ht="17.399999999999999" x14ac:dyDescent="0.3">
      <c r="B22" s="430"/>
      <c r="C22" s="434" t="s">
        <v>299</v>
      </c>
      <c r="D22" s="431">
        <v>0.7</v>
      </c>
      <c r="E22" s="431">
        <v>0.32500000000000001</v>
      </c>
      <c r="F22" s="430"/>
      <c r="G22" s="432">
        <v>22942</v>
      </c>
      <c r="H22" s="432">
        <f>G22*B22</f>
        <v>0</v>
      </c>
      <c r="I22" s="306"/>
      <c r="J22" s="264"/>
      <c r="K22" s="47"/>
      <c r="L22" s="47">
        <f>B22</f>
        <v>0</v>
      </c>
      <c r="M22" s="39">
        <f>D22+M$19</f>
        <v>0.77999999999999992</v>
      </c>
      <c r="N22" s="39">
        <f>E22+$N$19</f>
        <v>0.32500000000000001</v>
      </c>
      <c r="O22" s="260">
        <f t="shared" ref="O22" si="4">M22*N22</f>
        <v>0.2535</v>
      </c>
      <c r="P22" s="258">
        <f t="shared" ref="P22" si="5">O22*L22</f>
        <v>0</v>
      </c>
      <c r="Q22" s="251">
        <f t="shared" ref="Q22" si="6">Q$20*O22</f>
        <v>41067.718210624414</v>
      </c>
      <c r="R22" s="305">
        <f t="shared" ref="R22" si="7">Q22+R$20</f>
        <v>61067.718210624414</v>
      </c>
      <c r="S22" s="290">
        <f>M22*L22</f>
        <v>0</v>
      </c>
      <c r="T22" s="46"/>
      <c r="U22" s="9"/>
      <c r="X22" s="4"/>
    </row>
    <row r="23" spans="1:25" ht="18" thickBot="1" x14ac:dyDescent="0.35">
      <c r="B23" s="283"/>
      <c r="C23" s="283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SUM(H21:H23)</f>
        <v>474978</v>
      </c>
      <c r="I24" s="308"/>
      <c r="J24" s="264"/>
      <c r="K24" s="47">
        <v>2600000</v>
      </c>
      <c r="L24" s="47"/>
      <c r="M24" s="39"/>
      <c r="N24" s="39"/>
      <c r="O24" s="260"/>
      <c r="P24" s="258"/>
      <c r="Q24" s="251"/>
      <c r="R24" s="257"/>
      <c r="S24" s="290"/>
      <c r="T24" s="46">
        <f>SUM(T21:T23)</f>
        <v>6.96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90245.82</v>
      </c>
      <c r="I25" s="308"/>
      <c r="J25" s="264"/>
      <c r="K25" s="47"/>
      <c r="L25" s="47"/>
      <c r="M25" s="39">
        <f>SUM(M21:M24)</f>
        <v>2.2599999999999998</v>
      </c>
      <c r="N25" s="12"/>
      <c r="O25" s="12"/>
      <c r="P25" s="252">
        <f>SUM(P21:P22)</f>
        <v>2.5752000000000002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565223.82000000007</v>
      </c>
      <c r="I26" s="308"/>
      <c r="J26" s="264"/>
      <c r="K26" s="47"/>
      <c r="L26" s="47"/>
      <c r="M26" s="39"/>
      <c r="N26" s="12"/>
      <c r="O26" s="12"/>
      <c r="P26" s="252">
        <f>P25</f>
        <v>2.5752000000000002</v>
      </c>
      <c r="Q26" s="14"/>
      <c r="R26" s="12"/>
      <c r="S26" s="239">
        <f>SUM(S21:S25)</f>
        <v>1.48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0.51504000000000005</v>
      </c>
      <c r="Q27" s="39" t="s">
        <v>129</v>
      </c>
      <c r="R27" s="42"/>
      <c r="S27" s="240">
        <f>S26+T24</f>
        <v>8.44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3.0902400000000001</v>
      </c>
      <c r="Q28" s="14"/>
      <c r="R28" s="14"/>
      <c r="S28" s="238">
        <f>S27*20%</f>
        <v>1.6879999999999999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10.128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P28*2</f>
        <v>6.1804800000000002</v>
      </c>
      <c r="N30" s="12">
        <v>3500</v>
      </c>
      <c r="O30" s="12">
        <f t="shared" ref="O30:O35" si="8">M30*N30</f>
        <v>21631.68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1.5</v>
      </c>
      <c r="N31" s="12">
        <v>40000</v>
      </c>
      <c r="O31" s="12">
        <f t="shared" si="8"/>
        <v>60000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>
        <v>2</v>
      </c>
      <c r="N32" s="249">
        <v>16500</v>
      </c>
      <c r="O32" s="12">
        <f t="shared" si="8"/>
        <v>33000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75000</v>
      </c>
      <c r="O33" s="12">
        <f t="shared" si="8"/>
        <v>75000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8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/>
      <c r="N35" s="12">
        <v>1500</v>
      </c>
      <c r="O35" s="12">
        <f t="shared" si="8"/>
        <v>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189631.68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417189.696</v>
      </c>
      <c r="P37" s="14" t="s">
        <v>138</v>
      </c>
      <c r="Q37" s="14"/>
      <c r="R37" s="40">
        <f>P28/R36</f>
        <v>0.83321829163071615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162002.83317800559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hyperlinks>
    <hyperlink ref="F34" r:id="rId1" xr:uid="{717EBBCB-1654-4181-B332-5D9AEC51F231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2F7FB-FC0D-453C-A6A4-054B91806C4C}">
  <sheetPr>
    <pageSetUpPr fitToPage="1"/>
  </sheetPr>
  <dimension ref="A2:Y580"/>
  <sheetViews>
    <sheetView topLeftCell="D17" zoomScale="93" zoomScaleNormal="93" workbookViewId="0">
      <selection activeCell="G22" sqref="G22"/>
    </sheetView>
  </sheetViews>
  <sheetFormatPr baseColWidth="10" defaultRowHeight="14.4" x14ac:dyDescent="0.3"/>
  <cols>
    <col min="1" max="1" width="6" customWidth="1"/>
    <col min="2" max="2" width="10.5546875" customWidth="1"/>
    <col min="3" max="3" width="45.332031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288</v>
      </c>
      <c r="D10" s="243"/>
      <c r="E10" s="243"/>
      <c r="F10" s="418" t="s">
        <v>277</v>
      </c>
      <c r="G10" s="275">
        <v>46009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 t="s">
        <v>289</v>
      </c>
      <c r="F11" s="29" t="s">
        <v>286</v>
      </c>
      <c r="G11" s="421" t="s">
        <v>295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 t="s">
        <v>290</v>
      </c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291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 t="s">
        <v>292</v>
      </c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>
        <v>56973069852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 t="s">
        <v>293</v>
      </c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O37</f>
        <v>139680.60790273556</v>
      </c>
      <c r="R20" s="257">
        <v>25000</v>
      </c>
      <c r="S20" s="38"/>
      <c r="T20" s="14" t="s">
        <v>127</v>
      </c>
      <c r="U20" s="9"/>
      <c r="X20" s="4"/>
    </row>
    <row r="21" spans="1:25" ht="17.399999999999999" x14ac:dyDescent="0.3">
      <c r="B21" s="430">
        <v>4</v>
      </c>
      <c r="C21" s="434" t="s">
        <v>298</v>
      </c>
      <c r="D21" s="431">
        <v>1.8</v>
      </c>
      <c r="E21" s="431">
        <v>0.7</v>
      </c>
      <c r="F21" s="430" t="s">
        <v>296</v>
      </c>
      <c r="G21" s="432">
        <v>208820</v>
      </c>
      <c r="H21" s="432">
        <f>G21*B21</f>
        <v>835280</v>
      </c>
      <c r="I21" s="306"/>
      <c r="J21" s="264"/>
      <c r="K21" s="47"/>
      <c r="L21" s="47">
        <f>B21</f>
        <v>4</v>
      </c>
      <c r="M21" s="39">
        <f>D21+M$19</f>
        <v>1.8800000000000001</v>
      </c>
      <c r="N21" s="39">
        <f>E21+$N$19</f>
        <v>0.7</v>
      </c>
      <c r="O21" s="260">
        <f t="shared" ref="O21" si="0">M21*N21</f>
        <v>1.3160000000000001</v>
      </c>
      <c r="P21" s="258">
        <f t="shared" ref="P21" si="1">O21*L21</f>
        <v>5.2640000000000002</v>
      </c>
      <c r="Q21" s="251">
        <f t="shared" ref="Q21" si="2">Q$20*O21</f>
        <v>183819.68</v>
      </c>
      <c r="R21" s="305">
        <f t="shared" ref="R21" si="3">Q21+R$20</f>
        <v>208819.68</v>
      </c>
      <c r="S21" s="290">
        <f>M21*L21</f>
        <v>7.5200000000000005</v>
      </c>
      <c r="T21" s="46">
        <f>N21*2*L21*2</f>
        <v>11.2</v>
      </c>
      <c r="U21" s="9"/>
      <c r="X21" s="4"/>
    </row>
    <row r="22" spans="1:25" ht="18" thickBot="1" x14ac:dyDescent="0.35">
      <c r="B22" s="283"/>
      <c r="C22" s="283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SUM(H21:H22)</f>
        <v>835280</v>
      </c>
      <c r="I23" s="308"/>
      <c r="J23" s="264"/>
      <c r="K23" s="47">
        <v>2600000</v>
      </c>
      <c r="L23" s="47"/>
      <c r="M23" s="39"/>
      <c r="N23" s="39"/>
      <c r="O23" s="260"/>
      <c r="P23" s="258"/>
      <c r="Q23" s="251"/>
      <c r="R23" s="257"/>
      <c r="S23" s="290"/>
      <c r="T23" s="46">
        <f>SUM(T21:T22)</f>
        <v>11.2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51</v>
      </c>
      <c r="H24" s="287">
        <f>H23*19%</f>
        <v>158703.20000000001</v>
      </c>
      <c r="I24" s="308"/>
      <c r="J24" s="264"/>
      <c r="K24" s="47"/>
      <c r="L24" s="47"/>
      <c r="M24" s="39">
        <f>SUM(M21:M23)</f>
        <v>1.8800000000000001</v>
      </c>
      <c r="N24" s="12"/>
      <c r="O24" s="12"/>
      <c r="P24" s="252">
        <f>SUM(P21:P21)</f>
        <v>5.2640000000000002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993983.2</v>
      </c>
      <c r="I25" s="308"/>
      <c r="J25" s="264"/>
      <c r="K25" s="47"/>
      <c r="L25" s="47"/>
      <c r="M25" s="39"/>
      <c r="N25" s="12"/>
      <c r="O25" s="12"/>
      <c r="P25" s="252">
        <f>P24</f>
        <v>5.2640000000000002</v>
      </c>
      <c r="Q25" s="14"/>
      <c r="R25" s="12"/>
      <c r="S25" s="239">
        <f>SUM(S21:S24)</f>
        <v>7.5200000000000005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1.0528000000000002</v>
      </c>
      <c r="Q26" s="39" t="s">
        <v>129</v>
      </c>
      <c r="R26" s="42"/>
      <c r="S26" s="240">
        <f>S25+T23</f>
        <v>18.72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6.3168000000000006</v>
      </c>
      <c r="Q27" s="14"/>
      <c r="R27" s="14"/>
      <c r="S27" s="238">
        <f>S26*20%</f>
        <v>3.7439999999999998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22.463999999999999</v>
      </c>
      <c r="T28" s="14"/>
      <c r="U28" s="294" t="s">
        <v>21</v>
      </c>
      <c r="V28" s="291" t="s">
        <v>149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P27*2</f>
        <v>12.633600000000001</v>
      </c>
      <c r="N29" s="12">
        <v>3500</v>
      </c>
      <c r="O29" s="12">
        <f t="shared" ref="O29:O34" si="4">M29*N29</f>
        <v>44217.600000000006</v>
      </c>
      <c r="P29" s="14" t="s">
        <v>21</v>
      </c>
      <c r="Q29" s="14"/>
      <c r="R29" s="14"/>
      <c r="S29" s="241"/>
      <c r="T29" s="14"/>
      <c r="U29" s="294" t="s">
        <v>150</v>
      </c>
      <c r="V29" s="291">
        <v>3625</v>
      </c>
      <c r="W29" s="59" t="s">
        <v>151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2</v>
      </c>
      <c r="N30" s="12">
        <v>40000</v>
      </c>
      <c r="O30" s="12">
        <f t="shared" si="4"/>
        <v>80000</v>
      </c>
      <c r="P30" s="39" t="s">
        <v>31</v>
      </c>
      <c r="Q30" s="42"/>
      <c r="R30" s="14"/>
      <c r="S30" s="240"/>
      <c r="T30" s="14"/>
      <c r="U30" s="294"/>
      <c r="V30" s="59">
        <v>906.25</v>
      </c>
      <c r="W30" s="59" t="s">
        <v>152</v>
      </c>
      <c r="X30" s="296"/>
    </row>
    <row r="31" spans="1:25" s="230" customFormat="1" ht="17.399999999999999" x14ac:dyDescent="0.35">
      <c r="B31" s="24" t="s">
        <v>148</v>
      </c>
      <c r="J31" s="261"/>
      <c r="K31" s="232"/>
      <c r="L31" s="249"/>
      <c r="M31" s="14">
        <v>4</v>
      </c>
      <c r="N31" s="249">
        <v>16500</v>
      </c>
      <c r="O31" s="12">
        <f t="shared" si="4"/>
        <v>66000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6" t="s">
        <v>153</v>
      </c>
      <c r="X31" s="59"/>
    </row>
    <row r="32" spans="1:25" s="230" customFormat="1" ht="17.399999999999999" x14ac:dyDescent="0.35">
      <c r="B32" s="24" t="s">
        <v>162</v>
      </c>
      <c r="C32"/>
      <c r="D32"/>
      <c r="E32"/>
      <c r="F32"/>
      <c r="J32" s="261"/>
      <c r="K32" s="232"/>
      <c r="L32" s="249"/>
      <c r="M32" s="14">
        <v>4</v>
      </c>
      <c r="N32" s="249">
        <v>36000</v>
      </c>
      <c r="O32" s="12">
        <f t="shared" si="4"/>
        <v>144000</v>
      </c>
      <c r="P32" s="14" t="s">
        <v>139</v>
      </c>
      <c r="Q32" s="17"/>
      <c r="S32" s="238"/>
      <c r="T32" s="255"/>
      <c r="U32" s="59"/>
      <c r="V32" s="59">
        <f>V30+V31</f>
        <v>1087.5</v>
      </c>
      <c r="W32" s="296" t="s">
        <v>154</v>
      </c>
      <c r="X32" s="59"/>
    </row>
    <row r="33" spans="1:24" s="230" customFormat="1" ht="17.399999999999999" x14ac:dyDescent="0.35">
      <c r="A33" s="230" t="s">
        <v>283</v>
      </c>
      <c r="B33" s="29" t="s">
        <v>124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4"/>
        <v>0</v>
      </c>
      <c r="P33" s="14" t="s">
        <v>32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/>
      <c r="N34" s="12">
        <v>1500</v>
      </c>
      <c r="O34" s="12">
        <f t="shared" si="4"/>
        <v>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334217.59999999998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33</v>
      </c>
      <c r="N36" s="12"/>
      <c r="O36" s="254">
        <f>O35*2.2</f>
        <v>735278.72</v>
      </c>
      <c r="P36" s="14" t="s">
        <v>138</v>
      </c>
      <c r="Q36" s="14"/>
      <c r="R36" s="40">
        <f>P27/R35</f>
        <v>1.7031924072476274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42800</v>
      </c>
      <c r="L37" s="249"/>
      <c r="M37" s="14"/>
      <c r="N37" s="12"/>
      <c r="O37" s="12">
        <f>O36/P25</f>
        <v>139680.60790273556</v>
      </c>
      <c r="P37" s="45" t="s">
        <v>24</v>
      </c>
      <c r="Q37" s="14"/>
      <c r="R37" s="14"/>
      <c r="S37"/>
      <c r="T37" s="238"/>
      <c r="U37" s="59" t="s">
        <v>155</v>
      </c>
      <c r="V37" s="291">
        <v>43650</v>
      </c>
    </row>
    <row r="38" spans="1:24" s="230" customFormat="1" ht="17.399999999999999" x14ac:dyDescent="0.35">
      <c r="G38"/>
      <c r="K38" s="230">
        <f>K37/1.19</f>
        <v>35966.386554621851</v>
      </c>
      <c r="L38" s="249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157</v>
      </c>
      <c r="V38" s="292" t="s">
        <v>156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158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153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1">
    <mergeCell ref="B19:H19"/>
  </mergeCells>
  <hyperlinks>
    <hyperlink ref="F33" r:id="rId1" xr:uid="{09679488-49CE-401F-AA32-A6E6C3072B8D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B8E1C-F3E7-4348-9D6F-852D7D40502F}">
  <sheetPr>
    <pageSetUpPr fitToPage="1"/>
  </sheetPr>
  <dimension ref="A2:Y580"/>
  <sheetViews>
    <sheetView topLeftCell="A17" zoomScale="93" zoomScaleNormal="93" workbookViewId="0">
      <selection activeCell="A38" sqref="A38"/>
    </sheetView>
  </sheetViews>
  <sheetFormatPr baseColWidth="10" defaultRowHeight="14.4" x14ac:dyDescent="0.3"/>
  <cols>
    <col min="1" max="1" width="6" customWidth="1"/>
    <col min="2" max="2" width="10.5546875" customWidth="1"/>
    <col min="3" max="3" width="45.332031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288</v>
      </c>
      <c r="D10" s="243"/>
      <c r="E10" s="243"/>
      <c r="F10" s="418" t="s">
        <v>277</v>
      </c>
      <c r="G10" s="275">
        <v>46009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 t="s">
        <v>289</v>
      </c>
      <c r="F11" s="29" t="s">
        <v>286</v>
      </c>
      <c r="G11" s="421" t="s">
        <v>295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 t="s">
        <v>290</v>
      </c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291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 t="s">
        <v>292</v>
      </c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>
        <v>56973069852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 t="s">
        <v>293</v>
      </c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O37</f>
        <v>85060.78723018321</v>
      </c>
      <c r="R20" s="257">
        <v>15000</v>
      </c>
      <c r="S20" s="38"/>
      <c r="T20" s="14" t="s">
        <v>127</v>
      </c>
      <c r="U20" s="9"/>
      <c r="X20" s="4"/>
    </row>
    <row r="21" spans="1:25" ht="17.399999999999999" x14ac:dyDescent="0.3">
      <c r="B21" s="430">
        <v>1</v>
      </c>
      <c r="C21" s="434" t="s">
        <v>298</v>
      </c>
      <c r="D21" s="431">
        <v>2.9</v>
      </c>
      <c r="E21" s="431">
        <v>0.74</v>
      </c>
      <c r="F21" s="430" t="s">
        <v>296</v>
      </c>
      <c r="G21" s="432">
        <v>202576</v>
      </c>
      <c r="H21" s="432">
        <f>G21*B21</f>
        <v>202576</v>
      </c>
      <c r="I21" s="306"/>
      <c r="J21" s="264"/>
      <c r="K21" s="47"/>
      <c r="L21" s="47">
        <f>B21</f>
        <v>1</v>
      </c>
      <c r="M21" s="39">
        <f>D21+M$19</f>
        <v>2.98</v>
      </c>
      <c r="N21" s="39">
        <f>E21+$N$19</f>
        <v>0.74</v>
      </c>
      <c r="O21" s="260">
        <f t="shared" ref="O21" si="0">M21*N21</f>
        <v>2.2052</v>
      </c>
      <c r="P21" s="258">
        <f t="shared" ref="P21" si="1">O21*L21</f>
        <v>2.2052</v>
      </c>
      <c r="Q21" s="251">
        <f t="shared" ref="Q21" si="2">Q$20*O21</f>
        <v>187576.04800000001</v>
      </c>
      <c r="R21" s="305">
        <f t="shared" ref="R21" si="3">Q21+R$20</f>
        <v>202576.04800000001</v>
      </c>
      <c r="S21" s="290">
        <f>M21*L21</f>
        <v>2.98</v>
      </c>
      <c r="T21" s="46">
        <f>N21*2*L21*2</f>
        <v>2.96</v>
      </c>
      <c r="U21" s="9"/>
      <c r="X21" s="4"/>
    </row>
    <row r="22" spans="1:25" ht="18" thickBot="1" x14ac:dyDescent="0.35">
      <c r="B22" s="283"/>
      <c r="C22" s="283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SUM(H21:H22)</f>
        <v>202576</v>
      </c>
      <c r="I23" s="308"/>
      <c r="J23" s="264"/>
      <c r="K23" s="47">
        <v>2600000</v>
      </c>
      <c r="L23" s="47"/>
      <c r="M23" s="39"/>
      <c r="N23" s="39"/>
      <c r="O23" s="260"/>
      <c r="P23" s="258"/>
      <c r="Q23" s="251"/>
      <c r="R23" s="257"/>
      <c r="S23" s="290"/>
      <c r="T23" s="46">
        <f>SUM(T21:T22)</f>
        <v>2.96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51</v>
      </c>
      <c r="H24" s="287">
        <f>H23*19%</f>
        <v>38489.440000000002</v>
      </c>
      <c r="I24" s="308"/>
      <c r="J24" s="264"/>
      <c r="K24" s="47"/>
      <c r="L24" s="47"/>
      <c r="M24" s="39">
        <f>SUM(M21:M23)</f>
        <v>2.98</v>
      </c>
      <c r="N24" s="12"/>
      <c r="O24" s="12"/>
      <c r="P24" s="252">
        <f>SUM(P21:P21)</f>
        <v>2.2052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241065.44</v>
      </c>
      <c r="I25" s="308"/>
      <c r="J25" s="264"/>
      <c r="K25" s="47"/>
      <c r="L25" s="47"/>
      <c r="M25" s="39"/>
      <c r="N25" s="12"/>
      <c r="O25" s="12"/>
      <c r="P25" s="252">
        <f>P24</f>
        <v>2.2052</v>
      </c>
      <c r="Q25" s="14"/>
      <c r="R25" s="12"/>
      <c r="S25" s="239">
        <f>SUM(S21:S24)</f>
        <v>2.98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0.44104000000000004</v>
      </c>
      <c r="Q26" s="39" t="s">
        <v>129</v>
      </c>
      <c r="R26" s="42"/>
      <c r="S26" s="240">
        <f>S25+T23</f>
        <v>5.9399999999999995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2.6462400000000001</v>
      </c>
      <c r="Q27" s="14"/>
      <c r="R27" s="14"/>
      <c r="S27" s="238">
        <f>S26*20%</f>
        <v>1.1879999999999999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7.1279999999999992</v>
      </c>
      <c r="T28" s="14"/>
      <c r="U28" s="294" t="s">
        <v>21</v>
      </c>
      <c r="V28" s="291" t="s">
        <v>149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2.6462400000000001</v>
      </c>
      <c r="N29" s="12">
        <v>3500</v>
      </c>
      <c r="O29" s="12">
        <f t="shared" ref="O29:O34" si="4">M29*N29</f>
        <v>9261.84</v>
      </c>
      <c r="P29" s="14" t="s">
        <v>21</v>
      </c>
      <c r="Q29" s="14"/>
      <c r="R29" s="14"/>
      <c r="S29" s="241"/>
      <c r="T29" s="14"/>
      <c r="U29" s="294" t="s">
        <v>150</v>
      </c>
      <c r="V29" s="291">
        <v>3625</v>
      </c>
      <c r="W29" s="59" t="s">
        <v>151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1</v>
      </c>
      <c r="N30" s="12">
        <v>40000</v>
      </c>
      <c r="O30" s="12">
        <f t="shared" si="4"/>
        <v>40000</v>
      </c>
      <c r="P30" s="39" t="s">
        <v>31</v>
      </c>
      <c r="Q30" s="42"/>
      <c r="R30" s="14"/>
      <c r="S30" s="240"/>
      <c r="T30" s="14"/>
      <c r="U30" s="294"/>
      <c r="V30" s="59">
        <v>906.25</v>
      </c>
      <c r="W30" s="59" t="s">
        <v>152</v>
      </c>
      <c r="X30" s="296"/>
    </row>
    <row r="31" spans="1:25" s="230" customFormat="1" ht="17.399999999999999" x14ac:dyDescent="0.35">
      <c r="B31" s="24" t="s">
        <v>148</v>
      </c>
      <c r="J31" s="261"/>
      <c r="K31" s="232"/>
      <c r="L31" s="249"/>
      <c r="M31" s="14"/>
      <c r="N31" s="249">
        <v>58860</v>
      </c>
      <c r="O31" s="12">
        <f t="shared" si="4"/>
        <v>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6" t="s">
        <v>153</v>
      </c>
      <c r="X31" s="59"/>
    </row>
    <row r="32" spans="1:25" s="230" customFormat="1" ht="17.399999999999999" x14ac:dyDescent="0.35">
      <c r="B32" s="24" t="s">
        <v>162</v>
      </c>
      <c r="C32"/>
      <c r="D32"/>
      <c r="E32"/>
      <c r="F32"/>
      <c r="J32" s="261"/>
      <c r="K32" s="232"/>
      <c r="L32" s="249"/>
      <c r="M32" s="14">
        <v>1</v>
      </c>
      <c r="N32" s="249">
        <v>36000</v>
      </c>
      <c r="O32" s="12">
        <f t="shared" si="4"/>
        <v>36000</v>
      </c>
      <c r="P32" s="14" t="s">
        <v>139</v>
      </c>
      <c r="Q32" s="17"/>
      <c r="S32" s="238"/>
      <c r="T32" s="255"/>
      <c r="U32" s="59"/>
      <c r="V32" s="59">
        <f>V30+V31</f>
        <v>1087.5</v>
      </c>
      <c r="W32" s="296" t="s">
        <v>154</v>
      </c>
      <c r="X32" s="59"/>
    </row>
    <row r="33" spans="1:24" s="230" customFormat="1" ht="17.399999999999999" x14ac:dyDescent="0.35">
      <c r="A33" s="230" t="s">
        <v>283</v>
      </c>
      <c r="B33" s="29" t="s">
        <v>124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4"/>
        <v>0</v>
      </c>
      <c r="P33" s="14" t="s">
        <v>32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/>
      <c r="N34" s="12">
        <v>1500</v>
      </c>
      <c r="O34" s="12">
        <f t="shared" si="4"/>
        <v>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85261.84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33</v>
      </c>
      <c r="N36" s="12"/>
      <c r="O36" s="254">
        <f>O35*2.2</f>
        <v>187576.04800000001</v>
      </c>
      <c r="P36" s="14" t="s">
        <v>138</v>
      </c>
      <c r="Q36" s="14"/>
      <c r="R36" s="40">
        <f>P27/R35</f>
        <v>0.71350301984469378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42800</v>
      </c>
      <c r="L37" s="249"/>
      <c r="M37" s="14"/>
      <c r="N37" s="12"/>
      <c r="O37" s="12">
        <f>O36/P25</f>
        <v>85060.78723018321</v>
      </c>
      <c r="P37" s="45" t="s">
        <v>24</v>
      </c>
      <c r="Q37" s="14"/>
      <c r="R37" s="14"/>
      <c r="S37"/>
      <c r="T37" s="238"/>
      <c r="U37" s="59" t="s">
        <v>155</v>
      </c>
      <c r="V37" s="291">
        <v>43650</v>
      </c>
    </row>
    <row r="38" spans="1:24" s="230" customFormat="1" ht="17.399999999999999" x14ac:dyDescent="0.35">
      <c r="G38"/>
      <c r="K38" s="230">
        <f>K37/1.19</f>
        <v>35966.386554621851</v>
      </c>
      <c r="L38" s="249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157</v>
      </c>
      <c r="V38" s="292" t="s">
        <v>156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158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153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1">
    <mergeCell ref="B19:H19"/>
  </mergeCells>
  <hyperlinks>
    <hyperlink ref="F33" r:id="rId1" xr:uid="{47BEF396-9FDE-497D-802F-29E85EA67C31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opLeftCell="C16" zoomScale="93" zoomScaleNormal="93" workbookViewId="0">
      <selection activeCell="M30" sqref="M30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288</v>
      </c>
      <c r="D10" s="243"/>
      <c r="E10" s="243"/>
      <c r="F10" s="418" t="s">
        <v>277</v>
      </c>
      <c r="G10" s="275">
        <v>46009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 t="s">
        <v>289</v>
      </c>
      <c r="F11" s="29" t="s">
        <v>286</v>
      </c>
      <c r="G11" s="421" t="s">
        <v>295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 t="s">
        <v>290</v>
      </c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291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 t="s">
        <v>292</v>
      </c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>
        <v>56973069852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 t="s">
        <v>293</v>
      </c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O37</f>
        <v>107028.75283446713</v>
      </c>
      <c r="R20" s="257">
        <v>15000</v>
      </c>
      <c r="S20" s="38"/>
      <c r="T20" s="14" t="s">
        <v>127</v>
      </c>
      <c r="U20" s="9"/>
      <c r="X20" s="4"/>
    </row>
    <row r="21" spans="1:25" ht="17.399999999999999" x14ac:dyDescent="0.3">
      <c r="B21" s="430">
        <v>2</v>
      </c>
      <c r="C21" s="434" t="s">
        <v>297</v>
      </c>
      <c r="D21" s="431">
        <v>0.9</v>
      </c>
      <c r="E21" s="431">
        <v>0.9</v>
      </c>
      <c r="F21" s="430" t="s">
        <v>296</v>
      </c>
      <c r="G21" s="432">
        <v>84750</v>
      </c>
      <c r="H21" s="432">
        <f>G21*B21</f>
        <v>169500</v>
      </c>
      <c r="I21" s="306"/>
      <c r="J21" s="264"/>
      <c r="K21" s="47"/>
      <c r="L21" s="47">
        <f>B21</f>
        <v>2</v>
      </c>
      <c r="M21" s="39">
        <f>D21+M$19</f>
        <v>0.98</v>
      </c>
      <c r="N21" s="39">
        <f>E21+$N$19</f>
        <v>0.9</v>
      </c>
      <c r="O21" s="260">
        <f t="shared" ref="O21" si="0">M21*N21</f>
        <v>0.88200000000000001</v>
      </c>
      <c r="P21" s="258">
        <f t="shared" ref="P21" si="1">O21*L21</f>
        <v>1.764</v>
      </c>
      <c r="Q21" s="251">
        <f t="shared" ref="Q21" si="2">Q$20*O21</f>
        <v>94399.360000000015</v>
      </c>
      <c r="R21" s="305">
        <f t="shared" ref="R21" si="3">Q21+R$20</f>
        <v>109399.36000000002</v>
      </c>
      <c r="S21" s="290">
        <f>M21*L21</f>
        <v>1.96</v>
      </c>
      <c r="T21" s="46">
        <f>N21*2*L21*2</f>
        <v>7.2</v>
      </c>
      <c r="U21" s="9"/>
      <c r="X21" s="4"/>
    </row>
    <row r="22" spans="1:25" ht="18" thickBot="1" x14ac:dyDescent="0.35">
      <c r="B22" s="283"/>
      <c r="C22" s="283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SUM(H21:H22)</f>
        <v>169500</v>
      </c>
      <c r="I23" s="308"/>
      <c r="J23" s="264"/>
      <c r="K23" s="47">
        <v>2600000</v>
      </c>
      <c r="L23" s="47"/>
      <c r="M23" s="39"/>
      <c r="N23" s="39"/>
      <c r="O23" s="260"/>
      <c r="P23" s="258"/>
      <c r="Q23" s="251"/>
      <c r="R23" s="257"/>
      <c r="S23" s="290"/>
      <c r="T23" s="46">
        <f>SUM(T21:T22)</f>
        <v>7.2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51</v>
      </c>
      <c r="H24" s="287">
        <f>H23*19%</f>
        <v>32205</v>
      </c>
      <c r="I24" s="308"/>
      <c r="J24" s="264"/>
      <c r="K24" s="47"/>
      <c r="L24" s="47"/>
      <c r="M24" s="39">
        <f>SUM(M21:M23)</f>
        <v>0.98</v>
      </c>
      <c r="N24" s="12"/>
      <c r="O24" s="12"/>
      <c r="P24" s="252">
        <f>SUM(P21:P21)</f>
        <v>1.764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201705</v>
      </c>
      <c r="I25" s="308"/>
      <c r="J25" s="264"/>
      <c r="K25" s="47"/>
      <c r="L25" s="47"/>
      <c r="M25" s="39"/>
      <c r="N25" s="12"/>
      <c r="O25" s="12"/>
      <c r="P25" s="252">
        <f>P24</f>
        <v>1.764</v>
      </c>
      <c r="Q25" s="14"/>
      <c r="R25" s="12"/>
      <c r="S25" s="239">
        <f>SUM(S21:S24)</f>
        <v>1.96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0.3528</v>
      </c>
      <c r="Q26" s="39" t="s">
        <v>129</v>
      </c>
      <c r="R26" s="42"/>
      <c r="S26" s="240">
        <f>S25+T23</f>
        <v>9.16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2.1168</v>
      </c>
      <c r="Q27" s="14"/>
      <c r="R27" s="14"/>
      <c r="S27" s="238">
        <f>S26*20%</f>
        <v>1.8320000000000001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10.992000000000001</v>
      </c>
      <c r="T28" s="14"/>
      <c r="U28" s="294" t="s">
        <v>21</v>
      </c>
      <c r="V28" s="291" t="s">
        <v>149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P27*2</f>
        <v>4.2336</v>
      </c>
      <c r="N29" s="12">
        <v>3500</v>
      </c>
      <c r="O29" s="12">
        <f t="shared" ref="O29:O34" si="4">M29*N29</f>
        <v>14817.6</v>
      </c>
      <c r="P29" s="14" t="s">
        <v>21</v>
      </c>
      <c r="Q29" s="14"/>
      <c r="R29" s="14"/>
      <c r="S29" s="241"/>
      <c r="T29" s="14"/>
      <c r="U29" s="294" t="s">
        <v>150</v>
      </c>
      <c r="V29" s="291">
        <v>3625</v>
      </c>
      <c r="W29" s="59" t="s">
        <v>151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0.5</v>
      </c>
      <c r="N30" s="12">
        <v>40000</v>
      </c>
      <c r="O30" s="12">
        <f t="shared" si="4"/>
        <v>20000</v>
      </c>
      <c r="P30" s="39" t="s">
        <v>31</v>
      </c>
      <c r="Q30" s="42"/>
      <c r="R30" s="14"/>
      <c r="S30" s="240"/>
      <c r="T30" s="14"/>
      <c r="U30" s="294"/>
      <c r="V30" s="59">
        <v>906.25</v>
      </c>
      <c r="W30" s="59" t="s">
        <v>152</v>
      </c>
      <c r="X30" s="296"/>
    </row>
    <row r="31" spans="1:25" s="230" customFormat="1" ht="17.399999999999999" x14ac:dyDescent="0.35">
      <c r="B31" s="24" t="s">
        <v>148</v>
      </c>
      <c r="J31" s="261"/>
      <c r="K31" s="232"/>
      <c r="L31" s="249"/>
      <c r="M31" s="14">
        <v>1</v>
      </c>
      <c r="N31" s="249">
        <v>15000</v>
      </c>
      <c r="O31" s="12">
        <f t="shared" si="4"/>
        <v>15000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6" t="s">
        <v>153</v>
      </c>
      <c r="X31" s="59"/>
    </row>
    <row r="32" spans="1:25" s="230" customFormat="1" ht="17.399999999999999" x14ac:dyDescent="0.35">
      <c r="B32" s="24" t="s">
        <v>162</v>
      </c>
      <c r="C32"/>
      <c r="D32"/>
      <c r="E32"/>
      <c r="F32"/>
      <c r="J32" s="261"/>
      <c r="K32" s="232"/>
      <c r="L32" s="249"/>
      <c r="M32" s="14">
        <v>1</v>
      </c>
      <c r="N32" s="249">
        <v>36000</v>
      </c>
      <c r="O32" s="12">
        <f t="shared" si="4"/>
        <v>36000</v>
      </c>
      <c r="P32" s="14" t="s">
        <v>139</v>
      </c>
      <c r="Q32" s="17"/>
      <c r="S32" s="238"/>
      <c r="T32" s="255"/>
      <c r="U32" s="59"/>
      <c r="V32" s="59">
        <f>V30+V31</f>
        <v>1087.5</v>
      </c>
      <c r="W32" s="296" t="s">
        <v>154</v>
      </c>
      <c r="X32" s="59"/>
    </row>
    <row r="33" spans="1:24" s="230" customFormat="1" ht="17.399999999999999" x14ac:dyDescent="0.35">
      <c r="A33" s="230" t="s">
        <v>283</v>
      </c>
      <c r="B33" s="29" t="s">
        <v>124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4"/>
        <v>0</v>
      </c>
      <c r="P33" s="14" t="s">
        <v>32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/>
      <c r="N34" s="12">
        <v>1500</v>
      </c>
      <c r="O34" s="12">
        <f t="shared" si="4"/>
        <v>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85817.600000000006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33</v>
      </c>
      <c r="N36" s="12"/>
      <c r="O36" s="254">
        <f>O35*2.2</f>
        <v>188798.72000000003</v>
      </c>
      <c r="P36" s="14" t="s">
        <v>138</v>
      </c>
      <c r="Q36" s="14"/>
      <c r="R36" s="40">
        <f>P27/R35</f>
        <v>0.57075064710957724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42800</v>
      </c>
      <c r="L37" s="249"/>
      <c r="M37" s="14"/>
      <c r="N37" s="12"/>
      <c r="O37" s="12">
        <f>O36/P25</f>
        <v>107028.75283446713</v>
      </c>
      <c r="P37" s="45" t="s">
        <v>24</v>
      </c>
      <c r="Q37" s="14"/>
      <c r="R37" s="14"/>
      <c r="S37"/>
      <c r="T37" s="238"/>
      <c r="U37" s="59" t="s">
        <v>155</v>
      </c>
      <c r="V37" s="291">
        <v>43650</v>
      </c>
    </row>
    <row r="38" spans="1:24" s="230" customFormat="1" ht="17.399999999999999" x14ac:dyDescent="0.35">
      <c r="G38"/>
      <c r="K38" s="230">
        <f>K37/1.19</f>
        <v>35966.386554621851</v>
      </c>
      <c r="L38" s="249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157</v>
      </c>
      <c r="V38" s="292" t="s">
        <v>156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158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153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'SALA REUNIONES'!G10</f>
        <v>46009</v>
      </c>
    </row>
    <row r="6" spans="2:31" ht="16.2" thickBot="1" x14ac:dyDescent="0.35">
      <c r="B6" s="140" t="s">
        <v>2</v>
      </c>
      <c r="C6" s="139" t="str">
        <f>'SALA REUNIONES'!C10</f>
        <v>FCA. DE MUEBLES ALVEAR Y ALVEAR LTDA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'SALA REUNIONES'!#REF!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'SALA REUNIONES'!D8</f>
        <v>N° 11810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-6345.7850334541099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'SALA REUNIONES'!H23</f>
        <v>169500</v>
      </c>
      <c r="E11" s="132">
        <f>D11*0.19</f>
        <v>32205</v>
      </c>
      <c r="F11" s="131">
        <f>E11+D11</f>
        <v>201705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99644.214966545886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79651.690787439613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81644.214966545886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89848.309212560387</v>
      </c>
      <c r="E13" s="221">
        <f>(D11/D12)-1</f>
        <v>1.1280150907572284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72644.214966545886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33644.214966545893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131425.28979927534</v>
      </c>
      <c r="F15" s="216">
        <f>E15-D12</f>
        <v>51773.599011835729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33644.214966545893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73644.214966545886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'SALA REUNIONES'!O31</f>
        <v>15000</v>
      </c>
      <c r="E18" s="123">
        <f>D18*0.19</f>
        <v>2850</v>
      </c>
      <c r="F18" s="120">
        <f>SUM(D18:E18)</f>
        <v>17850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'SALA REUNIONES'!O30</f>
        <v>20000</v>
      </c>
      <c r="E19" s="123">
        <f>D19*0.19</f>
        <v>3800</v>
      </c>
      <c r="F19" s="120">
        <f>SUM(D19:E19)</f>
        <v>23800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'SALA REUNIONES'!O29</f>
        <v>14817.6</v>
      </c>
      <c r="E20" s="121">
        <f>D20*0.19</f>
        <v>2815.3440000000001</v>
      </c>
      <c r="F20" s="120">
        <f>SUM(D20:E20)</f>
        <v>17632.944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49817.599999999999</v>
      </c>
      <c r="E21" s="116">
        <f>SUM(E18:E20)</f>
        <v>9465.344000000001</v>
      </c>
      <c r="F21" s="115">
        <f>SUM(F18:F20)</f>
        <v>59282.944000000003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22739.655999999999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169500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49817.599999999999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89848.309212560387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89848.309212560387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'SALA REUNIONES'!D8</f>
        <v>N° 11810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IF('SALA REUNIONES'!C10="","",'SALA REUNIONES'!C10)</f>
        <v>FCA. DE MUEBLES ALVEAR Y ALVEAR LTDA</v>
      </c>
      <c r="D10" s="350"/>
      <c r="E10" s="350"/>
      <c r="F10" s="351" t="s">
        <v>167</v>
      </c>
      <c r="G10" s="352">
        <f>'SALA REUNIONES'!G10</f>
        <v>46009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IF('SALA REUNIONES'!C11="","",'SALA REUNIONES'!C11)</f>
        <v>76.143.978-2</v>
      </c>
      <c r="D11" s="345"/>
      <c r="E11" s="345"/>
      <c r="F11" s="345" t="s">
        <v>168</v>
      </c>
      <c r="G11" s="340">
        <f>WORKDAY(G10,5)</f>
        <v>46016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IF('SALA REUNIONES'!C12="","",'SALA REUNIONES'!C12)</f>
        <v>FCA DE MUEBLES</v>
      </c>
      <c r="D12" s="355"/>
      <c r="E12" s="355"/>
      <c r="F12" s="355" t="s">
        <v>181</v>
      </c>
      <c r="G12" s="355" t="str">
        <f>'SALA REUNIONES'!G14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IF('SALA REUNIONES'!C13="","",'SALA REUNIONES'!C13)</f>
        <v>CLAUDIO ALVEAR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IF('SALA REUNIONES'!C14="","",'SALA REUNIONES'!C14)</f>
        <v>LINEALTA1</v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>
        <f>IF('SALA REUNIONES'!C15="","",'SALA REUNIONES'!C15)</f>
        <v>56973069852</v>
      </c>
      <c r="D15" s="347"/>
      <c r="E15" s="345"/>
      <c r="F15" s="345" t="s">
        <v>173</v>
      </c>
      <c r="G15" s="345" t="str">
        <f>'SALA REUNIONES'!G12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IF('SALA REUNIONES'!C16="","",'SALA REUNIONES'!C16)</f>
        <v>ROSA ESTER 03281 LA PINTANA</v>
      </c>
      <c r="D16" s="355"/>
      <c r="E16" s="355"/>
      <c r="F16" s="355" t="s">
        <v>174</v>
      </c>
      <c r="G16" s="355" t="str">
        <f>'SALA REUNIONES'!G16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IF('SALA REUNIONES'!C17="","",'SALA REUNIONES'!C17)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'SALA REUNIONES'!B21</f>
        <v>2</v>
      </c>
      <c r="C22" s="313" t="str">
        <f>'SALA REUNIONES'!C21</f>
        <v>CUB DIAMETRO</v>
      </c>
      <c r="D22" s="321">
        <f>'SALA REUNIONES'!D21*1000</f>
        <v>900</v>
      </c>
      <c r="E22" s="321">
        <f>'SALA REUNIONES'!E21*1000</f>
        <v>900</v>
      </c>
      <c r="F22" s="322" t="str">
        <f>'SALA REUNIONES'!F21</f>
        <v>VAINILLA 2109 MT</v>
      </c>
      <c r="G22" s="314">
        <f>'SALA REUNIONES'!G21</f>
        <v>84750</v>
      </c>
      <c r="H22" s="323">
        <f>G22*B22</f>
        <v>169500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169500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32205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201705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FCA. DE MUEBLES ALVEAR Y ALVEAR LTDA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46009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46016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11810</v>
      </c>
      <c r="C2" s="1">
        <f>'NOTA DE VENTA'!$G$10</f>
        <v>46009</v>
      </c>
      <c r="D2" s="1">
        <f>'NOTA DE VENTA'!$G$11</f>
        <v>46016</v>
      </c>
      <c r="E2" t="str">
        <f>'NOTA DE VENTA'!$C$10</f>
        <v>FCA. DE MUEBLES ALVEAR Y ALVEAR LTDA</v>
      </c>
      <c r="F2" t="str">
        <f>'NOTA DE VENTA'!$C$22</f>
        <v>CUB DIAMETRO</v>
      </c>
      <c r="G2" t="str">
        <f>'NOTA DE VENTA'!$F$22</f>
        <v>VAINILLA 2109 MT</v>
      </c>
      <c r="H2" s="416">
        <f>'NOTA DE VENTA'!$H$25</f>
        <v>169500</v>
      </c>
      <c r="I2" s="416">
        <f>H2*0.19</f>
        <v>32205</v>
      </c>
      <c r="J2" s="416">
        <f>I2+H2</f>
        <v>201705</v>
      </c>
      <c r="L2" s="61">
        <f>J2-K2</f>
        <v>201705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4</vt:i4>
      </vt:variant>
    </vt:vector>
  </HeadingPairs>
  <TitlesOfParts>
    <vt:vector size="13" baseType="lpstr">
      <vt:lpstr>COMERDOR MUEBLE CON REPISAS</vt:lpstr>
      <vt:lpstr>COMEDOR OPERACIONES</vt:lpstr>
      <vt:lpstr>JEFE DE BODEGA</vt:lpstr>
      <vt:lpstr>SALA REUNIONES</vt:lpstr>
      <vt:lpstr>COSTOS</vt:lpstr>
      <vt:lpstr>NOTA DE VENTA</vt:lpstr>
      <vt:lpstr>REGLAS</vt:lpstr>
      <vt:lpstr>PRODUCCION</vt:lpstr>
      <vt:lpstr>SEGUIMIENTO</vt:lpstr>
      <vt:lpstr>'COMEDOR OPERACIONES'!Área_de_impresión</vt:lpstr>
      <vt:lpstr>'COMERDOR MUEBLE CON REPISAS'!Área_de_impresión</vt:lpstr>
      <vt:lpstr>'JEFE DE BODEGA'!Área_de_impresión</vt:lpstr>
      <vt:lpstr>'SALA REUNIONES'!Área_de_impresión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2025-12-15T17:39:33Z</cp:lastPrinted>
  <dcterms:created xsi:type="dcterms:W3CDTF">2013-03-18T13:35:42Z</dcterms:created>
  <dcterms:modified xsi:type="dcterms:W3CDTF">2025-12-19T20:38:25Z</dcterms:modified>
</cp:coreProperties>
</file>