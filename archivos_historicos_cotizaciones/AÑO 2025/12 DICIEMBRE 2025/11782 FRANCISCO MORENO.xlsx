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717B7FE3-7BB7-45F8-BC5C-7B9832C316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N21" i="1" l="1"/>
  <c r="M21" i="1" l="1"/>
  <c r="M26" i="1" s="1"/>
  <c r="L21" i="1"/>
  <c r="T21" i="1" l="1"/>
  <c r="T25" i="1" s="1"/>
  <c r="S21" i="1"/>
  <c r="S27" i="1" s="1"/>
  <c r="O21" i="1"/>
  <c r="P21" i="1" s="1"/>
  <c r="P26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<sst xmlns="http://schemas.openxmlformats.org/spreadsheetml/2006/main" count="231" uniqueCount="175">
  <si>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</si>
  <si>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</si>
  <si>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</si>
  <si>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</si>
  <si>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</si>
  <si>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</si>
  <si>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</si>
  <si>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</si>
  <si>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</si>
  <si>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</si>
  <si>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</si>
  <si>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</si>
  <si>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</si>
  <si>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</si>
  <si>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</si>
  <si>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</si>
  <si>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</si>
  <si>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</si>
  <si>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</si>
  <si>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</si>
  <si>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</si>
  <si>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</si>
  <si>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</si>
  <si>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</si>
  <si>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</si>
  <si>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</si>
  <si>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</si>
  <si>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</si>
  <si>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</si>
  <si>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</si>
  <si>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</si>
  <si>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</si>
  <si>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</si>
  <si>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</si>
  <si>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</si>
  <si>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</si>
  <si>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</si>
  <si>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</si>
  <si>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</si>
  <si>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</si>
  <si>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</si>
  <si>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</si>
  <si>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</si>
  <si>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</si>
  <si>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</si>
  <si>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</si>
  <si>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</si>
  <si>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</si>
  <si>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</si>
  <si>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</si>
  <si>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</si>
  <si>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</si>
  <si>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</si>
  <si>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</si>
  <si>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</si>
  <si>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</si>
  <si>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</si>
  <si>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</si>
  <si>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</si>
  <si>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</si>
  <si>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</si>
  <si>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</si>
  <si>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</si>
  <si>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</si>
  <si>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</si>
  <si>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</si>
  <si>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</si>
  <si>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</si>
  <si>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</si>
  <si>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</si>
  <si>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</si>
  <si>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</si>
  <si>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</si>
  <si>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</si>
  <si>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</si>
  <si>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</si>
  <si>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</si>
  <si>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</si>
  <si>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</si>
  <si>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</si>
  <si>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</si>
  <si>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</si>
  <si>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</si>
  <si>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</si>
  <si>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</si>
  <si>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</si>
  <si>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</si>
  <si>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</si>
  <si>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</si>
  <si>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</si>
  <si>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</si>
  <si>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</si>
  <si>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</si>
  <si>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</si>
  <si>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</si>
  <si>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</si>
  <si>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</si>
  <si>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</si>
  <si>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</si>
  <si>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</si>
  <si>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</si>
  <si>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</si>
  <si>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</si>
  <si>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</si>
  <si>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</si>
  <si>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</si>
  <si>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</si>
  <si>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</si>
  <si>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</si>
  <si>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</si>
  <si>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</si>
  <si>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</si>
  <si>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</si>
  <si>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</si>
  <si>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</si>
  <si>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</si>
  <si>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</si>
  <si>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</si>
  <si>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</si>
  <si>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</si>
  <si>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</si>
  <si>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</si>
  <si>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</si>
  <si>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</si>
  <si>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</si>
  <si>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</si>
  <si>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</si>
  <si>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</si>
  <si>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</si>
  <si>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</si>
  <si>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</si>
  <si>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</si>
  <si>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</si>
  <si>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</si>
  <si>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</si>
  <si>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</si>
  <si>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</si>
  <si>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</si>
  <si>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</si>
  <si>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</si>
  <si>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</si>
  <si>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</si>
  <si>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</si>
  <si>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</si>
  <si>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</si>
  <si>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</si>
  <si>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</si>
  <si>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</si>
  <si>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</si>
  <si>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</si>
  <si>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</si>
  <si>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</si>
  <si>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</si>
  <si>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</si>
  <si>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</si>
  <si>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</si>
  <si>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</si>
  <si>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</si>
  <si>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</si>
  <si>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</si>
  <si>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</si>
  <si>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</si>
  <si>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</si>
  <si>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</si>
  <si>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</si>
  <si>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</si>
  <si>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FRANCISCO MORENO</t>
  </si>
  <si>
    <t>+569 9004 4098</t>
  </si>
  <si>
    <t>PR2</t>
  </si>
  <si>
    <t>PLATINUM  21059 SF</t>
  </si>
  <si>
    <t>LAMINAS</t>
  </si>
  <si>
    <t>SI</t>
  </si>
  <si>
    <t>5 DIAS HABILES</t>
  </si>
  <si>
    <t>N° 11782</t>
  </si>
  <si>
    <t>RUT : 77.054.606-0 CORREO: FRANCODONOSO@TOPMOBILI.CL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</si>
</sst>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20" zoomScale="93" zoomScaleNormal="93" workbookViewId="0">
      <selection activeCell="B38" sqref="B38"/>
    </sheetView>
  </sheetViews>
  <sheetFormatPr baseColWidth="10" defaultRowHeight="14.4" x14ac:dyDescent="0.3"/>
  <cols>
    <col min="1" max="1" width="6" customWidth="1"/>
    <col min="2" max="2" width="10.5546875" customWidth="1"/>
    <col min="3" max="3" width="34.21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45622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171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167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40" t="s">
        <v>164</v>
      </c>
      <c r="G17" s="340"/>
      <c r="H17" s="341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42" t="s">
        <v>95</v>
      </c>
      <c r="C19" s="343"/>
      <c r="D19" s="343"/>
      <c r="E19" s="343"/>
      <c r="F19" s="343"/>
      <c r="G19" s="343"/>
      <c r="H19" s="344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97669.982326824422</v>
      </c>
      <c r="R20" s="258">
        <v>2000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3</v>
      </c>
      <c r="C21" s="330" t="s">
        <v>168</v>
      </c>
      <c r="D21" s="331">
        <v>2.2000000000000002</v>
      </c>
      <c r="E21" s="331">
        <v>0.40699999999999997</v>
      </c>
      <c r="F21" s="330" t="s">
        <v>169</v>
      </c>
      <c r="G21" s="332">
        <v>92634</v>
      </c>
      <c r="H21" s="333">
        <f>G21*B21</f>
        <v>277902</v>
      </c>
      <c r="I21" s="320"/>
      <c r="J21" s="265"/>
      <c r="K21" s="47"/>
      <c r="L21" s="338">
        <f>B21</f>
        <v>3</v>
      </c>
      <c r="M21" s="339">
        <f>D21+M$19</f>
        <v>2.2800000000000002</v>
      </c>
      <c r="N21" s="339">
        <f>E21+$N$19</f>
        <v>0.40699999999999997</v>
      </c>
      <c r="O21" s="261">
        <f t="shared" ref="O21" si="1">M21*N21</f>
        <v>0.92796000000000001</v>
      </c>
      <c r="P21" s="259">
        <f t="shared" ref="P21" si="2">O21*L21</f>
        <v>2.7838799999999999</v>
      </c>
      <c r="Q21" s="252">
        <f t="shared" ref="Q21" si="3">Q$20*O21</f>
        <v>90633.83679999999</v>
      </c>
      <c r="R21" s="319">
        <f t="shared" ref="R21" si="4">Q21+R$20</f>
        <v>92633.83679999999</v>
      </c>
      <c r="S21" s="297">
        <f>L21*M21*2</f>
        <v>13.680000000000001</v>
      </c>
      <c r="T21" s="46">
        <f>N21*2*L21*2</f>
        <v>4.8839999999999995</v>
      </c>
      <c r="U21" s="9"/>
      <c r="X21" s="4"/>
    </row>
    <row r="22" spans="1:25" ht="17.399999999999999" x14ac:dyDescent="0.3">
      <c r="B22" s="335">
        <v>1</v>
      </c>
      <c r="C22" s="335" t="s">
        <v>170</v>
      </c>
      <c r="D22" s="336">
        <v>3.05</v>
      </c>
      <c r="E22" s="336">
        <v>1.22</v>
      </c>
      <c r="F22" s="335" t="s">
        <v>169</v>
      </c>
      <c r="G22" s="337">
        <v>36500</v>
      </c>
      <c r="H22" s="337">
        <f t="shared" ref="H22" si="5">G22*B22</f>
        <v>36500</v>
      </c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314402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4.8839999999999995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/>
      <c r="I26" s="322"/>
      <c r="J26" s="265"/>
      <c r="K26" s="47"/>
      <c r="L26" s="47"/>
      <c r="M26" s="39">
        <f>SUM(M21:M25)</f>
        <v>2.2800000000000002</v>
      </c>
      <c r="N26" s="12"/>
      <c r="O26" s="12"/>
      <c r="P26" s="253">
        <f>SUM(P21:P21)</f>
        <v>2.7838799999999999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314402</v>
      </c>
      <c r="I27" s="322"/>
      <c r="J27" s="265"/>
      <c r="K27" s="47"/>
      <c r="L27" s="47"/>
      <c r="M27" s="39"/>
      <c r="N27" s="12"/>
      <c r="O27" s="12"/>
      <c r="P27" s="253">
        <f>P26</f>
        <v>2.7838799999999999</v>
      </c>
      <c r="Q27" s="14"/>
      <c r="R27" s="12"/>
      <c r="S27" s="239">
        <f>SUM(S21:S26)</f>
        <v>13.680000000000001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0.55677600000000005</v>
      </c>
      <c r="Q28" s="39" t="s">
        <v>130</v>
      </c>
      <c r="R28" s="42"/>
      <c r="S28" s="240">
        <f>S27+T25</f>
        <v>18.564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3.3406560000000001</v>
      </c>
      <c r="Q29" s="14"/>
      <c r="R29" s="14"/>
      <c r="S29" s="238">
        <f>S28*20%</f>
        <v>3.7128000000000001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22.276800000000001</v>
      </c>
      <c r="T30" s="14"/>
      <c r="U30" s="302" t="s">
        <v>21</v>
      </c>
      <c r="V30" s="299" t="s">
        <v>151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3.3406560000000001</v>
      </c>
      <c r="N31" s="12">
        <v>3500</v>
      </c>
      <c r="O31" s="12">
        <f t="shared" ref="O31:O36" si="6">M31*N31</f>
        <v>11692.296</v>
      </c>
      <c r="P31" s="14" t="s">
        <v>21</v>
      </c>
      <c r="Q31" s="14"/>
      <c r="R31" s="14"/>
      <c r="S31" s="241"/>
      <c r="T31" s="14"/>
      <c r="U31" s="302" t="s">
        <v>152</v>
      </c>
      <c r="V31" s="299">
        <v>3625</v>
      </c>
      <c r="W31" s="59" t="s">
        <v>153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1</v>
      </c>
      <c r="N32" s="12">
        <v>45000</v>
      </c>
      <c r="O32" s="12">
        <f t="shared" si="6"/>
        <v>45000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154</v>
      </c>
      <c r="X32" s="304"/>
    </row>
    <row r="33" spans="2:24" s="230" customFormat="1" ht="17.399999999999999" x14ac:dyDescent="0.35">
      <c r="B33" s="24" t="s">
        <v>150</v>
      </c>
      <c r="J33" s="262"/>
      <c r="K33" s="232"/>
      <c r="L33" s="250"/>
      <c r="M33" s="14"/>
      <c r="N33" s="250">
        <v>71000</v>
      </c>
      <c r="O33" s="12">
        <f t="shared" si="6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155</v>
      </c>
      <c r="X33" s="59"/>
    </row>
    <row r="34" spans="2:24" s="230" customFormat="1" ht="17.399999999999999" x14ac:dyDescent="0.35">
      <c r="B34" s="24" t="s">
        <v>174</v>
      </c>
      <c r="C34"/>
      <c r="D34"/>
      <c r="E34"/>
      <c r="F34"/>
      <c r="J34" s="262"/>
      <c r="K34" s="232"/>
      <c r="L34" s="250"/>
      <c r="M34" s="14">
        <v>2</v>
      </c>
      <c r="N34" s="250">
        <v>28300</v>
      </c>
      <c r="O34" s="12">
        <f t="shared" si="6"/>
        <v>56600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6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/>
      <c r="N36" s="12">
        <v>1500</v>
      </c>
      <c r="O36" s="12">
        <f t="shared" si="6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113292.296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O37*2.4</f>
        <v>271901.51039999997</v>
      </c>
      <c r="P38" s="14" t="s">
        <v>140</v>
      </c>
      <c r="Q38" s="14"/>
      <c r="R38" s="40">
        <f>P29/R37</f>
        <v>0.90073770491803273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28500</v>
      </c>
      <c r="L39" s="250"/>
      <c r="M39" s="14"/>
      <c r="N39" s="12"/>
      <c r="O39" s="12">
        <f>O38/P27</f>
        <v>97669.982326824422</v>
      </c>
      <c r="P39" s="45" t="s">
        <v>24</v>
      </c>
      <c r="Q39" s="14"/>
      <c r="R39" s="14"/>
      <c r="S39"/>
      <c r="T39" s="238"/>
      <c r="U39" s="59" t="s">
        <v>157</v>
      </c>
      <c r="V39" s="299">
        <v>43650</v>
      </c>
    </row>
    <row r="40" spans="2:24" s="230" customFormat="1" ht="17.399999999999999" x14ac:dyDescent="0.35">
      <c r="G40"/>
      <c r="K40" s="230">
        <f>K39/1.19</f>
        <v>23949.579831932773</v>
      </c>
      <c r="L40" s="250"/>
      <c r="M40" s="13"/>
      <c r="N40" s="14"/>
      <c r="O40" s="17">
        <f>O38/O37</f>
        <v>2.4</v>
      </c>
      <c r="P40" s="15"/>
      <c r="Q40"/>
      <c r="R40"/>
      <c r="S40"/>
      <c r="T40" s="238"/>
      <c r="U40" s="59" t="s">
        <v>159</v>
      </c>
      <c r="V40" s="300" t="s">
        <v>158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160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45622</v>
      </c>
    </row>
    <row r="6" spans="2:31" ht="16.2" thickBot="1" x14ac:dyDescent="0.35">
      <c r="B6" s="140" t="s">
        <v>2</v>
      </c>
      <c r="C6" s="139" t="str">
        <f>'2229'!C10</f>
        <v>FRANCISCO MORENO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6" t="s">
        <v>98</v>
      </c>
      <c r="I7" s="347"/>
      <c r="J7" s="347"/>
      <c r="K7" s="348"/>
      <c r="N7" s="75"/>
      <c r="O7" s="345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11782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5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-28605.576966787441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314402</v>
      </c>
      <c r="E11" s="132">
        <f>D11*0.19</f>
        <v>59736.38</v>
      </c>
      <c r="F11" s="131">
        <f>E11+D11</f>
        <v>374138.38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77384.423033212559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86526.386787439609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59384.423033212559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227875.61321256039</v>
      </c>
      <c r="E13" s="221">
        <f>(D11/D12)-1</f>
        <v>2.6335967751936615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50384.423033212559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11384.423033212559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142768.53819927535</v>
      </c>
      <c r="F15" s="216">
        <f>E15-D12</f>
        <v>56242.151411835745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11384.423033212559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51384.423033212559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11692.296</v>
      </c>
      <c r="E20" s="121">
        <f>D20*0.19</f>
        <v>2221.5362399999999</v>
      </c>
      <c r="F20" s="120">
        <f>SUM(D20:E20)</f>
        <v>13913.83224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56692.296000000002</v>
      </c>
      <c r="E21" s="116">
        <f>SUM(E18:E20)</f>
        <v>10771.536239999999</v>
      </c>
      <c r="F21" s="115">
        <f>SUM(F18:F20)</f>
        <v>67463.832240000003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48964.843759999996</v>
      </c>
    </row>
    <row r="41" spans="2:16" ht="15" thickBot="1" x14ac:dyDescent="0.35">
      <c r="H41" s="349" t="s">
        <v>60</v>
      </c>
      <c r="I41" s="350"/>
      <c r="J41" s="350"/>
      <c r="K41" s="350"/>
      <c r="L41" s="350"/>
      <c r="M41" s="351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314402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56692.296000000002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227875.61321256039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227875.61321256039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2025-12-02T20:22:35Z</cp:lastPrinted>
  <dcterms:created xsi:type="dcterms:W3CDTF">2013-03-18T13:35:42Z</dcterms:created>
  <dcterms:modified xsi:type="dcterms:W3CDTF">2025-12-02T20:23:23Z</dcterms:modified>
</cp:coreProperties>
</file>