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796FFE0B-CF5E-4C5C-BCF3-A3B9B7E9D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G21" i="1" l="1"/>
  <c r="H21" i="1" s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<sst xmlns="http://schemas.openxmlformats.org/spreadsheetml/2006/main" count="487" uniqueCount="295">
  <si>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</si>
  <si>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</si>
  <si>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</si>
  <si>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</si>
  <si>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</si>
  <si>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</si>
  <si>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</si>
  <si>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</si>
  <si>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</si>
  <si>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</si>
  <si>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</si>
  <si>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</si>
  <si>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</si>
  <si>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</si>
  <si>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</si>
  <si>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</si>
  <si>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</si>
  <si>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</si>
  <si>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</si>
  <si>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</si>
  <si>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</si>
  <si>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</si>
  <si>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</si>
  <si>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</si>
  <si>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</si>
  <si>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</si>
  <si>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</si>
  <si>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</si>
  <si>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</si>
  <si>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</si>
  <si>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</si>
  <si>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</si>
  <si>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</si>
  <si>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</si>
  <si>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</si>
  <si>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</si>
  <si>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</si>
  <si>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</si>
  <si>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</si>
  <si>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</si>
  <si>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</si>
  <si>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</si>
  <si>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</si>
  <si>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</si>
  <si>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</si>
  <si>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</si>
  <si>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</si>
  <si>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</si>
  <si>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</si>
  <si>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</si>
  <si>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</si>
  <si>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</si>
  <si>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</si>
  <si>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</si>
  <si>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</si>
  <si>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</si>
  <si>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</si>
  <si>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</si>
  <si>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</si>
  <si>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</si>
  <si>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</si>
  <si>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</si>
  <si>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</si>
  <si>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</si>
  <si>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</si>
  <si>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</si>
  <si>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</si>
  <si>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</si>
  <si>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</si>
  <si>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</si>
  <si>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</si>
  <si>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</si>
  <si>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</si>
  <si>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</si>
  <si>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</si>
  <si>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</si>
  <si>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</si>
  <si>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</si>
  <si>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</si>
  <si>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</si>
  <si>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</si>
  <si>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</si>
  <si>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</si>
  <si>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</si>
  <si>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</si>
  <si>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</si>
  <si>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</si>
  <si>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</si>
  <si>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</si>
  <si>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</si>
  <si>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</si>
  <si>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</si>
  <si>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</si>
  <si>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</si>
  <si>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</si>
  <si>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</si>
  <si>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</si>
  <si>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</si>
  <si>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</si>
  <si>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</si>
  <si>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</si>
  <si>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</si>
  <si>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</si>
  <si>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</si>
  <si>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</si>
  <si>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</si>
  <si>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</si>
  <si>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</si>
  <si>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</si>
  <si>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</si>
  <si>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</si>
  <si>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</si>
  <si>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</si>
  <si>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</si>
  <si>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</si>
  <si>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</si>
  <si>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</si>
  <si>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</si>
  <si>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</si>
  <si>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</si>
  <si>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</si>
  <si>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</si>
  <si>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</si>
  <si>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</si>
  <si>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</si>
  <si>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</si>
  <si>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</si>
  <si>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</si>
  <si>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</si>
  <si>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</si>
  <si>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</si>
  <si>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</si>
  <si>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</si>
  <si>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</si>
  <si>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</si>
  <si>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</si>
  <si>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</si>
  <si>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</si>
  <si>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</si>
  <si>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</si>
  <si>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</si>
  <si>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</si>
  <si>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</si>
  <si>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</si>
  <si>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</si>
  <si>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</si>
  <si>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</si>
  <si>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</si>
  <si>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</si>
  <si>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</si>
  <si>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</si>
  <si>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</si>
  <si>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</si>
  <si>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</si>
  <si>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</si>
  <si>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</si>
  <si>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</si>
  <si>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</si>
  <si>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</si>
  <si>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</si>
  <si>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</si>
  <si>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</si>
  <si>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</si>
  <si>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</si>
  <si>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</si>
  <si>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</si>
  <si>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</si>
  <si>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</si>
  <si>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</si>
  <si>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</si>
  <si>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</si>
  <si>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</si>
  <si>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</si>
  <si>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</si>
  <si>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</si>
  <si>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</si>
  <si>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</si>
  <si>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</si>
  <si>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</si>
  <si>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</si>
  <si>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</si>
  <si>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</si>
  <si>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</si>
  <si>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</si>
  <si>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</si>
  <si>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</si>
  <si>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</si>
  <si>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</si>
  <si>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</si>
  <si>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</si>
  <si>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</si>
  <si>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</si>
  <si>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</si>
  <si>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</si>
  <si>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</si>
  <si>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</si>
  <si>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</si>
  <si>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</si>
  <si>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</si>
  <si>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</si>
  <si>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</si>
  <si>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</si>
  <si>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</si>
  <si>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</si>
  <si>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</si>
  <si>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</si>
  <si>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</si>
  <si>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</si>
  <si>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</si>
  <si>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</si>
  <si>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</si>
  <si>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</si>
  <si>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</si>
  <si>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</si>
  <si>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</si>
  <si>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</si>
  <si>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</si>
  <si>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</si>
  <si>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</si>
  <si>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</si>
  <si>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</si>
  <si>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</si>
  <si>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</si>
  <si>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</si>
  <si>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</si>
  <si>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</si>
  <si>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</si>
  <si>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</si>
  <si>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</si>
  <si>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</si>
  <si>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</si>
  <si>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</si>
  <si>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</si>
  <si>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</si>
  <si>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</si>
  <si>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</si>
  <si>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</si>
  <si>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</si>
  <si>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</si>
  <si>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</si>
  <si>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</si>
  <si>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</si>
  <si>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</si>
  <si>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</si>
  <si>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</si>
  <si>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</si>
  <si>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</si>
  <si>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</si>
  <si>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</si>
  <si>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</si>
  <si>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</si>
  <si>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</si>
  <si>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</si>
  <si>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</si>
  <si>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</si>
  <si>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</si>
  <si>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</si>
  <si>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</si>
  <si>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</si>
  <si>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</si>
  <si>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</si>
  <si>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</si>
  <si>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</si>
  <si>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</si>
  <si>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</si>
  <si>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</si>
  <si>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</si>
  <si>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</si>
  <si>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</si>
  <si>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</si>
  <si>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</si>
  <si>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</si>
  <si>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</si>
  <si>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</si>
  <si>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</si>
  <si>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</si>
  <si>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</si>
  <si>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</si>
  <si>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</si>
  <si>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</si>
  <si>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</si>
  <si>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</si>
  <si>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</si>
  <si>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</si>
  <si>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</si>
  <si>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</si>
  <si>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</si>
  <si>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</si>
  <si>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CUB CON RESPALDO 90°</t>
  </si>
  <si>
    <t>MUEBLES FORD</t>
  </si>
  <si>
    <t>ENRIQUE FORD</t>
  </si>
  <si>
    <t>+569 8293 1990</t>
  </si>
  <si>
    <t>GRANITO KOMBI 0670 BR F6</t>
  </si>
  <si>
    <t>N° 11795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</si>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</sst>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8" t="s">
        <v>125</v>
      </c>
      <c r="C8" s="409"/>
      <c r="D8" s="410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289</v>
      </c>
      <c r="D10" s="243"/>
      <c r="E10" s="243"/>
      <c r="F10" s="419" t="s">
        <v>278</v>
      </c>
      <c r="G10" s="275">
        <v>46000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0" t="s">
        <v>12</v>
      </c>
      <c r="C11" s="421"/>
      <c r="F11" s="29" t="s">
        <v>287</v>
      </c>
      <c r="G11" s="422" t="s">
        <v>294</v>
      </c>
      <c r="H11" s="423"/>
      <c r="Q11" s="19"/>
      <c r="R11" s="25" t="s">
        <v>18</v>
      </c>
      <c r="S11" s="19"/>
    </row>
    <row r="12" spans="2:24" x14ac:dyDescent="0.3">
      <c r="B12" s="245" t="s">
        <v>142</v>
      </c>
      <c r="C12" s="418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0" t="s">
        <v>143</v>
      </c>
      <c r="C13" t="s">
        <v>290</v>
      </c>
      <c r="F13" s="29" t="s">
        <v>134</v>
      </c>
      <c r="G13" s="424" t="s">
        <v>133</v>
      </c>
      <c r="H13" s="423"/>
      <c r="Q13" s="19"/>
      <c r="R13" s="25"/>
      <c r="S13" s="19"/>
    </row>
    <row r="14" spans="2:24" x14ac:dyDescent="0.3">
      <c r="B14" s="245" t="s">
        <v>137</v>
      </c>
      <c r="C14" s="430"/>
      <c r="D14" s="246"/>
      <c r="E14" s="246"/>
      <c r="F14" s="302" t="s">
        <v>286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0" t="s">
        <v>4</v>
      </c>
      <c r="C15" s="425" t="s">
        <v>291</v>
      </c>
      <c r="D15" s="426"/>
      <c r="F15" s="29" t="s">
        <v>285</v>
      </c>
      <c r="G15" s="75" t="s">
        <v>133</v>
      </c>
      <c r="H15" s="423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7" t="s">
        <v>13</v>
      </c>
      <c r="C17" s="300" t="s">
        <v>162</v>
      </c>
      <c r="D17" s="301"/>
      <c r="E17" s="119"/>
      <c r="F17" s="428" t="s">
        <v>180</v>
      </c>
      <c r="G17" s="428" t="s">
        <v>181</v>
      </c>
      <c r="H17" s="429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1" t="s">
        <v>7</v>
      </c>
      <c r="C20" s="412" t="s">
        <v>1</v>
      </c>
      <c r="D20" s="412" t="s">
        <v>10</v>
      </c>
      <c r="E20" s="412" t="s">
        <v>11</v>
      </c>
      <c r="F20" s="412" t="s">
        <v>8</v>
      </c>
      <c r="G20" s="412" t="s">
        <v>5</v>
      </c>
      <c r="H20" s="4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76204.912280701756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</v>
      </c>
      <c r="C21" s="431" t="s">
        <v>288</v>
      </c>
      <c r="D21" s="432">
        <v>2.2000000000000002</v>
      </c>
      <c r="E21" s="432">
        <v>0.55000000000000004</v>
      </c>
      <c r="F21" s="431" t="s">
        <v>292</v>
      </c>
      <c r="G21" s="433">
        <f>R21</f>
        <v>98560.960000000021</v>
      </c>
      <c r="H21" s="433">
        <f>G21*B21</f>
        <v>98560.960000000021</v>
      </c>
      <c r="I21" s="307"/>
      <c r="J21" s="264"/>
      <c r="K21" s="47"/>
      <c r="L21" s="47">
        <f>B21</f>
        <v>1</v>
      </c>
      <c r="M21" s="39">
        <f>D21+M$19</f>
        <v>2.2800000000000002</v>
      </c>
      <c r="N21" s="39">
        <f>E21+$N$19</f>
        <v>0.55000000000000004</v>
      </c>
      <c r="O21" s="260">
        <f t="shared" ref="O21" si="0">M21*N21</f>
        <v>1.2540000000000002</v>
      </c>
      <c r="P21" s="258">
        <f t="shared" ref="P21" si="1">O21*L21</f>
        <v>1.2540000000000002</v>
      </c>
      <c r="Q21" s="251">
        <f t="shared" ref="Q21" si="2">Q$20*O21</f>
        <v>95560.960000000021</v>
      </c>
      <c r="R21" s="306">
        <f t="shared" ref="R21" si="3">Q21+R$20</f>
        <v>98560.960000000021</v>
      </c>
      <c r="S21" s="291">
        <f>L21*M21*2</f>
        <v>4.5600000000000005</v>
      </c>
      <c r="T21" s="46">
        <f>N21*2*L21*2</f>
        <v>2.2000000000000002</v>
      </c>
      <c r="U21" s="9"/>
      <c r="X21" s="4"/>
    </row>
    <row r="22" spans="1:25" ht="17.399999999999999" x14ac:dyDescent="0.3">
      <c r="B22" s="284"/>
      <c r="C22" s="284"/>
      <c r="D22" s="285"/>
      <c r="E22" s="285"/>
      <c r="F22" s="284"/>
      <c r="G22" s="307"/>
      <c r="H22" s="307"/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7.399999999999999" x14ac:dyDescent="0.3">
      <c r="B23" s="284"/>
      <c r="C23" s="284"/>
      <c r="D23" s="285"/>
      <c r="E23" s="285"/>
      <c r="F23" s="284"/>
      <c r="G23" s="307"/>
      <c r="H23" s="307"/>
      <c r="I23" s="307"/>
      <c r="J23" s="264"/>
      <c r="K23" s="47"/>
      <c r="L23" s="47"/>
      <c r="M23" s="39"/>
      <c r="N23" s="39"/>
      <c r="O23" s="260"/>
      <c r="P23" s="258"/>
      <c r="Q23" s="251"/>
      <c r="R23" s="306"/>
      <c r="S23" s="291"/>
      <c r="T23" s="46"/>
      <c r="U23" s="9"/>
      <c r="X23" s="4"/>
    </row>
    <row r="24" spans="1:25" ht="18" thickBot="1" x14ac:dyDescent="0.35">
      <c r="B24" s="284"/>
      <c r="C24" s="284"/>
      <c r="D24" s="285"/>
      <c r="E24" s="285"/>
      <c r="F24" s="284"/>
      <c r="G24" s="264"/>
      <c r="H24" s="308"/>
      <c r="I24" s="310"/>
      <c r="J24" s="233"/>
      <c r="K24" s="47"/>
      <c r="L24" s="47"/>
      <c r="M24" s="39"/>
      <c r="N24" s="39"/>
      <c r="O24" s="260"/>
      <c r="P24" s="258"/>
      <c r="Q24" s="251"/>
      <c r="R24" s="257"/>
      <c r="S24" s="291"/>
      <c r="T24" s="14"/>
      <c r="U24" s="9"/>
      <c r="X24" s="4"/>
    </row>
    <row r="25" spans="1:25" ht="17.399999999999999" x14ac:dyDescent="0.3">
      <c r="B25" s="284"/>
      <c r="C25" s="284"/>
      <c r="D25" s="285"/>
      <c r="E25" s="285"/>
      <c r="F25" s="284"/>
      <c r="G25" s="311" t="s">
        <v>28</v>
      </c>
      <c r="H25" s="312">
        <f>SUM(H21:H24)</f>
        <v>98560.960000000021</v>
      </c>
      <c r="I25" s="309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1"/>
      <c r="T25" s="46">
        <f>SUM(T21:T24)</f>
        <v>2.2000000000000002</v>
      </c>
      <c r="U25" s="9"/>
      <c r="X25" s="4"/>
    </row>
    <row r="26" spans="1:25" ht="17.399999999999999" x14ac:dyDescent="0.3">
      <c r="B26" s="278"/>
      <c r="C26" s="281"/>
      <c r="D26" s="282"/>
      <c r="E26" s="282"/>
      <c r="F26" s="283"/>
      <c r="G26" s="290" t="s">
        <v>51</v>
      </c>
      <c r="H26" s="288">
        <f>H25*19%</f>
        <v>18726.582400000003</v>
      </c>
      <c r="I26" s="309"/>
      <c r="J26" s="264"/>
      <c r="K26" s="47"/>
      <c r="L26" s="47"/>
      <c r="M26" s="39">
        <f>SUM(M21:M25)</f>
        <v>2.2800000000000002</v>
      </c>
      <c r="N26" s="12"/>
      <c r="O26" s="12"/>
      <c r="P26" s="252">
        <f>SUM(P21:P21)</f>
        <v>1.2540000000000002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80"/>
      <c r="D27" s="271"/>
      <c r="E27" s="271"/>
      <c r="F27" s="272"/>
      <c r="G27" s="279" t="s">
        <v>6</v>
      </c>
      <c r="H27" s="289">
        <f>H25+H26</f>
        <v>117287.54240000002</v>
      </c>
      <c r="I27" s="309"/>
      <c r="J27" s="264"/>
      <c r="K27" s="47"/>
      <c r="L27" s="47"/>
      <c r="M27" s="39"/>
      <c r="N27" s="12"/>
      <c r="O27" s="12"/>
      <c r="P27" s="252">
        <f>P26</f>
        <v>1.2540000000000002</v>
      </c>
      <c r="Q27" s="14"/>
      <c r="R27" s="12"/>
      <c r="S27" s="239">
        <f>SUM(S21:S26)</f>
        <v>4.5600000000000005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0.25080000000000008</v>
      </c>
      <c r="Q28" s="39" t="s">
        <v>129</v>
      </c>
      <c r="R28" s="42"/>
      <c r="S28" s="240">
        <f>S27+T25</f>
        <v>6.7600000000000007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1.5048000000000004</v>
      </c>
      <c r="Q29" s="14"/>
      <c r="R29" s="14"/>
      <c r="S29" s="238">
        <f>S28*20%</f>
        <v>1.3520000000000003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8.1120000000000019</v>
      </c>
      <c r="T30" s="14"/>
      <c r="U30" s="295" t="s">
        <v>21</v>
      </c>
      <c r="V30" s="292" t="s">
        <v>149</v>
      </c>
      <c r="W30" s="296">
        <v>44971</v>
      </c>
      <c r="X30" s="297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1.5048000000000004</v>
      </c>
      <c r="N31" s="12">
        <v>3500</v>
      </c>
      <c r="O31" s="12">
        <f t="shared" ref="O31:O36" si="4">M31*N31</f>
        <v>5266.8000000000011</v>
      </c>
      <c r="P31" s="14" t="s">
        <v>21</v>
      </c>
      <c r="Q31" s="14"/>
      <c r="R31" s="14"/>
      <c r="S31" s="241"/>
      <c r="T31" s="14"/>
      <c r="U31" s="295" t="s">
        <v>150</v>
      </c>
      <c r="V31" s="292">
        <v>3625</v>
      </c>
      <c r="W31" s="59" t="s">
        <v>151</v>
      </c>
      <c r="X31" s="297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0.5</v>
      </c>
      <c r="N32" s="12">
        <v>23500</v>
      </c>
      <c r="O32" s="12">
        <f t="shared" si="4"/>
        <v>11750</v>
      </c>
      <c r="P32" s="39" t="s">
        <v>31</v>
      </c>
      <c r="Q32" s="42"/>
      <c r="R32" s="14"/>
      <c r="S32" s="240"/>
      <c r="T32" s="14"/>
      <c r="U32" s="295"/>
      <c r="V32" s="59">
        <v>906.25</v>
      </c>
      <c r="W32" s="59" t="s">
        <v>152</v>
      </c>
      <c r="X32" s="297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71000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7" t="s">
        <v>153</v>
      </c>
      <c r="X33" s="59"/>
    </row>
    <row r="34" spans="1:24" s="230" customFormat="1" ht="17.399999999999999" x14ac:dyDescent="0.35">
      <c r="B34" s="24" t="s">
        <v>163</v>
      </c>
      <c r="C34"/>
      <c r="D34"/>
      <c r="E34"/>
      <c r="F34"/>
      <c r="J34" s="261"/>
      <c r="K34" s="232">
        <v>55000</v>
      </c>
      <c r="L34" s="249"/>
      <c r="M34" s="14">
        <v>1</v>
      </c>
      <c r="N34" s="249">
        <v>23000</v>
      </c>
      <c r="O34" s="12">
        <f t="shared" si="4"/>
        <v>23000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7" t="s">
        <v>154</v>
      </c>
      <c r="X34" s="59"/>
    </row>
    <row r="35" spans="1:24" s="230" customFormat="1" ht="17.399999999999999" x14ac:dyDescent="0.35">
      <c r="A35" s="230" t="s">
        <v>284</v>
      </c>
      <c r="B35" s="29" t="s">
        <v>124</v>
      </c>
      <c r="C35"/>
      <c r="D35"/>
      <c r="E35"/>
      <c r="F35" s="229" t="s">
        <v>15</v>
      </c>
      <c r="J35" s="261"/>
      <c r="K35" s="259">
        <f>K34*2</f>
        <v>110000</v>
      </c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7"/>
      <c r="K36" s="259"/>
      <c r="L36" s="249"/>
      <c r="M36" s="265">
        <v>2.2799999999999998</v>
      </c>
      <c r="N36" s="12">
        <v>1500</v>
      </c>
      <c r="O36" s="12">
        <f t="shared" si="4"/>
        <v>3419.9999999999995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43436.800000000003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95560.960000000021</v>
      </c>
      <c r="P38" s="14" t="s">
        <v>138</v>
      </c>
      <c r="Q38" s="14"/>
      <c r="R38" s="40">
        <f>P29/R37</f>
        <v>0.40573770491803285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65450</v>
      </c>
      <c r="L39" s="249"/>
      <c r="M39" s="14"/>
      <c r="N39" s="12"/>
      <c r="O39" s="12">
        <f>O38/P27</f>
        <v>76204.912280701756</v>
      </c>
      <c r="P39" s="45" t="s">
        <v>24</v>
      </c>
      <c r="Q39" s="14"/>
      <c r="R39" s="14"/>
      <c r="S39"/>
      <c r="T39" s="238"/>
      <c r="U39" s="59" t="s">
        <v>155</v>
      </c>
      <c r="V39" s="292">
        <v>43650</v>
      </c>
    </row>
    <row r="40" spans="1:24" s="230" customFormat="1" ht="17.399999999999999" x14ac:dyDescent="0.35">
      <c r="G40"/>
      <c r="K40" s="230">
        <f>K39/1.19</f>
        <v>55000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3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4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46000</v>
      </c>
    </row>
    <row r="6" spans="2:31" ht="16.2" thickBot="1" x14ac:dyDescent="0.35">
      <c r="B6" s="140" t="s">
        <v>2</v>
      </c>
      <c r="C6" s="139" t="str">
        <f>'2229'!C10</f>
        <v>MUEBLES FORD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-3542.8317001207761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98560.960000000021</v>
      </c>
      <c r="E11" s="132">
        <f>D11*0.19</f>
        <v>18726.582400000003</v>
      </c>
      <c r="F11" s="131">
        <f>E11+D11</f>
        <v>117287.54240000002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102447.16829987922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46850.890787439617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84447.168299879224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51710.069212560404</v>
      </c>
      <c r="E13" s="221">
        <f>(D11/D12)-1</f>
        <v>1.1037158172118149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75447.168299879224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36447.168299879224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77303.969799275364</v>
      </c>
      <c r="F15" s="216">
        <f>E15-D12</f>
        <v>30453.079011835747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36447.168299879224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76447.168299879224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5266.8000000000011</v>
      </c>
      <c r="E20" s="121">
        <f>D20*0.19</f>
        <v>1000.6920000000002</v>
      </c>
      <c r="F20" s="120">
        <f>SUM(D20:E20)</f>
        <v>6267.4920000000011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17016.800000000003</v>
      </c>
      <c r="E21" s="116">
        <f>SUM(E18:E20)</f>
        <v>3233.192</v>
      </c>
      <c r="F21" s="115">
        <f>SUM(F18:F20)</f>
        <v>20249.992000000002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15493.390400000004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98560.960000000021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17016.800000000003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51710.069212560404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51710.069212560404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6" t="s">
        <v>125</v>
      </c>
      <c r="C8" s="317"/>
      <c r="D8" s="318" t="str">
        <f>'2229'!D8</f>
        <v>N° 11795</v>
      </c>
      <c r="E8" s="138"/>
      <c r="F8" s="319" t="s">
        <v>166</v>
      </c>
      <c r="G8" s="32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0" t="s">
        <v>167</v>
      </c>
      <c r="C10" s="351" t="str">
        <f>IF('2229'!C10="","",'2229'!C10)</f>
        <v>MUEBLES FORD</v>
      </c>
      <c r="D10" s="351"/>
      <c r="E10" s="351"/>
      <c r="F10" s="352" t="s">
        <v>168</v>
      </c>
      <c r="G10" s="353">
        <f>'2229'!G10</f>
        <v>46000</v>
      </c>
      <c r="H10" s="354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0" t="s">
        <v>12</v>
      </c>
      <c r="C11" s="246" t="str">
        <f>IF('2229'!C11="","",'2229'!C11)</f>
        <v/>
      </c>
      <c r="D11" s="346"/>
      <c r="E11" s="346"/>
      <c r="F11" s="346" t="s">
        <v>169</v>
      </c>
      <c r="G11" s="341">
        <f>WORKDAY(G10,5)</f>
        <v>46007</v>
      </c>
      <c r="H11" s="342"/>
      <c r="I11" s="138"/>
    </row>
    <row r="12" spans="1:17" ht="15.6" x14ac:dyDescent="0.3">
      <c r="A12" s="138"/>
      <c r="B12" s="355" t="s">
        <v>170</v>
      </c>
      <c r="C12" s="356" t="str">
        <f>IF('2229'!C12="","",'2229'!C12)</f>
        <v/>
      </c>
      <c r="D12" s="356"/>
      <c r="E12" s="356"/>
      <c r="F12" s="356" t="s">
        <v>182</v>
      </c>
      <c r="G12" s="356" t="str">
        <f>'2229'!G14</f>
        <v>NO</v>
      </c>
      <c r="H12" s="357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ENRIQUE FORD</v>
      </c>
      <c r="D13" s="246"/>
      <c r="E13" s="246"/>
      <c r="F13" s="246" t="s">
        <v>171</v>
      </c>
      <c r="G13" s="347"/>
      <c r="H13" s="247"/>
      <c r="I13" s="138"/>
    </row>
    <row r="14" spans="1:17" ht="15.6" x14ac:dyDescent="0.3">
      <c r="A14" s="138"/>
      <c r="B14" s="355" t="s">
        <v>137</v>
      </c>
      <c r="C14" s="356" t="str">
        <f>IF('2229'!C14="","",'2229'!C14)</f>
        <v/>
      </c>
      <c r="D14" s="356"/>
      <c r="E14" s="356"/>
      <c r="F14" s="356" t="s">
        <v>172</v>
      </c>
      <c r="G14" s="358" t="s">
        <v>173</v>
      </c>
      <c r="H14" s="357"/>
      <c r="I14" s="138"/>
    </row>
    <row r="15" spans="1:17" ht="15.6" x14ac:dyDescent="0.3">
      <c r="A15" s="138"/>
      <c r="B15" s="340" t="s">
        <v>4</v>
      </c>
      <c r="C15" s="246" t="str">
        <f>IF('2229'!C15="","",'2229'!C15)</f>
        <v>+569 8293 1990</v>
      </c>
      <c r="D15" s="348"/>
      <c r="E15" s="346"/>
      <c r="F15" s="346" t="s">
        <v>174</v>
      </c>
      <c r="G15" s="346" t="str">
        <f>'2229'!G12</f>
        <v>NO</v>
      </c>
      <c r="H15" s="342"/>
      <c r="I15" s="138"/>
    </row>
    <row r="16" spans="1:17" ht="15.6" x14ac:dyDescent="0.3">
      <c r="A16" s="138"/>
      <c r="B16" s="355" t="s">
        <v>3</v>
      </c>
      <c r="C16" s="356" t="str">
        <f>IF('2229'!C16="","",'2229'!C16)</f>
        <v/>
      </c>
      <c r="D16" s="356"/>
      <c r="E16" s="356"/>
      <c r="F16" s="356" t="s">
        <v>175</v>
      </c>
      <c r="G16" s="356" t="str">
        <f>'2229'!G16</f>
        <v>ABONO 50% SALDO C/ENTREGA</v>
      </c>
      <c r="H16" s="357"/>
      <c r="I16" s="138"/>
    </row>
    <row r="17" spans="1:16" ht="16.2" thickBot="1" x14ac:dyDescent="0.35">
      <c r="A17" s="138"/>
      <c r="B17" s="343" t="s">
        <v>13</v>
      </c>
      <c r="C17" s="349" t="str">
        <f>IF('2229'!C17="","",'2229'!C17)</f>
        <v>SANTIAGO</v>
      </c>
      <c r="D17" s="344"/>
      <c r="E17" s="345"/>
      <c r="F17" s="444" t="s">
        <v>176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177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9" t="s">
        <v>7</v>
      </c>
      <c r="C21" s="360" t="s">
        <v>1</v>
      </c>
      <c r="D21" s="360" t="s">
        <v>10</v>
      </c>
      <c r="E21" s="360" t="s">
        <v>11</v>
      </c>
      <c r="F21" s="361" t="s">
        <v>8</v>
      </c>
      <c r="G21" s="359" t="s">
        <v>5</v>
      </c>
      <c r="H21" s="361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CON RESPALDO 90°</v>
      </c>
      <c r="D22" s="322">
        <f>'2229'!D21*1000</f>
        <v>2200</v>
      </c>
      <c r="E22" s="322">
        <f>'2229'!E21*1000</f>
        <v>550</v>
      </c>
      <c r="F22" s="323" t="str">
        <f>'2229'!F21</f>
        <v>GRANITO KOMBI 0670 BR F6</v>
      </c>
      <c r="G22" s="315">
        <f>'2229'!G21</f>
        <v>98560.960000000021</v>
      </c>
      <c r="H22" s="324">
        <f>G22*B22</f>
        <v>98560.960000000021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5"/>
      <c r="H23" s="325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6"/>
      <c r="G24" s="325"/>
      <c r="H24" s="325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8" t="s">
        <v>28</v>
      </c>
      <c r="H25" s="329">
        <f>SUM(H22:H24)</f>
        <v>98560.960000000021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0" t="s">
        <v>29</v>
      </c>
      <c r="H26" s="331">
        <f>H25*19%</f>
        <v>18726.582400000003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2" t="s">
        <v>6</v>
      </c>
      <c r="H27" s="333">
        <f>H25+H26</f>
        <v>117287.54240000002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4"/>
      <c r="H28" s="33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6" t="s">
        <v>178</v>
      </c>
      <c r="C30" s="337"/>
      <c r="D30" s="338"/>
      <c r="E30" s="338"/>
      <c r="F30" s="327"/>
      <c r="G30" s="138"/>
      <c r="H30" s="138"/>
      <c r="I30" s="138"/>
    </row>
    <row r="31" spans="1:16" ht="15.6" x14ac:dyDescent="0.3">
      <c r="A31" s="138"/>
      <c r="B31" s="336" t="s">
        <v>179</v>
      </c>
      <c r="C31" s="337"/>
      <c r="D31" s="338"/>
      <c r="E31" s="338"/>
      <c r="F31" s="327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183</v>
      </c>
      <c r="C2" s="449"/>
      <c r="D2" s="449"/>
      <c r="E2" s="362"/>
      <c r="G2" s="449" t="s">
        <v>184</v>
      </c>
      <c r="H2" s="449"/>
      <c r="I2" s="449"/>
      <c r="P2" s="450" t="s">
        <v>185</v>
      </c>
      <c r="Q2" s="450"/>
      <c r="R2" s="450"/>
    </row>
    <row r="3" spans="2:18" x14ac:dyDescent="0.3">
      <c r="B3" s="364" t="s">
        <v>130</v>
      </c>
      <c r="C3" s="364" t="s">
        <v>11</v>
      </c>
      <c r="D3" s="364" t="s">
        <v>1</v>
      </c>
      <c r="E3" s="365"/>
      <c r="G3" s="364" t="s">
        <v>130</v>
      </c>
      <c r="H3" s="364" t="s">
        <v>11</v>
      </c>
      <c r="I3" s="364" t="s">
        <v>1</v>
      </c>
      <c r="P3" s="364" t="s">
        <v>130</v>
      </c>
      <c r="Q3" s="364" t="s">
        <v>11</v>
      </c>
      <c r="R3" s="364" t="s">
        <v>1</v>
      </c>
    </row>
    <row r="4" spans="2:18" x14ac:dyDescent="0.3">
      <c r="B4" s="366">
        <v>40</v>
      </c>
      <c r="C4" s="366">
        <v>60</v>
      </c>
      <c r="D4" s="367" t="s">
        <v>186</v>
      </c>
      <c r="E4" s="246" t="s">
        <v>187</v>
      </c>
      <c r="G4" s="363">
        <v>50</v>
      </c>
      <c r="H4" s="363">
        <v>100</v>
      </c>
      <c r="I4" s="368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6">
        <v>40</v>
      </c>
      <c r="C5" s="366">
        <v>90</v>
      </c>
      <c r="D5" s="367" t="s">
        <v>190</v>
      </c>
      <c r="E5" s="246" t="s">
        <v>191</v>
      </c>
      <c r="G5" s="363">
        <v>50</v>
      </c>
      <c r="H5" s="363"/>
      <c r="I5" s="368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6">
        <v>40</v>
      </c>
      <c r="C6" s="366">
        <v>100</v>
      </c>
      <c r="D6" s="367" t="s">
        <v>194</v>
      </c>
      <c r="E6" s="246" t="s">
        <v>195</v>
      </c>
      <c r="G6" s="366">
        <v>50</v>
      </c>
      <c r="H6" s="366">
        <v>100</v>
      </c>
      <c r="I6" s="367" t="s">
        <v>194</v>
      </c>
      <c r="P6">
        <v>50</v>
      </c>
      <c r="Q6">
        <v>-30</v>
      </c>
      <c r="R6" t="s">
        <v>196</v>
      </c>
    </row>
    <row r="7" spans="2:18" x14ac:dyDescent="0.3">
      <c r="B7" s="366">
        <v>40</v>
      </c>
      <c r="C7" s="366">
        <v>150</v>
      </c>
      <c r="D7" s="367" t="s">
        <v>197</v>
      </c>
      <c r="E7" s="246" t="s">
        <v>198</v>
      </c>
      <c r="G7" s="366">
        <v>50</v>
      </c>
      <c r="H7" s="366"/>
      <c r="I7" s="367" t="s">
        <v>197</v>
      </c>
      <c r="P7">
        <v>50</v>
      </c>
      <c r="Q7">
        <v>-30</v>
      </c>
      <c r="R7" t="s">
        <v>199</v>
      </c>
    </row>
    <row r="8" spans="2:18" x14ac:dyDescent="0.3">
      <c r="B8" s="366">
        <v>40</v>
      </c>
      <c r="C8" s="366">
        <v>100</v>
      </c>
      <c r="D8" s="367" t="s">
        <v>200</v>
      </c>
      <c r="E8" s="246" t="s">
        <v>201</v>
      </c>
      <c r="G8" s="366">
        <v>50</v>
      </c>
      <c r="H8" s="366">
        <v>100</v>
      </c>
      <c r="I8" s="367" t="s">
        <v>200</v>
      </c>
      <c r="L8" s="450" t="s">
        <v>185</v>
      </c>
      <c r="M8" s="450"/>
      <c r="N8" s="450"/>
      <c r="P8">
        <v>50</v>
      </c>
      <c r="Q8">
        <v>-30</v>
      </c>
      <c r="R8" t="s">
        <v>202</v>
      </c>
    </row>
    <row r="9" spans="2:18" x14ac:dyDescent="0.3">
      <c r="B9" s="366">
        <v>40</v>
      </c>
      <c r="C9" s="366">
        <v>50</v>
      </c>
      <c r="D9" s="367" t="s">
        <v>203</v>
      </c>
      <c r="E9" s="246" t="s">
        <v>204</v>
      </c>
      <c r="G9" s="366">
        <v>50</v>
      </c>
      <c r="H9" s="366">
        <v>100</v>
      </c>
      <c r="I9" s="367" t="s">
        <v>205</v>
      </c>
      <c r="L9" s="364" t="s">
        <v>130</v>
      </c>
      <c r="M9" s="364" t="s">
        <v>11</v>
      </c>
      <c r="N9" s="364" t="s">
        <v>1</v>
      </c>
      <c r="P9">
        <v>50</v>
      </c>
      <c r="Q9">
        <v>0</v>
      </c>
      <c r="R9" t="s">
        <v>206</v>
      </c>
    </row>
    <row r="10" spans="2:18" x14ac:dyDescent="0.3">
      <c r="B10" s="366">
        <v>40</v>
      </c>
      <c r="C10" s="366">
        <v>80</v>
      </c>
      <c r="D10" s="367" t="s">
        <v>207</v>
      </c>
      <c r="E10" s="246" t="s">
        <v>208</v>
      </c>
      <c r="G10" s="366">
        <v>50</v>
      </c>
      <c r="H10" s="366"/>
      <c r="I10" s="367" t="s">
        <v>209</v>
      </c>
      <c r="L10" s="366">
        <v>50</v>
      </c>
      <c r="M10" s="366">
        <v>-30</v>
      </c>
      <c r="N10" s="367" t="s">
        <v>189</v>
      </c>
      <c r="P10">
        <v>50</v>
      </c>
      <c r="Q10">
        <v>0</v>
      </c>
      <c r="R10" t="s">
        <v>210</v>
      </c>
    </row>
    <row r="11" spans="2:18" x14ac:dyDescent="0.3">
      <c r="B11" s="366">
        <v>40</v>
      </c>
      <c r="C11" s="366">
        <v>60</v>
      </c>
      <c r="D11" s="367" t="s">
        <v>211</v>
      </c>
      <c r="E11" s="246" t="s">
        <v>212</v>
      </c>
      <c r="G11" s="366">
        <v>50</v>
      </c>
      <c r="H11" s="366">
        <v>100</v>
      </c>
      <c r="I11" s="367" t="s">
        <v>203</v>
      </c>
      <c r="L11" s="366">
        <v>50</v>
      </c>
      <c r="M11" s="366">
        <v>0</v>
      </c>
      <c r="N11" s="367" t="s">
        <v>213</v>
      </c>
      <c r="P11">
        <v>50</v>
      </c>
      <c r="Q11">
        <v>0</v>
      </c>
      <c r="R11" t="s">
        <v>214</v>
      </c>
    </row>
    <row r="12" spans="2:18" x14ac:dyDescent="0.3">
      <c r="B12" s="366">
        <v>40</v>
      </c>
      <c r="C12" s="366">
        <v>100</v>
      </c>
      <c r="D12" s="367" t="s">
        <v>215</v>
      </c>
      <c r="E12" s="246" t="s">
        <v>216</v>
      </c>
      <c r="G12" s="366">
        <v>50</v>
      </c>
      <c r="H12" s="366"/>
      <c r="I12" s="367" t="s">
        <v>207</v>
      </c>
      <c r="L12" s="366">
        <v>50</v>
      </c>
      <c r="M12" s="366">
        <v>-2</v>
      </c>
      <c r="N12" s="367" t="s">
        <v>217</v>
      </c>
      <c r="P12">
        <v>50</v>
      </c>
      <c r="Q12">
        <v>0</v>
      </c>
      <c r="R12" t="s">
        <v>218</v>
      </c>
    </row>
    <row r="13" spans="2:18" x14ac:dyDescent="0.3">
      <c r="B13" s="366">
        <v>40</v>
      </c>
      <c r="C13" s="366">
        <v>130</v>
      </c>
      <c r="D13" s="367" t="s">
        <v>219</v>
      </c>
      <c r="E13" s="246" t="s">
        <v>220</v>
      </c>
      <c r="G13" s="366">
        <v>50</v>
      </c>
      <c r="H13" s="366">
        <v>-30</v>
      </c>
      <c r="I13" s="367" t="s">
        <v>189</v>
      </c>
      <c r="P13">
        <v>50</v>
      </c>
      <c r="Q13">
        <v>0</v>
      </c>
      <c r="R13" t="s">
        <v>221</v>
      </c>
    </row>
    <row r="14" spans="2:18" x14ac:dyDescent="0.3">
      <c r="B14" s="366">
        <v>40</v>
      </c>
      <c r="C14" s="366">
        <v>150</v>
      </c>
      <c r="D14" s="367" t="s">
        <v>196</v>
      </c>
      <c r="E14" s="246"/>
      <c r="G14" s="366">
        <v>50</v>
      </c>
      <c r="H14" s="366">
        <v>-30</v>
      </c>
      <c r="I14" s="367" t="s">
        <v>196</v>
      </c>
    </row>
    <row r="15" spans="2:18" x14ac:dyDescent="0.3">
      <c r="B15" s="366">
        <v>40</v>
      </c>
      <c r="C15" s="366">
        <v>150</v>
      </c>
      <c r="D15" s="367" t="s">
        <v>222</v>
      </c>
      <c r="E15" s="246" t="s">
        <v>223</v>
      </c>
      <c r="G15" s="366">
        <v>50</v>
      </c>
      <c r="H15" s="366">
        <v>-30</v>
      </c>
      <c r="I15" s="367" t="s">
        <v>199</v>
      </c>
      <c r="P15">
        <v>50</v>
      </c>
      <c r="Q15">
        <v>0</v>
      </c>
      <c r="R15" t="s">
        <v>224</v>
      </c>
    </row>
    <row r="16" spans="2:18" x14ac:dyDescent="0.3">
      <c r="B16" s="366">
        <v>40</v>
      </c>
      <c r="C16" s="366">
        <v>130</v>
      </c>
      <c r="D16" s="367" t="s">
        <v>225</v>
      </c>
      <c r="E16" s="246" t="s">
        <v>226</v>
      </c>
      <c r="G16" s="366">
        <v>50</v>
      </c>
      <c r="H16" s="366">
        <v>-30</v>
      </c>
      <c r="I16" s="367" t="s">
        <v>227</v>
      </c>
      <c r="P16">
        <v>50</v>
      </c>
      <c r="Q16">
        <v>0</v>
      </c>
      <c r="R16" t="s">
        <v>228</v>
      </c>
    </row>
    <row r="17" spans="2:18" x14ac:dyDescent="0.3">
      <c r="B17" s="366">
        <v>40</v>
      </c>
      <c r="C17" s="366">
        <v>150</v>
      </c>
      <c r="D17" s="367" t="s">
        <v>214</v>
      </c>
      <c r="E17" s="246" t="s">
        <v>229</v>
      </c>
      <c r="G17" s="366">
        <v>50</v>
      </c>
      <c r="H17" s="366"/>
      <c r="I17" s="367" t="s">
        <v>214</v>
      </c>
      <c r="P17">
        <v>50</v>
      </c>
      <c r="Q17">
        <v>0</v>
      </c>
      <c r="R17" t="s">
        <v>230</v>
      </c>
    </row>
    <row r="18" spans="2:18" x14ac:dyDescent="0.3">
      <c r="B18" s="366">
        <v>140</v>
      </c>
      <c r="C18" s="366">
        <v>150</v>
      </c>
      <c r="D18" s="367" t="s">
        <v>218</v>
      </c>
      <c r="E18" s="246" t="s">
        <v>231</v>
      </c>
      <c r="G18" s="366">
        <v>50</v>
      </c>
      <c r="H18" s="366"/>
      <c r="I18" s="367" t="s">
        <v>218</v>
      </c>
      <c r="P18">
        <v>50</v>
      </c>
      <c r="Q18">
        <v>0</v>
      </c>
      <c r="R18" t="s">
        <v>232</v>
      </c>
    </row>
    <row r="19" spans="2:18" x14ac:dyDescent="0.3">
      <c r="B19" s="366">
        <v>150</v>
      </c>
      <c r="C19" s="366">
        <v>150</v>
      </c>
      <c r="D19" s="367" t="s">
        <v>221</v>
      </c>
      <c r="E19" s="246" t="s">
        <v>233</v>
      </c>
      <c r="G19" s="366">
        <v>50</v>
      </c>
      <c r="H19" s="366"/>
      <c r="I19" s="367" t="s">
        <v>221</v>
      </c>
      <c r="P19">
        <v>50</v>
      </c>
      <c r="Q19">
        <v>0</v>
      </c>
      <c r="R19" t="s">
        <v>234</v>
      </c>
    </row>
    <row r="20" spans="2:18" x14ac:dyDescent="0.3">
      <c r="B20" s="366">
        <v>40</v>
      </c>
      <c r="C20" s="366">
        <v>100</v>
      </c>
      <c r="D20" s="367" t="s">
        <v>235</v>
      </c>
      <c r="E20" s="246" t="s">
        <v>236</v>
      </c>
      <c r="G20" s="366">
        <v>50</v>
      </c>
      <c r="H20" s="366">
        <v>0</v>
      </c>
      <c r="I20" s="367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6">
        <v>100</v>
      </c>
      <c r="C21" s="366">
        <v>100</v>
      </c>
      <c r="D21" s="367" t="s">
        <v>239</v>
      </c>
      <c r="E21" s="246" t="s">
        <v>240</v>
      </c>
      <c r="G21" s="366">
        <v>50</v>
      </c>
      <c r="H21" s="366">
        <v>0</v>
      </c>
      <c r="I21" s="367" t="s">
        <v>239</v>
      </c>
      <c r="P21">
        <v>50</v>
      </c>
      <c r="Q21">
        <v>0</v>
      </c>
      <c r="R21" t="s">
        <v>241</v>
      </c>
    </row>
    <row r="22" spans="2:18" x14ac:dyDescent="0.3">
      <c r="B22" s="366">
        <v>100</v>
      </c>
      <c r="C22" s="366">
        <v>100</v>
      </c>
      <c r="D22" s="367" t="s">
        <v>224</v>
      </c>
      <c r="E22" s="246" t="s">
        <v>242</v>
      </c>
      <c r="G22" s="363"/>
      <c r="H22" s="363"/>
      <c r="I22" s="368" t="s">
        <v>224</v>
      </c>
      <c r="P22">
        <v>50</v>
      </c>
      <c r="Q22">
        <v>0</v>
      </c>
      <c r="R22" t="s">
        <v>243</v>
      </c>
    </row>
    <row r="23" spans="2:18" x14ac:dyDescent="0.3">
      <c r="B23" s="366">
        <v>40</v>
      </c>
      <c r="C23" s="366">
        <v>150</v>
      </c>
      <c r="D23" s="367" t="s">
        <v>228</v>
      </c>
      <c r="E23" s="246" t="s">
        <v>244</v>
      </c>
      <c r="G23" s="366">
        <v>50</v>
      </c>
      <c r="H23" s="366"/>
      <c r="I23" s="367" t="s">
        <v>228</v>
      </c>
      <c r="R23" t="s">
        <v>245</v>
      </c>
    </row>
    <row r="24" spans="2:18" x14ac:dyDescent="0.3">
      <c r="B24" s="366">
        <v>140</v>
      </c>
      <c r="C24" s="366">
        <v>150</v>
      </c>
      <c r="D24" s="367" t="s">
        <v>230</v>
      </c>
      <c r="E24" s="246" t="s">
        <v>246</v>
      </c>
      <c r="G24" s="366">
        <v>50</v>
      </c>
      <c r="H24" s="366"/>
      <c r="I24" s="367" t="s">
        <v>230</v>
      </c>
      <c r="R24" t="s">
        <v>247</v>
      </c>
    </row>
    <row r="25" spans="2:18" x14ac:dyDescent="0.3">
      <c r="B25" s="366">
        <v>150</v>
      </c>
      <c r="C25" s="366">
        <v>150</v>
      </c>
      <c r="D25" s="367" t="s">
        <v>232</v>
      </c>
      <c r="E25" s="246" t="s">
        <v>248</v>
      </c>
      <c r="G25" s="366">
        <v>50</v>
      </c>
      <c r="H25" s="366"/>
      <c r="I25" s="367" t="s">
        <v>232</v>
      </c>
      <c r="R25" t="s">
        <v>194</v>
      </c>
    </row>
    <row r="26" spans="2:18" x14ac:dyDescent="0.3">
      <c r="B26" s="366">
        <v>40</v>
      </c>
      <c r="C26" s="366">
        <v>77</v>
      </c>
      <c r="D26" s="367" t="s">
        <v>234</v>
      </c>
      <c r="E26" s="246" t="s">
        <v>249</v>
      </c>
      <c r="G26" s="366">
        <v>50</v>
      </c>
      <c r="H26" s="366"/>
      <c r="I26" s="367" t="s">
        <v>234</v>
      </c>
      <c r="R26" t="s">
        <v>197</v>
      </c>
    </row>
    <row r="27" spans="2:18" x14ac:dyDescent="0.3">
      <c r="B27" s="366">
        <v>110</v>
      </c>
      <c r="C27" s="366">
        <v>77</v>
      </c>
      <c r="D27" s="367" t="s">
        <v>238</v>
      </c>
      <c r="E27" s="246" t="s">
        <v>250</v>
      </c>
      <c r="G27" s="366">
        <v>50</v>
      </c>
      <c r="H27" s="366"/>
      <c r="I27" s="367" t="s">
        <v>238</v>
      </c>
      <c r="R27" t="s">
        <v>200</v>
      </c>
    </row>
    <row r="28" spans="2:18" x14ac:dyDescent="0.3">
      <c r="B28" s="366">
        <v>120</v>
      </c>
      <c r="C28" s="366">
        <v>77</v>
      </c>
      <c r="D28" s="367" t="s">
        <v>241</v>
      </c>
      <c r="E28" s="246" t="s">
        <v>251</v>
      </c>
      <c r="G28" s="366">
        <v>50</v>
      </c>
      <c r="H28" s="366"/>
      <c r="I28" s="367" t="s">
        <v>241</v>
      </c>
      <c r="R28" t="s">
        <v>205</v>
      </c>
    </row>
    <row r="29" spans="2:18" x14ac:dyDescent="0.3">
      <c r="B29" s="366">
        <v>40</v>
      </c>
      <c r="C29" s="366">
        <v>50</v>
      </c>
      <c r="D29" s="367" t="s">
        <v>243</v>
      </c>
      <c r="E29" s="246" t="s">
        <v>252</v>
      </c>
      <c r="G29" s="366">
        <v>50</v>
      </c>
      <c r="H29" s="366"/>
      <c r="I29" s="367" t="s">
        <v>243</v>
      </c>
      <c r="R29" t="s">
        <v>209</v>
      </c>
    </row>
    <row r="30" spans="2:18" x14ac:dyDescent="0.3">
      <c r="B30" s="366">
        <v>40</v>
      </c>
      <c r="C30" s="366">
        <v>60</v>
      </c>
      <c r="D30" s="367" t="s">
        <v>253</v>
      </c>
      <c r="E30" s="246" t="s">
        <v>254</v>
      </c>
      <c r="G30" s="366">
        <v>50</v>
      </c>
      <c r="H30" s="366"/>
      <c r="I30" s="367" t="s">
        <v>210</v>
      </c>
      <c r="R30" t="s">
        <v>203</v>
      </c>
    </row>
    <row r="31" spans="2:18" x14ac:dyDescent="0.3">
      <c r="B31" s="366">
        <v>40</v>
      </c>
      <c r="C31" s="366">
        <v>100</v>
      </c>
      <c r="D31" s="367" t="s">
        <v>206</v>
      </c>
      <c r="E31" s="246" t="s">
        <v>255</v>
      </c>
      <c r="G31" s="366">
        <v>50</v>
      </c>
      <c r="H31" s="366"/>
      <c r="I31" s="367" t="s">
        <v>206</v>
      </c>
      <c r="R31" t="s">
        <v>207</v>
      </c>
    </row>
    <row r="32" spans="2:18" x14ac:dyDescent="0.3">
      <c r="B32" s="366">
        <v>40</v>
      </c>
      <c r="C32" s="366">
        <v>60</v>
      </c>
      <c r="D32" s="367" t="s">
        <v>256</v>
      </c>
      <c r="E32" s="246" t="s">
        <v>257</v>
      </c>
      <c r="G32" s="366">
        <v>50</v>
      </c>
      <c r="H32" s="366"/>
      <c r="I32" s="367" t="s">
        <v>256</v>
      </c>
      <c r="R32" t="s">
        <v>258</v>
      </c>
    </row>
    <row r="33" spans="2:18" x14ac:dyDescent="0.3">
      <c r="B33" s="366">
        <v>40</v>
      </c>
      <c r="C33" s="366">
        <v>90</v>
      </c>
      <c r="D33" s="367" t="s">
        <v>259</v>
      </c>
      <c r="E33" s="246" t="s">
        <v>260</v>
      </c>
      <c r="G33" s="366">
        <v>50</v>
      </c>
      <c r="H33" s="366">
        <v>-2</v>
      </c>
      <c r="I33" s="367" t="s">
        <v>259</v>
      </c>
      <c r="R33" t="s">
        <v>261</v>
      </c>
    </row>
    <row r="34" spans="2:18" x14ac:dyDescent="0.3">
      <c r="B34" s="366">
        <v>40</v>
      </c>
      <c r="C34" s="366">
        <v>90</v>
      </c>
      <c r="D34" s="367" t="s">
        <v>262</v>
      </c>
      <c r="E34" s="246"/>
      <c r="G34" s="366">
        <v>50</v>
      </c>
      <c r="H34" s="366">
        <v>-2</v>
      </c>
      <c r="I34" s="367" t="s">
        <v>262</v>
      </c>
    </row>
    <row r="35" spans="2:18" x14ac:dyDescent="0.3">
      <c r="B35" s="366">
        <v>40</v>
      </c>
      <c r="C35" s="366">
        <v>90</v>
      </c>
      <c r="D35" s="367" t="s">
        <v>258</v>
      </c>
      <c r="E35" s="246" t="s">
        <v>263</v>
      </c>
      <c r="G35" s="366">
        <v>50</v>
      </c>
      <c r="H35" s="366">
        <v>-2</v>
      </c>
      <c r="I35" s="367" t="s">
        <v>258</v>
      </c>
      <c r="R35" t="s">
        <v>264</v>
      </c>
    </row>
    <row r="36" spans="2:18" x14ac:dyDescent="0.3">
      <c r="B36" s="369">
        <v>40</v>
      </c>
      <c r="C36" s="369">
        <v>90</v>
      </c>
      <c r="D36" s="370" t="s">
        <v>261</v>
      </c>
      <c r="G36" s="366">
        <v>50</v>
      </c>
      <c r="H36" s="366">
        <v>-2</v>
      </c>
      <c r="I36" s="367" t="s">
        <v>261</v>
      </c>
      <c r="R36" t="s">
        <v>259</v>
      </c>
    </row>
    <row r="37" spans="2:18" x14ac:dyDescent="0.3">
      <c r="B37" s="369">
        <v>40</v>
      </c>
      <c r="C37" s="369">
        <v>90</v>
      </c>
      <c r="D37" s="370" t="s">
        <v>264</v>
      </c>
      <c r="G37" s="366">
        <v>50</v>
      </c>
      <c r="H37" s="366">
        <v>-2</v>
      </c>
      <c r="I37" s="367" t="s">
        <v>264</v>
      </c>
      <c r="R37" t="s">
        <v>262</v>
      </c>
    </row>
    <row r="48" spans="2:18" x14ac:dyDescent="0.3">
      <c r="B48" s="366">
        <v>40</v>
      </c>
      <c r="C48" s="366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266</v>
      </c>
      <c r="L3" s="455"/>
      <c r="M3" s="455" t="s">
        <v>267</v>
      </c>
      <c r="N3" s="455"/>
    </row>
    <row r="4" spans="1:14" ht="15.75" customHeight="1" x14ac:dyDescent="0.3">
      <c r="A4" s="138"/>
      <c r="B4" s="138"/>
      <c r="C4" s="371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2" t="s">
        <v>268</v>
      </c>
      <c r="D5" s="373" t="str">
        <f>'NOTA DE VENTA'!$C$10</f>
        <v>MUEBLES FORD</v>
      </c>
      <c r="E5" s="321"/>
      <c r="F5" s="32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4"/>
      <c r="D6" s="375"/>
      <c r="E6" s="138"/>
      <c r="F6" s="138"/>
      <c r="G6" s="138"/>
    </row>
    <row r="7" spans="1:14" ht="15.6" x14ac:dyDescent="0.3">
      <c r="A7" s="138"/>
      <c r="B7" s="138"/>
      <c r="C7" s="397" t="str">
        <f>'NOTA DE VENTA'!$F$10</f>
        <v>FECHA :</v>
      </c>
      <c r="D7" s="407">
        <f>'NOTA DE VENTA'!$G$10</f>
        <v>46000</v>
      </c>
      <c r="E7" s="138"/>
      <c r="F7" s="138"/>
      <c r="G7" s="138"/>
    </row>
    <row r="8" spans="1:14" ht="15.6" x14ac:dyDescent="0.3">
      <c r="A8" s="138"/>
      <c r="B8" s="138"/>
      <c r="C8" s="371" t="s">
        <v>269</v>
      </c>
      <c r="D8" s="406">
        <f>'NOTA DE VENTA'!$G$11</f>
        <v>46007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266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7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4" t="s">
        <v>130</v>
      </c>
      <c r="E12" s="334" t="s">
        <v>11</v>
      </c>
      <c r="F12" s="138"/>
      <c r="G12" s="138"/>
    </row>
    <row r="13" spans="1:14" ht="15.6" x14ac:dyDescent="0.3">
      <c r="A13" s="334" t="s">
        <v>87</v>
      </c>
      <c r="B13" s="378" t="s">
        <v>96</v>
      </c>
      <c r="C13" s="378" t="s">
        <v>25</v>
      </c>
      <c r="D13" s="379">
        <v>80</v>
      </c>
      <c r="E13" s="379">
        <v>-30</v>
      </c>
      <c r="F13" s="378" t="s">
        <v>270</v>
      </c>
      <c r="G13" s="138"/>
      <c r="J13" s="380" t="s">
        <v>130</v>
      </c>
      <c r="K13" s="380" t="s">
        <v>11</v>
      </c>
    </row>
    <row r="14" spans="1:14" ht="15.6" x14ac:dyDescent="0.3">
      <c r="A14" s="381" t="s">
        <v>31</v>
      </c>
      <c r="B14" s="382">
        <f t="shared" ref="B14" si="0">I14</f>
        <v>1</v>
      </c>
      <c r="C14" s="382"/>
      <c r="D14" s="382">
        <f>LOOKUP(F14,REGLAS!$I$4:$I$37,REGLAS!$G$4:$G$37)+J14</f>
        <v>1850</v>
      </c>
      <c r="E14" s="383">
        <f>LOOKUP(F14,REGLAS!$I$4:$I$37,REGLAS!$H$4:$H$37)+K14</f>
        <v>470</v>
      </c>
      <c r="F14" s="384" t="str">
        <f>C27</f>
        <v>CUB C/R R8</v>
      </c>
      <c r="G14" s="138"/>
      <c r="I14" s="385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4"/>
      <c r="B15" s="52"/>
      <c r="C15" s="52"/>
      <c r="D15" s="52"/>
      <c r="E15" s="386"/>
      <c r="F15" s="52"/>
      <c r="G15" s="138"/>
      <c r="I15" s="387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267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7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4" t="s">
        <v>130</v>
      </c>
      <c r="E19" s="334" t="s">
        <v>11</v>
      </c>
      <c r="F19" s="138"/>
      <c r="G19" s="138"/>
    </row>
    <row r="20" spans="1:11" ht="15.6" x14ac:dyDescent="0.3">
      <c r="A20" s="334" t="s">
        <v>87</v>
      </c>
      <c r="B20" s="388" t="s">
        <v>96</v>
      </c>
      <c r="C20" s="388" t="s">
        <v>25</v>
      </c>
      <c r="D20" s="389">
        <v>40</v>
      </c>
      <c r="E20" s="389">
        <v>130</v>
      </c>
      <c r="F20" s="388" t="s">
        <v>270</v>
      </c>
      <c r="G20" s="138"/>
      <c r="J20" s="380" t="s">
        <v>130</v>
      </c>
      <c r="K20" s="380" t="s">
        <v>11</v>
      </c>
    </row>
    <row r="21" spans="1:11" ht="15.6" x14ac:dyDescent="0.3">
      <c r="A21" s="381" t="s">
        <v>271</v>
      </c>
      <c r="B21" s="390">
        <f t="shared" ref="B21" si="2">I21</f>
        <v>1</v>
      </c>
      <c r="C21" s="390"/>
      <c r="D21" s="390">
        <f>LOOKUP(F14,REGLAS!$D$4:$D$37,REGLAS!$B$4:$B$37)+J21</f>
        <v>1840</v>
      </c>
      <c r="E21" s="390">
        <f>LOOKUP(F14,REGLAS!$D$4:$D$37,REGLAS!$C$4:$C$37)+K21</f>
        <v>630</v>
      </c>
      <c r="F21" s="391" t="str">
        <f>C27</f>
        <v>CUB C/R R8</v>
      </c>
      <c r="G21" s="138"/>
      <c r="I21" s="385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2"/>
      <c r="B22" s="52"/>
      <c r="C22" s="52"/>
      <c r="D22" s="52"/>
      <c r="E22" s="52"/>
      <c r="F22" s="52"/>
      <c r="G22" s="138"/>
      <c r="I22" s="387"/>
      <c r="J22" s="6"/>
      <c r="K22" s="6"/>
    </row>
    <row r="23" spans="1:11" ht="16.2" thickBot="1" x14ac:dyDescent="0.35">
      <c r="A23" s="33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4"/>
      <c r="B24" s="393" t="s">
        <v>272</v>
      </c>
      <c r="C24" s="394"/>
      <c r="D24" s="394"/>
      <c r="E24" s="394"/>
      <c r="F24" s="395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4" t="s">
        <v>87</v>
      </c>
      <c r="B26" s="396" t="s">
        <v>96</v>
      </c>
      <c r="C26" s="396" t="s">
        <v>270</v>
      </c>
      <c r="D26" s="396" t="s">
        <v>130</v>
      </c>
      <c r="E26" s="396" t="s">
        <v>11</v>
      </c>
      <c r="F26" s="396" t="s">
        <v>8</v>
      </c>
      <c r="G26" s="138"/>
    </row>
    <row r="27" spans="1:11" ht="15.6" x14ac:dyDescent="0.3">
      <c r="A27" s="381" t="s">
        <v>31</v>
      </c>
      <c r="B27" s="382">
        <f>'[1]4637'!B21</f>
        <v>1</v>
      </c>
      <c r="C27" s="384" t="str">
        <f>'[1]4637'!C21</f>
        <v>CUB C/R R8</v>
      </c>
      <c r="D27" s="382">
        <f>'[1]4637'!D21</f>
        <v>1800</v>
      </c>
      <c r="E27" s="382">
        <f>'[1]4637'!E21</f>
        <v>500</v>
      </c>
      <c r="F27" s="382" t="str">
        <f>'[1]4637'!F21</f>
        <v>LATE 2167 MT</v>
      </c>
      <c r="G27" s="138"/>
    </row>
    <row r="28" spans="1:11" ht="15.6" x14ac:dyDescent="0.3">
      <c r="A28" s="392"/>
      <c r="B28" s="52"/>
      <c r="C28" s="52"/>
      <c r="D28" s="52"/>
      <c r="E28" s="52"/>
      <c r="F28" s="52"/>
      <c r="G28" s="138"/>
    </row>
    <row r="29" spans="1:11" ht="15.6" x14ac:dyDescent="0.3">
      <c r="A29" s="33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1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2" t="s">
        <v>268</v>
      </c>
      <c r="D40" s="373" t="str">
        <f>'[1]4637'!C10</f>
        <v>FMR MAKING SPA</v>
      </c>
      <c r="E40" s="321"/>
      <c r="F40" s="321"/>
      <c r="G40" s="138"/>
    </row>
    <row r="41" spans="1:7" ht="4.5" customHeight="1" x14ac:dyDescent="0.3">
      <c r="A41" s="138"/>
      <c r="B41" s="138"/>
      <c r="C41" s="374"/>
      <c r="D41" s="375"/>
      <c r="E41" s="138"/>
      <c r="F41" s="138"/>
      <c r="G41" s="138"/>
    </row>
    <row r="42" spans="1:7" ht="15.6" x14ac:dyDescent="0.3">
      <c r="A42" s="138"/>
      <c r="B42" s="138"/>
      <c r="C42" s="397" t="str">
        <f>'[1]4637'!F11</f>
        <v>FECHA LIMITE :</v>
      </c>
      <c r="D42" s="376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273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8" t="s">
        <v>96</v>
      </c>
      <c r="C48" s="398" t="s">
        <v>25</v>
      </c>
      <c r="D48" s="399" t="s">
        <v>130</v>
      </c>
      <c r="E48" s="399" t="s">
        <v>11</v>
      </c>
      <c r="F48" s="400" t="s">
        <v>274</v>
      </c>
      <c r="G48" s="138"/>
    </row>
    <row r="49" spans="1:7" s="59" customFormat="1" ht="15" customHeight="1" x14ac:dyDescent="0.3">
      <c r="A49" s="381" t="s">
        <v>275</v>
      </c>
      <c r="B49" s="401">
        <f>'[1]4637'!B21</f>
        <v>1</v>
      </c>
      <c r="C49" s="402" t="str">
        <f>'[1]4637'!C21</f>
        <v>CUB C/R R8</v>
      </c>
      <c r="D49" s="403">
        <f>'[1]4637'!D21</f>
        <v>1800</v>
      </c>
      <c r="E49" s="403">
        <f>'[1]4637'!E21</f>
        <v>500</v>
      </c>
      <c r="F49" s="401" t="str">
        <f>'[1]4637'!F21</f>
        <v>LATE 2167 MT</v>
      </c>
      <c r="G49" s="138"/>
    </row>
    <row r="50" spans="1:7" s="59" customFormat="1" ht="15" customHeight="1" x14ac:dyDescent="0.3">
      <c r="A50" s="392"/>
      <c r="B50" s="334"/>
      <c r="C50" s="404"/>
      <c r="D50" s="334"/>
      <c r="E50" s="334"/>
      <c r="F50" s="334"/>
      <c r="G50" s="138"/>
    </row>
    <row r="51" spans="1:7" s="59" customFormat="1" ht="15" customHeight="1" x14ac:dyDescent="0.3">
      <c r="A51" s="139"/>
      <c r="B51" s="334"/>
      <c r="C51" s="334"/>
      <c r="D51" s="334"/>
      <c r="E51" s="334"/>
      <c r="F51" s="334"/>
      <c r="G51" s="138"/>
    </row>
    <row r="52" spans="1:7" ht="15.6" x14ac:dyDescent="0.3">
      <c r="A52" s="52"/>
      <c r="B52" s="52"/>
      <c r="C52" s="138"/>
      <c r="D52" s="52"/>
      <c r="E52" s="52"/>
      <c r="F52" s="374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5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7"/>
  </cols>
  <sheetData>
    <row r="1" spans="1:13" x14ac:dyDescent="0.3">
      <c r="A1" s="414" t="s">
        <v>276</v>
      </c>
      <c r="B1" s="415" t="s">
        <v>277</v>
      </c>
      <c r="C1" s="414" t="s">
        <v>278</v>
      </c>
      <c r="D1" s="414" t="s">
        <v>279</v>
      </c>
      <c r="E1" s="414" t="s">
        <v>280</v>
      </c>
      <c r="F1" s="414" t="s">
        <v>95</v>
      </c>
      <c r="G1" s="414" t="s">
        <v>8</v>
      </c>
      <c r="H1" s="416" t="s">
        <v>28</v>
      </c>
      <c r="I1" s="416" t="s">
        <v>51</v>
      </c>
      <c r="J1" s="416" t="s">
        <v>6</v>
      </c>
      <c r="K1" s="416" t="s">
        <v>281</v>
      </c>
      <c r="L1" s="416" t="s">
        <v>282</v>
      </c>
      <c r="M1" s="414" t="s">
        <v>283</v>
      </c>
    </row>
    <row r="2" spans="1:13" x14ac:dyDescent="0.3">
      <c r="A2">
        <f>'NOTA DE VENTA'!$G$8</f>
        <v>0</v>
      </c>
      <c r="B2" t="str">
        <f>'NOTA DE VENTA'!$D$8</f>
        <v>N° 11795</v>
      </c>
      <c r="C2" s="1">
        <f>'NOTA DE VENTA'!$G$10</f>
        <v>46000</v>
      </c>
      <c r="D2" s="1">
        <f>'NOTA DE VENTA'!$G$11</f>
        <v>46007</v>
      </c>
      <c r="E2" t="str">
        <f>'NOTA DE VENTA'!$C$10</f>
        <v>MUEBLES FORD</v>
      </c>
      <c r="F2" t="str">
        <f>'NOTA DE VENTA'!$C$22</f>
        <v>CUB CON RESPALDO 90°</v>
      </c>
      <c r="G2" t="str">
        <f>'NOTA DE VENTA'!$F$22</f>
        <v>GRANITO KOMBI 0670 BR F6</v>
      </c>
      <c r="H2" s="417">
        <f>'NOTA DE VENTA'!$H$25</f>
        <v>98560.960000000021</v>
      </c>
      <c r="I2" s="417">
        <f>H2*0.19</f>
        <v>18726.582400000003</v>
      </c>
      <c r="J2" s="417">
        <f>I2+H2</f>
        <v>117287.54240000002</v>
      </c>
      <c r="L2" s="61">
        <f>J2-K2</f>
        <v>117287.54240000002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2025-12-10T00:15:12Z</dcterms:modified>
</cp:coreProperties>
</file>