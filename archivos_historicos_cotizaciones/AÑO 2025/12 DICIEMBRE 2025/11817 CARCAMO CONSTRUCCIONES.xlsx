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C3A94CD2-ED68-44F4-8A61-DE8FE5178B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O38" i="1"/>
  <c r="T22" i="1"/>
  <c r="S22" i="1"/>
  <c r="T21" i="1"/>
  <c r="S21" i="1"/>
  <c r="L22" i="1"/>
  <c r="M22" i="1"/>
  <c r="N22" i="1"/>
  <c r="L21" i="1"/>
  <c r="N5" i="6"/>
  <c r="A2" i="7"/>
  <c r="O22" i="1" l="1"/>
  <c r="P22" i="1" s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l="1"/>
  <c r="S27" i="1"/>
  <c r="T25" i="1"/>
  <c r="O21" i="1"/>
  <c r="P21" i="1" s="1"/>
  <c r="P26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l="1"/>
  <c r="H2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<sst xmlns="http://schemas.openxmlformats.org/spreadsheetml/2006/main" count="488" uniqueCount="295">
  <si>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</si>
  <si>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</si>
  <si>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</si>
  <si>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</si>
  <si>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</si>
  <si>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</si>
  <si>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</si>
  <si>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</si>
  <si>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</si>
  <si>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</si>
  <si>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</si>
  <si>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</si>
  <si>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</si>
  <si>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</si>
  <si>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</si>
  <si>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</si>
  <si>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</si>
  <si>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</si>
  <si>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</si>
  <si>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</si>
  <si>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</si>
  <si>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</si>
  <si>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</si>
  <si>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</si>
  <si>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</si>
  <si>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</si>
  <si>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</si>
  <si>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</si>
  <si>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</si>
  <si>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</si>
  <si>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</si>
  <si>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</si>
  <si>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</si>
  <si>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</si>
  <si>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</si>
  <si>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</si>
  <si>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</si>
  <si>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</si>
  <si>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</si>
  <si>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</si>
  <si>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</si>
  <si>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</si>
  <si>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</si>
  <si>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</si>
  <si>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</si>
  <si>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</si>
  <si>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</si>
  <si>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</si>
  <si>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</si>
  <si>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</si>
  <si>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</si>
  <si>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</si>
  <si>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</si>
  <si>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</si>
  <si>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</si>
  <si>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</si>
  <si>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</si>
  <si>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</si>
  <si>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</si>
  <si>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</si>
  <si>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</si>
  <si>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</si>
  <si>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</si>
  <si>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</si>
  <si>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</si>
  <si>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</si>
  <si>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</si>
  <si>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</si>
  <si>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</si>
  <si>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</si>
  <si>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</si>
  <si>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</si>
  <si>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</si>
  <si>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</si>
  <si>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</si>
  <si>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</si>
  <si>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</si>
  <si>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</si>
  <si>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</si>
  <si>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</si>
  <si>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</si>
  <si>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</si>
  <si>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</si>
  <si>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</si>
  <si>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</si>
  <si>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</si>
  <si>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</si>
  <si>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</si>
  <si>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</si>
  <si>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</si>
  <si>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</si>
  <si>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</si>
  <si>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</si>
  <si>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</si>
  <si>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</si>
  <si>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</si>
  <si>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</si>
  <si>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</si>
  <si>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</si>
  <si>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</si>
  <si>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</si>
  <si>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</si>
  <si>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</si>
  <si>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</si>
  <si>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</si>
  <si>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</si>
  <si>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</si>
  <si>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</si>
  <si>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</si>
  <si>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</si>
  <si>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</si>
  <si>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</si>
  <si>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</si>
  <si>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</si>
  <si>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</si>
  <si>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</si>
  <si>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</si>
  <si>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</si>
  <si>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</si>
  <si>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</si>
  <si>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</si>
  <si>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</si>
  <si>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</si>
  <si>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</si>
  <si>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</si>
  <si>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</si>
  <si>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</si>
  <si>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</si>
  <si>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</si>
  <si>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</si>
  <si>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</si>
  <si>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</si>
  <si>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</si>
  <si>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</si>
  <si>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</si>
  <si>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</si>
  <si>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</si>
  <si>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</si>
  <si>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</si>
  <si>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</si>
  <si>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</si>
  <si>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</si>
  <si>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</si>
  <si>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</si>
  <si>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</si>
  <si>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</si>
  <si>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</si>
  <si>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</si>
  <si>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</si>
  <si>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</si>
  <si>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</si>
  <si>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</si>
  <si>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</si>
  <si>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</si>
  <si>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</si>
  <si>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</si>
  <si>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</si>
  <si>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</si>
  <si>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</si>
  <si>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</si>
  <si>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</si>
  <si>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</si>
  <si>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</si>
  <si>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</si>
  <si>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</si>
  <si>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</si>
  <si>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</si>
  <si>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</si>
  <si>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</si>
  <si>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</si>
  <si>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</si>
  <si>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</si>
  <si>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</si>
  <si>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</si>
  <si>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</si>
  <si>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</si>
  <si>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</si>
  <si>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</si>
  <si>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</si>
  <si>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</si>
  <si>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</si>
  <si>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</si>
  <si>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</si>
  <si>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</si>
  <si>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</si>
  <si>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</si>
  <si>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</si>
  <si>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</si>
  <si>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</si>
  <si>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</si>
  <si>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</si>
  <si>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</si>
  <si>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</si>
  <si>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</si>
  <si>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</si>
  <si>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</si>
  <si>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</si>
  <si>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</si>
  <si>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</si>
  <si>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</si>
  <si>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</si>
  <si>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</si>
  <si>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</si>
  <si>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</si>
  <si>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</si>
  <si>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</si>
  <si>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</si>
  <si>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</si>
  <si>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</si>
  <si>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</si>
  <si>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</si>
  <si>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</si>
  <si>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</si>
  <si>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</si>
  <si>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</si>
  <si>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</si>
  <si>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</si>
  <si>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</si>
  <si>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</si>
  <si>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</si>
  <si>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</si>
  <si>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</si>
  <si>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</si>
  <si>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</si>
  <si>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</si>
  <si>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</si>
  <si>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</si>
  <si>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</si>
  <si>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</si>
  <si>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</si>
  <si>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</si>
  <si>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</si>
  <si>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</si>
  <si>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</si>
  <si>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</si>
  <si>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</si>
  <si>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</si>
  <si>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</si>
  <si>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</si>
  <si>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</si>
  <si>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</si>
  <si>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</si>
  <si>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</si>
  <si>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</si>
  <si>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</si>
  <si>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</si>
  <si>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</si>
  <si>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</si>
  <si>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</si>
  <si>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</si>
  <si>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</si>
  <si>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</si>
  <si>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</si>
  <si>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</si>
  <si>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</si>
  <si>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</si>
  <si>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</si>
  <si>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</si>
  <si>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</si>
  <si>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</si>
  <si>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</si>
  <si>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</si>
  <si>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</si>
  <si>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</si>
  <si>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</si>
  <si>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</si>
  <si>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</si>
  <si>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</si>
  <si>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</si>
  <si>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</si>
  <si>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</si>
  <si>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</si>
  <si>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</si>
  <si>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</si>
  <si>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</si>
  <si>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</si>
  <si>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</si>
  <si>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</si>
  <si>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</si>
  <si>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</si>
  <si>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</si>
  <si>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</si>
  <si>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</si>
  <si>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</si>
  <si>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</si>
  <si>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</si>
  <si>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</si>
  <si>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</si>
  <si>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CARCAMO CONSTRUCCIONES</t>
  </si>
  <si>
    <t>CLAUDIO</t>
  </si>
  <si>
    <t>8 DIAS HABILES</t>
  </si>
  <si>
    <t>SI</t>
  </si>
  <si>
    <t>ENCHAPE RECTO 1 CARA</t>
  </si>
  <si>
    <t>VIVID ORANGE BRILLO</t>
  </si>
  <si>
    <t>N° 11817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</si>
</sst>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4" fillId="0" borderId="0" xfId="0" quotePrefix="1" applyFont="1" applyAlignment="1">
      <alignment horizontal="left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166" fontId="30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214364</xdr:rowOff>
    </xdr:from>
    <xdr:to>
      <xdr:col>5</xdr:col>
      <xdr:colOff>1728839</xdr:colOff>
      <xdr:row>26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SE ENCHAPAN CON TAPACANTO PVC 0,4MM LO MAS PARECIDO A LA LAMINA</a:t>
          </a:r>
          <a:endParaRPr lang="es-CL" sz="1200" b="1" baseline="0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15MM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6" zoomScale="93" zoomScaleNormal="93" workbookViewId="0">
      <selection activeCell="D15" sqref="D15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2" t="s">
        <v>288</v>
      </c>
      <c r="D10" s="243"/>
      <c r="E10" s="243"/>
      <c r="F10" s="418" t="s">
        <v>277</v>
      </c>
      <c r="G10" s="275">
        <v>46021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290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289</v>
      </c>
      <c r="F13" s="29" t="s">
        <v>134</v>
      </c>
      <c r="G13" s="423" t="s">
        <v>291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4">
        <v>56932485315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0.02</v>
      </c>
      <c r="N19" s="14">
        <v>0.02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105280.16622547492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29">
        <v>13</v>
      </c>
      <c r="C21" s="433" t="s">
        <v>292</v>
      </c>
      <c r="D21" s="430">
        <v>1.5</v>
      </c>
      <c r="E21" s="430">
        <v>0.5</v>
      </c>
      <c r="F21" s="429" t="s">
        <v>293</v>
      </c>
      <c r="G21" s="431">
        <v>83213</v>
      </c>
      <c r="H21" s="431">
        <f>G21*B21</f>
        <v>1081769</v>
      </c>
      <c r="I21" s="306"/>
      <c r="J21" s="264"/>
      <c r="K21" s="47"/>
      <c r="L21" s="47">
        <f>B21</f>
        <v>13</v>
      </c>
      <c r="M21" s="39">
        <f>D21+M$19</f>
        <v>1.52</v>
      </c>
      <c r="N21" s="39">
        <f>E21+$N$19</f>
        <v>0.52</v>
      </c>
      <c r="O21" s="260">
        <f t="shared" ref="O21" si="0">M21*N21</f>
        <v>0.79039999999999999</v>
      </c>
      <c r="P21" s="258">
        <f t="shared" ref="P21" si="1">O21*L21</f>
        <v>10.2752</v>
      </c>
      <c r="Q21" s="251">
        <f t="shared" ref="Q21" si="2">Q$20*O21</f>
        <v>83213.443384615384</v>
      </c>
      <c r="R21" s="305">
        <f t="shared" ref="R21" si="3">Q21+R$20</f>
        <v>86213.443384615384</v>
      </c>
      <c r="S21" s="290">
        <f>M21*L21*2</f>
        <v>39.520000000000003</v>
      </c>
      <c r="T21" s="46">
        <f>N21*2*L21*2</f>
        <v>27.04</v>
      </c>
      <c r="U21" s="9"/>
      <c r="X21" s="4"/>
    </row>
    <row r="22" spans="1:25" ht="17.399999999999999" x14ac:dyDescent="0.3">
      <c r="B22" s="429">
        <v>13</v>
      </c>
      <c r="C22" s="433" t="s">
        <v>292</v>
      </c>
      <c r="D22" s="430">
        <v>1.5</v>
      </c>
      <c r="E22" s="430">
        <v>0.25</v>
      </c>
      <c r="F22" s="429" t="s">
        <v>293</v>
      </c>
      <c r="G22" s="431">
        <v>43207</v>
      </c>
      <c r="H22" s="431">
        <f>G22*B22</f>
        <v>561691</v>
      </c>
      <c r="I22" s="306"/>
      <c r="J22" s="264"/>
      <c r="K22" s="47"/>
      <c r="L22" s="47">
        <f>B22</f>
        <v>13</v>
      </c>
      <c r="M22" s="39">
        <f>D22+M$19</f>
        <v>1.52</v>
      </c>
      <c r="N22" s="39">
        <f>E22+$N$19</f>
        <v>0.27</v>
      </c>
      <c r="O22" s="260">
        <f t="shared" ref="O22" si="4">M22*N22</f>
        <v>0.41040000000000004</v>
      </c>
      <c r="P22" s="258">
        <f t="shared" ref="P22" si="5">O22*L22</f>
        <v>5.3352000000000004</v>
      </c>
      <c r="Q22" s="251">
        <f t="shared" ref="Q22" si="6">Q$20*O22</f>
        <v>43206.980218934914</v>
      </c>
      <c r="R22" s="305">
        <f t="shared" ref="R22" si="7">Q22+R$20</f>
        <v>46206.980218934914</v>
      </c>
      <c r="S22" s="290">
        <f>M22*L22*2</f>
        <v>39.520000000000003</v>
      </c>
      <c r="T22" s="46">
        <f>N22*2*L22*2</f>
        <v>14.040000000000001</v>
      </c>
      <c r="U22" s="9"/>
      <c r="X22" s="4"/>
    </row>
    <row r="23" spans="1:25" ht="17.399999999999999" x14ac:dyDescent="0.3">
      <c r="B23" s="458"/>
      <c r="C23" s="459"/>
      <c r="D23" s="460"/>
      <c r="E23" s="460"/>
      <c r="F23" s="458"/>
      <c r="G23" s="306"/>
      <c r="H23" s="306"/>
      <c r="I23" s="306"/>
      <c r="J23" s="264"/>
      <c r="K23" s="47"/>
      <c r="L23" s="47"/>
      <c r="M23" s="39"/>
      <c r="N23" s="39"/>
      <c r="O23" s="260"/>
      <c r="P23" s="258"/>
      <c r="Q23" s="251"/>
      <c r="R23" s="305"/>
      <c r="S23" s="290"/>
      <c r="T23" s="46"/>
      <c r="U23" s="9"/>
      <c r="X23" s="4"/>
    </row>
    <row r="24" spans="1:25" ht="18" thickBot="1" x14ac:dyDescent="0.35">
      <c r="B24" s="283"/>
      <c r="C24" s="283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SUM(H21:H24)</f>
        <v>1643460</v>
      </c>
      <c r="I25" s="308"/>
      <c r="J25" s="264"/>
      <c r="K25" s="47">
        <v>2600000</v>
      </c>
      <c r="L25" s="47"/>
      <c r="M25" s="39"/>
      <c r="N25" s="39"/>
      <c r="O25" s="260"/>
      <c r="P25" s="258"/>
      <c r="Q25" s="251"/>
      <c r="R25" s="257"/>
      <c r="S25" s="290"/>
      <c r="T25" s="46">
        <f>SUM(T21:T24)</f>
        <v>41.08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H25*19%</f>
        <v>312257.40000000002</v>
      </c>
      <c r="I26" s="308"/>
      <c r="J26" s="264"/>
      <c r="K26" s="47"/>
      <c r="L26" s="47"/>
      <c r="M26" s="39">
        <f>SUM(M21:M25)</f>
        <v>3.04</v>
      </c>
      <c r="N26" s="12"/>
      <c r="O26" s="12"/>
      <c r="P26" s="252">
        <f>SUM(P21:P21)</f>
        <v>10.2752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1955717.4</v>
      </c>
      <c r="I27" s="308"/>
      <c r="J27" s="264"/>
      <c r="K27" s="47"/>
      <c r="L27" s="47"/>
      <c r="M27" s="39"/>
      <c r="N27" s="12"/>
      <c r="O27" s="12"/>
      <c r="P27" s="252">
        <f>P26</f>
        <v>10.2752</v>
      </c>
      <c r="Q27" s="14"/>
      <c r="R27" s="12"/>
      <c r="S27" s="239">
        <f>SUM(S21:S26)</f>
        <v>79.040000000000006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2.05504</v>
      </c>
      <c r="Q28" s="39" t="s">
        <v>129</v>
      </c>
      <c r="R28" s="42"/>
      <c r="S28" s="240">
        <f>S27+T25</f>
        <v>120.12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12.33024</v>
      </c>
      <c r="Q29" s="14"/>
      <c r="R29" s="14"/>
      <c r="S29" s="238">
        <f>S28*20%</f>
        <v>24.024000000000001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144.14400000000001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12.33024</v>
      </c>
      <c r="N31" s="12">
        <v>3500</v>
      </c>
      <c r="O31" s="12">
        <f t="shared" ref="O31:O36" si="8">M31*N31</f>
        <v>43155.839999999997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6</v>
      </c>
      <c r="N32" s="12">
        <v>19500</v>
      </c>
      <c r="O32" s="12">
        <f t="shared" si="8"/>
        <v>117000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58860</v>
      </c>
      <c r="O33" s="12">
        <f t="shared" si="8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/>
      <c r="L34" s="249"/>
      <c r="M34" s="14">
        <v>7</v>
      </c>
      <c r="N34" s="249">
        <v>31425</v>
      </c>
      <c r="O34" s="12">
        <f t="shared" si="8"/>
        <v>219975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283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>
        <v>150</v>
      </c>
      <c r="N35" s="249">
        <v>900</v>
      </c>
      <c r="O35" s="12">
        <f t="shared" si="8"/>
        <v>135000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/>
      <c r="N36" s="12">
        <v>1500</v>
      </c>
      <c r="O36" s="12">
        <f t="shared" si="8"/>
        <v>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515130.83999999997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O37*2.1</f>
        <v>1081774.764</v>
      </c>
      <c r="P38" s="14" t="s">
        <v>138</v>
      </c>
      <c r="Q38" s="14"/>
      <c r="R38" s="40">
        <f>P29/R37</f>
        <v>3.3245901639344262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42800</v>
      </c>
      <c r="L39" s="249"/>
      <c r="M39" s="14"/>
      <c r="N39" s="12"/>
      <c r="O39" s="12">
        <f>O38/P27</f>
        <v>105280.16622547492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35966.386554621851</v>
      </c>
      <c r="L40" s="249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46021</v>
      </c>
    </row>
    <row r="6" spans="2:31" ht="16.2" thickBot="1" x14ac:dyDescent="0.35">
      <c r="B6" s="140" t="s">
        <v>2</v>
      </c>
      <c r="C6" s="139" t="str">
        <f>'2229'!C10</f>
        <v>CARCAMO CONSTRUCCIONES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11817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-221662.76903345413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1643460</v>
      </c>
      <c r="E11" s="132">
        <f>D11*0.19</f>
        <v>312257.40000000002</v>
      </c>
      <c r="F11" s="131">
        <f>E11+D11</f>
        <v>1955717.4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-115672.76903345413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189989.9307874396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-133672.76903345413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1453470.0692125603</v>
      </c>
      <c r="E13" s="221">
        <f>(D11/D12)-1</f>
        <v>7.65024790097271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-142672.76903345413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-181672.76903345413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313483.3857992753</v>
      </c>
      <c r="F15" s="216">
        <f>E15-D12</f>
        <v>123493.4550118357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-181672.76903345413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-141672.76903345413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117000</v>
      </c>
      <c r="E19" s="123">
        <f>D19*0.19</f>
        <v>22230</v>
      </c>
      <c r="F19" s="120">
        <f>SUM(D19:E19)</f>
        <v>139230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43155.839999999997</v>
      </c>
      <c r="E20" s="121">
        <f>D20*0.19</f>
        <v>8199.6095999999998</v>
      </c>
      <c r="F20" s="120">
        <f>SUM(D20:E20)</f>
        <v>51355.449599999993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160155.84</v>
      </c>
      <c r="E21" s="116">
        <f>SUM(E18:E20)</f>
        <v>30429.6096</v>
      </c>
      <c r="F21" s="115">
        <f>SUM(F18:F20)</f>
        <v>190585.44959999999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281827.7904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1643460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160155.84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1453470.0692125603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1453470.0692125603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11817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CARCAMO CONSTRUCCIONES</v>
      </c>
      <c r="D10" s="350"/>
      <c r="E10" s="350"/>
      <c r="F10" s="351" t="s">
        <v>167</v>
      </c>
      <c r="G10" s="352">
        <f>'2229'!G10</f>
        <v>46021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46028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CLAUDIO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>
        <f>IF('2229'!C15="","",'2229'!C15)</f>
        <v>56932485315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13</v>
      </c>
      <c r="C22" s="313" t="str">
        <f>'2229'!C21</f>
        <v>ENCHAPE RECTO 1 CARA</v>
      </c>
      <c r="D22" s="321">
        <f>'2229'!D21*1000</f>
        <v>1500</v>
      </c>
      <c r="E22" s="321">
        <f>'2229'!E21*1000</f>
        <v>500</v>
      </c>
      <c r="F22" s="322" t="str">
        <f>'2229'!F21</f>
        <v>VIVID ORANGE BRILLO</v>
      </c>
      <c r="G22" s="314">
        <f>'2229'!G21</f>
        <v>83213</v>
      </c>
      <c r="H22" s="323">
        <f>G22*B22</f>
        <v>1081769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1081769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205536.11000000002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1287305.1100000001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CARCAMO CONSTRUCCIONES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46021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46028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11817</v>
      </c>
      <c r="C2" s="1">
        <f>'NOTA DE VENTA'!$G$10</f>
        <v>46021</v>
      </c>
      <c r="D2" s="1">
        <f>'NOTA DE VENTA'!$G$11</f>
        <v>46028</v>
      </c>
      <c r="E2" t="str">
        <f>'NOTA DE VENTA'!$C$10</f>
        <v>CARCAMO CONSTRUCCIONES</v>
      </c>
      <c r="F2" t="str">
        <f>'NOTA DE VENTA'!$C$22</f>
        <v>ENCHAPE RECTO 1 CARA</v>
      </c>
      <c r="G2" t="str">
        <f>'NOTA DE VENTA'!$F$22</f>
        <v>VIVID ORANGE BRILLO</v>
      </c>
      <c r="H2" s="416">
        <f>'NOTA DE VENTA'!$H$25</f>
        <v>1081769</v>
      </c>
      <c r="I2" s="416">
        <f>H2*0.19</f>
        <v>205536.11000000002</v>
      </c>
      <c r="J2" s="416">
        <f>I2+H2</f>
        <v>1287305.1100000001</v>
      </c>
      <c r="L2" s="61">
        <f>J2-K2</f>
        <v>1287305.1100000001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2025-12-15T17:39:33Z</cp:lastPrinted>
  <dcterms:created xsi:type="dcterms:W3CDTF">2013-03-18T13:35:42Z</dcterms:created>
  <dcterms:modified xsi:type="dcterms:W3CDTF">2025-12-30T11:57:18Z</dcterms:modified>
</cp:coreProperties>
</file>