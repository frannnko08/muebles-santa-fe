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0D330E04-787D-414E-BF74-6E9DE2990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<sst xmlns="http://schemas.openxmlformats.org/spreadsheetml/2006/main" count="485" uniqueCount="293">
  <si>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</si>
  <si>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</si>
  <si>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</si>
  <si>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</si>
  <si>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</si>
  <si>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</si>
  <si>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</si>
  <si>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</si>
  <si>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</si>
  <si>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</si>
  <si>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</si>
  <si>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</si>
  <si>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</si>
  <si>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</si>
  <si>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</si>
  <si>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</si>
  <si>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</si>
  <si>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</si>
  <si>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</si>
  <si>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</si>
  <si>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</si>
  <si>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</si>
  <si>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</si>
  <si>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</si>
  <si>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</si>
  <si>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</si>
  <si>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</si>
  <si>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</si>
  <si>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</si>
  <si>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</si>
  <si>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</si>
  <si>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</si>
  <si>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</si>
  <si>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</si>
  <si>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</si>
  <si>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</si>
  <si>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</si>
  <si>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</si>
  <si>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</si>
  <si>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</si>
  <si>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</si>
  <si>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</si>
  <si>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</si>
  <si>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</si>
  <si>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</si>
  <si>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</si>
  <si>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</si>
  <si>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</si>
  <si>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</si>
  <si>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</si>
  <si>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</si>
  <si>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</si>
  <si>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</si>
  <si>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</si>
  <si>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</si>
  <si>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</si>
  <si>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</si>
  <si>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</si>
  <si>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</si>
  <si>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</si>
  <si>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</si>
  <si>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</si>
  <si>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</si>
  <si>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</si>
  <si>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</si>
  <si>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</si>
  <si>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</si>
  <si>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</si>
  <si>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</si>
  <si>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</si>
  <si>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</si>
  <si>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</si>
  <si>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</si>
  <si>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</si>
  <si>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</si>
  <si>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</si>
  <si>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</si>
  <si>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</si>
  <si>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</si>
  <si>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</si>
  <si>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</si>
  <si>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</si>
  <si>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</si>
  <si>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</si>
  <si>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</si>
  <si>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</si>
  <si>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</si>
  <si>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</si>
  <si>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</si>
  <si>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</si>
  <si>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</si>
  <si>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</si>
  <si>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</si>
  <si>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</si>
  <si>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</si>
  <si>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</si>
  <si>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</si>
  <si>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</si>
  <si>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</si>
  <si>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</si>
  <si>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</si>
  <si>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</si>
  <si>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</si>
  <si>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</si>
  <si>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</si>
  <si>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</si>
  <si>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</si>
  <si>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</si>
  <si>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</si>
  <si>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</si>
  <si>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</si>
  <si>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</si>
  <si>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</si>
  <si>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</si>
  <si>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</si>
  <si>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</si>
  <si>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</si>
  <si>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</si>
  <si>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</si>
  <si>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</si>
  <si>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</si>
  <si>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</si>
  <si>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</si>
  <si>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</si>
  <si>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</si>
  <si>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</si>
  <si>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</si>
  <si>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</si>
  <si>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</si>
  <si>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</si>
  <si>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</si>
  <si>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</si>
  <si>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</si>
  <si>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</si>
  <si>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</si>
  <si>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</si>
  <si>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</si>
  <si>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</si>
  <si>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</si>
  <si>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</si>
  <si>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</si>
  <si>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</si>
  <si>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</si>
  <si>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</si>
  <si>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</si>
  <si>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</si>
  <si>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</si>
  <si>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</si>
  <si>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</si>
  <si>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</si>
  <si>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</si>
  <si>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</si>
  <si>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</si>
  <si>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</si>
  <si>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</si>
  <si>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</si>
  <si>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</si>
  <si>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</si>
  <si>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</si>
  <si>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</si>
  <si>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</si>
  <si>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</si>
  <si>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</si>
  <si>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</si>
  <si>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</si>
  <si>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</si>
  <si>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</si>
  <si>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</si>
  <si>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</si>
  <si>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</si>
  <si>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</si>
  <si>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</si>
  <si>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</si>
  <si>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</si>
  <si>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</si>
  <si>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</si>
  <si>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</si>
  <si>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</si>
  <si>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</si>
  <si>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</si>
  <si>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</si>
  <si>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</si>
  <si>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</si>
  <si>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</si>
  <si>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</si>
  <si>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</si>
  <si>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</si>
  <si>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</si>
  <si>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</si>
  <si>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</si>
  <si>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</si>
  <si>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</si>
  <si>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</si>
  <si>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</si>
  <si>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</si>
  <si>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</si>
  <si>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</si>
  <si>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</si>
  <si>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</si>
  <si>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</si>
  <si>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</si>
  <si>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</si>
  <si>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</si>
  <si>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</si>
  <si>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</si>
  <si>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</si>
  <si>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</si>
  <si>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</si>
  <si>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</si>
  <si>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</si>
  <si>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</si>
  <si>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</si>
  <si>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</si>
  <si>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</si>
  <si>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</si>
  <si>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</si>
  <si>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</si>
  <si>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</si>
  <si>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</si>
  <si>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</si>
  <si>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</si>
  <si>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</si>
  <si>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</si>
  <si>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</si>
  <si>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</si>
  <si>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</si>
  <si>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</si>
  <si>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</si>
  <si>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</si>
  <si>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</si>
  <si>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</si>
  <si>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</si>
  <si>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</si>
  <si>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</si>
  <si>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</si>
  <si>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</si>
  <si>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</si>
  <si>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</si>
  <si>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</si>
  <si>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</si>
  <si>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</si>
  <si>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</si>
  <si>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</si>
  <si>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</si>
  <si>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</si>
  <si>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</si>
  <si>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</si>
  <si>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</si>
  <si>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</si>
  <si>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</si>
  <si>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</si>
  <si>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</si>
  <si>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</si>
  <si>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</si>
  <si>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</si>
  <si>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</si>
  <si>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</si>
  <si>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</si>
  <si>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</si>
  <si>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</si>
  <si>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</si>
  <si>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</si>
  <si>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</si>
  <si>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</si>
  <si>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</si>
  <si>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</si>
  <si>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</si>
  <si>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</si>
  <si>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</si>
  <si>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</si>
  <si>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</si>
  <si>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</si>
  <si>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</si>
  <si>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</si>
  <si>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</si>
  <si>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</si>
  <si>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</si>
  <si>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</si>
  <si>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</si>
  <si>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</si>
  <si>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</si>
  <si>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</si>
  <si>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</si>
  <si>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</si>
  <si>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</si>
  <si>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</si>
  <si>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</si>
  <si>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</si>
  <si>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CRISTIAN</t>
  </si>
  <si>
    <t>CUBIERTA CON RESPALDO Y FRENTE 90°</t>
  </si>
  <si>
    <t>WHITE MARBLE BRILLO</t>
  </si>
  <si>
    <t>N° 11812</t>
  </si>
  <si>
    <t>3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</si>
</sst>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4" fillId="0" borderId="0" xfId="0" quotePrefix="1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288</v>
      </c>
      <c r="D10" s="243"/>
      <c r="E10" s="243"/>
      <c r="F10" s="418" t="s">
        <v>277</v>
      </c>
      <c r="G10" s="275">
        <v>46010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57">
        <v>56973819160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86369.187364359765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9">
        <v>1</v>
      </c>
      <c r="C21" s="433" t="s">
        <v>289</v>
      </c>
      <c r="D21" s="430">
        <v>1.8049999999999999</v>
      </c>
      <c r="E21" s="430">
        <v>0.55000000000000004</v>
      </c>
      <c r="F21" s="429" t="s">
        <v>290</v>
      </c>
      <c r="G21" s="431">
        <v>89543</v>
      </c>
      <c r="H21" s="431">
        <f>G21*B21</f>
        <v>89543</v>
      </c>
      <c r="I21" s="306"/>
      <c r="J21" s="264"/>
      <c r="K21" s="47"/>
      <c r="L21" s="47">
        <f>B21</f>
        <v>1</v>
      </c>
      <c r="M21" s="39">
        <f>D21+M$19</f>
        <v>1.885</v>
      </c>
      <c r="N21" s="39">
        <f>E21+$N$19</f>
        <v>0.55000000000000004</v>
      </c>
      <c r="O21" s="260">
        <f t="shared" ref="O21" si="0">M21*N21</f>
        <v>1.0367500000000001</v>
      </c>
      <c r="P21" s="258">
        <f t="shared" ref="P21" si="1">O21*L21</f>
        <v>1.0367500000000001</v>
      </c>
      <c r="Q21" s="251">
        <f t="shared" ref="Q21" si="2">Q$20*O21</f>
        <v>89543.25499999999</v>
      </c>
      <c r="R21" s="305">
        <f t="shared" ref="R21" si="3">Q21+R$20</f>
        <v>92543.25499999999</v>
      </c>
      <c r="S21" s="290">
        <f>M21*L21</f>
        <v>1.885</v>
      </c>
      <c r="T21" s="46">
        <f>N21*2*L21*2</f>
        <v>2.2000000000000002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89543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2.2000000000000002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17013.170000000002</v>
      </c>
      <c r="I24" s="308"/>
      <c r="J24" s="264"/>
      <c r="K24" s="47"/>
      <c r="L24" s="47"/>
      <c r="M24" s="39">
        <f>SUM(M21:M23)</f>
        <v>1.885</v>
      </c>
      <c r="N24" s="12"/>
      <c r="O24" s="12"/>
      <c r="P24" s="252">
        <f>SUM(P21:P21)</f>
        <v>1.0367500000000001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106556.17</v>
      </c>
      <c r="I25" s="308"/>
      <c r="J25" s="264"/>
      <c r="K25" s="47"/>
      <c r="L25" s="47"/>
      <c r="M25" s="39"/>
      <c r="N25" s="12"/>
      <c r="O25" s="12"/>
      <c r="P25" s="252">
        <f>P24</f>
        <v>1.0367500000000001</v>
      </c>
      <c r="Q25" s="14"/>
      <c r="R25" s="12"/>
      <c r="S25" s="239">
        <f>SUM(S21:S24)</f>
        <v>1.885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0.20735000000000003</v>
      </c>
      <c r="Q26" s="39" t="s">
        <v>129</v>
      </c>
      <c r="R26" s="42"/>
      <c r="S26" s="240">
        <f>S25+T23</f>
        <v>4.085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1.2441</v>
      </c>
      <c r="Q27" s="14"/>
      <c r="R27" s="14"/>
      <c r="S27" s="238">
        <f>S26*20%</f>
        <v>0.81700000000000006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4.9020000000000001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1.2441</v>
      </c>
      <c r="N29" s="12">
        <v>3500</v>
      </c>
      <c r="O29" s="12">
        <f t="shared" ref="O29:O34" si="4">M29*N29</f>
        <v>4354.3500000000004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0.5</v>
      </c>
      <c r="N30" s="12">
        <v>23500</v>
      </c>
      <c r="O30" s="12">
        <f t="shared" si="4"/>
        <v>11750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4"/>
        <v>20000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1.885</v>
      </c>
      <c r="N34" s="12">
        <v>1500</v>
      </c>
      <c r="O34" s="12">
        <f t="shared" si="4"/>
        <v>2827.5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38931.85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O35*2.3</f>
        <v>89543.25499999999</v>
      </c>
      <c r="P36" s="14" t="s">
        <v>138</v>
      </c>
      <c r="Q36" s="14"/>
      <c r="R36" s="40">
        <f>P27/R35</f>
        <v>0.33544542709232095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86369.187364359765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2.2999999999999998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46010</v>
      </c>
    </row>
    <row r="6" spans="2:31" ht="16.2" thickBot="1" x14ac:dyDescent="0.35">
      <c r="B6" s="140" t="s">
        <v>2</v>
      </c>
      <c r="C6" s="139" t="str">
        <f>'2229'!C10</f>
        <v>CRISTIAN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11812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-2290.7621167874408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89543</v>
      </c>
      <c r="E11" s="132">
        <f>D11*0.19</f>
        <v>17013.170000000002</v>
      </c>
      <c r="F11" s="131">
        <f>E11+D11</f>
        <v>106556.17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103699.23788321255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45938.440787439613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85699.237883212554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43604.559212560387</v>
      </c>
      <c r="E13" s="221">
        <f>(D11/D12)-1</f>
        <v>0.94919545515969372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76699.237883212554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37699.237883212561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75798.427299275354</v>
      </c>
      <c r="F15" s="216">
        <f>E15-D12</f>
        <v>29859.986511835741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37699.237883212561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77699.237883212554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4354.3500000000004</v>
      </c>
      <c r="E20" s="121">
        <f>D20*0.19</f>
        <v>827.32650000000012</v>
      </c>
      <c r="F20" s="120">
        <f>SUM(D20:E20)</f>
        <v>5181.6765000000005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16104.35</v>
      </c>
      <c r="E21" s="116">
        <f>SUM(E18:E20)</f>
        <v>3059.8265000000001</v>
      </c>
      <c r="F21" s="115">
        <f>SUM(F18:F20)</f>
        <v>19164.176500000001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13953.343500000003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89543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16104.35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43604.559212560387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43604.559212560387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11812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CRISTIAN</v>
      </c>
      <c r="D10" s="350"/>
      <c r="E10" s="350"/>
      <c r="F10" s="351" t="s">
        <v>167</v>
      </c>
      <c r="G10" s="352">
        <f>'2229'!G10</f>
        <v>46010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46017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56973819160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CUBIERTA CON RESPALDO Y FRENTE 90°</v>
      </c>
      <c r="D22" s="321">
        <f>'2229'!D21*1000</f>
        <v>1805</v>
      </c>
      <c r="E22" s="321">
        <f>'2229'!E21*1000</f>
        <v>550</v>
      </c>
      <c r="F22" s="322" t="str">
        <f>'2229'!F21</f>
        <v>WHITE MARBLE BRILLO</v>
      </c>
      <c r="G22" s="314">
        <f>'2229'!G21</f>
        <v>89543</v>
      </c>
      <c r="H22" s="323">
        <f>G22*B22</f>
        <v>89543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89543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17013.170000000002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106556.17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CRISTIAN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46010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11812</v>
      </c>
      <c r="C2" s="1">
        <f>'NOTA DE VENTA'!$G$10</f>
        <v>46010</v>
      </c>
      <c r="D2" s="1">
        <f>'NOTA DE VENTA'!$G$11</f>
        <v>46017</v>
      </c>
      <c r="E2" t="str">
        <f>'NOTA DE VENTA'!$C$10</f>
        <v>CRISTIAN</v>
      </c>
      <c r="F2" t="str">
        <f>'NOTA DE VENTA'!$C$22</f>
        <v>CUBIERTA CON RESPALDO Y FRENTE 90°</v>
      </c>
      <c r="G2" t="str">
        <f>'NOTA DE VENTA'!$F$22</f>
        <v>WHITE MARBLE BRILLO</v>
      </c>
      <c r="H2" s="416">
        <f>'NOTA DE VENTA'!$H$25</f>
        <v>89543</v>
      </c>
      <c r="I2" s="416">
        <f>H2*0.19</f>
        <v>17013.170000000002</v>
      </c>
      <c r="J2" s="416">
        <f>I2+H2</f>
        <v>106556.17</v>
      </c>
      <c r="L2" s="61">
        <f>J2-K2</f>
        <v>106556.17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2025-12-19T20:56:07Z</dcterms:modified>
</cp:coreProperties>
</file>