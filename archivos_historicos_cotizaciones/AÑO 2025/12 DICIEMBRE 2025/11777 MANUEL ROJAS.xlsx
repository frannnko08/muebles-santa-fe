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1 NOVIEMBRE 2025\"/>
    </mc:Choice>
  </mc:AlternateContent>
  <xr:revisionPtr revIDLastSave="0" documentId="13_ncr:1_{5433B496-C16C-4F80-9D32-6D26B89495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1" i="1"/>
  <c r="H22" i="1"/>
  <c r="L22" i="1"/>
  <c r="L21" i="1"/>
  <c r="M22" i="1"/>
  <c r="N22" i="1"/>
  <c r="J38" i="1"/>
  <c r="J15" i="1"/>
  <c r="J10" i="1"/>
  <c r="O22" i="1" l="1"/>
  <c r="P22" i="1" s="1"/>
  <c r="S22" i="1"/>
  <c r="N21" i="1"/>
  <c r="M21" i="1" l="1"/>
  <c r="S21" i="1" s="1"/>
  <c r="M25" i="1" l="1"/>
  <c r="T21" i="1"/>
  <c r="T24" i="1" s="1"/>
  <c r="S26" i="1"/>
  <c r="O21" i="1"/>
  <c r="P21" i="1" s="1"/>
  <c r="P25" i="1" s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2" i="1" l="1"/>
  <c r="R22" i="1" s="1"/>
  <c r="O39" i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<sst xmlns="http://schemas.openxmlformats.org/spreadsheetml/2006/main" count="233" uniqueCount="175">
  <si>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</si>
  <si>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</si>
  <si>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</si>
  <si>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</si>
  <si>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</si>
  <si>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</si>
  <si>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</si>
  <si>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</si>
  <si>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</si>
  <si>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</si>
  <si>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</si>
  <si>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</si>
  <si>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</si>
  <si>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</si>
  <si>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</si>
  <si>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</si>
  <si>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</si>
  <si>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</si>
  <si>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</si>
  <si>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</si>
  <si>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</si>
  <si>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</si>
  <si>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</si>
  <si>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</si>
  <si>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</si>
  <si>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</si>
  <si>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</si>
  <si>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</si>
  <si>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</si>
  <si>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</si>
  <si>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</si>
  <si>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</si>
  <si>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</si>
  <si>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</si>
  <si>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</si>
  <si>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</si>
  <si>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</si>
  <si>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</si>
  <si>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</si>
  <si>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</si>
  <si>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</si>
  <si>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</si>
  <si>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</si>
  <si>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</si>
  <si>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</si>
  <si>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</si>
  <si>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</si>
  <si>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</si>
  <si>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</si>
  <si>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</si>
  <si>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</si>
  <si>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</si>
  <si>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</si>
  <si>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</si>
  <si>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</si>
  <si>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</si>
  <si>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</si>
  <si>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</si>
  <si>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</si>
  <si>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</si>
  <si>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</si>
  <si>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</si>
  <si>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</si>
  <si>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</si>
  <si>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</si>
  <si>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</si>
  <si>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</si>
  <si>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</si>
  <si>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</si>
  <si>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</si>
  <si>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</si>
  <si>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</si>
  <si>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</si>
  <si>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</si>
  <si>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</si>
  <si>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</si>
  <si>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</si>
  <si>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</si>
  <si>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</si>
  <si>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</si>
  <si>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</si>
  <si>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</si>
  <si>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</si>
  <si>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</si>
  <si>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</si>
  <si>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</si>
  <si>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</si>
  <si>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</si>
  <si>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</si>
  <si>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</si>
  <si>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</si>
  <si>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</si>
  <si>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</si>
  <si>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</si>
  <si>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</si>
  <si>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</si>
  <si>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</si>
  <si>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</si>
  <si>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</si>
  <si>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</si>
  <si>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</si>
  <si>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</si>
  <si>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</si>
  <si>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</si>
  <si>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</si>
  <si>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</si>
  <si>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</si>
  <si>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</si>
  <si>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</si>
  <si>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</si>
  <si>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</si>
  <si>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</si>
  <si>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</si>
  <si>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</si>
  <si>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</si>
  <si>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</si>
  <si>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</si>
  <si>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</si>
  <si>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</si>
  <si>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</si>
  <si>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</si>
  <si>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</si>
  <si>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</si>
  <si>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</si>
  <si>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</si>
  <si>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</si>
  <si>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</si>
  <si>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</si>
  <si>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</si>
  <si>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</si>
  <si>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</si>
  <si>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</si>
  <si>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</si>
  <si>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</si>
  <si>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</si>
  <si>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</si>
  <si>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</si>
  <si>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</si>
  <si>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</si>
  <si>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</si>
  <si>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</si>
  <si>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</si>
  <si>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</si>
  <si>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</si>
  <si>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</si>
  <si>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</si>
  <si>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</si>
  <si>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</si>
  <si>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</si>
  <si>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</si>
  <si>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</si>
  <si>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</si>
  <si>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</si>
  <si>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</si>
  <si>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</si>
  <si>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</si>
  <si>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</si>
  <si>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</si>
  <si>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</si>
  <si>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</si>
  <si>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</si>
  <si>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</si>
  <si>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</si>
  <si>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</si>
  <si>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</si>
  <si>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</si>
  <si>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</si>
  <si>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</si>
  <si>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</si>
  <si>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CUB C/R 90° R8</t>
  </si>
  <si>
    <t>WHITE MARBLE</t>
  </si>
  <si>
    <t>MANUEL ROJAS</t>
  </si>
  <si>
    <t>569 9632 9304</t>
  </si>
  <si>
    <t>5 DIAS HABILES</t>
  </si>
  <si>
    <t>N° 11777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</si>
</sst>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 ENTREGA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/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174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171</v>
      </c>
      <c r="D10" s="243"/>
      <c r="E10" s="243"/>
      <c r="F10" s="244" t="s">
        <v>0</v>
      </c>
      <c r="G10" s="276">
        <v>45992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172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1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72380.191602119856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169</v>
      </c>
      <c r="D21" s="332">
        <v>2.6</v>
      </c>
      <c r="E21" s="332">
        <v>0.55000000000000004</v>
      </c>
      <c r="F21" s="329" t="s">
        <v>170</v>
      </c>
      <c r="G21" s="330">
        <f>Q21</f>
        <v>106688.40242152468</v>
      </c>
      <c r="H21" s="330">
        <f>G21*B21</f>
        <v>106688.40242152468</v>
      </c>
      <c r="I21" s="319"/>
      <c r="J21" s="265"/>
      <c r="K21" s="47"/>
      <c r="L21" s="331">
        <f>B21</f>
        <v>1</v>
      </c>
      <c r="M21" s="39">
        <f>D21+M$19</f>
        <v>2.68</v>
      </c>
      <c r="N21" s="39">
        <f>E21+$N$19</f>
        <v>0.55000000000000004</v>
      </c>
      <c r="O21" s="261">
        <f t="shared" ref="O21" si="1">M21*N21</f>
        <v>1.4740000000000002</v>
      </c>
      <c r="P21" s="259">
        <f t="shared" ref="P21" si="2">O21*L21</f>
        <v>1.4740000000000002</v>
      </c>
      <c r="Q21" s="252">
        <f t="shared" ref="Q21" si="3">Q$20*O21</f>
        <v>106688.40242152468</v>
      </c>
      <c r="R21" s="318">
        <f t="shared" ref="R21" si="4">Q21+R$20</f>
        <v>109688.40242152468</v>
      </c>
      <c r="S21" s="297">
        <f>M21*L21</f>
        <v>2.68</v>
      </c>
      <c r="T21" s="46">
        <f>M21*L21</f>
        <v>2.68</v>
      </c>
      <c r="U21" s="9"/>
      <c r="X21" s="4"/>
    </row>
    <row r="22" spans="1:25" ht="17.399999999999999" x14ac:dyDescent="0.3">
      <c r="B22" s="329">
        <v>1</v>
      </c>
      <c r="C22" s="329" t="s">
        <v>169</v>
      </c>
      <c r="D22" s="332">
        <v>1.7</v>
      </c>
      <c r="E22" s="332">
        <v>0.55000000000000004</v>
      </c>
      <c r="F22" s="329" t="s">
        <v>170</v>
      </c>
      <c r="G22" s="330">
        <f>Q22</f>
        <v>70860.20757847534</v>
      </c>
      <c r="H22" s="330">
        <f t="shared" ref="H22" si="5">G22*B22</f>
        <v>70860.20757847534</v>
      </c>
      <c r="I22" s="319"/>
      <c r="J22" s="265"/>
      <c r="K22" s="47"/>
      <c r="L22" s="331">
        <f t="shared" ref="L22" si="6">B22</f>
        <v>1</v>
      </c>
      <c r="M22" s="39">
        <f t="shared" ref="M22" si="7">D22+M$19</f>
        <v>1.78</v>
      </c>
      <c r="N22" s="39">
        <f t="shared" ref="N22" si="8">E22+$N$19</f>
        <v>0.55000000000000004</v>
      </c>
      <c r="O22" s="261">
        <f t="shared" ref="O22" si="9">M22*N22</f>
        <v>0.97900000000000009</v>
      </c>
      <c r="P22" s="259">
        <f t="shared" ref="P22" si="10">O22*L22</f>
        <v>0.97900000000000009</v>
      </c>
      <c r="Q22" s="252">
        <f t="shared" ref="Q22" si="11">Q$20*O22</f>
        <v>70860.20757847534</v>
      </c>
      <c r="R22" s="318">
        <f t="shared" ref="R22" si="12">Q22+R$20</f>
        <v>73860.20757847534</v>
      </c>
      <c r="S22" s="297">
        <f t="shared" ref="S22" si="13">M22*L22</f>
        <v>1.78</v>
      </c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0"/>
      <c r="I23" s="322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3" t="s">
        <v>28</v>
      </c>
      <c r="H24" s="324">
        <f>SUM(H21:H23)</f>
        <v>177548.61000000002</v>
      </c>
      <c r="I24" s="321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2.68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33734.2359</v>
      </c>
      <c r="I25" s="321"/>
      <c r="J25" s="265"/>
      <c r="K25" s="47"/>
      <c r="L25" s="47"/>
      <c r="M25" s="39">
        <f>SUM(M21:M24)</f>
        <v>4.46</v>
      </c>
      <c r="N25" s="12"/>
      <c r="O25" s="12"/>
      <c r="P25" s="253">
        <f>SUM(P21:P23)</f>
        <v>2.4530000000000003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211282.84590000001</v>
      </c>
      <c r="I26" s="321"/>
      <c r="J26" s="265"/>
      <c r="K26" s="47"/>
      <c r="L26" s="47"/>
      <c r="M26" s="39"/>
      <c r="N26" s="12"/>
      <c r="O26" s="12"/>
      <c r="P26" s="253">
        <f>P25</f>
        <v>2.4530000000000003</v>
      </c>
      <c r="Q26" s="14"/>
      <c r="R26" s="12"/>
      <c r="S26" s="239">
        <f>SUM(S21:S25)</f>
        <v>4.46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0.49060000000000009</v>
      </c>
      <c r="Q27" s="39" t="s">
        <v>130</v>
      </c>
      <c r="R27" s="42"/>
      <c r="S27" s="240">
        <f>S26+T24</f>
        <v>7.1400000000000006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2.9436000000000004</v>
      </c>
      <c r="Q28" s="14"/>
      <c r="R28" s="14"/>
      <c r="S28" s="238">
        <f>S27*20%</f>
        <v>1.4280000000000002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8.5680000000000014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2.9436000000000004</v>
      </c>
      <c r="N30" s="12">
        <v>3500</v>
      </c>
      <c r="O30" s="12">
        <f t="shared" ref="O30:O35" si="14">M30*N30</f>
        <v>10302.600000000002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0.8</v>
      </c>
      <c r="N31" s="12">
        <v>23500</v>
      </c>
      <c r="O31" s="12">
        <f t="shared" si="14"/>
        <v>18800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35000</v>
      </c>
      <c r="O32" s="12">
        <f t="shared" si="14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2</v>
      </c>
      <c r="N33" s="250">
        <v>20000</v>
      </c>
      <c r="O33" s="12">
        <f t="shared" si="14"/>
        <v>40000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14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 t="s">
        <v>168</v>
      </c>
      <c r="K35" s="260">
        <v>38300</v>
      </c>
      <c r="L35" s="250"/>
      <c r="M35" s="266">
        <v>4.3</v>
      </c>
      <c r="N35" s="12">
        <v>1500</v>
      </c>
      <c r="O35" s="12">
        <f t="shared" si="14"/>
        <v>6450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J36" s="230" t="s">
        <v>167</v>
      </c>
      <c r="K36" s="260">
        <v>31000</v>
      </c>
      <c r="L36" s="250"/>
      <c r="M36" s="14"/>
      <c r="N36" s="12"/>
      <c r="O36" s="12">
        <f>SUM(O30:O35)</f>
        <v>75552.600000000006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J37" s="230">
        <v>49560</v>
      </c>
      <c r="L37" s="250"/>
      <c r="M37" s="254" t="s">
        <v>33</v>
      </c>
      <c r="N37" s="12"/>
      <c r="O37" s="255">
        <f>O36*2.35</f>
        <v>177548.61000000002</v>
      </c>
      <c r="P37" s="14" t="s">
        <v>140</v>
      </c>
      <c r="Q37" s="14"/>
      <c r="R37" s="40">
        <f>P28/R36</f>
        <v>0.79367989646246773</v>
      </c>
      <c r="S37"/>
      <c r="T37" s="257"/>
    </row>
    <row r="38" spans="2:24" s="230" customFormat="1" ht="17.399999999999999" x14ac:dyDescent="0.35">
      <c r="G38"/>
      <c r="H38" s="260"/>
      <c r="I38" s="260"/>
      <c r="J38" s="260">
        <f>J37/1.19</f>
        <v>41647.058823529413</v>
      </c>
      <c r="L38" s="250"/>
      <c r="M38" s="14"/>
      <c r="N38" s="12"/>
      <c r="O38" s="12">
        <f>O37/P26</f>
        <v>72380.191602119856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L39" s="250"/>
      <c r="M39" s="13"/>
      <c r="N39" s="14"/>
      <c r="O39" s="17">
        <f>O37/O36</f>
        <v>2.35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45992</v>
      </c>
    </row>
    <row r="6" spans="2:31" ht="16.2" thickBot="1" x14ac:dyDescent="0.35">
      <c r="B6" s="140" t="s">
        <v>2</v>
      </c>
      <c r="C6" s="139" t="str">
        <f>'2229'!C10</f>
        <v>MANUEL ROJAS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11777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-13383.84503345411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177548.61000000002</v>
      </c>
      <c r="E11" s="132">
        <f>D11*0.19</f>
        <v>33734.2359</v>
      </c>
      <c r="F11" s="131">
        <f>E11+D11</f>
        <v>211282.84590000001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92606.154966545888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58936.690787439613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74606.154966545888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118611.9192125604</v>
      </c>
      <c r="E13" s="221">
        <f>(D11/D12)-1</f>
        <v>2.0125310333480511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65606.154966545888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26606.154966545888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97245.539799275357</v>
      </c>
      <c r="F15" s="216">
        <f>E15-D12</f>
        <v>38308.849011835744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26606.154966545888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66606.154966545888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18800</v>
      </c>
      <c r="E19" s="123">
        <f>D19*0.19</f>
        <v>3572</v>
      </c>
      <c r="F19" s="120">
        <f>SUM(D19:E19)</f>
        <v>22372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10302.600000000002</v>
      </c>
      <c r="E20" s="121">
        <f>D20*0.19</f>
        <v>1957.4940000000004</v>
      </c>
      <c r="F20" s="120">
        <f>SUM(D20:E20)</f>
        <v>12260.094000000003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29102.600000000002</v>
      </c>
      <c r="E21" s="116">
        <f>SUM(E18:E20)</f>
        <v>5529.4940000000006</v>
      </c>
      <c r="F21" s="115">
        <f>SUM(F18:F20)</f>
        <v>34632.094000000005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28204.741900000001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177548.61000000002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29102.600000000002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118611.9192125604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118611.9192125604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2025-04-03T19:02:46Z</cp:lastPrinted>
  <dcterms:created xsi:type="dcterms:W3CDTF">2013-03-18T13:35:42Z</dcterms:created>
  <dcterms:modified xsi:type="dcterms:W3CDTF">2025-12-01T15:15:08Z</dcterms:modified>
</cp:coreProperties>
</file>