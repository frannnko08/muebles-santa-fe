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A30D01A2-06B6-490F-AD04-0D6C872541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H24" i="1" l="1"/>
  <c r="H25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<sst xmlns="http://schemas.openxmlformats.org/spreadsheetml/2006/main" count="487" uniqueCount="295">
  <si>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</si>
  <si>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</si>
  <si>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</si>
  <si>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</si>
  <si>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</si>
  <si>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</si>
  <si>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</si>
  <si>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</si>
  <si>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</si>
  <si>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</si>
  <si>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</si>
  <si>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</si>
  <si>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</si>
  <si>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</si>
  <si>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</si>
  <si>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</si>
  <si>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</si>
  <si>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</si>
  <si>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</si>
  <si>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</si>
  <si>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</si>
  <si>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</si>
  <si>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</si>
  <si>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</si>
  <si>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</si>
  <si>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</si>
  <si>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</si>
  <si>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</si>
  <si>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</si>
  <si>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</si>
  <si>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</si>
  <si>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</si>
  <si>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</si>
  <si>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</si>
  <si>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</si>
  <si>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</si>
  <si>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</si>
  <si>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</si>
  <si>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</si>
  <si>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</si>
  <si>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</si>
  <si>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</si>
  <si>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</si>
  <si>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</si>
  <si>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</si>
  <si>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</si>
  <si>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</si>
  <si>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</si>
  <si>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</si>
  <si>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</si>
  <si>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</si>
  <si>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</si>
  <si>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</si>
  <si>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</si>
  <si>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</si>
  <si>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</si>
  <si>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</si>
  <si>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</si>
  <si>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</si>
  <si>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</si>
  <si>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</si>
  <si>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</si>
  <si>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</si>
  <si>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</si>
  <si>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</si>
  <si>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</si>
  <si>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</si>
  <si>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</si>
  <si>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</si>
  <si>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</si>
  <si>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</si>
  <si>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</si>
  <si>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</si>
  <si>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</si>
  <si>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</si>
  <si>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</si>
  <si>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</si>
  <si>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</si>
  <si>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</si>
  <si>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</si>
  <si>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</si>
  <si>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</si>
  <si>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</si>
  <si>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</si>
  <si>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</si>
  <si>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</si>
  <si>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</si>
  <si>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</si>
  <si>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</si>
  <si>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</si>
  <si>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</si>
  <si>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</si>
  <si>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</si>
  <si>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</si>
  <si>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</si>
  <si>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</si>
  <si>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</si>
  <si>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</si>
  <si>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</si>
  <si>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</si>
  <si>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</si>
  <si>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</si>
  <si>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</si>
  <si>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</si>
  <si>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</si>
  <si>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</si>
  <si>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</si>
  <si>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</si>
  <si>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</si>
  <si>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</si>
  <si>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</si>
  <si>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</si>
  <si>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</si>
  <si>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</si>
  <si>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</si>
  <si>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</si>
  <si>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</si>
  <si>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</si>
  <si>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</si>
  <si>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</si>
  <si>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</si>
  <si>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</si>
  <si>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</si>
  <si>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</si>
  <si>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</si>
  <si>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</si>
  <si>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</si>
  <si>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</si>
  <si>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</si>
  <si>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</si>
  <si>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</si>
  <si>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</si>
  <si>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</si>
  <si>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</si>
  <si>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</si>
  <si>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</si>
  <si>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</si>
  <si>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</si>
  <si>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</si>
  <si>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</si>
  <si>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</si>
  <si>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</si>
  <si>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</si>
  <si>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</si>
  <si>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</si>
  <si>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</si>
  <si>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</si>
  <si>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</si>
  <si>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</si>
  <si>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</si>
  <si>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</si>
  <si>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</si>
  <si>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</si>
  <si>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</si>
  <si>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</si>
  <si>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</si>
  <si>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</si>
  <si>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</si>
  <si>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</si>
  <si>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</si>
  <si>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</si>
  <si>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</si>
  <si>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</si>
  <si>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</si>
  <si>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</si>
  <si>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</si>
  <si>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</si>
  <si>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</si>
  <si>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</si>
  <si>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</si>
  <si>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</si>
  <si>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</si>
  <si>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</si>
  <si>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</si>
  <si>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</si>
  <si>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</si>
  <si>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</si>
  <si>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</si>
  <si>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</si>
  <si>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</si>
  <si>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</si>
  <si>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</si>
  <si>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</si>
  <si>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</si>
  <si>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</si>
  <si>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</si>
  <si>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</si>
  <si>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</si>
  <si>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</si>
  <si>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</si>
  <si>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</si>
  <si>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</si>
  <si>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</si>
  <si>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</si>
  <si>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</si>
  <si>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</si>
  <si>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</si>
  <si>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</si>
  <si>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</si>
  <si>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</si>
  <si>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</si>
  <si>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</si>
  <si>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</si>
  <si>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</si>
  <si>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</si>
  <si>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</si>
  <si>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</si>
  <si>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</si>
  <si>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</si>
  <si>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</si>
  <si>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</si>
  <si>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</si>
  <si>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</si>
  <si>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</si>
  <si>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</si>
  <si>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</si>
  <si>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</si>
  <si>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</si>
  <si>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</si>
  <si>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</si>
  <si>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</si>
  <si>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</si>
  <si>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</si>
  <si>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</si>
  <si>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</si>
  <si>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</si>
  <si>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</si>
  <si>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</si>
  <si>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</si>
  <si>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</si>
  <si>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</si>
  <si>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</si>
  <si>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</si>
  <si>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</si>
  <si>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</si>
  <si>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</si>
  <si>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</si>
  <si>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</si>
  <si>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</si>
  <si>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</si>
  <si>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</si>
  <si>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</si>
  <si>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</si>
  <si>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</si>
  <si>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</si>
  <si>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</si>
  <si>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</si>
  <si>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</si>
  <si>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</si>
  <si>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</si>
  <si>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</si>
  <si>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</si>
  <si>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</si>
  <si>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</si>
  <si>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</si>
  <si>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</si>
  <si>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</si>
  <si>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</si>
  <si>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</si>
  <si>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</si>
  <si>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</si>
  <si>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</si>
  <si>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</si>
  <si>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</si>
  <si>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</si>
  <si>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</si>
  <si>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</si>
  <si>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</si>
  <si>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</si>
  <si>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</si>
  <si>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</si>
  <si>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</si>
  <si>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</si>
  <si>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</si>
  <si>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</si>
  <si>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</si>
  <si>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</si>
  <si>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</si>
  <si>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</si>
  <si>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</si>
  <si>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</si>
  <si>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</si>
  <si>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</si>
  <si>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</si>
  <si>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</si>
  <si>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</si>
  <si>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</si>
  <si>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</si>
  <si>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3 DIAS HABILES</t>
  </si>
  <si>
    <t>N° 11815</t>
  </si>
  <si>
    <t>76.772.711-9</t>
  </si>
  <si>
    <t>COMAR E.I.R.L.</t>
  </si>
  <si>
    <t>ELIZABETH ARREDONDO</t>
  </si>
  <si>
    <t>CUBIERTA FRENTE RECTO SIN RESPALDO</t>
  </si>
  <si>
    <t>VAINILLA 2109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</si>
</sst>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6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291</v>
      </c>
      <c r="D10" s="243"/>
      <c r="E10" s="243"/>
      <c r="F10" s="418" t="s">
        <v>277</v>
      </c>
      <c r="G10" s="275">
        <v>46020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290</v>
      </c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292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4">
        <v>56973819160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122378.25396825395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29">
        <v>1</v>
      </c>
      <c r="C21" s="433" t="s">
        <v>293</v>
      </c>
      <c r="D21" s="430">
        <v>1.6</v>
      </c>
      <c r="E21" s="430">
        <v>0.3</v>
      </c>
      <c r="F21" s="429" t="s">
        <v>294</v>
      </c>
      <c r="G21" s="431">
        <v>61679</v>
      </c>
      <c r="H21" s="431">
        <f>G21*B21</f>
        <v>61679</v>
      </c>
      <c r="I21" s="306"/>
      <c r="J21" s="264"/>
      <c r="K21" s="47"/>
      <c r="L21" s="47">
        <f>B21</f>
        <v>1</v>
      </c>
      <c r="M21" s="39">
        <f>D21+M$19</f>
        <v>1.6800000000000002</v>
      </c>
      <c r="N21" s="39">
        <f>E21+$N$19</f>
        <v>0.3</v>
      </c>
      <c r="O21" s="260">
        <f t="shared" ref="O21" si="0">M21*N21</f>
        <v>0.504</v>
      </c>
      <c r="P21" s="258">
        <f t="shared" ref="P21" si="1">O21*L21</f>
        <v>0.504</v>
      </c>
      <c r="Q21" s="251">
        <f t="shared" ref="Q21" si="2">Q$20*O21</f>
        <v>61678.639999999992</v>
      </c>
      <c r="R21" s="305">
        <f t="shared" ref="R21" si="3">Q21+R$20</f>
        <v>64678.639999999992</v>
      </c>
      <c r="S21" s="290">
        <f>M21*L21</f>
        <v>1.6800000000000002</v>
      </c>
      <c r="T21" s="46">
        <f>N21*2*L21*2</f>
        <v>1.2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61679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1.2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11719.01</v>
      </c>
      <c r="I24" s="308"/>
      <c r="J24" s="264"/>
      <c r="K24" s="47"/>
      <c r="L24" s="47"/>
      <c r="M24" s="39">
        <f>SUM(M21:M23)</f>
        <v>1.6800000000000002</v>
      </c>
      <c r="N24" s="12"/>
      <c r="O24" s="12"/>
      <c r="P24" s="252">
        <f>SUM(P21:P21)</f>
        <v>0.504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73398.009999999995</v>
      </c>
      <c r="I25" s="308"/>
      <c r="J25" s="264"/>
      <c r="K25" s="47"/>
      <c r="L25" s="47"/>
      <c r="M25" s="39"/>
      <c r="N25" s="12"/>
      <c r="O25" s="12"/>
      <c r="P25" s="252">
        <f>P24</f>
        <v>0.504</v>
      </c>
      <c r="Q25" s="14"/>
      <c r="R25" s="12"/>
      <c r="S25" s="239">
        <f>SUM(S21:S24)</f>
        <v>1.6800000000000002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0.1008</v>
      </c>
      <c r="Q26" s="39" t="s">
        <v>129</v>
      </c>
      <c r="R26" s="42"/>
      <c r="S26" s="240">
        <f>S25+T23</f>
        <v>2.88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0.6048</v>
      </c>
      <c r="Q27" s="14"/>
      <c r="R27" s="14"/>
      <c r="S27" s="238">
        <f>S26*20%</f>
        <v>0.57599999999999996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3.456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0.6048</v>
      </c>
      <c r="N29" s="12">
        <v>3500</v>
      </c>
      <c r="O29" s="12">
        <f t="shared" ref="O29:O34" si="4">M29*N29</f>
        <v>2116.8000000000002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0.2</v>
      </c>
      <c r="N30" s="12">
        <v>23500</v>
      </c>
      <c r="O30" s="12">
        <f t="shared" si="4"/>
        <v>4700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20000</v>
      </c>
      <c r="O32" s="12">
        <f t="shared" si="4"/>
        <v>20000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4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26816.799999999999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O35*2.3</f>
        <v>61678.639999999992</v>
      </c>
      <c r="P36" s="14" t="s">
        <v>138</v>
      </c>
      <c r="Q36" s="14"/>
      <c r="R36" s="40">
        <f>P27/R35</f>
        <v>0.16307161345987919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42800</v>
      </c>
      <c r="L37" s="249"/>
      <c r="M37" s="14"/>
      <c r="N37" s="12"/>
      <c r="O37" s="12">
        <f>O36/P25</f>
        <v>122378.25396825395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35966.386554621851</v>
      </c>
      <c r="L38" s="249"/>
      <c r="M38" s="13"/>
      <c r="N38" s="14"/>
      <c r="O38" s="17">
        <f>O36/O35</f>
        <v>2.2999999999999998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46020</v>
      </c>
    </row>
    <row r="6" spans="2:31" ht="16.2" thickBot="1" x14ac:dyDescent="0.35">
      <c r="B6" s="140" t="s">
        <v>2</v>
      </c>
      <c r="C6" s="139" t="str">
        <f>'2229'!C10</f>
        <v>COMAR E.I.R.L.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11815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-200.83836678744169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61679</v>
      </c>
      <c r="E11" s="132">
        <f>D11*0.19</f>
        <v>11719.01</v>
      </c>
      <c r="F11" s="131">
        <f>E11+D11</f>
        <v>73398.009999999995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105789.16163321256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36650.89078743961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87789.161633212556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25028.10921256039</v>
      </c>
      <c r="E13" s="221">
        <f>(D11/D12)-1</f>
        <v>0.68287860608118178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78789.161633212556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39789.161633212556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60473.96979927535</v>
      </c>
      <c r="F15" s="216">
        <f>E15-D12</f>
        <v>23823.07901183574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39789.161633212556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79789.161633212556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4700</v>
      </c>
      <c r="E19" s="123">
        <f>D19*0.19</f>
        <v>893</v>
      </c>
      <c r="F19" s="120">
        <f>SUM(D19:E19)</f>
        <v>5593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2116.8000000000002</v>
      </c>
      <c r="E20" s="121">
        <f>D20*0.19</f>
        <v>402.19200000000006</v>
      </c>
      <c r="F20" s="120">
        <f>SUM(D20:E20)</f>
        <v>2518.9920000000002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6816.8</v>
      </c>
      <c r="E21" s="116">
        <f>SUM(E18:E20)</f>
        <v>1295.192</v>
      </c>
      <c r="F21" s="115">
        <f>SUM(F18:F20)</f>
        <v>8111.9920000000002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10423.817999999999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61679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6816.8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25028.10921256039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25028.10921256039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11815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COMAR E.I.R.L.</v>
      </c>
      <c r="D10" s="350"/>
      <c r="E10" s="350"/>
      <c r="F10" s="351" t="s">
        <v>167</v>
      </c>
      <c r="G10" s="352">
        <f>'2229'!G10</f>
        <v>46020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76.772.711-9</v>
      </c>
      <c r="D11" s="345"/>
      <c r="E11" s="345"/>
      <c r="F11" s="345" t="s">
        <v>168</v>
      </c>
      <c r="G11" s="340">
        <f>WORKDAY(G10,5)</f>
        <v>46027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ELIZABETH ARREDONDO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>
        <f>IF('2229'!C15="","",'2229'!C15)</f>
        <v>56973819160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CUBIERTA FRENTE RECTO SIN RESPALDO</v>
      </c>
      <c r="D22" s="321">
        <f>'2229'!D21*1000</f>
        <v>1600</v>
      </c>
      <c r="E22" s="321">
        <f>'2229'!E21*1000</f>
        <v>300</v>
      </c>
      <c r="F22" s="322" t="str">
        <f>'2229'!F21</f>
        <v>VAINILLA 2109 MT</v>
      </c>
      <c r="G22" s="314">
        <f>'2229'!G21</f>
        <v>61679</v>
      </c>
      <c r="H22" s="323">
        <f>G22*B22</f>
        <v>61679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61679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11719.01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73398.009999999995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COMAR E.I.R.L.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46020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46027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11815</v>
      </c>
      <c r="C2" s="1">
        <f>'NOTA DE VENTA'!$G$10</f>
        <v>46020</v>
      </c>
      <c r="D2" s="1">
        <f>'NOTA DE VENTA'!$G$11</f>
        <v>46027</v>
      </c>
      <c r="E2" t="str">
        <f>'NOTA DE VENTA'!$C$10</f>
        <v>COMAR E.I.R.L.</v>
      </c>
      <c r="F2" t="str">
        <f>'NOTA DE VENTA'!$C$22</f>
        <v>CUBIERTA FRENTE RECTO SIN RESPALDO</v>
      </c>
      <c r="G2" t="str">
        <f>'NOTA DE VENTA'!$F$22</f>
        <v>VAINILLA 2109 MT</v>
      </c>
      <c r="H2" s="416">
        <f>'NOTA DE VENTA'!$H$25</f>
        <v>61679</v>
      </c>
      <c r="I2" s="416">
        <f>H2*0.19</f>
        <v>11719.01</v>
      </c>
      <c r="J2" s="416">
        <f>I2+H2</f>
        <v>73398.009999999995</v>
      </c>
      <c r="L2" s="61">
        <f>J2-K2</f>
        <v>73398.009999999995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2025-12-29T21:19:29Z</dcterms:modified>
</cp:coreProperties>
</file>