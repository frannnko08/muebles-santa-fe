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232C0B44-F52E-4B99-869F-BAFE16689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H41" i="1"/>
  <c r="L21" i="1"/>
  <c r="M21" i="1"/>
  <c r="O21" i="1" s="1"/>
  <c r="P21" i="1" s="1"/>
  <c r="N21" i="1"/>
  <c r="T21" i="1" s="1"/>
  <c r="L22" i="1"/>
  <c r="M22" i="1"/>
  <c r="O22" i="1" s="1"/>
  <c r="N22" i="1"/>
  <c r="L23" i="1"/>
  <c r="M23" i="1"/>
  <c r="N23" i="1"/>
  <c r="T23" i="1" s="1"/>
  <c r="L24" i="1"/>
  <c r="M24" i="1"/>
  <c r="O24" i="1" s="1"/>
  <c r="N24" i="1"/>
  <c r="T24" i="1" s="1"/>
  <c r="L25" i="1"/>
  <c r="M25" i="1"/>
  <c r="O25" i="1" s="1"/>
  <c r="P25" i="1" s="1"/>
  <c r="N25" i="1"/>
  <c r="L26" i="1"/>
  <c r="S26" i="1" s="1"/>
  <c r="M26" i="1"/>
  <c r="O26" i="1" s="1"/>
  <c r="N26" i="1"/>
  <c r="L27" i="1"/>
  <c r="M27" i="1"/>
  <c r="O27" i="1" s="1"/>
  <c r="N27" i="1"/>
  <c r="T27" i="1" s="1"/>
  <c r="L28" i="1"/>
  <c r="M28" i="1"/>
  <c r="O28" i="1" s="1"/>
  <c r="P28" i="1" s="1"/>
  <c r="N28" i="1"/>
  <c r="T28" i="1"/>
  <c r="L29" i="1"/>
  <c r="M29" i="1"/>
  <c r="N29" i="1"/>
  <c r="T29" i="1" s="1"/>
  <c r="O29" i="1"/>
  <c r="P29" i="1" s="1"/>
  <c r="S29" i="1"/>
  <c r="L30" i="1"/>
  <c r="M30" i="1"/>
  <c r="N30" i="1"/>
  <c r="T30" i="1" s="1"/>
  <c r="L31" i="1"/>
  <c r="S31" i="1" s="1"/>
  <c r="M31" i="1"/>
  <c r="N31" i="1"/>
  <c r="T31" i="1"/>
  <c r="L32" i="1"/>
  <c r="S32" i="1" s="1"/>
  <c r="M32" i="1"/>
  <c r="N32" i="1"/>
  <c r="T32" i="1" s="1"/>
  <c r="O32" i="1"/>
  <c r="P32" i="1" s="1"/>
  <c r="L33" i="1"/>
  <c r="M33" i="1"/>
  <c r="S33" i="1" s="1"/>
  <c r="N33" i="1"/>
  <c r="L34" i="1"/>
  <c r="S34" i="1" s="1"/>
  <c r="M34" i="1"/>
  <c r="O34" i="1" s="1"/>
  <c r="N34" i="1"/>
  <c r="L35" i="1"/>
  <c r="M35" i="1"/>
  <c r="O35" i="1" s="1"/>
  <c r="N35" i="1"/>
  <c r="T35" i="1" s="1"/>
  <c r="L36" i="1"/>
  <c r="M36" i="1"/>
  <c r="O36" i="1" s="1"/>
  <c r="N36" i="1"/>
  <c r="T36" i="1"/>
  <c r="L37" i="1"/>
  <c r="M37" i="1"/>
  <c r="N37" i="1"/>
  <c r="O37" i="1"/>
  <c r="S37" i="1"/>
  <c r="L38" i="1"/>
  <c r="S38" i="1" s="1"/>
  <c r="M38" i="1"/>
  <c r="N38" i="1"/>
  <c r="T38" i="1" s="1"/>
  <c r="L39" i="1"/>
  <c r="S39" i="1" s="1"/>
  <c r="M39" i="1"/>
  <c r="O39" i="1" s="1"/>
  <c r="N39" i="1"/>
  <c r="L40" i="1"/>
  <c r="S40" i="1" s="1"/>
  <c r="M40" i="1"/>
  <c r="N40" i="1"/>
  <c r="O40" i="1"/>
  <c r="T40" i="1"/>
  <c r="E21" i="6"/>
  <c r="F21" i="6"/>
  <c r="N5" i="6"/>
  <c r="D21" i="6"/>
  <c r="M5" i="6"/>
  <c r="K5" i="6"/>
  <c r="E14" i="6"/>
  <c r="L5" i="6"/>
  <c r="D14" i="6"/>
  <c r="A2" i="7"/>
  <c r="S35" i="1" l="1"/>
  <c r="S28" i="1"/>
  <c r="S27" i="1"/>
  <c r="S25" i="1"/>
  <c r="O23" i="1"/>
  <c r="S22" i="1"/>
  <c r="O38" i="1"/>
  <c r="P38" i="1" s="1"/>
  <c r="T37" i="1"/>
  <c r="T34" i="1"/>
  <c r="O33" i="1"/>
  <c r="P33" i="1" s="1"/>
  <c r="O31" i="1"/>
  <c r="P31" i="1" s="1"/>
  <c r="S30" i="1"/>
  <c r="T26" i="1"/>
  <c r="S24" i="1"/>
  <c r="S23" i="1"/>
  <c r="S21" i="1"/>
  <c r="T39" i="1"/>
  <c r="P37" i="1"/>
  <c r="S36" i="1"/>
  <c r="O30" i="1"/>
  <c r="T33" i="1"/>
  <c r="T25" i="1"/>
  <c r="T22" i="1"/>
  <c r="P30" i="1"/>
  <c r="P39" i="1"/>
  <c r="P34" i="1"/>
  <c r="P26" i="1"/>
  <c r="P35" i="1"/>
  <c r="P27" i="1"/>
  <c r="P22" i="1"/>
  <c r="P23" i="1"/>
  <c r="P40" i="1"/>
  <c r="P36" i="1"/>
  <c r="P24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B27" i="6"/>
  <c r="I21" i="6" s="1"/>
  <c r="K21" i="6"/>
  <c r="J21" i="6"/>
  <c r="K14" i="6"/>
  <c r="J14" i="6"/>
  <c r="F14" i="6"/>
  <c r="G22" i="4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P45" i="1" l="1"/>
  <c r="H22" i="4"/>
  <c r="H25" i="4" s="1"/>
  <c r="H2" i="7" s="1"/>
  <c r="I2" i="7" s="1"/>
  <c r="J2" i="7" s="1"/>
  <c r="L2" i="7" s="1"/>
  <c r="D5" i="6"/>
  <c r="G11" i="4"/>
  <c r="D7" i="6"/>
  <c r="I14" i="6"/>
  <c r="B14" i="6" s="1"/>
  <c r="B21" i="6"/>
  <c r="H26" i="4" l="1"/>
  <c r="H27" i="4" s="1"/>
  <c r="D2" i="7"/>
  <c r="D8" i="6"/>
  <c r="M45" i="1"/>
  <c r="T44" i="1" l="1"/>
  <c r="S46" i="1"/>
  <c r="K59" i="1"/>
  <c r="S47" i="1" l="1"/>
  <c r="S48" i="1" s="1"/>
  <c r="S49" i="1" s="1"/>
  <c r="V52" i="1"/>
  <c r="V53" i="1" s="1"/>
  <c r="O51" i="1" l="1"/>
  <c r="P46" i="1" l="1"/>
  <c r="N20" i="1"/>
  <c r="L20" i="1"/>
  <c r="P47" i="1" l="1"/>
  <c r="P48" i="1" s="1"/>
  <c r="M50" i="1" s="1"/>
  <c r="O52" i="1"/>
  <c r="R56" i="1"/>
  <c r="R57" i="1" l="1"/>
  <c r="O5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5" i="1"/>
  <c r="O54" i="1"/>
  <c r="F18" i="3" l="1"/>
  <c r="O50" i="1" l="1"/>
  <c r="O56" i="1" s="1"/>
  <c r="O57" i="1" s="1"/>
  <c r="D20" i="3" l="1"/>
  <c r="E20" i="3" s="1"/>
  <c r="E21" i="3" s="1"/>
  <c r="O58" i="1" l="1"/>
  <c r="Q20" i="1" s="1"/>
  <c r="D21" i="3"/>
  <c r="M43" i="3" s="1"/>
  <c r="D12" i="3" s="1"/>
  <c r="F20" i="3"/>
  <c r="F21" i="3" s="1"/>
  <c r="Q24" i="1" l="1"/>
  <c r="R24" i="1" s="1"/>
  <c r="H24" i="1" s="1"/>
  <c r="Q28" i="1"/>
  <c r="R28" i="1" s="1"/>
  <c r="H28" i="1" s="1"/>
  <c r="Q38" i="1"/>
  <c r="R38" i="1" s="1"/>
  <c r="H38" i="1" s="1"/>
  <c r="Q26" i="1"/>
  <c r="R26" i="1" s="1"/>
  <c r="H26" i="1" s="1"/>
  <c r="Q27" i="1"/>
  <c r="R27" i="1" s="1"/>
  <c r="H27" i="1" s="1"/>
  <c r="Q23" i="1"/>
  <c r="R23" i="1" s="1"/>
  <c r="H23" i="1" s="1"/>
  <c r="Q25" i="1"/>
  <c r="R25" i="1" s="1"/>
  <c r="H25" i="1" s="1"/>
  <c r="Q32" i="1"/>
  <c r="R32" i="1" s="1"/>
  <c r="H32" i="1" s="1"/>
  <c r="Q21" i="1"/>
  <c r="R21" i="1" s="1"/>
  <c r="H21" i="1" s="1"/>
  <c r="Q37" i="1"/>
  <c r="R37" i="1" s="1"/>
  <c r="H37" i="1" s="1"/>
  <c r="Q40" i="1"/>
  <c r="R40" i="1" s="1"/>
  <c r="H40" i="1" s="1"/>
  <c r="Q30" i="1"/>
  <c r="R30" i="1" s="1"/>
  <c r="H30" i="1" s="1"/>
  <c r="Q31" i="1"/>
  <c r="R31" i="1" s="1"/>
  <c r="H31" i="1" s="1"/>
  <c r="Q34" i="1"/>
  <c r="R34" i="1" s="1"/>
  <c r="H34" i="1" s="1"/>
  <c r="Q35" i="1"/>
  <c r="R35" i="1" s="1"/>
  <c r="H35" i="1" s="1"/>
  <c r="Q22" i="1"/>
  <c r="R22" i="1" s="1"/>
  <c r="H22" i="1" s="1"/>
  <c r="Q33" i="1"/>
  <c r="R33" i="1" s="1"/>
  <c r="H33" i="1" s="1"/>
  <c r="Q36" i="1"/>
  <c r="R36" i="1" s="1"/>
  <c r="H36" i="1" s="1"/>
  <c r="Q39" i="1"/>
  <c r="R39" i="1" s="1"/>
  <c r="H39" i="1" s="1"/>
  <c r="Q29" i="1"/>
  <c r="R29" i="1" s="1"/>
  <c r="H29" i="1" s="1"/>
  <c r="O59" i="1"/>
  <c r="E15" i="3"/>
  <c r="F15" i="3" l="1"/>
  <c r="H44" i="1" l="1"/>
  <c r="H45" i="1" s="1"/>
  <c r="H4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<sst xmlns="http://schemas.openxmlformats.org/spreadsheetml/2006/main" count="527" uniqueCount="296">
  <si>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</si>
  <si>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</si>
  <si>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</si>
  <si>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</si>
  <si>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</si>
  <si>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</si>
  <si>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</si>
  <si>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</si>
  <si>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</si>
  <si>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</si>
  <si>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</si>
  <si>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</si>
  <si>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</si>
  <si>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</si>
  <si>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</si>
  <si>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</si>
  <si>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</si>
  <si>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</si>
  <si>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</si>
  <si>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</si>
  <si>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</si>
  <si>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</si>
  <si>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</si>
  <si>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</si>
  <si>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</si>
  <si>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</si>
  <si>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</si>
  <si>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</si>
  <si>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</si>
  <si>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</si>
  <si>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</si>
  <si>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</si>
  <si>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</si>
  <si>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</si>
  <si>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</si>
  <si>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</si>
  <si>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</si>
  <si>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</si>
  <si>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</si>
  <si>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</si>
  <si>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</si>
  <si>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</si>
  <si>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</si>
  <si>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</si>
  <si>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</si>
  <si>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</si>
  <si>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</si>
  <si>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</si>
  <si>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</si>
  <si>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</si>
  <si>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</si>
  <si>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</si>
  <si>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</si>
  <si>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</si>
  <si>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</si>
  <si>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</si>
  <si>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</si>
  <si>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</si>
  <si>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</si>
  <si>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</si>
  <si>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</si>
  <si>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</si>
  <si>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</si>
  <si>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</si>
  <si>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</si>
  <si>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</si>
  <si>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</si>
  <si>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</si>
  <si>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</si>
  <si>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</si>
  <si>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</si>
  <si>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</si>
  <si>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</si>
  <si>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</si>
  <si>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</si>
  <si>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</si>
  <si>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</si>
  <si>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</si>
  <si>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</si>
  <si>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</si>
  <si>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</si>
  <si>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</si>
  <si>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</si>
  <si>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</si>
  <si>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</si>
  <si>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</si>
  <si>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</si>
  <si>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</si>
  <si>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</si>
  <si>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</si>
  <si>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</si>
  <si>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</si>
  <si>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</si>
  <si>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</si>
  <si>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</si>
  <si>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</si>
  <si>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</si>
  <si>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</si>
  <si>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</si>
  <si>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</si>
  <si>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</si>
  <si>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</si>
  <si>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</si>
  <si>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</si>
  <si>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</si>
  <si>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</si>
  <si>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</si>
  <si>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</si>
  <si>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</si>
  <si>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</si>
  <si>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</si>
  <si>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</si>
  <si>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</si>
  <si>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</si>
  <si>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</si>
  <si>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</si>
  <si>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</si>
  <si>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</si>
  <si>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</si>
  <si>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</si>
  <si>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</si>
  <si>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</si>
  <si>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</si>
  <si>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</si>
  <si>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</si>
  <si>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</si>
  <si>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</si>
  <si>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</si>
  <si>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</si>
  <si>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</si>
  <si>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</si>
  <si>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</si>
  <si>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</si>
  <si>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</si>
  <si>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</si>
  <si>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</si>
  <si>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</si>
  <si>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</si>
  <si>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</si>
  <si>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</si>
  <si>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</si>
  <si>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</si>
  <si>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</si>
  <si>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</si>
  <si>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</si>
  <si>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</si>
  <si>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</si>
  <si>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</si>
  <si>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</si>
  <si>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</si>
  <si>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</si>
  <si>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</si>
  <si>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</si>
  <si>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</si>
  <si>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</si>
  <si>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</si>
  <si>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</si>
  <si>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</si>
  <si>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</si>
  <si>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</si>
  <si>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</si>
  <si>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</si>
  <si>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</si>
  <si>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</si>
  <si>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</si>
  <si>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SI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</si>
  <si>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</si>
  <si>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</si>
  <si>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</si>
  <si>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</si>
  <si>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</si>
  <si>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</si>
  <si>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</si>
  <si>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</si>
  <si>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</si>
  <si>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</si>
  <si>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</si>
  <si>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</si>
  <si>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</si>
  <si>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</si>
  <si>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</si>
  <si>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</si>
  <si>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</si>
  <si>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</si>
  <si>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</si>
  <si>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</si>
  <si>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</si>
  <si>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</si>
  <si>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</si>
  <si>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</si>
  <si>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</si>
  <si>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</si>
  <si>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</si>
  <si>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</si>
  <si>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</si>
  <si>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</si>
  <si>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</si>
  <si>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</si>
  <si>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</si>
  <si>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</si>
  <si>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</si>
  <si>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</si>
  <si>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</si>
  <si>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</si>
  <si>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</si>
  <si>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</si>
  <si>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</si>
  <si>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</si>
  <si>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</si>
  <si>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</si>
  <si>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</si>
  <si>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</si>
  <si>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</si>
  <si>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</si>
  <si>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</si>
  <si>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</si>
  <si>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</si>
  <si>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</si>
  <si>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</si>
  <si>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</si>
  <si>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</si>
  <si>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</si>
  <si>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</si>
  <si>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</si>
  <si>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</si>
  <si>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</si>
  <si>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</si>
  <si>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</si>
  <si>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</si>
  <si>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</si>
  <si>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</si>
  <si>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</si>
  <si>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</si>
  <si>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</si>
  <si>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</si>
  <si>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</si>
  <si>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</si>
  <si>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</si>
  <si>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</si>
  <si>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</si>
  <si>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</si>
  <si>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</si>
  <si>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</si>
  <si>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</si>
  <si>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</si>
  <si>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</si>
  <si>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</si>
  <si>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</si>
  <si>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</si>
  <si>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</si>
  <si>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</si>
  <si>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</si>
  <si>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</si>
  <si>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</si>
  <si>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</si>
  <si>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</si>
  <si>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</si>
  <si>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</si>
  <si>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</si>
  <si>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</si>
  <si>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</si>
  <si>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</si>
  <si>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</si>
  <si>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</si>
  <si>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</si>
  <si>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</si>
  <si>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</si>
  <si>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</si>
  <si>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</si>
  <si>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</si>
  <si>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</si>
  <si>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</si>
  <si>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</si>
  <si>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</si>
  <si>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</si>
  <si>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</si>
  <si>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</si>
  <si>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</si>
  <si>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</si>
  <si>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</si>
  <si>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</si>
  <si>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</si>
  <si>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</si>
  <si>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</si>
  <si>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</si>
  <si>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</si>
  <si>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</si>
  <si>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10 DIAS HABILES</t>
  </si>
  <si>
    <t>PUERTA POSTFORMADA R6</t>
  </si>
  <si>
    <t>MAROLES RAIN</t>
  </si>
  <si>
    <t>SHELL WHITE 22011 SF</t>
  </si>
  <si>
    <t>GE</t>
  </si>
  <si>
    <t>GEORGINA</t>
  </si>
  <si>
    <t>+569 5699 1929</t>
  </si>
  <si>
    <t>N° 11785</t>
  </si>
  <si>
    <t>TROZO DE 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</si>
</sst>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0" xfId="0" applyFont="1" applyAlignment="1">
      <alignment horizontal="left"/>
    </xf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18" fillId="0" borderId="37" xfId="0" applyFont="1" applyBorder="1"/>
    <xf numFmtId="0" fontId="18" fillId="0" borderId="56" xfId="0" applyFont="1" applyBorder="1"/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30" fillId="0" borderId="1" xfId="0" applyFont="1" applyBorder="1" applyAlignment="1">
      <alignment horizontal="center" vertical="center"/>
    </xf>
    <xf numFmtId="167" fontId="0" fillId="13" borderId="0" xfId="0" applyNumberFormat="1" applyFill="1"/>
    <xf numFmtId="166" fontId="3" fillId="13" borderId="0" xfId="0" applyNumberFormat="1" applyFont="1" applyFill="1"/>
    <xf numFmtId="167" fontId="0" fillId="25" borderId="0" xfId="0" applyNumberFormat="1" applyFill="1"/>
    <xf numFmtId="166" fontId="3" fillId="25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0" fillId="26" borderId="0" xfId="0" applyNumberFormat="1" applyFill="1"/>
    <xf numFmtId="166" fontId="3" fillId="26" borderId="0" xfId="0" applyNumberFormat="1" applyFont="1" applyFill="1"/>
    <xf numFmtId="167" fontId="0" fillId="27" borderId="0" xfId="0" applyNumberFormat="1" applyFill="1"/>
    <xf numFmtId="166" fontId="3" fillId="27" borderId="0" xfId="0" applyNumberFormat="1" applyFont="1" applyFill="1"/>
    <xf numFmtId="167" fontId="11" fillId="0" borderId="1" xfId="2" applyNumberFormat="1" applyFont="1" applyFill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47</xdr:row>
      <xdr:rowOff>8194</xdr:rowOff>
    </xdr:from>
    <xdr:to>
      <xdr:col>8</xdr:col>
      <xdr:colOff>8193</xdr:colOff>
      <xdr:row>50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49</xdr:row>
      <xdr:rowOff>154305</xdr:rowOff>
    </xdr:from>
    <xdr:to>
      <xdr:col>7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5</xdr:col>
      <xdr:colOff>1745226</xdr:colOff>
      <xdr:row>50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42</xdr:row>
      <xdr:rowOff>214364</xdr:rowOff>
    </xdr:from>
    <xdr:to>
      <xdr:col>5</xdr:col>
      <xdr:colOff>1728839</xdr:colOff>
      <xdr:row>45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CORTADAS A LA MEDIDA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1"/>
  <sheetViews>
    <sheetView tabSelected="1" topLeftCell="A24" zoomScale="93" zoomScaleNormal="93" workbookViewId="0">
      <selection activeCell="N42" sqref="N4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20" t="s">
        <v>126</v>
      </c>
      <c r="C8" s="421"/>
      <c r="D8" s="422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2" t="s">
        <v>161</v>
      </c>
      <c r="C10" s="278" t="s">
        <v>289</v>
      </c>
      <c r="D10" s="243"/>
      <c r="E10" s="243"/>
      <c r="F10" s="244" t="s">
        <v>0</v>
      </c>
      <c r="G10" s="276">
        <v>45995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F11" t="s">
        <v>123</v>
      </c>
      <c r="G11" s="288" t="s">
        <v>287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3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292</v>
      </c>
      <c r="G13" s="304"/>
      <c r="H13" s="289"/>
      <c r="Q13" s="19"/>
      <c r="R13" s="25"/>
      <c r="S13" s="19"/>
    </row>
    <row r="14" spans="2:24" x14ac:dyDescent="0.3">
      <c r="B14" s="246" t="s">
        <v>139</v>
      </c>
      <c r="C14" s="311"/>
      <c r="D14" s="247"/>
      <c r="E14" s="247"/>
      <c r="F14" s="312" t="s">
        <v>136</v>
      </c>
      <c r="G14" s="290" t="s">
        <v>165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6" t="s">
        <v>293</v>
      </c>
      <c r="D15" s="307"/>
      <c r="F15" t="s">
        <v>134</v>
      </c>
      <c r="G15" s="305" t="s">
        <v>165</v>
      </c>
      <c r="H15" s="289"/>
    </row>
    <row r="16" spans="2:24" ht="16.8" x14ac:dyDescent="0.4">
      <c r="B16" s="313" t="s">
        <v>3</v>
      </c>
      <c r="C16" s="303"/>
      <c r="D16" s="247"/>
      <c r="E16" s="247"/>
      <c r="F16" s="314" t="s">
        <v>129</v>
      </c>
      <c r="G16" s="315" t="s">
        <v>162</v>
      </c>
      <c r="H16" s="248"/>
    </row>
    <row r="17" spans="2:25" ht="15" thickBot="1" x14ac:dyDescent="0.35">
      <c r="B17" s="308" t="s">
        <v>13</v>
      </c>
      <c r="C17" s="309" t="s">
        <v>164</v>
      </c>
      <c r="D17" s="310"/>
      <c r="E17" s="119"/>
      <c r="F17" s="350" t="s">
        <v>183</v>
      </c>
      <c r="G17" s="350" t="s">
        <v>184</v>
      </c>
      <c r="H17" s="351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3" t="s">
        <v>95</v>
      </c>
      <c r="C19" s="444"/>
      <c r="D19" s="444"/>
      <c r="E19" s="444"/>
      <c r="F19" s="444"/>
      <c r="G19" s="444"/>
      <c r="H19" s="445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423" t="s">
        <v>7</v>
      </c>
      <c r="C20" s="424" t="s">
        <v>1</v>
      </c>
      <c r="D20" s="424" t="s">
        <v>10</v>
      </c>
      <c r="E20" s="424" t="s">
        <v>11</v>
      </c>
      <c r="F20" s="424" t="s">
        <v>8</v>
      </c>
      <c r="G20" s="424" t="s">
        <v>5</v>
      </c>
      <c r="H20" s="42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O58</f>
        <v>73343.826145423649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430">
        <v>1</v>
      </c>
      <c r="C21" s="430" t="s">
        <v>288</v>
      </c>
      <c r="D21" s="442">
        <v>0.91</v>
      </c>
      <c r="E21" s="442">
        <v>0.39700000000000002</v>
      </c>
      <c r="F21" s="430" t="s">
        <v>290</v>
      </c>
      <c r="G21" s="441">
        <v>28504</v>
      </c>
      <c r="H21" s="441">
        <f>G21*B21</f>
        <v>28504</v>
      </c>
      <c r="I21" s="317"/>
      <c r="J21" s="265"/>
      <c r="K21" s="47"/>
      <c r="L21" s="435">
        <f t="shared" ref="L21:L40" si="1">B21</f>
        <v>1</v>
      </c>
      <c r="M21" s="436">
        <f t="shared" ref="M21:M40" si="2">D21+M$19</f>
        <v>0.99</v>
      </c>
      <c r="N21" s="436">
        <f t="shared" ref="N21:N40" si="3">E21+$N$19</f>
        <v>0.39700000000000002</v>
      </c>
      <c r="O21" s="261">
        <f t="shared" ref="O21:O40" si="4">M21*N21</f>
        <v>0.39302999999999999</v>
      </c>
      <c r="P21" s="259">
        <f t="shared" ref="P21:P40" si="5">O21*L21</f>
        <v>0.39302999999999999</v>
      </c>
      <c r="Q21" s="252">
        <f t="shared" ref="Q21:Q40" si="6">Q$20*O21</f>
        <v>28826.323989935856</v>
      </c>
      <c r="R21" s="316">
        <f t="shared" ref="R21:R40" si="7">Q21+R$20</f>
        <v>31826.323989935856</v>
      </c>
      <c r="S21" s="295">
        <f t="shared" ref="S21:S40" si="8">L21*M21*2</f>
        <v>1.98</v>
      </c>
      <c r="T21" s="46">
        <f t="shared" ref="T21:T40" si="9">N21*2*L21*2</f>
        <v>1.5880000000000001</v>
      </c>
      <c r="U21" s="9"/>
      <c r="X21" s="4"/>
    </row>
    <row r="22" spans="2:25" ht="17.399999999999999" x14ac:dyDescent="0.3">
      <c r="B22" s="430">
        <v>2</v>
      </c>
      <c r="C22" s="430" t="s">
        <v>288</v>
      </c>
      <c r="D22" s="442">
        <v>0.91</v>
      </c>
      <c r="E22" s="442">
        <v>0.38700000000000001</v>
      </c>
      <c r="F22" s="430" t="s">
        <v>290</v>
      </c>
      <c r="G22" s="441">
        <v>27862</v>
      </c>
      <c r="H22" s="441">
        <f t="shared" ref="H22:H42" si="10">G22*B22</f>
        <v>55724</v>
      </c>
      <c r="I22" s="317"/>
      <c r="J22" s="265"/>
      <c r="K22" s="47"/>
      <c r="L22" s="433">
        <f t="shared" si="1"/>
        <v>2</v>
      </c>
      <c r="M22" s="434">
        <f t="shared" si="2"/>
        <v>0.99</v>
      </c>
      <c r="N22" s="434">
        <f t="shared" si="3"/>
        <v>0.38700000000000001</v>
      </c>
      <c r="O22" s="261">
        <f t="shared" si="4"/>
        <v>0.38313000000000003</v>
      </c>
      <c r="P22" s="259">
        <f t="shared" si="5"/>
        <v>0.76626000000000005</v>
      </c>
      <c r="Q22" s="252">
        <f t="shared" si="6"/>
        <v>28100.220111096165</v>
      </c>
      <c r="R22" s="316">
        <f t="shared" si="7"/>
        <v>31100.220111096165</v>
      </c>
      <c r="S22" s="295">
        <f t="shared" si="8"/>
        <v>3.96</v>
      </c>
      <c r="T22" s="46">
        <f t="shared" si="9"/>
        <v>3.0960000000000001</v>
      </c>
      <c r="U22" s="9"/>
      <c r="X22" s="4"/>
    </row>
    <row r="23" spans="2:25" ht="17.399999999999999" x14ac:dyDescent="0.3">
      <c r="B23" s="430">
        <v>2</v>
      </c>
      <c r="C23" s="430" t="s">
        <v>288</v>
      </c>
      <c r="D23" s="442">
        <v>0.55500000000000005</v>
      </c>
      <c r="E23" s="442">
        <v>0.29699999999999999</v>
      </c>
      <c r="F23" s="430" t="s">
        <v>290</v>
      </c>
      <c r="G23" s="441">
        <v>15084</v>
      </c>
      <c r="H23" s="441">
        <f t="shared" si="10"/>
        <v>30168</v>
      </c>
      <c r="I23" s="317"/>
      <c r="J23" s="265"/>
      <c r="K23" s="47"/>
      <c r="L23" s="439">
        <f t="shared" si="1"/>
        <v>2</v>
      </c>
      <c r="M23" s="440">
        <f t="shared" si="2"/>
        <v>0.63500000000000001</v>
      </c>
      <c r="N23" s="440">
        <f t="shared" si="3"/>
        <v>0.29699999999999999</v>
      </c>
      <c r="O23" s="261">
        <f t="shared" si="4"/>
        <v>0.18859499999999998</v>
      </c>
      <c r="P23" s="259">
        <f t="shared" si="5"/>
        <v>0.37718999999999997</v>
      </c>
      <c r="Q23" s="252">
        <f t="shared" si="6"/>
        <v>13832.278891896172</v>
      </c>
      <c r="R23" s="316">
        <f t="shared" si="7"/>
        <v>16832.278891896174</v>
      </c>
      <c r="S23" s="295">
        <f t="shared" si="8"/>
        <v>2.54</v>
      </c>
      <c r="T23" s="46">
        <f t="shared" si="9"/>
        <v>2.3759999999999999</v>
      </c>
      <c r="U23" s="9"/>
      <c r="X23" s="4"/>
    </row>
    <row r="24" spans="2:25" ht="17.399999999999999" x14ac:dyDescent="0.3">
      <c r="B24" s="430">
        <v>2</v>
      </c>
      <c r="C24" s="430" t="s">
        <v>288</v>
      </c>
      <c r="D24" s="442">
        <v>0.67500000000000004</v>
      </c>
      <c r="E24" s="442">
        <v>0.29699999999999999</v>
      </c>
      <c r="F24" s="430" t="s">
        <v>290</v>
      </c>
      <c r="G24" s="441">
        <v>17409</v>
      </c>
      <c r="H24" s="441">
        <f t="shared" si="10"/>
        <v>34818</v>
      </c>
      <c r="I24" s="317"/>
      <c r="J24" s="265"/>
      <c r="K24" s="47"/>
      <c r="L24" s="439">
        <f t="shared" si="1"/>
        <v>2</v>
      </c>
      <c r="M24" s="440">
        <f t="shared" si="2"/>
        <v>0.755</v>
      </c>
      <c r="N24" s="440">
        <f t="shared" si="3"/>
        <v>0.29699999999999999</v>
      </c>
      <c r="O24" s="261">
        <f t="shared" si="4"/>
        <v>0.22423499999999999</v>
      </c>
      <c r="P24" s="259">
        <f t="shared" si="5"/>
        <v>0.44846999999999998</v>
      </c>
      <c r="Q24" s="252">
        <f t="shared" si="6"/>
        <v>16446.252855719071</v>
      </c>
      <c r="R24" s="316">
        <f t="shared" si="7"/>
        <v>19446.252855719071</v>
      </c>
      <c r="S24" s="295">
        <f t="shared" si="8"/>
        <v>3.02</v>
      </c>
      <c r="T24" s="46">
        <f t="shared" si="9"/>
        <v>2.3759999999999999</v>
      </c>
      <c r="U24" s="9"/>
      <c r="X24" s="4"/>
    </row>
    <row r="25" spans="2:25" ht="17.399999999999999" x14ac:dyDescent="0.3">
      <c r="B25" s="430">
        <v>1</v>
      </c>
      <c r="C25" s="430" t="s">
        <v>288</v>
      </c>
      <c r="D25" s="442">
        <v>0.55000000000000004</v>
      </c>
      <c r="E25" s="442">
        <v>0.497</v>
      </c>
      <c r="F25" s="430" t="s">
        <v>290</v>
      </c>
      <c r="G25" s="441">
        <v>22955</v>
      </c>
      <c r="H25" s="441">
        <f t="shared" si="10"/>
        <v>22955</v>
      </c>
      <c r="I25" s="317"/>
      <c r="J25" s="265"/>
      <c r="K25" s="47"/>
      <c r="L25" s="47">
        <f t="shared" si="1"/>
        <v>1</v>
      </c>
      <c r="M25" s="39">
        <f t="shared" si="2"/>
        <v>0.63</v>
      </c>
      <c r="N25" s="39">
        <f t="shared" si="3"/>
        <v>0.497</v>
      </c>
      <c r="O25" s="261">
        <f t="shared" si="4"/>
        <v>0.31311</v>
      </c>
      <c r="P25" s="259">
        <f t="shared" si="5"/>
        <v>0.31311</v>
      </c>
      <c r="Q25" s="252">
        <f t="shared" si="6"/>
        <v>22964.6854043936</v>
      </c>
      <c r="R25" s="316">
        <f t="shared" si="7"/>
        <v>25964.6854043936</v>
      </c>
      <c r="S25" s="295">
        <f t="shared" si="8"/>
        <v>1.26</v>
      </c>
      <c r="T25" s="46">
        <f t="shared" si="9"/>
        <v>1.988</v>
      </c>
      <c r="U25" s="9"/>
      <c r="X25" s="4"/>
    </row>
    <row r="26" spans="2:25" ht="17.399999999999999" x14ac:dyDescent="0.3">
      <c r="B26" s="430">
        <v>2</v>
      </c>
      <c r="C26" s="430" t="s">
        <v>288</v>
      </c>
      <c r="D26" s="442">
        <v>0.91</v>
      </c>
      <c r="E26" s="442">
        <v>0.29699999999999999</v>
      </c>
      <c r="F26" s="430" t="s">
        <v>290</v>
      </c>
      <c r="G26" s="441">
        <v>22080</v>
      </c>
      <c r="H26" s="441">
        <f t="shared" si="10"/>
        <v>44160</v>
      </c>
      <c r="I26" s="317"/>
      <c r="J26" s="265"/>
      <c r="K26" s="47"/>
      <c r="L26" s="433">
        <f t="shared" si="1"/>
        <v>2</v>
      </c>
      <c r="M26" s="434">
        <f t="shared" si="2"/>
        <v>0.99</v>
      </c>
      <c r="N26" s="434">
        <f t="shared" si="3"/>
        <v>0.29699999999999999</v>
      </c>
      <c r="O26" s="261">
        <f t="shared" si="4"/>
        <v>0.29402999999999996</v>
      </c>
      <c r="P26" s="259">
        <f t="shared" si="5"/>
        <v>0.58805999999999992</v>
      </c>
      <c r="Q26" s="252">
        <f t="shared" si="6"/>
        <v>21565.285201538911</v>
      </c>
      <c r="R26" s="316">
        <f t="shared" si="7"/>
        <v>24565.285201538911</v>
      </c>
      <c r="S26" s="295">
        <f t="shared" si="8"/>
        <v>3.96</v>
      </c>
      <c r="T26" s="46">
        <f t="shared" si="9"/>
        <v>2.3759999999999999</v>
      </c>
      <c r="U26" s="9"/>
      <c r="X26" s="4"/>
    </row>
    <row r="27" spans="2:25" ht="17.399999999999999" x14ac:dyDescent="0.3">
      <c r="B27" s="430">
        <v>3</v>
      </c>
      <c r="C27" s="430" t="s">
        <v>288</v>
      </c>
      <c r="D27" s="442">
        <v>0.69699999999999995</v>
      </c>
      <c r="E27" s="442">
        <v>0.39700000000000002</v>
      </c>
      <c r="F27" s="430" t="s">
        <v>290</v>
      </c>
      <c r="G27" s="441">
        <v>22846</v>
      </c>
      <c r="H27" s="441">
        <f t="shared" si="10"/>
        <v>68538</v>
      </c>
      <c r="I27" s="317"/>
      <c r="J27" s="265"/>
      <c r="K27" s="47"/>
      <c r="L27" s="437">
        <f t="shared" si="1"/>
        <v>3</v>
      </c>
      <c r="M27" s="438">
        <f t="shared" si="2"/>
        <v>0.77699999999999991</v>
      </c>
      <c r="N27" s="438">
        <f t="shared" si="3"/>
        <v>0.39700000000000002</v>
      </c>
      <c r="O27" s="261">
        <f t="shared" si="4"/>
        <v>0.30846899999999999</v>
      </c>
      <c r="P27" s="259">
        <f t="shared" si="5"/>
        <v>0.92540699999999998</v>
      </c>
      <c r="Q27" s="252">
        <f t="shared" si="6"/>
        <v>22624.296707252688</v>
      </c>
      <c r="R27" s="316">
        <f t="shared" si="7"/>
        <v>25624.296707252688</v>
      </c>
      <c r="S27" s="295">
        <f t="shared" si="8"/>
        <v>4.661999999999999</v>
      </c>
      <c r="T27" s="46">
        <f t="shared" si="9"/>
        <v>4.7640000000000002</v>
      </c>
      <c r="U27" s="9"/>
      <c r="X27" s="4"/>
    </row>
    <row r="28" spans="2:25" ht="17.399999999999999" x14ac:dyDescent="0.3">
      <c r="B28" s="430">
        <v>1</v>
      </c>
      <c r="C28" s="430" t="s">
        <v>288</v>
      </c>
      <c r="D28" s="442">
        <v>0.69699999999999995</v>
      </c>
      <c r="E28" s="442">
        <v>0.59699999999999998</v>
      </c>
      <c r="F28" s="430" t="s">
        <v>290</v>
      </c>
      <c r="G28" s="441">
        <v>34022</v>
      </c>
      <c r="H28" s="441">
        <f t="shared" si="10"/>
        <v>34022</v>
      </c>
      <c r="I28" s="317"/>
      <c r="J28" s="265"/>
      <c r="K28" s="47"/>
      <c r="L28" s="437">
        <f t="shared" si="1"/>
        <v>1</v>
      </c>
      <c r="M28" s="438">
        <f t="shared" si="2"/>
        <v>0.77699999999999991</v>
      </c>
      <c r="N28" s="438">
        <f t="shared" si="3"/>
        <v>0.59699999999999998</v>
      </c>
      <c r="O28" s="261">
        <f t="shared" si="4"/>
        <v>0.46386899999999992</v>
      </c>
      <c r="P28" s="259">
        <f t="shared" si="5"/>
        <v>0.46386899999999992</v>
      </c>
      <c r="Q28" s="252">
        <f t="shared" si="6"/>
        <v>34021.927290251515</v>
      </c>
      <c r="R28" s="316">
        <f t="shared" si="7"/>
        <v>37021.927290251515</v>
      </c>
      <c r="S28" s="295">
        <f t="shared" si="8"/>
        <v>1.5539999999999998</v>
      </c>
      <c r="T28" s="46">
        <f t="shared" si="9"/>
        <v>2.3879999999999999</v>
      </c>
      <c r="U28" s="9"/>
      <c r="X28" s="4"/>
    </row>
    <row r="29" spans="2:25" ht="17.399999999999999" x14ac:dyDescent="0.3">
      <c r="B29" s="430">
        <v>1</v>
      </c>
      <c r="C29" s="430" t="s">
        <v>288</v>
      </c>
      <c r="D29" s="442">
        <v>0.69699999999999995</v>
      </c>
      <c r="E29" s="442">
        <v>0.495</v>
      </c>
      <c r="F29" s="430" t="s">
        <v>290</v>
      </c>
      <c r="G29" s="441">
        <v>27745</v>
      </c>
      <c r="H29" s="441">
        <f t="shared" si="10"/>
        <v>27745</v>
      </c>
      <c r="I29" s="317"/>
      <c r="J29" s="265"/>
      <c r="K29" s="47"/>
      <c r="L29" s="437">
        <f t="shared" si="1"/>
        <v>1</v>
      </c>
      <c r="M29" s="438">
        <f t="shared" si="2"/>
        <v>0.77699999999999991</v>
      </c>
      <c r="N29" s="438">
        <f t="shared" si="3"/>
        <v>0.495</v>
      </c>
      <c r="O29" s="261">
        <f t="shared" si="4"/>
        <v>0.38461499999999993</v>
      </c>
      <c r="P29" s="259">
        <f t="shared" si="5"/>
        <v>0.38461499999999993</v>
      </c>
      <c r="Q29" s="252">
        <f t="shared" si="6"/>
        <v>28209.135692922111</v>
      </c>
      <c r="R29" s="316">
        <f t="shared" si="7"/>
        <v>31209.135692922111</v>
      </c>
      <c r="S29" s="295">
        <f t="shared" si="8"/>
        <v>1.5539999999999998</v>
      </c>
      <c r="T29" s="46">
        <f t="shared" si="9"/>
        <v>1.98</v>
      </c>
      <c r="U29" s="9"/>
      <c r="X29" s="4"/>
    </row>
    <row r="30" spans="2:25" ht="17.399999999999999" x14ac:dyDescent="0.3">
      <c r="B30" s="430">
        <v>1</v>
      </c>
      <c r="C30" s="430" t="s">
        <v>288</v>
      </c>
      <c r="D30" s="442">
        <v>0.59699999999999998</v>
      </c>
      <c r="E30" s="442">
        <v>0.1</v>
      </c>
      <c r="F30" s="430" t="s">
        <v>290</v>
      </c>
      <c r="G30" s="441">
        <v>8993</v>
      </c>
      <c r="H30" s="441">
        <f t="shared" si="10"/>
        <v>8993</v>
      </c>
      <c r="I30" s="317"/>
      <c r="J30" s="265"/>
      <c r="K30" s="47"/>
      <c r="L30" s="47">
        <f t="shared" si="1"/>
        <v>1</v>
      </c>
      <c r="M30" s="39">
        <f t="shared" si="2"/>
        <v>0.67699999999999994</v>
      </c>
      <c r="N30" s="39">
        <f t="shared" si="3"/>
        <v>0.1</v>
      </c>
      <c r="O30" s="261">
        <f t="shared" si="4"/>
        <v>6.7699999999999996E-2</v>
      </c>
      <c r="P30" s="259">
        <f t="shared" si="5"/>
        <v>6.7699999999999996E-2</v>
      </c>
      <c r="Q30" s="252">
        <f t="shared" si="6"/>
        <v>4965.3770300451806</v>
      </c>
      <c r="R30" s="316">
        <f t="shared" si="7"/>
        <v>7965.3770300451806</v>
      </c>
      <c r="S30" s="295">
        <f t="shared" si="8"/>
        <v>1.3539999999999999</v>
      </c>
      <c r="T30" s="46">
        <f t="shared" si="9"/>
        <v>0.4</v>
      </c>
      <c r="U30" s="9"/>
      <c r="X30" s="4"/>
    </row>
    <row r="31" spans="2:25" ht="17.399999999999999" x14ac:dyDescent="0.3">
      <c r="B31" s="430">
        <v>2</v>
      </c>
      <c r="C31" s="430" t="s">
        <v>288</v>
      </c>
      <c r="D31" s="442">
        <v>0.91</v>
      </c>
      <c r="E31" s="442">
        <v>0.497</v>
      </c>
      <c r="F31" s="430" t="s">
        <v>290</v>
      </c>
      <c r="G31" s="441">
        <v>36087</v>
      </c>
      <c r="H31" s="441">
        <f t="shared" si="10"/>
        <v>72174</v>
      </c>
      <c r="I31" s="317"/>
      <c r="J31" s="265"/>
      <c r="K31" s="47"/>
      <c r="L31" s="433">
        <f t="shared" si="1"/>
        <v>2</v>
      </c>
      <c r="M31" s="434">
        <f t="shared" si="2"/>
        <v>0.99</v>
      </c>
      <c r="N31" s="434">
        <f t="shared" si="3"/>
        <v>0.497</v>
      </c>
      <c r="O31" s="261">
        <f t="shared" si="4"/>
        <v>0.49202999999999997</v>
      </c>
      <c r="P31" s="259">
        <f t="shared" si="5"/>
        <v>0.98405999999999993</v>
      </c>
      <c r="Q31" s="252">
        <f t="shared" si="6"/>
        <v>36087.362778332797</v>
      </c>
      <c r="R31" s="316">
        <f t="shared" si="7"/>
        <v>39087.362778332797</v>
      </c>
      <c r="S31" s="295">
        <f t="shared" si="8"/>
        <v>3.96</v>
      </c>
      <c r="T31" s="46">
        <f t="shared" si="9"/>
        <v>3.976</v>
      </c>
      <c r="U31" s="9"/>
      <c r="X31" s="4"/>
    </row>
    <row r="32" spans="2:25" ht="17.399999999999999" x14ac:dyDescent="0.3">
      <c r="B32" s="430">
        <v>1</v>
      </c>
      <c r="C32" s="430" t="s">
        <v>288</v>
      </c>
      <c r="D32" s="442">
        <v>0.91</v>
      </c>
      <c r="E32" s="442">
        <v>0.32</v>
      </c>
      <c r="F32" s="430" t="s">
        <v>290</v>
      </c>
      <c r="G32" s="441">
        <v>23558</v>
      </c>
      <c r="H32" s="441">
        <f t="shared" si="10"/>
        <v>23558</v>
      </c>
      <c r="I32" s="317"/>
      <c r="J32" s="265"/>
      <c r="K32" s="47"/>
      <c r="L32" s="435">
        <f t="shared" si="1"/>
        <v>1</v>
      </c>
      <c r="M32" s="436">
        <f t="shared" si="2"/>
        <v>0.99</v>
      </c>
      <c r="N32" s="436">
        <f t="shared" si="3"/>
        <v>0.32</v>
      </c>
      <c r="O32" s="261">
        <f t="shared" si="4"/>
        <v>0.31680000000000003</v>
      </c>
      <c r="P32" s="259">
        <f t="shared" si="5"/>
        <v>0.31680000000000003</v>
      </c>
      <c r="Q32" s="252">
        <f t="shared" si="6"/>
        <v>23235.324122870214</v>
      </c>
      <c r="R32" s="316">
        <f t="shared" si="7"/>
        <v>26235.324122870214</v>
      </c>
      <c r="S32" s="295">
        <f t="shared" si="8"/>
        <v>1.98</v>
      </c>
      <c r="T32" s="46">
        <f t="shared" si="9"/>
        <v>1.28</v>
      </c>
      <c r="U32" s="9"/>
      <c r="X32" s="4"/>
    </row>
    <row r="33" spans="2:24" ht="17.399999999999999" x14ac:dyDescent="0.3">
      <c r="B33" s="430">
        <v>2</v>
      </c>
      <c r="C33" s="430" t="s">
        <v>288</v>
      </c>
      <c r="D33" s="442">
        <v>0.69699999999999995</v>
      </c>
      <c r="E33" s="442">
        <v>0.497</v>
      </c>
      <c r="F33" s="430" t="s">
        <v>290</v>
      </c>
      <c r="G33" s="441">
        <v>27844</v>
      </c>
      <c r="H33" s="441">
        <f t="shared" si="10"/>
        <v>55688</v>
      </c>
      <c r="I33" s="317"/>
      <c r="J33" s="265"/>
      <c r="K33" s="47"/>
      <c r="L33" s="435">
        <f t="shared" si="1"/>
        <v>2</v>
      </c>
      <c r="M33" s="436">
        <f t="shared" si="2"/>
        <v>0.77699999999999991</v>
      </c>
      <c r="N33" s="436">
        <f t="shared" si="3"/>
        <v>0.497</v>
      </c>
      <c r="O33" s="261">
        <f t="shared" si="4"/>
        <v>0.38616899999999993</v>
      </c>
      <c r="P33" s="259">
        <f t="shared" si="5"/>
        <v>0.77233799999999986</v>
      </c>
      <c r="Q33" s="252">
        <f t="shared" si="6"/>
        <v>28323.111998752101</v>
      </c>
      <c r="R33" s="316">
        <f t="shared" si="7"/>
        <v>31323.111998752101</v>
      </c>
      <c r="S33" s="295">
        <f t="shared" si="8"/>
        <v>3.1079999999999997</v>
      </c>
      <c r="T33" s="46">
        <f t="shared" si="9"/>
        <v>3.976</v>
      </c>
      <c r="U33" s="9"/>
      <c r="X33" s="4"/>
    </row>
    <row r="34" spans="2:24" ht="17.399999999999999" x14ac:dyDescent="0.3">
      <c r="B34" s="430">
        <v>1</v>
      </c>
      <c r="C34" s="430" t="s">
        <v>288</v>
      </c>
      <c r="D34" s="442">
        <v>0.69699999999999995</v>
      </c>
      <c r="E34" s="442">
        <v>0.47499999999999998</v>
      </c>
      <c r="F34" s="430" t="s">
        <v>290</v>
      </c>
      <c r="G34" s="441">
        <v>26745</v>
      </c>
      <c r="H34" s="441">
        <f t="shared" si="10"/>
        <v>26745</v>
      </c>
      <c r="I34" s="317"/>
      <c r="J34" s="265"/>
      <c r="K34" s="47"/>
      <c r="L34" s="437">
        <f t="shared" si="1"/>
        <v>1</v>
      </c>
      <c r="M34" s="438">
        <f t="shared" si="2"/>
        <v>0.77699999999999991</v>
      </c>
      <c r="N34" s="438">
        <f t="shared" si="3"/>
        <v>0.47499999999999998</v>
      </c>
      <c r="O34" s="261">
        <f t="shared" si="4"/>
        <v>0.36907499999999993</v>
      </c>
      <c r="P34" s="259">
        <f t="shared" si="5"/>
        <v>0.36907499999999993</v>
      </c>
      <c r="Q34" s="252">
        <f t="shared" si="6"/>
        <v>27069.372634622228</v>
      </c>
      <c r="R34" s="316">
        <f t="shared" si="7"/>
        <v>30069.372634622228</v>
      </c>
      <c r="S34" s="295">
        <f t="shared" si="8"/>
        <v>1.5539999999999998</v>
      </c>
      <c r="T34" s="46">
        <f t="shared" si="9"/>
        <v>1.9</v>
      </c>
      <c r="U34" s="9"/>
      <c r="X34" s="4"/>
    </row>
    <row r="35" spans="2:24" ht="17.399999999999999" x14ac:dyDescent="0.3">
      <c r="B35" s="430">
        <v>2</v>
      </c>
      <c r="C35" s="430" t="s">
        <v>288</v>
      </c>
      <c r="D35" s="442">
        <v>0.69699999999999995</v>
      </c>
      <c r="E35" s="442">
        <v>0.27500000000000002</v>
      </c>
      <c r="F35" s="430" t="s">
        <v>290</v>
      </c>
      <c r="G35" s="441">
        <v>16747</v>
      </c>
      <c r="H35" s="441">
        <f t="shared" si="10"/>
        <v>33494</v>
      </c>
      <c r="I35" s="317"/>
      <c r="J35" s="265"/>
      <c r="K35" s="47"/>
      <c r="L35" s="439">
        <f t="shared" si="1"/>
        <v>2</v>
      </c>
      <c r="M35" s="440">
        <f t="shared" si="2"/>
        <v>0.77699999999999991</v>
      </c>
      <c r="N35" s="440">
        <f t="shared" si="3"/>
        <v>0.27500000000000002</v>
      </c>
      <c r="O35" s="261">
        <f t="shared" si="4"/>
        <v>0.213675</v>
      </c>
      <c r="P35" s="259">
        <f t="shared" si="5"/>
        <v>0.42735000000000001</v>
      </c>
      <c r="Q35" s="252">
        <f t="shared" si="6"/>
        <v>15671.742051623398</v>
      </c>
      <c r="R35" s="316">
        <f t="shared" si="7"/>
        <v>18671.742051623398</v>
      </c>
      <c r="S35" s="295">
        <f t="shared" si="8"/>
        <v>3.1079999999999997</v>
      </c>
      <c r="T35" s="46">
        <f t="shared" si="9"/>
        <v>2.2000000000000002</v>
      </c>
      <c r="U35" s="9"/>
      <c r="X35" s="4"/>
    </row>
    <row r="36" spans="2:24" ht="17.399999999999999" x14ac:dyDescent="0.3">
      <c r="B36" s="430">
        <v>2</v>
      </c>
      <c r="C36" s="430" t="s">
        <v>288</v>
      </c>
      <c r="D36" s="442">
        <v>0.69699999999999995</v>
      </c>
      <c r="E36" s="442">
        <v>0.48099999999999998</v>
      </c>
      <c r="F36" s="430" t="s">
        <v>290</v>
      </c>
      <c r="G36" s="441">
        <v>27411</v>
      </c>
      <c r="H36" s="441">
        <f t="shared" si="10"/>
        <v>54822</v>
      </c>
      <c r="I36" s="317"/>
      <c r="J36" s="265"/>
      <c r="K36" s="47"/>
      <c r="L36" s="439">
        <f t="shared" si="1"/>
        <v>2</v>
      </c>
      <c r="M36" s="440">
        <f t="shared" si="2"/>
        <v>0.77699999999999991</v>
      </c>
      <c r="N36" s="440">
        <f t="shared" si="3"/>
        <v>0.48099999999999998</v>
      </c>
      <c r="O36" s="261">
        <f t="shared" si="4"/>
        <v>0.37373699999999993</v>
      </c>
      <c r="P36" s="259">
        <f t="shared" si="5"/>
        <v>0.74747399999999986</v>
      </c>
      <c r="Q36" s="252">
        <f t="shared" si="6"/>
        <v>27411.301552112192</v>
      </c>
      <c r="R36" s="316">
        <f t="shared" si="7"/>
        <v>30411.301552112192</v>
      </c>
      <c r="S36" s="295">
        <f t="shared" si="8"/>
        <v>3.1079999999999997</v>
      </c>
      <c r="T36" s="46">
        <f t="shared" si="9"/>
        <v>3.8479999999999999</v>
      </c>
      <c r="U36" s="9"/>
      <c r="X36" s="4"/>
    </row>
    <row r="37" spans="2:24" ht="17.399999999999999" x14ac:dyDescent="0.3">
      <c r="B37" s="430">
        <v>2</v>
      </c>
      <c r="C37" s="430" t="s">
        <v>288</v>
      </c>
      <c r="D37" s="442">
        <v>0.42</v>
      </c>
      <c r="E37" s="442">
        <v>0.48499999999999999</v>
      </c>
      <c r="F37" s="430" t="s">
        <v>290</v>
      </c>
      <c r="G37" s="441">
        <v>18675</v>
      </c>
      <c r="H37" s="441">
        <f t="shared" si="10"/>
        <v>37350</v>
      </c>
      <c r="I37" s="317"/>
      <c r="J37" s="265"/>
      <c r="K37" s="47"/>
      <c r="L37" s="47">
        <f t="shared" si="1"/>
        <v>2</v>
      </c>
      <c r="M37" s="39">
        <f t="shared" si="2"/>
        <v>0.5</v>
      </c>
      <c r="N37" s="39">
        <f t="shared" si="3"/>
        <v>0.48499999999999999</v>
      </c>
      <c r="O37" s="261">
        <f t="shared" si="4"/>
        <v>0.24249999999999999</v>
      </c>
      <c r="P37" s="259">
        <f t="shared" si="5"/>
        <v>0.48499999999999999</v>
      </c>
      <c r="Q37" s="252">
        <f t="shared" si="6"/>
        <v>17785.877840265235</v>
      </c>
      <c r="R37" s="316">
        <f t="shared" si="7"/>
        <v>20785.877840265235</v>
      </c>
      <c r="S37" s="295">
        <f t="shared" si="8"/>
        <v>2</v>
      </c>
      <c r="T37" s="46">
        <f t="shared" si="9"/>
        <v>3.88</v>
      </c>
      <c r="U37" s="9"/>
      <c r="X37" s="4"/>
    </row>
    <row r="38" spans="2:24" ht="17.399999999999999" x14ac:dyDescent="0.3">
      <c r="B38" s="430">
        <v>2</v>
      </c>
      <c r="C38" s="430" t="s">
        <v>288</v>
      </c>
      <c r="D38" s="442">
        <v>0.91</v>
      </c>
      <c r="E38" s="442">
        <v>0.48099999999999998</v>
      </c>
      <c r="F38" s="430" t="s">
        <v>290</v>
      </c>
      <c r="G38" s="441">
        <v>34926</v>
      </c>
      <c r="H38" s="441">
        <f t="shared" si="10"/>
        <v>69852</v>
      </c>
      <c r="I38" s="317"/>
      <c r="J38" s="265"/>
      <c r="K38" s="47"/>
      <c r="L38" s="435">
        <f t="shared" si="1"/>
        <v>2</v>
      </c>
      <c r="M38" s="436">
        <f t="shared" si="2"/>
        <v>0.99</v>
      </c>
      <c r="N38" s="436">
        <f t="shared" si="3"/>
        <v>0.48099999999999998</v>
      </c>
      <c r="O38" s="261">
        <f t="shared" si="4"/>
        <v>0.47619</v>
      </c>
      <c r="P38" s="259">
        <f t="shared" si="5"/>
        <v>0.95238</v>
      </c>
      <c r="Q38" s="252">
        <f t="shared" si="6"/>
        <v>34925.596572189286</v>
      </c>
      <c r="R38" s="316">
        <f t="shared" si="7"/>
        <v>37925.596572189286</v>
      </c>
      <c r="S38" s="295">
        <f t="shared" si="8"/>
        <v>3.96</v>
      </c>
      <c r="T38" s="46">
        <f t="shared" si="9"/>
        <v>3.8479999999999999</v>
      </c>
      <c r="U38" s="9"/>
      <c r="X38" s="4"/>
    </row>
    <row r="39" spans="2:24" ht="17.399999999999999" x14ac:dyDescent="0.3">
      <c r="B39" s="430">
        <v>1</v>
      </c>
      <c r="C39" s="430" t="s">
        <v>288</v>
      </c>
      <c r="D39" s="442">
        <v>1.5249999999999999</v>
      </c>
      <c r="E39" s="442">
        <v>0.23499999999999999</v>
      </c>
      <c r="F39" s="430" t="s">
        <v>290</v>
      </c>
      <c r="G39" s="441">
        <v>27663</v>
      </c>
      <c r="H39" s="441">
        <f t="shared" si="10"/>
        <v>27663</v>
      </c>
      <c r="I39" s="317"/>
      <c r="J39" s="265"/>
      <c r="K39" s="47"/>
      <c r="L39" s="431">
        <f t="shared" si="1"/>
        <v>1</v>
      </c>
      <c r="M39" s="432">
        <f t="shared" si="2"/>
        <v>1.605</v>
      </c>
      <c r="N39" s="432">
        <f t="shared" si="3"/>
        <v>0.23499999999999999</v>
      </c>
      <c r="O39" s="261">
        <f t="shared" si="4"/>
        <v>0.37717499999999998</v>
      </c>
      <c r="P39" s="259">
        <f t="shared" si="5"/>
        <v>0.37717499999999998</v>
      </c>
      <c r="Q39" s="252">
        <f t="shared" si="6"/>
        <v>27663.457626400163</v>
      </c>
      <c r="R39" s="316">
        <f t="shared" si="7"/>
        <v>30663.457626400163</v>
      </c>
      <c r="S39" s="295">
        <f t="shared" si="8"/>
        <v>3.21</v>
      </c>
      <c r="T39" s="46">
        <f t="shared" si="9"/>
        <v>0.94</v>
      </c>
      <c r="U39" s="9"/>
      <c r="X39" s="4"/>
    </row>
    <row r="40" spans="2:24" ht="17.399999999999999" x14ac:dyDescent="0.3">
      <c r="B40" s="430">
        <v>1</v>
      </c>
      <c r="C40" s="430" t="s">
        <v>288</v>
      </c>
      <c r="D40" s="442">
        <v>0.59799999999999998</v>
      </c>
      <c r="E40" s="442">
        <v>0.23499999999999999</v>
      </c>
      <c r="F40" s="430" t="s">
        <v>290</v>
      </c>
      <c r="G40" s="441">
        <v>11686</v>
      </c>
      <c r="H40" s="441">
        <f t="shared" si="10"/>
        <v>11686</v>
      </c>
      <c r="I40" s="317"/>
      <c r="J40" s="265"/>
      <c r="K40" s="47"/>
      <c r="L40" s="47">
        <f t="shared" si="1"/>
        <v>1</v>
      </c>
      <c r="M40" s="39">
        <f t="shared" si="2"/>
        <v>0.67799999999999994</v>
      </c>
      <c r="N40" s="39">
        <f t="shared" si="3"/>
        <v>0.23499999999999999</v>
      </c>
      <c r="O40" s="261">
        <f t="shared" si="4"/>
        <v>0.15932999999999997</v>
      </c>
      <c r="P40" s="259">
        <f t="shared" si="5"/>
        <v>0.15932999999999997</v>
      </c>
      <c r="Q40" s="252">
        <f t="shared" si="6"/>
        <v>11685.871819750348</v>
      </c>
      <c r="R40" s="316">
        <f t="shared" si="7"/>
        <v>14685.871819750348</v>
      </c>
      <c r="S40" s="295">
        <f t="shared" si="8"/>
        <v>1.3559999999999999</v>
      </c>
      <c r="T40" s="46">
        <f t="shared" si="9"/>
        <v>0.94</v>
      </c>
      <c r="U40" s="9"/>
      <c r="X40" s="4"/>
    </row>
    <row r="41" spans="2:24" ht="17.399999999999999" x14ac:dyDescent="0.3">
      <c r="B41" s="430">
        <v>1</v>
      </c>
      <c r="C41" s="430" t="s">
        <v>295</v>
      </c>
      <c r="D41" s="442">
        <v>1.5</v>
      </c>
      <c r="E41" s="442">
        <v>0.6</v>
      </c>
      <c r="F41" s="430" t="s">
        <v>290</v>
      </c>
      <c r="G41" s="441">
        <v>17000</v>
      </c>
      <c r="H41" s="441">
        <f t="shared" si="10"/>
        <v>17000</v>
      </c>
      <c r="I41" s="317"/>
      <c r="J41" s="265"/>
      <c r="K41" s="47"/>
      <c r="L41" s="47"/>
      <c r="M41" s="39"/>
      <c r="N41" s="39"/>
      <c r="O41" s="261"/>
      <c r="P41" s="259"/>
      <c r="Q41" s="252"/>
      <c r="R41" s="316"/>
      <c r="S41" s="295"/>
      <c r="T41" s="46"/>
      <c r="U41" s="9"/>
      <c r="X41" s="4"/>
    </row>
    <row r="42" spans="2:24" ht="17.399999999999999" x14ac:dyDescent="0.3">
      <c r="B42" s="430">
        <v>1</v>
      </c>
      <c r="C42" s="430" t="s">
        <v>295</v>
      </c>
      <c r="D42" s="442">
        <v>0.5</v>
      </c>
      <c r="E42" s="442">
        <v>0.35</v>
      </c>
      <c r="F42" s="430" t="s">
        <v>290</v>
      </c>
      <c r="G42" s="441">
        <v>5000</v>
      </c>
      <c r="H42" s="441">
        <f t="shared" si="10"/>
        <v>5000</v>
      </c>
      <c r="I42" s="317"/>
      <c r="J42" s="265"/>
      <c r="K42" s="47"/>
      <c r="L42" s="47"/>
      <c r="M42" s="39"/>
      <c r="N42" s="39"/>
      <c r="O42" s="261"/>
      <c r="P42" s="259"/>
      <c r="Q42" s="252"/>
      <c r="R42" s="316"/>
      <c r="S42" s="295"/>
      <c r="T42" s="46"/>
      <c r="U42" s="9"/>
      <c r="X42" s="4"/>
    </row>
    <row r="43" spans="2:24" ht="18" thickBot="1" x14ac:dyDescent="0.35">
      <c r="B43" s="285"/>
      <c r="C43" s="285"/>
      <c r="D43" s="286"/>
      <c r="E43" s="286"/>
      <c r="F43" s="285"/>
      <c r="G43" s="265"/>
      <c r="H43" s="318"/>
      <c r="I43" s="320"/>
      <c r="J43" s="233"/>
      <c r="K43" s="47"/>
      <c r="L43" s="47"/>
      <c r="M43" s="39"/>
      <c r="N43" s="39"/>
      <c r="O43" s="261"/>
      <c r="P43" s="259"/>
      <c r="Q43" s="252"/>
      <c r="R43" s="258"/>
      <c r="S43" s="295"/>
      <c r="T43" s="14"/>
      <c r="U43" s="9"/>
      <c r="X43" s="4"/>
    </row>
    <row r="44" spans="2:24" ht="17.399999999999999" x14ac:dyDescent="0.3">
      <c r="B44" s="285"/>
      <c r="C44" s="285"/>
      <c r="D44" s="286"/>
      <c r="E44" s="286"/>
      <c r="F44" s="285"/>
      <c r="G44" s="321" t="s">
        <v>28</v>
      </c>
      <c r="H44" s="322">
        <f>SUM(H21:H43)</f>
        <v>790659</v>
      </c>
      <c r="I44" s="319"/>
      <c r="J44" s="265"/>
      <c r="K44" s="47">
        <v>2600000</v>
      </c>
      <c r="L44" s="47"/>
      <c r="M44" s="39"/>
      <c r="N44" s="39"/>
      <c r="O44" s="261"/>
      <c r="P44" s="259"/>
      <c r="Q44" s="252"/>
      <c r="R44" s="258"/>
      <c r="S44" s="295"/>
      <c r="T44" s="46">
        <f>SUM(T21:T43)</f>
        <v>50.12</v>
      </c>
      <c r="U44" s="9"/>
      <c r="X44" s="4"/>
    </row>
    <row r="45" spans="2:24" ht="17.399999999999999" x14ac:dyDescent="0.3">
      <c r="B45" s="279"/>
      <c r="C45" s="282"/>
      <c r="D45" s="283"/>
      <c r="E45" s="283"/>
      <c r="F45" s="284"/>
      <c r="G45" s="294" t="s">
        <v>51</v>
      </c>
      <c r="H45" s="292">
        <f>H44*19%</f>
        <v>150225.21</v>
      </c>
      <c r="I45" s="319"/>
      <c r="J45" s="265"/>
      <c r="K45" s="47"/>
      <c r="L45" s="47"/>
      <c r="M45" s="39">
        <f>SUM(M21:M44)</f>
        <v>16.858999999999998</v>
      </c>
      <c r="N45" s="12"/>
      <c r="O45" s="12"/>
      <c r="P45" s="253">
        <f>SUM(P21:P40)</f>
        <v>10.318692999999998</v>
      </c>
      <c r="Q45" s="14"/>
      <c r="R45" s="12"/>
      <c r="S45" s="239"/>
      <c r="T45" s="46"/>
      <c r="U45" s="9"/>
      <c r="X45" s="4"/>
    </row>
    <row r="46" spans="2:24" ht="18" thickBot="1" x14ac:dyDescent="0.35">
      <c r="B46" s="275"/>
      <c r="C46" s="281"/>
      <c r="D46" s="272"/>
      <c r="E46" s="272"/>
      <c r="F46" s="273"/>
      <c r="G46" s="280" t="s">
        <v>6</v>
      </c>
      <c r="H46" s="293">
        <f>H44+H45</f>
        <v>940884.21</v>
      </c>
      <c r="I46" s="319"/>
      <c r="J46" s="265"/>
      <c r="K46" s="47"/>
      <c r="L46" s="47"/>
      <c r="M46" s="39"/>
      <c r="N46" s="12"/>
      <c r="O46" s="12"/>
      <c r="P46" s="253">
        <f>P45</f>
        <v>10.318692999999998</v>
      </c>
      <c r="Q46" s="14"/>
      <c r="R46" s="12"/>
      <c r="S46" s="239">
        <f>SUM(S21:S45)</f>
        <v>53.187999999999995</v>
      </c>
      <c r="T46" s="46"/>
      <c r="U46" s="9"/>
      <c r="X46" s="4"/>
    </row>
    <row r="47" spans="2:24" ht="17.399999999999999" x14ac:dyDescent="0.3">
      <c r="B47" s="275"/>
      <c r="C47" s="271"/>
      <c r="D47" s="272"/>
      <c r="E47" s="272"/>
      <c r="F47" s="273"/>
      <c r="J47" s="265"/>
      <c r="K47" s="47"/>
      <c r="L47" s="47"/>
      <c r="M47" s="14"/>
      <c r="N47" s="12"/>
      <c r="O47" s="12"/>
      <c r="P47" s="39">
        <f>P46*20%</f>
        <v>2.0637385999999998</v>
      </c>
      <c r="Q47" s="39" t="s">
        <v>130</v>
      </c>
      <c r="R47" s="42"/>
      <c r="S47" s="240">
        <f>S46+T44</f>
        <v>103.30799999999999</v>
      </c>
      <c r="T47" s="14"/>
      <c r="U47" s="9"/>
      <c r="X47" s="4"/>
    </row>
    <row r="48" spans="2:24" ht="17.399999999999999" x14ac:dyDescent="0.35">
      <c r="B48" s="269"/>
      <c r="C48" s="230"/>
      <c r="D48" s="230"/>
      <c r="E48" s="233"/>
      <c r="F48" s="234"/>
      <c r="G48" s="230"/>
      <c r="H48" s="274"/>
      <c r="I48" s="274"/>
      <c r="J48" s="265"/>
      <c r="K48" s="47"/>
      <c r="L48" s="47"/>
      <c r="M48" s="14"/>
      <c r="N48" s="12"/>
      <c r="O48" s="12"/>
      <c r="P48" s="46">
        <f>P46+P47</f>
        <v>12.382431599999997</v>
      </c>
      <c r="Q48" s="14"/>
      <c r="R48" s="14"/>
      <c r="S48" s="238">
        <f>S47*20%</f>
        <v>20.6616</v>
      </c>
      <c r="T48" s="14"/>
      <c r="U48" s="9"/>
      <c r="X48" s="4"/>
    </row>
    <row r="49" spans="1:24" ht="17.399999999999999" x14ac:dyDescent="0.35">
      <c r="B49" s="235"/>
      <c r="C49" s="236"/>
      <c r="D49" s="237"/>
      <c r="E49" s="235"/>
      <c r="F49" s="230"/>
      <c r="G49" s="230"/>
      <c r="I49" s="274"/>
      <c r="J49" s="265"/>
      <c r="K49" s="47"/>
      <c r="L49" s="47"/>
      <c r="M49" s="14"/>
      <c r="N49" s="14"/>
      <c r="O49" s="14"/>
      <c r="P49" s="14"/>
      <c r="Q49" s="14"/>
      <c r="R49" s="14"/>
      <c r="S49" s="240">
        <f>S47+S48</f>
        <v>123.96959999999999</v>
      </c>
      <c r="T49" s="14"/>
      <c r="U49" s="299" t="s">
        <v>21</v>
      </c>
      <c r="V49" s="296" t="s">
        <v>151</v>
      </c>
      <c r="W49" s="300">
        <v>44971</v>
      </c>
      <c r="X49" s="301"/>
    </row>
    <row r="50" spans="1:24" ht="17.399999999999999" x14ac:dyDescent="0.35">
      <c r="B50" s="230"/>
      <c r="C50" s="230"/>
      <c r="D50" s="230"/>
      <c r="E50" s="230"/>
      <c r="F50" s="230"/>
      <c r="G50" s="230"/>
      <c r="J50" s="265"/>
      <c r="K50" s="47"/>
      <c r="L50" s="47"/>
      <c r="M50" s="39">
        <f>P48</f>
        <v>12.382431599999997</v>
      </c>
      <c r="N50" s="12">
        <v>3500</v>
      </c>
      <c r="O50" s="12">
        <f t="shared" ref="O50:O55" si="11">M50*N50</f>
        <v>43338.510599999987</v>
      </c>
      <c r="P50" s="14" t="s">
        <v>21</v>
      </c>
      <c r="Q50" s="14"/>
      <c r="R50" s="14"/>
      <c r="S50" s="241"/>
      <c r="T50" s="14"/>
      <c r="U50" s="299" t="s">
        <v>152</v>
      </c>
      <c r="V50" s="296">
        <v>3625</v>
      </c>
      <c r="W50" s="59" t="s">
        <v>153</v>
      </c>
      <c r="X50" s="301"/>
    </row>
    <row r="51" spans="1:24" ht="17.399999999999999" x14ac:dyDescent="0.35">
      <c r="A51" s="230"/>
      <c r="B51" s="230"/>
      <c r="C51" s="230"/>
      <c r="D51" s="230"/>
      <c r="E51" s="230"/>
      <c r="F51" s="230"/>
      <c r="G51" s="230"/>
      <c r="H51" s="230"/>
      <c r="J51" s="265"/>
      <c r="K51" s="47"/>
      <c r="L51" s="47"/>
      <c r="M51" s="249">
        <v>3.5</v>
      </c>
      <c r="N51" s="12">
        <v>40000</v>
      </c>
      <c r="O51" s="12">
        <f t="shared" si="11"/>
        <v>140000</v>
      </c>
      <c r="P51" s="39" t="s">
        <v>31</v>
      </c>
      <c r="Q51" s="42"/>
      <c r="R51" s="14"/>
      <c r="S51" s="240"/>
      <c r="T51" s="14"/>
      <c r="U51" s="299"/>
      <c r="V51" s="59">
        <v>906.25</v>
      </c>
      <c r="W51" s="59" t="s">
        <v>154</v>
      </c>
      <c r="X51" s="301"/>
    </row>
    <row r="52" spans="1:24" s="230" customFormat="1" ht="17.399999999999999" x14ac:dyDescent="0.35">
      <c r="B52" s="24" t="s">
        <v>150</v>
      </c>
      <c r="J52" s="262"/>
      <c r="K52" s="232"/>
      <c r="L52" s="250"/>
      <c r="M52" s="14"/>
      <c r="N52" s="250">
        <v>71000</v>
      </c>
      <c r="O52" s="12">
        <f t="shared" si="11"/>
        <v>0</v>
      </c>
      <c r="P52" s="39" t="s">
        <v>30</v>
      </c>
      <c r="Q52" s="42"/>
      <c r="S52" s="240"/>
      <c r="T52" s="256"/>
      <c r="U52" s="59"/>
      <c r="V52" s="59">
        <f>V51*20%</f>
        <v>181.25</v>
      </c>
      <c r="W52" s="301" t="s">
        <v>155</v>
      </c>
      <c r="X52" s="59"/>
    </row>
    <row r="53" spans="1:24" s="230" customFormat="1" ht="17.399999999999999" x14ac:dyDescent="0.35">
      <c r="B53" s="24" t="s">
        <v>166</v>
      </c>
      <c r="C53"/>
      <c r="D53"/>
      <c r="E53"/>
      <c r="F53"/>
      <c r="J53" s="262"/>
      <c r="K53" s="232"/>
      <c r="L53" s="250"/>
      <c r="M53" s="14">
        <v>6</v>
      </c>
      <c r="N53" s="250">
        <v>22000</v>
      </c>
      <c r="O53" s="12">
        <f t="shared" si="11"/>
        <v>132000</v>
      </c>
      <c r="P53" s="14" t="s">
        <v>141</v>
      </c>
      <c r="Q53" s="17"/>
      <c r="S53" s="238"/>
      <c r="T53" s="256"/>
      <c r="U53" s="59"/>
      <c r="V53" s="59">
        <f>V51+V52</f>
        <v>1087.5</v>
      </c>
      <c r="W53" s="301" t="s">
        <v>156</v>
      </c>
      <c r="X53" s="59"/>
    </row>
    <row r="54" spans="1:24" s="230" customFormat="1" ht="17.399999999999999" x14ac:dyDescent="0.35">
      <c r="A54" s="230" t="s">
        <v>291</v>
      </c>
      <c r="B54" s="29" t="s">
        <v>125</v>
      </c>
      <c r="C54"/>
      <c r="D54"/>
      <c r="E54"/>
      <c r="F54" s="229" t="s">
        <v>15</v>
      </c>
      <c r="J54" s="262"/>
      <c r="K54" s="260"/>
      <c r="L54" s="250"/>
      <c r="M54" s="249"/>
      <c r="N54" s="250">
        <v>900</v>
      </c>
      <c r="O54" s="12">
        <f t="shared" si="11"/>
        <v>0</v>
      </c>
      <c r="P54" s="14" t="s">
        <v>32</v>
      </c>
      <c r="Q54" s="14"/>
      <c r="R54" s="230">
        <v>1.52</v>
      </c>
      <c r="S54" s="238"/>
      <c r="T54" s="238"/>
    </row>
    <row r="55" spans="1:24" s="230" customFormat="1" ht="17.399999999999999" x14ac:dyDescent="0.35">
      <c r="J55" s="291"/>
      <c r="K55" s="260"/>
      <c r="L55" s="250"/>
      <c r="M55" s="266"/>
      <c r="N55" s="12">
        <v>1500</v>
      </c>
      <c r="O55" s="12">
        <f t="shared" si="11"/>
        <v>0</v>
      </c>
      <c r="P55" s="14" t="s">
        <v>22</v>
      </c>
      <c r="Q55" s="14"/>
      <c r="R55">
        <v>2.44</v>
      </c>
      <c r="S55"/>
      <c r="T55" s="238"/>
      <c r="X55" s="231"/>
    </row>
    <row r="56" spans="1:24" s="230" customFormat="1" ht="17.399999999999999" x14ac:dyDescent="0.35">
      <c r="K56" s="260"/>
      <c r="L56" s="250"/>
      <c r="M56" s="14"/>
      <c r="N56" s="12"/>
      <c r="O56" s="12">
        <f>SUM(O50:O55)</f>
        <v>315338.51059999998</v>
      </c>
      <c r="P56" s="39" t="s">
        <v>23</v>
      </c>
      <c r="Q56" s="14"/>
      <c r="R56">
        <f>R54*R55</f>
        <v>3.7088000000000001</v>
      </c>
      <c r="S56"/>
      <c r="T56" s="238"/>
      <c r="X56" s="231"/>
    </row>
    <row r="57" spans="1:24" s="230" customFormat="1" ht="17.399999999999999" x14ac:dyDescent="0.35">
      <c r="L57" s="250"/>
      <c r="M57" s="254" t="s">
        <v>33</v>
      </c>
      <c r="N57" s="12"/>
      <c r="O57" s="255">
        <f>O56*2.4</f>
        <v>756812.4254399999</v>
      </c>
      <c r="P57" s="14" t="s">
        <v>140</v>
      </c>
      <c r="Q57" s="14"/>
      <c r="R57" s="40">
        <f>P48/R56</f>
        <v>3.3386625323554777</v>
      </c>
      <c r="S57"/>
      <c r="T57" s="257"/>
    </row>
    <row r="58" spans="1:24" s="230" customFormat="1" ht="17.399999999999999" x14ac:dyDescent="0.35">
      <c r="G58"/>
      <c r="H58" s="260"/>
      <c r="I58" s="260"/>
      <c r="J58" s="260"/>
      <c r="K58" s="230">
        <v>28500</v>
      </c>
      <c r="L58" s="250"/>
      <c r="M58" s="14"/>
      <c r="N58" s="12"/>
      <c r="O58" s="12">
        <f>O57/P46</f>
        <v>73343.826145423649</v>
      </c>
      <c r="P58" s="45" t="s">
        <v>24</v>
      </c>
      <c r="Q58" s="14"/>
      <c r="R58" s="14"/>
      <c r="S58"/>
      <c r="T58" s="238"/>
      <c r="U58" s="59" t="s">
        <v>157</v>
      </c>
      <c r="V58" s="296">
        <v>43650</v>
      </c>
    </row>
    <row r="59" spans="1:24" s="230" customFormat="1" ht="17.399999999999999" x14ac:dyDescent="0.35">
      <c r="G59"/>
      <c r="K59" s="230">
        <f>K58/1.19</f>
        <v>23949.579831932773</v>
      </c>
      <c r="L59" s="250"/>
      <c r="M59" s="13"/>
      <c r="N59" s="14"/>
      <c r="O59" s="17">
        <f>O57/O56</f>
        <v>2.4</v>
      </c>
      <c r="P59" s="15"/>
      <c r="Q59"/>
      <c r="R59"/>
      <c r="S59"/>
      <c r="T59" s="238"/>
      <c r="U59" s="59" t="s">
        <v>159</v>
      </c>
      <c r="V59" s="297" t="s">
        <v>158</v>
      </c>
      <c r="W59" s="59">
        <v>2.4</v>
      </c>
    </row>
    <row r="60" spans="1:24" s="230" customFormat="1" ht="17.399999999999999" x14ac:dyDescent="0.35">
      <c r="G60" s="23"/>
      <c r="L60" s="12"/>
      <c r="T60" s="238"/>
      <c r="U60" s="59" t="s">
        <v>160</v>
      </c>
      <c r="V60" s="298">
        <v>395.37</v>
      </c>
    </row>
    <row r="61" spans="1:24" s="230" customFormat="1" ht="17.399999999999999" x14ac:dyDescent="0.35">
      <c r="B61"/>
      <c r="C61" s="228"/>
      <c r="D61" s="22"/>
      <c r="E61" s="22"/>
      <c r="F61" s="21"/>
      <c r="G61" s="23"/>
      <c r="L61" s="12"/>
      <c r="T61" s="238"/>
      <c r="U61" s="59" t="s">
        <v>155</v>
      </c>
      <c r="V61" s="59">
        <v>474.45</v>
      </c>
    </row>
    <row r="62" spans="1:24" ht="14.4" customHeight="1" x14ac:dyDescent="0.3">
      <c r="L62" s="12"/>
      <c r="U62" s="59"/>
      <c r="V62" s="59"/>
    </row>
    <row r="63" spans="1:24" x14ac:dyDescent="0.3">
      <c r="L63" s="250"/>
    </row>
    <row r="64" spans="1:24" x14ac:dyDescent="0.3">
      <c r="L64" s="250"/>
      <c r="T64" s="270"/>
    </row>
    <row r="65" spans="12:20" x14ac:dyDescent="0.3">
      <c r="L65" s="250"/>
    </row>
    <row r="66" spans="12:20" ht="15" customHeight="1" x14ac:dyDescent="0.3"/>
    <row r="68" spans="12:20" x14ac:dyDescent="0.3">
      <c r="O68">
        <v>40935</v>
      </c>
      <c r="P68" t="s">
        <v>16</v>
      </c>
      <c r="Q68" t="s">
        <v>26</v>
      </c>
    </row>
    <row r="70" spans="12:20" x14ac:dyDescent="0.3">
      <c r="O70" s="54"/>
      <c r="P70" s="54"/>
    </row>
    <row r="71" spans="12:20" x14ac:dyDescent="0.3">
      <c r="S71" s="18"/>
      <c r="T71" s="18"/>
    </row>
    <row r="72" spans="12:20" x14ac:dyDescent="0.3">
      <c r="S72" s="18"/>
      <c r="T72" s="18"/>
    </row>
    <row r="73" spans="12:20" x14ac:dyDescent="0.3">
      <c r="S73" s="18"/>
      <c r="T73" s="18"/>
    </row>
    <row r="74" spans="12:20" x14ac:dyDescent="0.3">
      <c r="S74" s="18"/>
      <c r="T74" s="18"/>
    </row>
    <row r="75" spans="12:20" x14ac:dyDescent="0.3">
      <c r="S75" s="18"/>
      <c r="T75" s="18"/>
    </row>
    <row r="76" spans="12:20" x14ac:dyDescent="0.3">
      <c r="S76" s="18"/>
      <c r="T76" s="18"/>
    </row>
    <row r="77" spans="12:20" x14ac:dyDescent="0.3">
      <c r="S77" s="18"/>
      <c r="T77" s="18"/>
    </row>
    <row r="78" spans="12:20" x14ac:dyDescent="0.3">
      <c r="S78" s="18"/>
      <c r="T78" s="18"/>
    </row>
    <row r="79" spans="12:20" x14ac:dyDescent="0.3">
      <c r="S79" s="18"/>
      <c r="T79" s="18"/>
    </row>
    <row r="82" spans="3:15" x14ac:dyDescent="0.3">
      <c r="O82" s="43"/>
    </row>
    <row r="83" spans="3:15" x14ac:dyDescent="0.3">
      <c r="O83" s="43"/>
    </row>
    <row r="84" spans="3:15" x14ac:dyDescent="0.3">
      <c r="O84" s="6"/>
    </row>
    <row r="85" spans="3:15" x14ac:dyDescent="0.3">
      <c r="O85" s="6"/>
    </row>
    <row r="93" spans="3:15" x14ac:dyDescent="0.3">
      <c r="C93" t="s">
        <v>147</v>
      </c>
    </row>
    <row r="94" spans="3:15" x14ac:dyDescent="0.3">
      <c r="C94" t="s">
        <v>146</v>
      </c>
    </row>
    <row r="97" spans="3:3" x14ac:dyDescent="0.3">
      <c r="C97" t="s">
        <v>146</v>
      </c>
    </row>
    <row r="174" spans="3:3" x14ac:dyDescent="0.3">
      <c r="C174" t="s">
        <v>146</v>
      </c>
    </row>
    <row r="175" spans="3:3" x14ac:dyDescent="0.3">
      <c r="C175" t="s">
        <v>148</v>
      </c>
    </row>
    <row r="176" spans="3:3" x14ac:dyDescent="0.3">
      <c r="C176" t="s">
        <v>149</v>
      </c>
    </row>
    <row r="601" spans="3:3" x14ac:dyDescent="0.3">
      <c r="C601" t="s">
        <v>146</v>
      </c>
    </row>
  </sheetData>
  <mergeCells count="1">
    <mergeCell ref="B19:H19"/>
  </mergeCells>
  <phoneticPr fontId="32" type="noConversion"/>
  <hyperlinks>
    <hyperlink ref="F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45995</v>
      </c>
    </row>
    <row r="6" spans="2:31" ht="16.2" thickBot="1" x14ac:dyDescent="0.35">
      <c r="B6" s="140" t="s">
        <v>2</v>
      </c>
      <c r="C6" s="139" t="str">
        <f>'2229'!C10</f>
        <v>MAROLES RAIN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7" t="s">
        <v>98</v>
      </c>
      <c r="I7" s="448"/>
      <c r="J7" s="448"/>
      <c r="K7" s="449"/>
      <c r="N7" s="75"/>
      <c r="O7" s="44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-73154.034618454112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'2229'!H44</f>
        <v>790659</v>
      </c>
      <c r="E11" s="132">
        <f>D11*0.19</f>
        <v>150225.21</v>
      </c>
      <c r="F11" s="131">
        <f>E11+D11</f>
        <v>940884.21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32835.965381545888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213172.60138743959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14835.965381545888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577486.39861256047</v>
      </c>
      <c r="E13" s="221">
        <f>(D11/D12)-1</f>
        <v>2.7090085445032557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5835.9653815458878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-33164.034618454112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351734.79228927533</v>
      </c>
      <c r="F15" s="216">
        <f>E15-D12</f>
        <v>138562.19090183574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-33164.034618454112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6835.9653815458878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'2229'!O52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'2229'!O51</f>
        <v>140000</v>
      </c>
      <c r="E19" s="123">
        <f>D19*0.19</f>
        <v>26600</v>
      </c>
      <c r="F19" s="120">
        <f>SUM(D19:E19)</f>
        <v>166600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'2229'!O50</f>
        <v>43338.510599999987</v>
      </c>
      <c r="E20" s="121">
        <f>D20*0.19</f>
        <v>8234.3170139999984</v>
      </c>
      <c r="F20" s="120">
        <f>SUM(D20:E20)</f>
        <v>51572.827613999987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183338.51059999998</v>
      </c>
      <c r="E21" s="116">
        <f>SUM(E18:E20)</f>
        <v>34834.317014</v>
      </c>
      <c r="F21" s="115">
        <f>SUM(F18:F20)</f>
        <v>218172.82761399998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115390.89298599999</v>
      </c>
    </row>
    <row r="41" spans="2:16" ht="15" thickBot="1" x14ac:dyDescent="0.35">
      <c r="H41" s="450" t="s">
        <v>60</v>
      </c>
      <c r="I41" s="451"/>
      <c r="J41" s="451"/>
      <c r="K41" s="451"/>
      <c r="L41" s="451"/>
      <c r="M41" s="45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790659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183338.51059999998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577486.39861256047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577486.39861256047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142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138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143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167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168</v>
      </c>
      <c r="G7" s="138"/>
      <c r="H7" s="138"/>
      <c r="I7" s="138"/>
    </row>
    <row r="8" spans="1:17" ht="16.2" thickBot="1" x14ac:dyDescent="0.35">
      <c r="A8" s="138"/>
      <c r="B8" s="326" t="s">
        <v>126</v>
      </c>
      <c r="C8" s="327"/>
      <c r="D8" s="328" t="str">
        <f>'2229'!D8</f>
        <v>N° 11785</v>
      </c>
      <c r="E8" s="138"/>
      <c r="F8" s="329" t="s">
        <v>169</v>
      </c>
      <c r="G8" s="330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62" t="s">
        <v>170</v>
      </c>
      <c r="C10" s="363" t="str">
        <f>IF('2229'!C10="","",'2229'!C10)</f>
        <v>MAROLES RAIN</v>
      </c>
      <c r="D10" s="363"/>
      <c r="E10" s="363"/>
      <c r="F10" s="364" t="s">
        <v>171</v>
      </c>
      <c r="G10" s="365">
        <f>'2229'!G10</f>
        <v>45995</v>
      </c>
      <c r="H10" s="366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52" t="s">
        <v>12</v>
      </c>
      <c r="C11" s="247" t="str">
        <f>IF('2229'!C11="","",'2229'!C11)</f>
        <v/>
      </c>
      <c r="D11" s="358"/>
      <c r="E11" s="358"/>
      <c r="F11" s="358" t="s">
        <v>172</v>
      </c>
      <c r="G11" s="353">
        <f>WORKDAY(G10,5)</f>
        <v>46002</v>
      </c>
      <c r="H11" s="354"/>
      <c r="I11" s="138"/>
    </row>
    <row r="12" spans="1:17" ht="15.6" x14ac:dyDescent="0.3">
      <c r="A12" s="138"/>
      <c r="B12" s="367" t="s">
        <v>173</v>
      </c>
      <c r="C12" s="368" t="str">
        <f>IF('2229'!C12="","",'2229'!C12)</f>
        <v/>
      </c>
      <c r="D12" s="368"/>
      <c r="E12" s="368"/>
      <c r="F12" s="368" t="s">
        <v>185</v>
      </c>
      <c r="G12" s="368" t="str">
        <f>'2229'!G15</f>
        <v>SI</v>
      </c>
      <c r="H12" s="369"/>
      <c r="I12" s="138"/>
    </row>
    <row r="13" spans="1:17" ht="15.6" x14ac:dyDescent="0.3">
      <c r="A13" s="138"/>
      <c r="B13" s="246" t="s">
        <v>145</v>
      </c>
      <c r="C13" s="247" t="str">
        <f>IF('2229'!C13="","",'2229'!C13)</f>
        <v>GEORGINA</v>
      </c>
      <c r="D13" s="247"/>
      <c r="E13" s="247"/>
      <c r="F13" s="247" t="s">
        <v>174</v>
      </c>
      <c r="G13" s="359"/>
      <c r="H13" s="248"/>
      <c r="I13" s="138"/>
    </row>
    <row r="14" spans="1:17" ht="15.6" x14ac:dyDescent="0.3">
      <c r="A14" s="138"/>
      <c r="B14" s="367" t="s">
        <v>139</v>
      </c>
      <c r="C14" s="368" t="str">
        <f>IF('2229'!C14="","",'2229'!C14)</f>
        <v/>
      </c>
      <c r="D14" s="368"/>
      <c r="E14" s="368"/>
      <c r="F14" s="368" t="s">
        <v>175</v>
      </c>
      <c r="G14" s="370" t="s">
        <v>176</v>
      </c>
      <c r="H14" s="369"/>
      <c r="I14" s="138"/>
    </row>
    <row r="15" spans="1:17" ht="15.6" x14ac:dyDescent="0.3">
      <c r="A15" s="138"/>
      <c r="B15" s="352" t="s">
        <v>4</v>
      </c>
      <c r="C15" s="247" t="str">
        <f>IF('2229'!C15="","",'2229'!C15)</f>
        <v>+569 5699 1929</v>
      </c>
      <c r="D15" s="360"/>
      <c r="E15" s="358"/>
      <c r="F15" s="358" t="s">
        <v>177</v>
      </c>
      <c r="G15" s="358" t="str">
        <f>'2229'!G12</f>
        <v>NO</v>
      </c>
      <c r="H15" s="354"/>
      <c r="I15" s="138"/>
    </row>
    <row r="16" spans="1:17" ht="15.6" x14ac:dyDescent="0.3">
      <c r="A16" s="138"/>
      <c r="B16" s="367" t="s">
        <v>3</v>
      </c>
      <c r="C16" s="368" t="str">
        <f>IF('2229'!C16="","",'2229'!C16)</f>
        <v/>
      </c>
      <c r="D16" s="368"/>
      <c r="E16" s="368"/>
      <c r="F16" s="368" t="s">
        <v>178</v>
      </c>
      <c r="G16" s="368" t="str">
        <f>'2229'!G16</f>
        <v>ABONO 50% SALDO C/ENTREGA</v>
      </c>
      <c r="H16" s="369"/>
      <c r="I16" s="138"/>
    </row>
    <row r="17" spans="1:16" ht="16.2" thickBot="1" x14ac:dyDescent="0.35">
      <c r="A17" s="138"/>
      <c r="B17" s="355" t="s">
        <v>13</v>
      </c>
      <c r="C17" s="361" t="str">
        <f>IF('2229'!C17="","",'2229'!C17)</f>
        <v>SANTIAGO</v>
      </c>
      <c r="D17" s="356"/>
      <c r="E17" s="357"/>
      <c r="F17" s="453" t="s">
        <v>179</v>
      </c>
      <c r="G17" s="453"/>
      <c r="H17" s="45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5" t="s">
        <v>180</v>
      </c>
      <c r="C20" s="456"/>
      <c r="D20" s="456"/>
      <c r="E20" s="456"/>
      <c r="F20" s="456"/>
      <c r="G20" s="456"/>
      <c r="H20" s="457"/>
      <c r="I20" s="138"/>
    </row>
    <row r="21" spans="1:16" ht="16.2" thickBot="1" x14ac:dyDescent="0.35">
      <c r="A21" s="138"/>
      <c r="B21" s="371" t="s">
        <v>7</v>
      </c>
      <c r="C21" s="372" t="s">
        <v>1</v>
      </c>
      <c r="D21" s="372" t="s">
        <v>10</v>
      </c>
      <c r="E21" s="372" t="s">
        <v>11</v>
      </c>
      <c r="F21" s="373" t="s">
        <v>8</v>
      </c>
      <c r="G21" s="371" t="s">
        <v>5</v>
      </c>
      <c r="H21" s="373" t="s">
        <v>6</v>
      </c>
      <c r="I21" s="138"/>
    </row>
    <row r="22" spans="1:16" ht="15.6" x14ac:dyDescent="0.3">
      <c r="A22" s="138"/>
      <c r="B22" s="323" t="e">
        <f>'2229'!#REF!</f>
        <v>#REF!</v>
      </c>
      <c r="C22" s="324" t="e">
        <f>'2229'!#REF!</f>
        <v>#REF!</v>
      </c>
      <c r="D22" s="332" t="e">
        <f>'2229'!#REF!*1000</f>
        <v>#REF!</v>
      </c>
      <c r="E22" s="332" t="e">
        <f>'2229'!#REF!*1000</f>
        <v>#REF!</v>
      </c>
      <c r="F22" s="333" t="e">
        <f>'2229'!#REF!</f>
        <v>#REF!</v>
      </c>
      <c r="G22" s="325" t="e">
        <f>'2229'!#REF!</f>
        <v>#REF!</v>
      </c>
      <c r="H22" s="334" t="e">
        <f>G22*B22</f>
        <v>#REF!</v>
      </c>
      <c r="I22" s="138"/>
      <c r="K22" s="5"/>
      <c r="L22" s="264"/>
      <c r="M22" s="5"/>
      <c r="N22" s="5"/>
      <c r="O22" s="264"/>
      <c r="P22" s="47"/>
    </row>
    <row r="23" spans="1:16" ht="15.6" x14ac:dyDescent="0.3">
      <c r="A23" s="138"/>
      <c r="B23" s="285"/>
      <c r="C23" s="285"/>
      <c r="D23" s="285"/>
      <c r="E23" s="285"/>
      <c r="F23" s="285"/>
      <c r="G23" s="335"/>
      <c r="H23" s="335"/>
      <c r="I23" s="138"/>
      <c r="K23" s="5"/>
      <c r="L23" s="264"/>
      <c r="M23" s="5"/>
      <c r="N23" s="5"/>
      <c r="O23" s="264"/>
      <c r="P23" s="47"/>
    </row>
    <row r="24" spans="1:16" ht="16.2" thickBot="1" x14ac:dyDescent="0.35">
      <c r="A24" s="138"/>
      <c r="B24" s="285"/>
      <c r="C24" s="285"/>
      <c r="D24" s="285"/>
      <c r="E24" s="285"/>
      <c r="F24" s="336"/>
      <c r="G24" s="335"/>
      <c r="H24" s="335"/>
      <c r="I24" s="138"/>
      <c r="K24" s="5"/>
      <c r="L24" s="264"/>
      <c r="M24" s="5"/>
      <c r="N24" s="5"/>
      <c r="O24" s="264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38" t="s">
        <v>28</v>
      </c>
      <c r="H25" s="339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40" t="s">
        <v>29</v>
      </c>
      <c r="H26" s="341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42" t="s">
        <v>6</v>
      </c>
      <c r="H27" s="343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44"/>
      <c r="H28" s="345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46" t="s">
        <v>181</v>
      </c>
      <c r="C30" s="347"/>
      <c r="D30" s="348"/>
      <c r="E30" s="348"/>
      <c r="F30" s="337"/>
      <c r="G30" s="138"/>
      <c r="H30" s="138"/>
      <c r="I30" s="138"/>
    </row>
    <row r="31" spans="1:16" ht="15.6" x14ac:dyDescent="0.3">
      <c r="A31" s="138"/>
      <c r="B31" s="346" t="s">
        <v>182</v>
      </c>
      <c r="C31" s="347"/>
      <c r="D31" s="348"/>
      <c r="E31" s="348"/>
      <c r="F31" s="337"/>
      <c r="G31" s="138"/>
      <c r="H31" s="138"/>
      <c r="I31" s="138"/>
    </row>
    <row r="32" spans="1:16" ht="15.6" x14ac:dyDescent="0.3">
      <c r="A32" s="138"/>
      <c r="B32" s="138" t="s">
        <v>125</v>
      </c>
      <c r="C32" s="138"/>
      <c r="D32" s="138"/>
      <c r="E32" s="349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8" t="s">
        <v>186</v>
      </c>
      <c r="C2" s="458"/>
      <c r="D2" s="458"/>
      <c r="E2" s="374"/>
      <c r="G2" s="458" t="s">
        <v>187</v>
      </c>
      <c r="H2" s="458"/>
      <c r="I2" s="458"/>
      <c r="P2" s="459" t="s">
        <v>188</v>
      </c>
      <c r="Q2" s="459"/>
      <c r="R2" s="459"/>
    </row>
    <row r="3" spans="2:18" x14ac:dyDescent="0.3">
      <c r="B3" s="376" t="s">
        <v>131</v>
      </c>
      <c r="C3" s="376" t="s">
        <v>11</v>
      </c>
      <c r="D3" s="376" t="s">
        <v>1</v>
      </c>
      <c r="E3" s="377"/>
      <c r="G3" s="376" t="s">
        <v>131</v>
      </c>
      <c r="H3" s="376" t="s">
        <v>11</v>
      </c>
      <c r="I3" s="376" t="s">
        <v>1</v>
      </c>
      <c r="P3" s="376" t="s">
        <v>131</v>
      </c>
      <c r="Q3" s="376" t="s">
        <v>11</v>
      </c>
      <c r="R3" s="376" t="s">
        <v>1</v>
      </c>
    </row>
    <row r="4" spans="2:18" x14ac:dyDescent="0.3">
      <c r="B4" s="378">
        <v>40</v>
      </c>
      <c r="C4" s="378">
        <v>60</v>
      </c>
      <c r="D4" s="379" t="s">
        <v>189</v>
      </c>
      <c r="E4" s="247" t="s">
        <v>190</v>
      </c>
      <c r="G4" s="375">
        <v>50</v>
      </c>
      <c r="H4" s="375">
        <v>100</v>
      </c>
      <c r="I4" s="380" t="s">
        <v>189</v>
      </c>
      <c r="J4" s="54" t="s">
        <v>191</v>
      </c>
      <c r="K4" s="54"/>
      <c r="L4" s="54"/>
      <c r="M4" s="54"/>
      <c r="P4">
        <v>50</v>
      </c>
      <c r="Q4">
        <v>-30</v>
      </c>
      <c r="R4" t="s">
        <v>192</v>
      </c>
    </row>
    <row r="5" spans="2:18" x14ac:dyDescent="0.3">
      <c r="B5" s="378">
        <v>40</v>
      </c>
      <c r="C5" s="378">
        <v>90</v>
      </c>
      <c r="D5" s="379" t="s">
        <v>193</v>
      </c>
      <c r="E5" s="247" t="s">
        <v>194</v>
      </c>
      <c r="G5" s="375">
        <v>50</v>
      </c>
      <c r="H5" s="375"/>
      <c r="I5" s="380" t="s">
        <v>195</v>
      </c>
      <c r="J5" s="54" t="s">
        <v>196</v>
      </c>
      <c r="K5" s="54"/>
      <c r="L5" s="54"/>
      <c r="M5" s="54"/>
      <c r="P5">
        <v>50</v>
      </c>
      <c r="Q5">
        <v>-30</v>
      </c>
      <c r="R5" t="s">
        <v>192</v>
      </c>
    </row>
    <row r="6" spans="2:18" x14ac:dyDescent="0.3">
      <c r="B6" s="378">
        <v>40</v>
      </c>
      <c r="C6" s="378">
        <v>100</v>
      </c>
      <c r="D6" s="379" t="s">
        <v>197</v>
      </c>
      <c r="E6" s="247" t="s">
        <v>198</v>
      </c>
      <c r="G6" s="378">
        <v>50</v>
      </c>
      <c r="H6" s="378">
        <v>100</v>
      </c>
      <c r="I6" s="379" t="s">
        <v>197</v>
      </c>
      <c r="P6">
        <v>50</v>
      </c>
      <c r="Q6">
        <v>-30</v>
      </c>
      <c r="R6" t="s">
        <v>199</v>
      </c>
    </row>
    <row r="7" spans="2:18" x14ac:dyDescent="0.3">
      <c r="B7" s="378">
        <v>40</v>
      </c>
      <c r="C7" s="378">
        <v>150</v>
      </c>
      <c r="D7" s="379" t="s">
        <v>200</v>
      </c>
      <c r="E7" s="247" t="s">
        <v>201</v>
      </c>
      <c r="G7" s="378">
        <v>50</v>
      </c>
      <c r="H7" s="378"/>
      <c r="I7" s="379" t="s">
        <v>200</v>
      </c>
      <c r="P7">
        <v>50</v>
      </c>
      <c r="Q7">
        <v>-30</v>
      </c>
      <c r="R7" t="s">
        <v>202</v>
      </c>
    </row>
    <row r="8" spans="2:18" x14ac:dyDescent="0.3">
      <c r="B8" s="378">
        <v>40</v>
      </c>
      <c r="C8" s="378">
        <v>100</v>
      </c>
      <c r="D8" s="379" t="s">
        <v>203</v>
      </c>
      <c r="E8" s="247" t="s">
        <v>204</v>
      </c>
      <c r="G8" s="378">
        <v>50</v>
      </c>
      <c r="H8" s="378">
        <v>100</v>
      </c>
      <c r="I8" s="379" t="s">
        <v>203</v>
      </c>
      <c r="L8" s="459" t="s">
        <v>188</v>
      </c>
      <c r="M8" s="459"/>
      <c r="N8" s="459"/>
      <c r="P8">
        <v>50</v>
      </c>
      <c r="Q8">
        <v>-30</v>
      </c>
      <c r="R8" t="s">
        <v>205</v>
      </c>
    </row>
    <row r="9" spans="2:18" x14ac:dyDescent="0.3">
      <c r="B9" s="378">
        <v>40</v>
      </c>
      <c r="C9" s="378">
        <v>50</v>
      </c>
      <c r="D9" s="379" t="s">
        <v>206</v>
      </c>
      <c r="E9" s="247" t="s">
        <v>207</v>
      </c>
      <c r="G9" s="378">
        <v>50</v>
      </c>
      <c r="H9" s="378">
        <v>100</v>
      </c>
      <c r="I9" s="379" t="s">
        <v>208</v>
      </c>
      <c r="L9" s="376" t="s">
        <v>131</v>
      </c>
      <c r="M9" s="376" t="s">
        <v>11</v>
      </c>
      <c r="N9" s="376" t="s">
        <v>1</v>
      </c>
      <c r="P9">
        <v>50</v>
      </c>
      <c r="Q9">
        <v>0</v>
      </c>
      <c r="R9" t="s">
        <v>209</v>
      </c>
    </row>
    <row r="10" spans="2:18" x14ac:dyDescent="0.3">
      <c r="B10" s="378">
        <v>40</v>
      </c>
      <c r="C10" s="378">
        <v>80</v>
      </c>
      <c r="D10" s="379" t="s">
        <v>210</v>
      </c>
      <c r="E10" s="247" t="s">
        <v>211</v>
      </c>
      <c r="G10" s="378">
        <v>50</v>
      </c>
      <c r="H10" s="378"/>
      <c r="I10" s="379" t="s">
        <v>212</v>
      </c>
      <c r="L10" s="378">
        <v>50</v>
      </c>
      <c r="M10" s="378">
        <v>-30</v>
      </c>
      <c r="N10" s="379" t="s">
        <v>192</v>
      </c>
      <c r="P10">
        <v>50</v>
      </c>
      <c r="Q10">
        <v>0</v>
      </c>
      <c r="R10" t="s">
        <v>213</v>
      </c>
    </row>
    <row r="11" spans="2:18" x14ac:dyDescent="0.3">
      <c r="B11" s="378">
        <v>40</v>
      </c>
      <c r="C11" s="378">
        <v>60</v>
      </c>
      <c r="D11" s="379" t="s">
        <v>214</v>
      </c>
      <c r="E11" s="247" t="s">
        <v>215</v>
      </c>
      <c r="G11" s="378">
        <v>50</v>
      </c>
      <c r="H11" s="378">
        <v>100</v>
      </c>
      <c r="I11" s="379" t="s">
        <v>206</v>
      </c>
      <c r="L11" s="378">
        <v>50</v>
      </c>
      <c r="M11" s="378">
        <v>0</v>
      </c>
      <c r="N11" s="379" t="s">
        <v>216</v>
      </c>
      <c r="P11">
        <v>50</v>
      </c>
      <c r="Q11">
        <v>0</v>
      </c>
      <c r="R11" t="s">
        <v>217</v>
      </c>
    </row>
    <row r="12" spans="2:18" x14ac:dyDescent="0.3">
      <c r="B12" s="378">
        <v>40</v>
      </c>
      <c r="C12" s="378">
        <v>100</v>
      </c>
      <c r="D12" s="379" t="s">
        <v>218</v>
      </c>
      <c r="E12" s="247" t="s">
        <v>219</v>
      </c>
      <c r="G12" s="378">
        <v>50</v>
      </c>
      <c r="H12" s="378"/>
      <c r="I12" s="379" t="s">
        <v>210</v>
      </c>
      <c r="L12" s="378">
        <v>50</v>
      </c>
      <c r="M12" s="378">
        <v>-2</v>
      </c>
      <c r="N12" s="379" t="s">
        <v>220</v>
      </c>
      <c r="P12">
        <v>50</v>
      </c>
      <c r="Q12">
        <v>0</v>
      </c>
      <c r="R12" t="s">
        <v>221</v>
      </c>
    </row>
    <row r="13" spans="2:18" x14ac:dyDescent="0.3">
      <c r="B13" s="378">
        <v>40</v>
      </c>
      <c r="C13" s="378">
        <v>130</v>
      </c>
      <c r="D13" s="379" t="s">
        <v>222</v>
      </c>
      <c r="E13" s="247" t="s">
        <v>223</v>
      </c>
      <c r="G13" s="378">
        <v>50</v>
      </c>
      <c r="H13" s="378">
        <v>-30</v>
      </c>
      <c r="I13" s="379" t="s">
        <v>192</v>
      </c>
      <c r="P13">
        <v>50</v>
      </c>
      <c r="Q13">
        <v>0</v>
      </c>
      <c r="R13" t="s">
        <v>224</v>
      </c>
    </row>
    <row r="14" spans="2:18" x14ac:dyDescent="0.3">
      <c r="B14" s="378">
        <v>40</v>
      </c>
      <c r="C14" s="378">
        <v>150</v>
      </c>
      <c r="D14" s="379" t="s">
        <v>199</v>
      </c>
      <c r="E14" s="247"/>
      <c r="G14" s="378">
        <v>50</v>
      </c>
      <c r="H14" s="378">
        <v>-30</v>
      </c>
      <c r="I14" s="379" t="s">
        <v>199</v>
      </c>
    </row>
    <row r="15" spans="2:18" x14ac:dyDescent="0.3">
      <c r="B15" s="378">
        <v>40</v>
      </c>
      <c r="C15" s="378">
        <v>150</v>
      </c>
      <c r="D15" s="379" t="s">
        <v>225</v>
      </c>
      <c r="E15" s="247" t="s">
        <v>226</v>
      </c>
      <c r="G15" s="378">
        <v>50</v>
      </c>
      <c r="H15" s="378">
        <v>-30</v>
      </c>
      <c r="I15" s="379" t="s">
        <v>202</v>
      </c>
      <c r="P15">
        <v>50</v>
      </c>
      <c r="Q15">
        <v>0</v>
      </c>
      <c r="R15" t="s">
        <v>227</v>
      </c>
    </row>
    <row r="16" spans="2:18" x14ac:dyDescent="0.3">
      <c r="B16" s="378">
        <v>40</v>
      </c>
      <c r="C16" s="378">
        <v>130</v>
      </c>
      <c r="D16" s="379" t="s">
        <v>228</v>
      </c>
      <c r="E16" s="247" t="s">
        <v>229</v>
      </c>
      <c r="G16" s="378">
        <v>50</v>
      </c>
      <c r="H16" s="378">
        <v>-30</v>
      </c>
      <c r="I16" s="379" t="s">
        <v>230</v>
      </c>
      <c r="P16">
        <v>50</v>
      </c>
      <c r="Q16">
        <v>0</v>
      </c>
      <c r="R16" t="s">
        <v>231</v>
      </c>
    </row>
    <row r="17" spans="2:18" x14ac:dyDescent="0.3">
      <c r="B17" s="378">
        <v>40</v>
      </c>
      <c r="C17" s="378">
        <v>150</v>
      </c>
      <c r="D17" s="379" t="s">
        <v>217</v>
      </c>
      <c r="E17" s="247" t="s">
        <v>232</v>
      </c>
      <c r="G17" s="378">
        <v>50</v>
      </c>
      <c r="H17" s="378"/>
      <c r="I17" s="379" t="s">
        <v>217</v>
      </c>
      <c r="P17">
        <v>50</v>
      </c>
      <c r="Q17">
        <v>0</v>
      </c>
      <c r="R17" t="s">
        <v>233</v>
      </c>
    </row>
    <row r="18" spans="2:18" x14ac:dyDescent="0.3">
      <c r="B18" s="378">
        <v>140</v>
      </c>
      <c r="C18" s="378">
        <v>150</v>
      </c>
      <c r="D18" s="379" t="s">
        <v>221</v>
      </c>
      <c r="E18" s="247" t="s">
        <v>234</v>
      </c>
      <c r="G18" s="378">
        <v>50</v>
      </c>
      <c r="H18" s="378"/>
      <c r="I18" s="379" t="s">
        <v>221</v>
      </c>
      <c r="P18">
        <v>50</v>
      </c>
      <c r="Q18">
        <v>0</v>
      </c>
      <c r="R18" t="s">
        <v>235</v>
      </c>
    </row>
    <row r="19" spans="2:18" x14ac:dyDescent="0.3">
      <c r="B19" s="378">
        <v>150</v>
      </c>
      <c r="C19" s="378">
        <v>150</v>
      </c>
      <c r="D19" s="379" t="s">
        <v>224</v>
      </c>
      <c r="E19" s="247" t="s">
        <v>236</v>
      </c>
      <c r="G19" s="378">
        <v>50</v>
      </c>
      <c r="H19" s="378"/>
      <c r="I19" s="379" t="s">
        <v>224</v>
      </c>
      <c r="P19">
        <v>50</v>
      </c>
      <c r="Q19">
        <v>0</v>
      </c>
      <c r="R19" t="s">
        <v>237</v>
      </c>
    </row>
    <row r="20" spans="2:18" x14ac:dyDescent="0.3">
      <c r="B20" s="378">
        <v>40</v>
      </c>
      <c r="C20" s="378">
        <v>100</v>
      </c>
      <c r="D20" s="379" t="s">
        <v>238</v>
      </c>
      <c r="E20" s="247" t="s">
        <v>239</v>
      </c>
      <c r="G20" s="378">
        <v>50</v>
      </c>
      <c r="H20" s="378">
        <v>0</v>
      </c>
      <c r="I20" s="379" t="s">
        <v>238</v>
      </c>
      <c r="J20" s="54" t="s">
        <v>240</v>
      </c>
      <c r="K20" s="54"/>
      <c r="L20" s="54"/>
      <c r="M20" s="54"/>
      <c r="P20">
        <v>50</v>
      </c>
      <c r="Q20">
        <v>0</v>
      </c>
      <c r="R20" t="s">
        <v>241</v>
      </c>
    </row>
    <row r="21" spans="2:18" x14ac:dyDescent="0.3">
      <c r="B21" s="378">
        <v>100</v>
      </c>
      <c r="C21" s="378">
        <v>100</v>
      </c>
      <c r="D21" s="379" t="s">
        <v>242</v>
      </c>
      <c r="E21" s="247" t="s">
        <v>243</v>
      </c>
      <c r="G21" s="378">
        <v>50</v>
      </c>
      <c r="H21" s="378">
        <v>0</v>
      </c>
      <c r="I21" s="379" t="s">
        <v>242</v>
      </c>
      <c r="P21">
        <v>50</v>
      </c>
      <c r="Q21">
        <v>0</v>
      </c>
      <c r="R21" t="s">
        <v>244</v>
      </c>
    </row>
    <row r="22" spans="2:18" x14ac:dyDescent="0.3">
      <c r="B22" s="378">
        <v>100</v>
      </c>
      <c r="C22" s="378">
        <v>100</v>
      </c>
      <c r="D22" s="379" t="s">
        <v>227</v>
      </c>
      <c r="E22" s="247" t="s">
        <v>245</v>
      </c>
      <c r="G22" s="375"/>
      <c r="H22" s="375"/>
      <c r="I22" s="380" t="s">
        <v>227</v>
      </c>
      <c r="P22">
        <v>50</v>
      </c>
      <c r="Q22">
        <v>0</v>
      </c>
      <c r="R22" t="s">
        <v>246</v>
      </c>
    </row>
    <row r="23" spans="2:18" x14ac:dyDescent="0.3">
      <c r="B23" s="378">
        <v>40</v>
      </c>
      <c r="C23" s="378">
        <v>150</v>
      </c>
      <c r="D23" s="379" t="s">
        <v>231</v>
      </c>
      <c r="E23" s="247" t="s">
        <v>247</v>
      </c>
      <c r="G23" s="378">
        <v>50</v>
      </c>
      <c r="H23" s="378"/>
      <c r="I23" s="379" t="s">
        <v>231</v>
      </c>
      <c r="R23" t="s">
        <v>248</v>
      </c>
    </row>
    <row r="24" spans="2:18" x14ac:dyDescent="0.3">
      <c r="B24" s="378">
        <v>140</v>
      </c>
      <c r="C24" s="378">
        <v>150</v>
      </c>
      <c r="D24" s="379" t="s">
        <v>233</v>
      </c>
      <c r="E24" s="247" t="s">
        <v>249</v>
      </c>
      <c r="G24" s="378">
        <v>50</v>
      </c>
      <c r="H24" s="378"/>
      <c r="I24" s="379" t="s">
        <v>233</v>
      </c>
      <c r="R24" t="s">
        <v>250</v>
      </c>
    </row>
    <row r="25" spans="2:18" x14ac:dyDescent="0.3">
      <c r="B25" s="378">
        <v>150</v>
      </c>
      <c r="C25" s="378">
        <v>150</v>
      </c>
      <c r="D25" s="379" t="s">
        <v>235</v>
      </c>
      <c r="E25" s="247" t="s">
        <v>251</v>
      </c>
      <c r="G25" s="378">
        <v>50</v>
      </c>
      <c r="H25" s="378"/>
      <c r="I25" s="379" t="s">
        <v>235</v>
      </c>
      <c r="R25" t="s">
        <v>197</v>
      </c>
    </row>
    <row r="26" spans="2:18" x14ac:dyDescent="0.3">
      <c r="B26" s="378">
        <v>40</v>
      </c>
      <c r="C26" s="378">
        <v>77</v>
      </c>
      <c r="D26" s="379" t="s">
        <v>237</v>
      </c>
      <c r="E26" s="247" t="s">
        <v>252</v>
      </c>
      <c r="G26" s="378">
        <v>50</v>
      </c>
      <c r="H26" s="378"/>
      <c r="I26" s="379" t="s">
        <v>237</v>
      </c>
      <c r="R26" t="s">
        <v>200</v>
      </c>
    </row>
    <row r="27" spans="2:18" x14ac:dyDescent="0.3">
      <c r="B27" s="378">
        <v>110</v>
      </c>
      <c r="C27" s="378">
        <v>77</v>
      </c>
      <c r="D27" s="379" t="s">
        <v>241</v>
      </c>
      <c r="E27" s="247" t="s">
        <v>253</v>
      </c>
      <c r="G27" s="378">
        <v>50</v>
      </c>
      <c r="H27" s="378"/>
      <c r="I27" s="379" t="s">
        <v>241</v>
      </c>
      <c r="R27" t="s">
        <v>203</v>
      </c>
    </row>
    <row r="28" spans="2:18" x14ac:dyDescent="0.3">
      <c r="B28" s="378">
        <v>120</v>
      </c>
      <c r="C28" s="378">
        <v>77</v>
      </c>
      <c r="D28" s="379" t="s">
        <v>244</v>
      </c>
      <c r="E28" s="247" t="s">
        <v>254</v>
      </c>
      <c r="G28" s="378">
        <v>50</v>
      </c>
      <c r="H28" s="378"/>
      <c r="I28" s="379" t="s">
        <v>244</v>
      </c>
      <c r="R28" t="s">
        <v>208</v>
      </c>
    </row>
    <row r="29" spans="2:18" x14ac:dyDescent="0.3">
      <c r="B29" s="378">
        <v>40</v>
      </c>
      <c r="C29" s="378">
        <v>50</v>
      </c>
      <c r="D29" s="379" t="s">
        <v>246</v>
      </c>
      <c r="E29" s="247" t="s">
        <v>255</v>
      </c>
      <c r="G29" s="378">
        <v>50</v>
      </c>
      <c r="H29" s="378"/>
      <c r="I29" s="379" t="s">
        <v>246</v>
      </c>
      <c r="R29" t="s">
        <v>212</v>
      </c>
    </row>
    <row r="30" spans="2:18" x14ac:dyDescent="0.3">
      <c r="B30" s="378">
        <v>40</v>
      </c>
      <c r="C30" s="378">
        <v>60</v>
      </c>
      <c r="D30" s="379" t="s">
        <v>256</v>
      </c>
      <c r="E30" s="247" t="s">
        <v>257</v>
      </c>
      <c r="G30" s="378">
        <v>50</v>
      </c>
      <c r="H30" s="378"/>
      <c r="I30" s="379" t="s">
        <v>213</v>
      </c>
      <c r="R30" t="s">
        <v>206</v>
      </c>
    </row>
    <row r="31" spans="2:18" x14ac:dyDescent="0.3">
      <c r="B31" s="378">
        <v>40</v>
      </c>
      <c r="C31" s="378">
        <v>100</v>
      </c>
      <c r="D31" s="379" t="s">
        <v>209</v>
      </c>
      <c r="E31" s="247" t="s">
        <v>258</v>
      </c>
      <c r="G31" s="378">
        <v>50</v>
      </c>
      <c r="H31" s="378"/>
      <c r="I31" s="379" t="s">
        <v>209</v>
      </c>
      <c r="R31" t="s">
        <v>210</v>
      </c>
    </row>
    <row r="32" spans="2:18" x14ac:dyDescent="0.3">
      <c r="B32" s="378">
        <v>40</v>
      </c>
      <c r="C32" s="378">
        <v>60</v>
      </c>
      <c r="D32" s="379" t="s">
        <v>259</v>
      </c>
      <c r="E32" s="247" t="s">
        <v>260</v>
      </c>
      <c r="G32" s="378">
        <v>50</v>
      </c>
      <c r="H32" s="378"/>
      <c r="I32" s="379" t="s">
        <v>259</v>
      </c>
      <c r="R32" t="s">
        <v>261</v>
      </c>
    </row>
    <row r="33" spans="2:18" x14ac:dyDescent="0.3">
      <c r="B33" s="378">
        <v>40</v>
      </c>
      <c r="C33" s="378">
        <v>90</v>
      </c>
      <c r="D33" s="379" t="s">
        <v>262</v>
      </c>
      <c r="E33" s="247" t="s">
        <v>263</v>
      </c>
      <c r="G33" s="378">
        <v>50</v>
      </c>
      <c r="H33" s="378">
        <v>-2</v>
      </c>
      <c r="I33" s="379" t="s">
        <v>262</v>
      </c>
      <c r="R33" t="s">
        <v>264</v>
      </c>
    </row>
    <row r="34" spans="2:18" x14ac:dyDescent="0.3">
      <c r="B34" s="378">
        <v>40</v>
      </c>
      <c r="C34" s="378">
        <v>90</v>
      </c>
      <c r="D34" s="379" t="s">
        <v>265</v>
      </c>
      <c r="E34" s="247"/>
      <c r="G34" s="378">
        <v>50</v>
      </c>
      <c r="H34" s="378">
        <v>-2</v>
      </c>
      <c r="I34" s="379" t="s">
        <v>265</v>
      </c>
    </row>
    <row r="35" spans="2:18" x14ac:dyDescent="0.3">
      <c r="B35" s="378">
        <v>40</v>
      </c>
      <c r="C35" s="378">
        <v>90</v>
      </c>
      <c r="D35" s="379" t="s">
        <v>261</v>
      </c>
      <c r="E35" s="247" t="s">
        <v>266</v>
      </c>
      <c r="G35" s="378">
        <v>50</v>
      </c>
      <c r="H35" s="378">
        <v>-2</v>
      </c>
      <c r="I35" s="379" t="s">
        <v>261</v>
      </c>
      <c r="R35" t="s">
        <v>267</v>
      </c>
    </row>
    <row r="36" spans="2:18" x14ac:dyDescent="0.3">
      <c r="B36" s="381">
        <v>40</v>
      </c>
      <c r="C36" s="381">
        <v>90</v>
      </c>
      <c r="D36" s="382" t="s">
        <v>264</v>
      </c>
      <c r="G36" s="378">
        <v>50</v>
      </c>
      <c r="H36" s="378">
        <v>-2</v>
      </c>
      <c r="I36" s="379" t="s">
        <v>264</v>
      </c>
      <c r="R36" t="s">
        <v>262</v>
      </c>
    </row>
    <row r="37" spans="2:18" x14ac:dyDescent="0.3">
      <c r="B37" s="381">
        <v>40</v>
      </c>
      <c r="C37" s="381">
        <v>90</v>
      </c>
      <c r="D37" s="382" t="s">
        <v>267</v>
      </c>
      <c r="G37" s="378">
        <v>50</v>
      </c>
      <c r="H37" s="378">
        <v>-2</v>
      </c>
      <c r="I37" s="379" t="s">
        <v>267</v>
      </c>
      <c r="R37" t="s">
        <v>265</v>
      </c>
    </row>
    <row r="48" spans="2:18" x14ac:dyDescent="0.3">
      <c r="B48" s="378">
        <v>40</v>
      </c>
      <c r="C48" s="378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268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4" t="s">
        <v>269</v>
      </c>
      <c r="L3" s="464"/>
      <c r="M3" s="464" t="s">
        <v>270</v>
      </c>
      <c r="N3" s="464"/>
    </row>
    <row r="4" spans="1:14" ht="15.75" customHeight="1" x14ac:dyDescent="0.3">
      <c r="A4" s="138"/>
      <c r="B4" s="138"/>
      <c r="C4" s="383" t="s">
        <v>169</v>
      </c>
      <c r="D4" s="140" t="str">
        <f>IF('NOTA DE VENTA'!$G$8="","",'NOTA DE VENTA'!$G$8)</f>
        <v/>
      </c>
      <c r="E4" s="138"/>
      <c r="F4" s="138"/>
      <c r="G4" s="138"/>
      <c r="K4" t="s">
        <v>131</v>
      </c>
      <c r="L4" t="s">
        <v>11</v>
      </c>
      <c r="M4" t="s">
        <v>131</v>
      </c>
      <c r="N4" t="s">
        <v>11</v>
      </c>
    </row>
    <row r="5" spans="1:14" ht="18" customHeight="1" x14ac:dyDescent="0.3">
      <c r="A5" s="138"/>
      <c r="B5" s="138"/>
      <c r="C5" s="384" t="s">
        <v>271</v>
      </c>
      <c r="D5" s="385" t="str">
        <f>'NOTA DE VENTA'!$C$10</f>
        <v>MAROLES RAIN</v>
      </c>
      <c r="E5" s="331"/>
      <c r="F5" s="331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86"/>
      <c r="D6" s="387"/>
      <c r="E6" s="138"/>
      <c r="F6" s="138"/>
      <c r="G6" s="138"/>
    </row>
    <row r="7" spans="1:14" ht="15.6" x14ac:dyDescent="0.3">
      <c r="A7" s="138"/>
      <c r="B7" s="138"/>
      <c r="C7" s="409" t="str">
        <f>'NOTA DE VENTA'!$F$10</f>
        <v>FECHA :</v>
      </c>
      <c r="D7" s="419">
        <f>'NOTA DE VENTA'!$G$10</f>
        <v>45995</v>
      </c>
      <c r="E7" s="138"/>
      <c r="F7" s="138"/>
      <c r="G7" s="138"/>
    </row>
    <row r="8" spans="1:14" ht="15.6" x14ac:dyDescent="0.3">
      <c r="A8" s="138"/>
      <c r="B8" s="138"/>
      <c r="C8" s="383" t="s">
        <v>272</v>
      </c>
      <c r="D8" s="418">
        <f>'NOTA DE VENTA'!$G$11</f>
        <v>46002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5" t="s">
        <v>269</v>
      </c>
      <c r="B10" s="465"/>
      <c r="C10" s="465"/>
      <c r="D10" s="465"/>
      <c r="E10" s="465"/>
      <c r="F10" s="465"/>
      <c r="G10" s="138"/>
    </row>
    <row r="11" spans="1:14" ht="15.6" x14ac:dyDescent="0.3">
      <c r="A11" s="138"/>
      <c r="B11" s="138"/>
      <c r="C11" s="389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44" t="s">
        <v>131</v>
      </c>
      <c r="E12" s="344" t="s">
        <v>11</v>
      </c>
      <c r="F12" s="138"/>
      <c r="G12" s="138"/>
    </row>
    <row r="13" spans="1:14" ht="15.6" x14ac:dyDescent="0.3">
      <c r="A13" s="344" t="s">
        <v>87</v>
      </c>
      <c r="B13" s="390" t="s">
        <v>96</v>
      </c>
      <c r="C13" s="390" t="s">
        <v>25</v>
      </c>
      <c r="D13" s="391">
        <v>80</v>
      </c>
      <c r="E13" s="391">
        <v>-30</v>
      </c>
      <c r="F13" s="390" t="s">
        <v>273</v>
      </c>
      <c r="G13" s="138"/>
      <c r="J13" s="392" t="s">
        <v>131</v>
      </c>
      <c r="K13" s="392" t="s">
        <v>11</v>
      </c>
    </row>
    <row r="14" spans="1:14" ht="15.6" x14ac:dyDescent="0.3">
      <c r="A14" s="393" t="s">
        <v>31</v>
      </c>
      <c r="B14" s="394">
        <f t="shared" ref="B14" si="0">I14</f>
        <v>1</v>
      </c>
      <c r="C14" s="394"/>
      <c r="D14" s="394">
        <f>LOOKUP(F14,REGLAS!$I$4:$I$37,REGLAS!$G$4:$G$37)+J14</f>
        <v>1850</v>
      </c>
      <c r="E14" s="395">
        <f>LOOKUP(F14,REGLAS!$I$4:$I$37,REGLAS!$H$4:$H$37)+K14</f>
        <v>470</v>
      </c>
      <c r="F14" s="396" t="str">
        <f>C27</f>
        <v>CUB C/R R8</v>
      </c>
      <c r="G14" s="138"/>
      <c r="I14" s="397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44"/>
      <c r="B15" s="52"/>
      <c r="C15" s="52"/>
      <c r="D15" s="52"/>
      <c r="E15" s="398"/>
      <c r="F15" s="52"/>
      <c r="G15" s="138"/>
      <c r="I15" s="399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5" t="s">
        <v>270</v>
      </c>
      <c r="B17" s="465"/>
      <c r="C17" s="465"/>
      <c r="D17" s="465"/>
      <c r="E17" s="465"/>
      <c r="F17" s="465"/>
      <c r="G17" s="138"/>
    </row>
    <row r="18" spans="1:11" ht="10.5" customHeight="1" x14ac:dyDescent="0.3">
      <c r="A18" s="138"/>
      <c r="B18" s="138"/>
      <c r="C18" s="389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44" t="s">
        <v>131</v>
      </c>
      <c r="E19" s="344" t="s">
        <v>11</v>
      </c>
      <c r="F19" s="138"/>
      <c r="G19" s="138"/>
    </row>
    <row r="20" spans="1:11" ht="15.6" x14ac:dyDescent="0.3">
      <c r="A20" s="344" t="s">
        <v>87</v>
      </c>
      <c r="B20" s="400" t="s">
        <v>96</v>
      </c>
      <c r="C20" s="400" t="s">
        <v>25</v>
      </c>
      <c r="D20" s="401">
        <v>40</v>
      </c>
      <c r="E20" s="401">
        <v>130</v>
      </c>
      <c r="F20" s="400" t="s">
        <v>273</v>
      </c>
      <c r="G20" s="138"/>
      <c r="J20" s="392" t="s">
        <v>131</v>
      </c>
      <c r="K20" s="392" t="s">
        <v>11</v>
      </c>
    </row>
    <row r="21" spans="1:11" ht="15.6" x14ac:dyDescent="0.3">
      <c r="A21" s="393" t="s">
        <v>274</v>
      </c>
      <c r="B21" s="402">
        <f t="shared" ref="B21" si="2">I21</f>
        <v>1</v>
      </c>
      <c r="C21" s="402"/>
      <c r="D21" s="402">
        <f>LOOKUP(F14,REGLAS!$D$4:$D$37,REGLAS!$B$4:$B$37)+J21</f>
        <v>1840</v>
      </c>
      <c r="E21" s="402">
        <f>LOOKUP(F14,REGLAS!$D$4:$D$37,REGLAS!$C$4:$C$37)+K21</f>
        <v>630</v>
      </c>
      <c r="F21" s="403" t="str">
        <f>C27</f>
        <v>CUB C/R R8</v>
      </c>
      <c r="G21" s="138"/>
      <c r="I21" s="397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404"/>
      <c r="B22" s="52"/>
      <c r="C22" s="52"/>
      <c r="D22" s="52"/>
      <c r="E22" s="52"/>
      <c r="F22" s="52"/>
      <c r="G22" s="138"/>
      <c r="I22" s="399"/>
      <c r="J22" s="6"/>
      <c r="K22" s="6"/>
    </row>
    <row r="23" spans="1:11" ht="16.2" thickBot="1" x14ac:dyDescent="0.35">
      <c r="A23" s="344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44"/>
      <c r="B24" s="405" t="s">
        <v>275</v>
      </c>
      <c r="C24" s="406"/>
      <c r="D24" s="406"/>
      <c r="E24" s="406"/>
      <c r="F24" s="407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44" t="s">
        <v>87</v>
      </c>
      <c r="B26" s="408" t="s">
        <v>96</v>
      </c>
      <c r="C26" s="408" t="s">
        <v>273</v>
      </c>
      <c r="D26" s="408" t="s">
        <v>131</v>
      </c>
      <c r="E26" s="408" t="s">
        <v>11</v>
      </c>
      <c r="F26" s="408" t="s">
        <v>8</v>
      </c>
      <c r="G26" s="138"/>
    </row>
    <row r="27" spans="1:11" ht="15.6" x14ac:dyDescent="0.3">
      <c r="A27" s="393" t="s">
        <v>31</v>
      </c>
      <c r="B27" s="394">
        <f>'[1]4637'!B21</f>
        <v>1</v>
      </c>
      <c r="C27" s="396" t="str">
        <f>'[1]4637'!C21</f>
        <v>CUB C/R R8</v>
      </c>
      <c r="D27" s="394">
        <f>'[1]4637'!D21</f>
        <v>1800</v>
      </c>
      <c r="E27" s="394">
        <f>'[1]4637'!E21</f>
        <v>500</v>
      </c>
      <c r="F27" s="394" t="str">
        <f>'[1]4637'!F21</f>
        <v>LATE 2167 MT</v>
      </c>
      <c r="G27" s="138"/>
    </row>
    <row r="28" spans="1:11" ht="15.6" x14ac:dyDescent="0.3">
      <c r="A28" s="404"/>
      <c r="B28" s="52"/>
      <c r="C28" s="52"/>
      <c r="D28" s="52"/>
      <c r="E28" s="52"/>
      <c r="F28" s="52"/>
      <c r="G28" s="138"/>
    </row>
    <row r="29" spans="1:11" ht="15.6" x14ac:dyDescent="0.3">
      <c r="A29" s="344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83" t="s">
        <v>169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84" t="s">
        <v>271</v>
      </c>
      <c r="D40" s="385" t="str">
        <f>'[1]4637'!C10</f>
        <v>FMR MAKING SPA</v>
      </c>
      <c r="E40" s="331"/>
      <c r="F40" s="331"/>
      <c r="G40" s="138"/>
    </row>
    <row r="41" spans="1:7" ht="4.5" customHeight="1" x14ac:dyDescent="0.3">
      <c r="A41" s="138"/>
      <c r="B41" s="138"/>
      <c r="C41" s="386"/>
      <c r="D41" s="387"/>
      <c r="E41" s="138"/>
      <c r="F41" s="138"/>
      <c r="G41" s="138"/>
    </row>
    <row r="42" spans="1:7" ht="15.6" x14ac:dyDescent="0.3">
      <c r="A42" s="138"/>
      <c r="B42" s="138"/>
      <c r="C42" s="409" t="str">
        <f>'[1]4637'!F11</f>
        <v>FECHA LIMITE :</v>
      </c>
      <c r="D42" s="388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5" t="s">
        <v>276</v>
      </c>
      <c r="B45" s="465"/>
      <c r="C45" s="465"/>
      <c r="D45" s="465"/>
      <c r="E45" s="465"/>
      <c r="F45" s="46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0" t="s">
        <v>95</v>
      </c>
      <c r="C47" s="461"/>
      <c r="D47" s="462"/>
      <c r="E47" s="462"/>
      <c r="F47" s="463"/>
      <c r="G47" s="138"/>
    </row>
    <row r="48" spans="1:7" s="59" customFormat="1" ht="12.75" customHeight="1" x14ac:dyDescent="0.3">
      <c r="A48" s="138"/>
      <c r="B48" s="400" t="s">
        <v>96</v>
      </c>
      <c r="C48" s="410" t="s">
        <v>25</v>
      </c>
      <c r="D48" s="411" t="s">
        <v>131</v>
      </c>
      <c r="E48" s="411" t="s">
        <v>11</v>
      </c>
      <c r="F48" s="412" t="s">
        <v>277</v>
      </c>
      <c r="G48" s="138"/>
    </row>
    <row r="49" spans="1:7" s="59" customFormat="1" ht="15" customHeight="1" x14ac:dyDescent="0.3">
      <c r="A49" s="393" t="s">
        <v>278</v>
      </c>
      <c r="B49" s="413">
        <f>'[1]4637'!B21</f>
        <v>1</v>
      </c>
      <c r="C49" s="414" t="str">
        <f>'[1]4637'!C21</f>
        <v>CUB C/R R8</v>
      </c>
      <c r="D49" s="415">
        <f>'[1]4637'!D21</f>
        <v>1800</v>
      </c>
      <c r="E49" s="415">
        <f>'[1]4637'!E21</f>
        <v>500</v>
      </c>
      <c r="F49" s="413" t="str">
        <f>'[1]4637'!F21</f>
        <v>LATE 2167 MT</v>
      </c>
      <c r="G49" s="138"/>
    </row>
    <row r="50" spans="1:7" s="59" customFormat="1" ht="15" customHeight="1" x14ac:dyDescent="0.3">
      <c r="A50" s="404"/>
      <c r="B50" s="344"/>
      <c r="C50" s="416"/>
      <c r="D50" s="344"/>
      <c r="E50" s="344"/>
      <c r="F50" s="344"/>
      <c r="G50" s="138"/>
    </row>
    <row r="51" spans="1:7" s="59" customFormat="1" ht="15" customHeight="1" x14ac:dyDescent="0.3">
      <c r="A51" s="139"/>
      <c r="B51" s="344"/>
      <c r="C51" s="344"/>
      <c r="D51" s="344"/>
      <c r="E51" s="344"/>
      <c r="F51" s="344"/>
      <c r="G51" s="138"/>
    </row>
    <row r="52" spans="1:7" ht="15.6" x14ac:dyDescent="0.3">
      <c r="A52" s="52"/>
      <c r="B52" s="52"/>
      <c r="C52" s="138"/>
      <c r="D52" s="52"/>
      <c r="E52" s="52"/>
      <c r="F52" s="386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17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29"/>
  </cols>
  <sheetData>
    <row r="1" spans="1:13" x14ac:dyDescent="0.3">
      <c r="A1" s="426" t="s">
        <v>279</v>
      </c>
      <c r="B1" s="427" t="s">
        <v>280</v>
      </c>
      <c r="C1" s="426" t="s">
        <v>281</v>
      </c>
      <c r="D1" s="426" t="s">
        <v>282</v>
      </c>
      <c r="E1" s="426" t="s">
        <v>283</v>
      </c>
      <c r="F1" s="426" t="s">
        <v>95</v>
      </c>
      <c r="G1" s="426" t="s">
        <v>8</v>
      </c>
      <c r="H1" s="428" t="s">
        <v>28</v>
      </c>
      <c r="I1" s="428" t="s">
        <v>51</v>
      </c>
      <c r="J1" s="428" t="s">
        <v>6</v>
      </c>
      <c r="K1" s="428" t="s">
        <v>284</v>
      </c>
      <c r="L1" s="428" t="s">
        <v>285</v>
      </c>
      <c r="M1" s="426" t="s">
        <v>286</v>
      </c>
    </row>
    <row r="2" spans="1:13" x14ac:dyDescent="0.3">
      <c r="A2">
        <f>'NOTA DE VENTA'!$G$8</f>
        <v>0</v>
      </c>
      <c r="B2" t="str">
        <f>'NOTA DE VENTA'!$D$8</f>
        <v>N° 11785</v>
      </c>
      <c r="C2" s="1">
        <f>'NOTA DE VENTA'!$G$10</f>
        <v>45995</v>
      </c>
      <c r="D2" s="1">
        <f>'NOTA DE VENTA'!$G$11</f>
        <v>46002</v>
      </c>
      <c r="E2" t="str">
        <f>'NOTA DE VENTA'!$C$10</f>
        <v>MAROLES RAIN</v>
      </c>
      <c r="F2" t="e">
        <f>'NOTA DE VENTA'!$C$22</f>
        <v>#REF!</v>
      </c>
      <c r="G2" t="e">
        <f>'NOTA DE VENTA'!$F$22</f>
        <v>#REF!</v>
      </c>
      <c r="H2" s="429" t="e">
        <f>'NOTA DE VENTA'!$H$25</f>
        <v>#REF!</v>
      </c>
      <c r="I2" s="429" t="e">
        <f>H2*0.19</f>
        <v>#REF!</v>
      </c>
      <c r="J2" s="429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2025-12-02T20:22:35Z</cp:lastPrinted>
  <dcterms:created xsi:type="dcterms:W3CDTF">2013-03-18T13:35:42Z</dcterms:created>
  <dcterms:modified xsi:type="dcterms:W3CDTF">2025-12-04T19:03:08Z</dcterms:modified>
</cp:coreProperties>
</file>