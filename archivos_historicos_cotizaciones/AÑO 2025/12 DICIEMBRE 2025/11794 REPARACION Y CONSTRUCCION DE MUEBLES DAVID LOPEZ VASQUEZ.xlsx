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00AB04E4-AA9F-4139-BC00-C824045B733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  <definedName name="_xlnm.Print_Area" localSheetId="4">PRODUCCION!$A$42:$F$69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6" l="1"/>
  <c r="D45" i="6"/>
  <c r="D44" i="6"/>
  <c r="D4" i="6"/>
  <c r="B24" i="6" l="1"/>
  <c r="D24" i="6"/>
  <c r="E24" i="6"/>
  <c r="F24" i="6"/>
  <c r="B25" i="6"/>
  <c r="D25" i="6"/>
  <c r="E25" i="6"/>
  <c r="F25" i="6"/>
  <c r="B15" i="6"/>
  <c r="F15" i="6"/>
  <c r="D15" i="6" s="1"/>
  <c r="B16" i="6"/>
  <c r="F16" i="6"/>
  <c r="D16" i="6" s="1"/>
  <c r="I15" i="6"/>
  <c r="J15" i="6"/>
  <c r="K15" i="6"/>
  <c r="I16" i="6"/>
  <c r="J16" i="6"/>
  <c r="K16" i="6"/>
  <c r="I24" i="6"/>
  <c r="J24" i="6"/>
  <c r="K24" i="6"/>
  <c r="I25" i="6"/>
  <c r="J25" i="6"/>
  <c r="K25" i="6"/>
  <c r="B32" i="6"/>
  <c r="B33" i="6"/>
  <c r="B31" i="6"/>
  <c r="C32" i="6"/>
  <c r="D32" i="6"/>
  <c r="E32" i="6"/>
  <c r="F32" i="6"/>
  <c r="C33" i="6"/>
  <c r="D33" i="6"/>
  <c r="E33" i="6"/>
  <c r="F33" i="6"/>
  <c r="D54" i="6"/>
  <c r="E54" i="6"/>
  <c r="F54" i="6"/>
  <c r="D55" i="6"/>
  <c r="E55" i="6"/>
  <c r="F55" i="6"/>
  <c r="D56" i="6"/>
  <c r="E56" i="6"/>
  <c r="F56" i="6"/>
  <c r="C55" i="6"/>
  <c r="C56" i="6"/>
  <c r="B55" i="6"/>
  <c r="B56" i="6"/>
  <c r="B54" i="6"/>
  <c r="C54" i="6"/>
  <c r="C31" i="6" s="1"/>
  <c r="D31" i="6"/>
  <c r="E31" i="6"/>
  <c r="F31" i="6"/>
  <c r="B23" i="4"/>
  <c r="C23" i="4"/>
  <c r="D23" i="4"/>
  <c r="E23" i="4"/>
  <c r="F23" i="4"/>
  <c r="G23" i="4"/>
  <c r="H23" i="4" s="1"/>
  <c r="B24" i="4"/>
  <c r="C24" i="4"/>
  <c r="D24" i="4"/>
  <c r="E24" i="4"/>
  <c r="F24" i="4"/>
  <c r="G24" i="4"/>
  <c r="H24" i="4" s="1"/>
  <c r="E16" i="6" l="1"/>
  <c r="E15" i="6"/>
  <c r="K37" i="1" l="1"/>
  <c r="L22" i="1" l="1"/>
  <c r="M22" i="1"/>
  <c r="N22" i="1"/>
  <c r="L23" i="1"/>
  <c r="M23" i="1"/>
  <c r="N23" i="1"/>
  <c r="L21" i="1"/>
  <c r="N5" i="6"/>
  <c r="A2" i="7"/>
  <c r="S23" i="1" l="1"/>
  <c r="S22" i="1"/>
  <c r="O23" i="1"/>
  <c r="P23" i="1" s="1"/>
  <c r="O22" i="1"/>
  <c r="P22" i="1" s="1"/>
  <c r="C7" i="6"/>
  <c r="C47" i="6"/>
  <c r="K14" i="6"/>
  <c r="F23" i="6"/>
  <c r="I23" i="6"/>
  <c r="K23" i="6"/>
  <c r="J23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3" i="6"/>
  <c r="N21" i="1"/>
  <c r="K5" i="6" l="1"/>
  <c r="D14" i="6"/>
  <c r="E14" i="6"/>
  <c r="E23" i="6"/>
  <c r="D23" i="6"/>
  <c r="L5" i="6"/>
  <c r="M5" i="6"/>
  <c r="D2" i="7"/>
  <c r="D8" i="6"/>
  <c r="M21" i="1"/>
  <c r="M28" i="1" s="1"/>
  <c r="T21" i="1" l="1"/>
  <c r="T27" i="1" s="1"/>
  <c r="S21" i="1"/>
  <c r="S29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3" i="1" l="1"/>
  <c r="Q22" i="1"/>
  <c r="O42" i="1"/>
  <c r="E15" i="3"/>
  <c r="R22" i="1" l="1"/>
  <c r="G22" i="1"/>
  <c r="R23" i="1"/>
  <c r="G23" i="1"/>
  <c r="Q21" i="1"/>
  <c r="G21" i="1" s="1"/>
  <c r="F15" i="3"/>
  <c r="H22" i="1" l="1"/>
  <c r="H23" i="1"/>
  <c r="R21" i="1"/>
  <c r="H21" i="1" l="1"/>
  <c r="H27" i="1" s="1"/>
  <c r="H28" i="1" s="1"/>
  <c r="G22" i="4" l="1"/>
  <c r="H22" i="4" s="1"/>
  <c r="H26" i="4" s="1"/>
  <c r="H2" i="7" s="1"/>
  <c r="I2" i="7" s="1"/>
  <c r="J2" i="7" s="1"/>
  <c r="L2" i="7" s="1"/>
  <c r="H29" i="1"/>
  <c r="D11" i="3"/>
  <c r="X9" i="3" s="1"/>
  <c r="X15" i="3" s="1"/>
  <c r="H27" i="4" l="1"/>
  <c r="H28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<sst xmlns="http://schemas.openxmlformats.org/spreadsheetml/2006/main" count="490" uniqueCount="295">
  <si>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</si>
  <si>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</si>
  <si>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</si>
  <si>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</si>
  <si>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</si>
  <si>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</si>
  <si>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</si>
  <si>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</si>
  <si>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</si>
  <si>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</si>
  <si>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</si>
  <si>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</si>
  <si>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</si>
  <si>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</si>
  <si>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</si>
  <si>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</si>
  <si>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</si>
  <si>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</si>
  <si>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</si>
  <si>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</si>
  <si>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</si>
  <si>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</si>
  <si>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</si>
  <si>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</si>
  <si>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</si>
  <si>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</si>
  <si>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</si>
  <si>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</si>
  <si>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</si>
  <si>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</si>
  <si>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</si>
  <si>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</si>
  <si>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</si>
  <si>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</si>
  <si>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</si>
  <si>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</si>
  <si>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</si>
  <si>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</si>
  <si>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</si>
  <si>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</si>
  <si>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</si>
  <si>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</si>
  <si>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</si>
  <si>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</si>
  <si>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</si>
  <si>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</si>
  <si>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</si>
  <si>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</si>
  <si>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</si>
  <si>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</si>
  <si>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</si>
  <si>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</si>
  <si>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</si>
  <si>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</si>
  <si>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</si>
  <si>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</si>
  <si>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</si>
  <si>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</si>
  <si>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</si>
  <si>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</si>
  <si>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</si>
  <si>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</si>
  <si>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</si>
  <si>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</si>
  <si>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</si>
  <si>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</si>
  <si>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</si>
  <si>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</si>
  <si>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</si>
  <si>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</si>
  <si>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</si>
  <si>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</si>
  <si>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</si>
  <si>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</si>
  <si>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</si>
  <si>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</si>
  <si>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</si>
  <si>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</si>
  <si>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</si>
  <si>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</si>
  <si>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</si>
  <si>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</si>
  <si>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</si>
  <si>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</si>
  <si>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</si>
  <si>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</si>
  <si>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</si>
  <si>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</si>
  <si>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</si>
  <si>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</si>
  <si>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</si>
  <si>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</si>
  <si>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</si>
  <si>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</si>
  <si>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</si>
  <si>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</si>
  <si>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</si>
  <si>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</si>
  <si>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</si>
  <si>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</si>
  <si>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</si>
  <si>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</si>
  <si>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</si>
  <si>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</si>
  <si>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</si>
  <si>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</si>
  <si>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</si>
  <si>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</si>
  <si>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</si>
  <si>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</si>
  <si>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</si>
  <si>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</si>
  <si>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</si>
  <si>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</si>
  <si>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</si>
  <si>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</si>
  <si>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</si>
  <si>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</si>
  <si>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</si>
  <si>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</si>
  <si>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</si>
  <si>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</si>
  <si>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</si>
  <si>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</si>
  <si>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</si>
  <si>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</si>
  <si>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</si>
  <si>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</si>
  <si>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</si>
  <si>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</si>
  <si>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</si>
  <si>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</si>
  <si>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</si>
  <si>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</si>
  <si>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</si>
  <si>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</si>
  <si>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</si>
  <si>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</si>
  <si>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</si>
  <si>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</si>
  <si>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</si>
  <si>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</si>
  <si>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</si>
  <si>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</si>
  <si>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</si>
  <si>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</si>
  <si>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</si>
  <si>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</si>
  <si>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</si>
  <si>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</si>
  <si>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</si>
  <si>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</si>
  <si>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</si>
  <si>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</si>
  <si>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</si>
  <si>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</si>
  <si>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</si>
  <si>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</si>
  <si>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</si>
  <si>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</si>
  <si>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</si>
  <si>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</si>
  <si>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</si>
  <si>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</si>
  <si>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</si>
  <si>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</si>
  <si>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</si>
  <si>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</si>
  <si>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</si>
  <si>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</si>
  <si>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</si>
  <si>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</si>
  <si>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</si>
  <si>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</si>
  <si>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</si>
  <si>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</si>
  <si>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</si>
  <si>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</si>
  <si>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</si>
  <si>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</si>
  <si>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</si>
  <si>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</si>
  <si>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</si>
  <si>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</si>
  <si>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</si>
  <si>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</si>
  <si>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</si>
  <si>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</si>
  <si>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</si>
  <si>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</si>
  <si>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</si>
  <si>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</si>
  <si>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</si>
  <si>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</si>
  <si>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</si>
  <si>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</si>
  <si>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</si>
  <si>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</si>
  <si>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</si>
  <si>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</si>
  <si>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</si>
  <si>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</si>
  <si>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</si>
  <si>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</si>
  <si>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</si>
  <si>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</si>
  <si>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</si>
  <si>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</si>
  <si>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</si>
  <si>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</si>
  <si>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</si>
  <si>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</si>
  <si>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</si>
  <si>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</si>
  <si>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</si>
  <si>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</si>
  <si>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</si>
  <si>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</si>
  <si>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</si>
  <si>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</si>
  <si>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</si>
  <si>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</si>
  <si>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</si>
  <si>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</si>
  <si>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</si>
  <si>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</si>
  <si>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</si>
  <si>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</si>
  <si>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</si>
  <si>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</si>
  <si>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</si>
  <si>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</si>
  <si>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</si>
  <si>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</si>
  <si>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</si>
  <si>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</si>
  <si>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</si>
  <si>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</si>
  <si>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</si>
  <si>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</si>
  <si>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</si>
  <si>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</si>
  <si>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</si>
  <si>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</si>
  <si>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</si>
  <si>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</si>
  <si>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</si>
  <si>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</si>
  <si>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</si>
  <si>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</si>
  <si>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</si>
  <si>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</si>
  <si>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</si>
  <si>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</si>
  <si>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</si>
  <si>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</si>
  <si>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</si>
  <si>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</si>
  <si>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</si>
  <si>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</si>
  <si>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</si>
  <si>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</si>
  <si>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</si>
  <si>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</si>
  <si>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</si>
  <si>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</si>
  <si>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</si>
  <si>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</si>
  <si>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</si>
  <si>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</si>
  <si>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</si>
  <si>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>MEDIDAS ORIGINALES</t>
  </si>
  <si>
    <t>PRODUCCIÓN</t>
  </si>
  <si>
    <t>DESCRIPCION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</si>
  <si>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</si>
  <si>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</si>
  <si>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</si>
  <si>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</si>
  <si>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</si>
  <si>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</si>
  <si>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</si>
  <si>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</si>
  <si>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</si>
  <si>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</si>
  <si>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</si>
  <si>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</si>
  <si>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7 DIAS HABILES</t>
  </si>
  <si>
    <t>SI</t>
  </si>
  <si>
    <t>REPARACION Y CONSTRUCCION DE MUEBLES DAVID LOPEZ VASQUEZ</t>
  </si>
  <si>
    <t>76.703.408-3</t>
  </si>
  <si>
    <t>+569 5032 1880</t>
  </si>
  <si>
    <t>BLANCO MT</t>
  </si>
  <si>
    <t>N° 11794</t>
  </si>
  <si>
    <t>MELAMIL 18MM</t>
  </si>
  <si>
    <t xml:space="preserve"> 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</si>
</sst>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2" fontId="30" fillId="0" borderId="27" xfId="8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42" fontId="30" fillId="0" borderId="20" xfId="8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" fontId="30" fillId="0" borderId="33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42" fontId="30" fillId="0" borderId="29" xfId="8" applyFont="1" applyBorder="1" applyAlignment="1">
      <alignment horizontal="center" vertical="center"/>
    </xf>
    <xf numFmtId="14" fontId="37" fillId="8" borderId="0" xfId="0" applyNumberFormat="1" applyFont="1" applyFill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45" fillId="8" borderId="0" xfId="0" applyFont="1" applyFill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SE ENTREGAN SOBRE MEDIDAS EN EL ALTO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25</xdr:row>
      <xdr:rowOff>11430</xdr:rowOff>
    </xdr:from>
    <xdr:to>
      <xdr:col>5</xdr:col>
      <xdr:colOff>1386840</xdr:colOff>
      <xdr:row>28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PUERTAS SE ENTREGAN SOBRE MEDIDAS EN EL LARGO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17</xdr:row>
      <xdr:rowOff>53340</xdr:rowOff>
    </xdr:from>
    <xdr:to>
      <xdr:col>6</xdr:col>
      <xdr:colOff>9525</xdr:colOff>
      <xdr:row>18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48</xdr:row>
      <xdr:rowOff>171450</xdr:rowOff>
    </xdr:from>
    <xdr:to>
      <xdr:col>6</xdr:col>
      <xdr:colOff>19050</xdr:colOff>
      <xdr:row>50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35</xdr:row>
      <xdr:rowOff>22859</xdr:rowOff>
    </xdr:from>
    <xdr:to>
      <xdr:col>6</xdr:col>
      <xdr:colOff>0</xdr:colOff>
      <xdr:row>39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SOBRE MEDIDAS EN EL LARGO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26</xdr:row>
      <xdr:rowOff>201930</xdr:rowOff>
    </xdr:from>
    <xdr:to>
      <xdr:col>6</xdr:col>
      <xdr:colOff>22859</xdr:colOff>
      <xdr:row>27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SE ENCUENTRAN CON SOBRE MEDIDA EN EL LARGO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42</xdr:row>
      <xdr:rowOff>28575</xdr:rowOff>
    </xdr:from>
    <xdr:to>
      <xdr:col>1</xdr:col>
      <xdr:colOff>781050</xdr:colOff>
      <xdr:row>47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zoomScale="93" zoomScaleNormal="93" workbookViewId="0">
      <selection activeCell="J10" sqref="J10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288</v>
      </c>
      <c r="D10" s="243"/>
      <c r="E10" s="243"/>
      <c r="F10" s="416" t="s">
        <v>276</v>
      </c>
      <c r="G10" s="275">
        <v>46000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18" t="s">
        <v>289</v>
      </c>
      <c r="F11" s="29" t="s">
        <v>285</v>
      </c>
      <c r="G11" s="419" t="s">
        <v>286</v>
      </c>
      <c r="H11" s="420"/>
      <c r="Q11" s="19"/>
      <c r="R11" s="25" t="s">
        <v>18</v>
      </c>
      <c r="S11" s="19"/>
    </row>
    <row r="12" spans="2:24" x14ac:dyDescent="0.3">
      <c r="B12" s="245" t="s">
        <v>142</v>
      </c>
      <c r="C12" s="415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7" t="s">
        <v>143</v>
      </c>
      <c r="F13" s="29" t="s">
        <v>134</v>
      </c>
      <c r="G13" s="421" t="s">
        <v>287</v>
      </c>
      <c r="H13" s="420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2" t="s">
        <v>284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7" t="s">
        <v>4</v>
      </c>
      <c r="C15" s="422" t="s">
        <v>290</v>
      </c>
      <c r="D15" s="423"/>
      <c r="F15" s="29" t="s">
        <v>283</v>
      </c>
      <c r="G15" s="75" t="s">
        <v>133</v>
      </c>
      <c r="H15" s="420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2:25" ht="15" thickBot="1" x14ac:dyDescent="0.35">
      <c r="B17" s="424" t="s">
        <v>13</v>
      </c>
      <c r="C17" s="300" t="s">
        <v>162</v>
      </c>
      <c r="D17" s="301"/>
      <c r="E17" s="119"/>
      <c r="F17" s="425" t="s">
        <v>180</v>
      </c>
      <c r="G17" s="425" t="s">
        <v>181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62467.571520703299</v>
      </c>
      <c r="R20" s="257">
        <v>7500</v>
      </c>
      <c r="S20" s="38"/>
      <c r="T20" s="14" t="s">
        <v>127</v>
      </c>
      <c r="U20" s="9"/>
      <c r="X20" s="4"/>
    </row>
    <row r="21" spans="2:25" ht="17.399999999999999" x14ac:dyDescent="0.3">
      <c r="B21" s="428">
        <v>1</v>
      </c>
      <c r="C21" s="429" t="s">
        <v>261</v>
      </c>
      <c r="D21" s="430">
        <v>2.15</v>
      </c>
      <c r="E21" s="430">
        <v>0.34699999999999998</v>
      </c>
      <c r="F21" s="431" t="s">
        <v>291</v>
      </c>
      <c r="G21" s="433">
        <f>Q21</f>
        <v>48338.031518435411</v>
      </c>
      <c r="H21" s="433">
        <f>G21*B21</f>
        <v>48338.031518435411</v>
      </c>
      <c r="I21" s="307"/>
      <c r="J21" s="264"/>
      <c r="K21" s="47"/>
      <c r="L21" s="47">
        <f>B21</f>
        <v>1</v>
      </c>
      <c r="M21" s="39">
        <f>D21+M$19</f>
        <v>2.23</v>
      </c>
      <c r="N21" s="39">
        <f>E21+$N$19</f>
        <v>0.34699999999999998</v>
      </c>
      <c r="O21" s="260">
        <f t="shared" ref="O21" si="0">M21*N21</f>
        <v>0.77380999999999989</v>
      </c>
      <c r="P21" s="258">
        <f t="shared" ref="P21" si="1">O21*L21</f>
        <v>0.77380999999999989</v>
      </c>
      <c r="Q21" s="251">
        <f t="shared" ref="Q21" si="2">Q$20*O21</f>
        <v>48338.031518435411</v>
      </c>
      <c r="R21" s="306">
        <f t="shared" ref="R21" si="3">Q21+R$20</f>
        <v>55838.031518435411</v>
      </c>
      <c r="S21" s="291">
        <f>L21*M21*2</f>
        <v>4.46</v>
      </c>
      <c r="T21" s="46">
        <f>N21*2*L21*2</f>
        <v>1.3879999999999999</v>
      </c>
      <c r="U21" s="9"/>
      <c r="X21" s="4"/>
    </row>
    <row r="22" spans="2:25" ht="17.399999999999999" x14ac:dyDescent="0.3">
      <c r="B22" s="431">
        <v>1</v>
      </c>
      <c r="C22" s="431" t="s">
        <v>261</v>
      </c>
      <c r="D22" s="432">
        <v>1</v>
      </c>
      <c r="E22" s="432">
        <v>0.497</v>
      </c>
      <c r="F22" s="431" t="s">
        <v>291</v>
      </c>
      <c r="G22" s="433">
        <f>Q22</f>
        <v>33530.093689452704</v>
      </c>
      <c r="H22" s="433">
        <f>G22*B22</f>
        <v>33530.093689452704</v>
      </c>
      <c r="I22" s="307"/>
      <c r="J22" s="264"/>
      <c r="K22" s="47"/>
      <c r="L22" s="47">
        <f>B22</f>
        <v>1</v>
      </c>
      <c r="M22" s="39">
        <f>D22+M$19</f>
        <v>1.08</v>
      </c>
      <c r="N22" s="39">
        <f>E22+$N$19</f>
        <v>0.497</v>
      </c>
      <c r="O22" s="260">
        <f t="shared" ref="O22:O23" si="4">M22*N22</f>
        <v>0.53676000000000001</v>
      </c>
      <c r="P22" s="258">
        <f t="shared" ref="P22:P23" si="5">O22*L22</f>
        <v>0.53676000000000001</v>
      </c>
      <c r="Q22" s="251">
        <f t="shared" ref="Q22:Q23" si="6">Q$20*O22</f>
        <v>33530.093689452704</v>
      </c>
      <c r="R22" s="306">
        <f t="shared" ref="R22:R23" si="7">Q22+R$20</f>
        <v>41030.093689452704</v>
      </c>
      <c r="S22" s="291">
        <f t="shared" ref="S22:S23" si="8">L22*M22*2</f>
        <v>2.16</v>
      </c>
      <c r="T22" s="46"/>
      <c r="U22" s="9"/>
      <c r="X22" s="4"/>
    </row>
    <row r="23" spans="2:25" ht="17.399999999999999" x14ac:dyDescent="0.3">
      <c r="B23" s="431">
        <v>2</v>
      </c>
      <c r="C23" s="431" t="s">
        <v>261</v>
      </c>
      <c r="D23" s="432">
        <v>0.5</v>
      </c>
      <c r="E23" s="432">
        <v>0.247</v>
      </c>
      <c r="F23" s="431" t="s">
        <v>291</v>
      </c>
      <c r="G23" s="433">
        <f>Q23</f>
        <v>8949.1042960559553</v>
      </c>
      <c r="H23" s="433">
        <f>G23*B23</f>
        <v>17898.208592111911</v>
      </c>
      <c r="I23" s="307"/>
      <c r="J23" s="264"/>
      <c r="K23" s="47"/>
      <c r="L23" s="47">
        <f>B23</f>
        <v>2</v>
      </c>
      <c r="M23" s="39">
        <f>D23+M$19</f>
        <v>0.57999999999999996</v>
      </c>
      <c r="N23" s="39">
        <f>E23+$N$19</f>
        <v>0.247</v>
      </c>
      <c r="O23" s="260">
        <f t="shared" si="4"/>
        <v>0.14326</v>
      </c>
      <c r="P23" s="258">
        <f t="shared" si="5"/>
        <v>0.28652</v>
      </c>
      <c r="Q23" s="251">
        <f t="shared" si="6"/>
        <v>8949.1042960559553</v>
      </c>
      <c r="R23" s="306">
        <f t="shared" si="7"/>
        <v>16449.104296055957</v>
      </c>
      <c r="S23" s="291">
        <f t="shared" si="8"/>
        <v>2.3199999999999998</v>
      </c>
      <c r="T23" s="46"/>
      <c r="U23" s="9"/>
      <c r="X23" s="4"/>
    </row>
    <row r="24" spans="2:25" ht="17.399999999999999" x14ac:dyDescent="0.3">
      <c r="B24" s="284"/>
      <c r="C24" s="284"/>
      <c r="D24" s="285"/>
      <c r="E24" s="285"/>
      <c r="F24" s="284"/>
      <c r="G24" s="307"/>
      <c r="H24" s="307"/>
      <c r="I24" s="307"/>
      <c r="J24" s="264"/>
      <c r="K24" s="47"/>
      <c r="L24" s="47"/>
      <c r="M24" s="39"/>
      <c r="N24" s="39"/>
      <c r="O24" s="260"/>
      <c r="P24" s="258"/>
      <c r="Q24" s="251"/>
      <c r="R24" s="306"/>
      <c r="S24" s="291"/>
      <c r="T24" s="46"/>
      <c r="U24" s="9"/>
      <c r="X24" s="4"/>
    </row>
    <row r="25" spans="2:25" ht="17.399999999999999" x14ac:dyDescent="0.3">
      <c r="B25" s="284"/>
      <c r="C25" s="284"/>
      <c r="D25" s="285"/>
      <c r="E25" s="285"/>
      <c r="F25" s="284"/>
      <c r="G25" s="307"/>
      <c r="H25" s="307"/>
      <c r="I25" s="307"/>
      <c r="J25" s="264"/>
      <c r="K25" s="47"/>
      <c r="L25" s="47"/>
      <c r="M25" s="39"/>
      <c r="N25" s="39"/>
      <c r="O25" s="260"/>
      <c r="P25" s="258"/>
      <c r="Q25" s="251"/>
      <c r="R25" s="306"/>
      <c r="S25" s="291"/>
      <c r="T25" s="46"/>
      <c r="U25" s="9"/>
      <c r="X25" s="4"/>
    </row>
    <row r="26" spans="2:25" ht="18" thickBot="1" x14ac:dyDescent="0.35">
      <c r="B26" s="284"/>
      <c r="C26" s="284"/>
      <c r="D26" s="285"/>
      <c r="E26" s="285"/>
      <c r="F26" s="284"/>
      <c r="G26" s="264"/>
      <c r="H26" s="308"/>
      <c r="I26" s="310"/>
      <c r="J26" s="233"/>
      <c r="K26" s="47"/>
      <c r="L26" s="47"/>
      <c r="M26" s="39"/>
      <c r="N26" s="39"/>
      <c r="O26" s="260"/>
      <c r="P26" s="258"/>
      <c r="Q26" s="251"/>
      <c r="R26" s="257"/>
      <c r="S26" s="291"/>
      <c r="T26" s="14"/>
      <c r="U26" s="9"/>
      <c r="X26" s="4"/>
    </row>
    <row r="27" spans="2:25" ht="17.399999999999999" x14ac:dyDescent="0.3">
      <c r="B27" s="284"/>
      <c r="C27" s="284"/>
      <c r="D27" s="285"/>
      <c r="E27" s="285"/>
      <c r="F27" s="284"/>
      <c r="G27" s="311" t="s">
        <v>28</v>
      </c>
      <c r="H27" s="312">
        <f>SUM(H21:H26)</f>
        <v>99766.333800000022</v>
      </c>
      <c r="I27" s="309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1"/>
      <c r="T27" s="46">
        <f>SUM(T21:T26)</f>
        <v>1.3879999999999999</v>
      </c>
      <c r="U27" s="9"/>
      <c r="X27" s="4"/>
    </row>
    <row r="28" spans="2:25" ht="17.399999999999999" x14ac:dyDescent="0.3">
      <c r="B28" s="278"/>
      <c r="C28" s="281"/>
      <c r="D28" s="282"/>
      <c r="E28" s="282"/>
      <c r="F28" s="283"/>
      <c r="G28" s="290" t="s">
        <v>51</v>
      </c>
      <c r="H28" s="288">
        <f>H27*19%</f>
        <v>18955.603422000004</v>
      </c>
      <c r="I28" s="309"/>
      <c r="J28" s="264"/>
      <c r="K28" s="47"/>
      <c r="L28" s="47"/>
      <c r="M28" s="39">
        <f>SUM(M21:M27)</f>
        <v>3.89</v>
      </c>
      <c r="N28" s="12"/>
      <c r="O28" s="12"/>
      <c r="P28" s="252">
        <f>SUM(P21:P23)</f>
        <v>1.5970899999999997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80"/>
      <c r="D29" s="271"/>
      <c r="E29" s="271"/>
      <c r="F29" s="272"/>
      <c r="G29" s="279" t="s">
        <v>6</v>
      </c>
      <c r="H29" s="289">
        <f>H27+H28</f>
        <v>118721.93722200002</v>
      </c>
      <c r="I29" s="309"/>
      <c r="J29" s="264"/>
      <c r="K29" s="47"/>
      <c r="L29" s="47"/>
      <c r="M29" s="39"/>
      <c r="N29" s="12"/>
      <c r="O29" s="12"/>
      <c r="P29" s="252">
        <f>P28</f>
        <v>1.5970899999999997</v>
      </c>
      <c r="Q29" s="14"/>
      <c r="R29" s="12"/>
      <c r="S29" s="239">
        <f>SUM(S21:S28)</f>
        <v>8.94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0.31941799999999998</v>
      </c>
      <c r="Q30" s="39" t="s">
        <v>129</v>
      </c>
      <c r="R30" s="42"/>
      <c r="S30" s="240">
        <f>S29+T27</f>
        <v>10.327999999999999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1.9165079999999997</v>
      </c>
      <c r="Q31" s="14"/>
      <c r="R31" s="14"/>
      <c r="S31" s="238">
        <f>S30*20%</f>
        <v>2.0655999999999999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12.393599999999999</v>
      </c>
      <c r="T32" s="14"/>
      <c r="U32" s="295" t="s">
        <v>21</v>
      </c>
      <c r="V32" s="292" t="s">
        <v>149</v>
      </c>
      <c r="W32" s="296">
        <v>44971</v>
      </c>
      <c r="X32" s="297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1.9165079999999997</v>
      </c>
      <c r="N33" s="12">
        <v>3500</v>
      </c>
      <c r="O33" s="12">
        <f t="shared" ref="O33:O38" si="9">M33*N33</f>
        <v>6707.7779999999984</v>
      </c>
      <c r="P33" s="14" t="s">
        <v>21</v>
      </c>
      <c r="Q33" s="14"/>
      <c r="R33" s="14"/>
      <c r="S33" s="241"/>
      <c r="T33" s="14"/>
      <c r="U33" s="295" t="s">
        <v>150</v>
      </c>
      <c r="V33" s="292">
        <v>3625</v>
      </c>
      <c r="W33" s="59" t="s">
        <v>151</v>
      </c>
      <c r="X33" s="297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0.52</v>
      </c>
      <c r="N34" s="12">
        <v>40000</v>
      </c>
      <c r="O34" s="12">
        <f t="shared" si="9"/>
        <v>20800</v>
      </c>
      <c r="P34" s="39" t="s">
        <v>31</v>
      </c>
      <c r="Q34" s="42"/>
      <c r="R34" s="14"/>
      <c r="S34" s="240"/>
      <c r="T34" s="14"/>
      <c r="U34" s="295"/>
      <c r="V34" s="59">
        <v>906.25</v>
      </c>
      <c r="W34" s="59" t="s">
        <v>152</v>
      </c>
      <c r="X34" s="297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71000</v>
      </c>
      <c r="O35" s="12">
        <f t="shared" si="9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7" t="s">
        <v>153</v>
      </c>
      <c r="X35" s="59"/>
    </row>
    <row r="36" spans="1:24" s="230" customFormat="1" ht="17.399999999999999" x14ac:dyDescent="0.35">
      <c r="B36" s="24" t="s">
        <v>163</v>
      </c>
      <c r="C36"/>
      <c r="D36"/>
      <c r="E36"/>
      <c r="F36"/>
      <c r="J36" s="261"/>
      <c r="K36" s="232">
        <v>55000</v>
      </c>
      <c r="L36" s="249"/>
      <c r="M36" s="14">
        <v>1</v>
      </c>
      <c r="N36" s="249">
        <v>20000</v>
      </c>
      <c r="O36" s="12">
        <f t="shared" si="9"/>
        <v>20000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7" t="s">
        <v>154</v>
      </c>
      <c r="X36" s="59"/>
    </row>
    <row r="37" spans="1:24" s="230" customFormat="1" ht="17.399999999999999" x14ac:dyDescent="0.35">
      <c r="A37" s="230" t="s">
        <v>282</v>
      </c>
      <c r="B37" s="29" t="s">
        <v>124</v>
      </c>
      <c r="C37"/>
      <c r="D37"/>
      <c r="E37"/>
      <c r="F37" s="229" t="s">
        <v>15</v>
      </c>
      <c r="J37" s="261"/>
      <c r="K37" s="259">
        <f>K36*2</f>
        <v>110000</v>
      </c>
      <c r="L37" s="249"/>
      <c r="M37" s="248"/>
      <c r="N37" s="249">
        <v>900</v>
      </c>
      <c r="O37" s="12">
        <f t="shared" si="9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7"/>
      <c r="K38" s="259"/>
      <c r="L38" s="249"/>
      <c r="M38" s="265"/>
      <c r="N38" s="12">
        <v>1500</v>
      </c>
      <c r="O38" s="12">
        <f t="shared" si="9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47507.777999999998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O39*2.1</f>
        <v>99766.333800000008</v>
      </c>
      <c r="P40" s="14" t="s">
        <v>138</v>
      </c>
      <c r="Q40" s="14"/>
      <c r="R40" s="40">
        <f>P31/R39</f>
        <v>0.51674611734253661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65450</v>
      </c>
      <c r="L41" s="249"/>
      <c r="M41" s="14"/>
      <c r="N41" s="12"/>
      <c r="O41" s="12">
        <f>O40/P29</f>
        <v>62467.571520703299</v>
      </c>
      <c r="P41" s="45" t="s">
        <v>24</v>
      </c>
      <c r="Q41" s="14"/>
      <c r="R41" s="14"/>
      <c r="S41"/>
      <c r="T41" s="238"/>
      <c r="U41" s="59" t="s">
        <v>155</v>
      </c>
      <c r="V41" s="292">
        <v>43650</v>
      </c>
    </row>
    <row r="42" spans="1:24" s="230" customFormat="1" ht="17.399999999999999" x14ac:dyDescent="0.35">
      <c r="G42"/>
      <c r="K42" s="230">
        <f>K41/1.19</f>
        <v>55000</v>
      </c>
      <c r="L42" s="249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157</v>
      </c>
      <c r="V42" s="293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4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46000</v>
      </c>
    </row>
    <row r="6" spans="2:31" ht="16.2" thickBot="1" x14ac:dyDescent="0.35">
      <c r="B6" s="140" t="s">
        <v>2</v>
      </c>
      <c r="C6" s="139" t="str">
        <f>'2229'!C10</f>
        <v>REPARACION Y CONSTRUCCION DE MUEBLES DAVID LOPEZ VASQUEZ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-858.70838345411175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99766.333800000022</v>
      </c>
      <c r="E11" s="132">
        <f>D11*0.19</f>
        <v>18955.603422000004</v>
      </c>
      <c r="F11" s="131">
        <f>E11+D11</f>
        <v>118721.93722200002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105131.29161654589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57341.868787439613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87131.291616545888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42424.465012560409</v>
      </c>
      <c r="E13" s="221">
        <f>(D11/D12)-1</f>
        <v>0.73985145426326304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78131.291616545888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39131.291616545888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94614.083499275352</v>
      </c>
      <c r="F15" s="216">
        <f>E15-D12</f>
        <v>37272.214711835739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39131.291616545888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79131.291616545888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20800</v>
      </c>
      <c r="E19" s="123">
        <f>D19*0.19</f>
        <v>3952</v>
      </c>
      <c r="F19" s="120">
        <f>SUM(D19:E19)</f>
        <v>24752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6707.7779999999984</v>
      </c>
      <c r="E20" s="121">
        <f>D20*0.19</f>
        <v>1274.4778199999996</v>
      </c>
      <c r="F20" s="120">
        <f>SUM(D20:E20)</f>
        <v>7982.2558199999985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27507.777999999998</v>
      </c>
      <c r="E21" s="116">
        <f>SUM(E18:E20)</f>
        <v>5226.4778200000001</v>
      </c>
      <c r="F21" s="115">
        <f>SUM(F18:F20)</f>
        <v>32734.255819999998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13729.125602000004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99766.333800000022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27507.777999999998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42424.465012560409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42424.465012560409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5"/>
  <sheetViews>
    <sheetView topLeftCell="A4" workbookViewId="0">
      <selection activeCell="I16" sqref="I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11794</v>
      </c>
      <c r="E8" s="138"/>
      <c r="F8" s="319" t="s">
        <v>166</v>
      </c>
      <c r="G8" s="320">
        <v>7346</v>
      </c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167</v>
      </c>
      <c r="C10" s="350" t="str">
        <f>IF('2229'!C10="","",'2229'!C10)</f>
        <v>REPARACION Y CONSTRUCCION DE MUEBLES DAVID LOPEZ VASQUEZ</v>
      </c>
      <c r="D10" s="350"/>
      <c r="E10" s="350"/>
      <c r="F10" s="351" t="s">
        <v>168</v>
      </c>
      <c r="G10" s="352">
        <f>'2229'!G10</f>
        <v>46000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76.703.408-3</v>
      </c>
      <c r="D11" s="345"/>
      <c r="E11" s="345"/>
      <c r="F11" s="345" t="s">
        <v>169</v>
      </c>
      <c r="G11" s="340">
        <f>WORKDAY(G10,5)</f>
        <v>46007</v>
      </c>
      <c r="H11" s="341"/>
      <c r="I11" s="138"/>
    </row>
    <row r="12" spans="1:17" ht="15.6" x14ac:dyDescent="0.3">
      <c r="A12" s="138"/>
      <c r="B12" s="354" t="s">
        <v>170</v>
      </c>
      <c r="C12" s="355" t="str">
        <f>IF('2229'!C12="","",'2229'!C12)</f>
        <v/>
      </c>
      <c r="D12" s="355"/>
      <c r="E12" s="355"/>
      <c r="F12" s="355" t="s">
        <v>182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172</v>
      </c>
      <c r="G14" s="357" t="s">
        <v>173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+569 5032 1880</v>
      </c>
      <c r="D15" s="347"/>
      <c r="E15" s="345"/>
      <c r="F15" s="345" t="s">
        <v>174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175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6" t="s">
        <v>176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177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PR6</v>
      </c>
      <c r="D22" s="322">
        <f>'2229'!D21*1000</f>
        <v>2150</v>
      </c>
      <c r="E22" s="322">
        <f>'2229'!E21*1000</f>
        <v>347</v>
      </c>
      <c r="F22" s="323" t="str">
        <f>'2229'!F21</f>
        <v>BLANCO MT</v>
      </c>
      <c r="G22" s="315">
        <f>'2229'!G21</f>
        <v>48338.031518435411</v>
      </c>
      <c r="H22" s="436">
        <f>G22*B22</f>
        <v>48338.031518435411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437">
        <f>'2229'!B22</f>
        <v>1</v>
      </c>
      <c r="C23" s="431" t="str">
        <f>'2229'!C22</f>
        <v>PR6</v>
      </c>
      <c r="D23" s="434">
        <f>'2229'!D22*1000</f>
        <v>1000</v>
      </c>
      <c r="E23" s="434">
        <f>'2229'!E22*1000</f>
        <v>497</v>
      </c>
      <c r="F23" s="435" t="str">
        <f>'2229'!F22</f>
        <v>BLANCO MT</v>
      </c>
      <c r="G23" s="433">
        <f>'2229'!G22</f>
        <v>33530.093689452704</v>
      </c>
      <c r="H23" s="438">
        <f t="shared" ref="H23:H24" si="0">G23*B23</f>
        <v>33530.093689452704</v>
      </c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439">
        <f>'2229'!B23</f>
        <v>2</v>
      </c>
      <c r="C24" s="440" t="str">
        <f>'2229'!C23</f>
        <v>PR6</v>
      </c>
      <c r="D24" s="441">
        <f>'2229'!D23*1000</f>
        <v>500</v>
      </c>
      <c r="E24" s="441">
        <f>'2229'!E23*1000</f>
        <v>247</v>
      </c>
      <c r="F24" s="442" t="str">
        <f>'2229'!F23</f>
        <v>BLANCO MT</v>
      </c>
      <c r="G24" s="443">
        <f>'2229'!G23</f>
        <v>8949.1042960559553</v>
      </c>
      <c r="H24" s="444">
        <f t="shared" si="0"/>
        <v>17898.208592111911</v>
      </c>
      <c r="I24" s="138"/>
      <c r="K24" s="5"/>
      <c r="L24" s="263"/>
      <c r="M24" s="5"/>
      <c r="N24" s="5"/>
      <c r="O24" s="263"/>
      <c r="P24" s="47"/>
    </row>
    <row r="25" spans="1:16" ht="16.2" thickBot="1" x14ac:dyDescent="0.35">
      <c r="A25" s="138"/>
      <c r="B25" s="284"/>
      <c r="C25" s="284"/>
      <c r="D25" s="284"/>
      <c r="E25" s="284"/>
      <c r="F25" s="325"/>
      <c r="G25" s="324"/>
      <c r="H25" s="324"/>
      <c r="I25" s="138"/>
      <c r="K25" s="5"/>
      <c r="L25" s="263"/>
      <c r="M25" s="5"/>
      <c r="N25" s="5"/>
      <c r="O25" s="263"/>
      <c r="P25" s="47"/>
    </row>
    <row r="26" spans="1:16" ht="15.6" x14ac:dyDescent="0.3">
      <c r="A26" s="138"/>
      <c r="B26" s="138"/>
      <c r="C26" s="138"/>
      <c r="D26" s="138"/>
      <c r="E26" s="138"/>
      <c r="F26" s="138"/>
      <c r="G26" s="327" t="s">
        <v>28</v>
      </c>
      <c r="H26" s="328">
        <f>SUM(H22:H25)</f>
        <v>99766.333800000022</v>
      </c>
      <c r="I26" s="138"/>
    </row>
    <row r="27" spans="1:16" ht="15.6" x14ac:dyDescent="0.3">
      <c r="A27" s="138"/>
      <c r="B27" s="138"/>
      <c r="C27" s="138"/>
      <c r="D27" s="138"/>
      <c r="E27" s="138"/>
      <c r="F27" s="138"/>
      <c r="G27" s="329" t="s">
        <v>29</v>
      </c>
      <c r="H27" s="330">
        <f>H26*19%</f>
        <v>18955.603422000004</v>
      </c>
      <c r="I27" s="138"/>
    </row>
    <row r="28" spans="1:16" ht="16.2" thickBot="1" x14ac:dyDescent="0.35">
      <c r="A28" s="138"/>
      <c r="B28" s="138"/>
      <c r="C28" s="138"/>
      <c r="D28" s="138"/>
      <c r="E28" s="138"/>
      <c r="F28" s="138"/>
      <c r="G28" s="331" t="s">
        <v>6</v>
      </c>
      <c r="H28" s="332">
        <f>H26+H27</f>
        <v>118721.93722200002</v>
      </c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333"/>
      <c r="H29" s="334"/>
      <c r="I29" s="138"/>
    </row>
    <row r="30" spans="1:16" ht="15.6" x14ac:dyDescent="0.3">
      <c r="A30" s="138"/>
      <c r="B30" s="138"/>
      <c r="C30" s="138"/>
      <c r="D30" s="138"/>
      <c r="E30" s="138"/>
      <c r="F30" s="138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335" t="s">
        <v>179</v>
      </c>
      <c r="C32" s="336"/>
      <c r="D32" s="337"/>
      <c r="E32" s="337"/>
      <c r="F32" s="326"/>
      <c r="G32" s="138"/>
      <c r="H32" s="138"/>
      <c r="I32" s="138"/>
    </row>
    <row r="33" spans="1:9" ht="15.6" x14ac:dyDescent="0.3">
      <c r="A33" s="138"/>
      <c r="B33" s="138" t="s">
        <v>124</v>
      </c>
      <c r="C33" s="138"/>
      <c r="D33" s="138"/>
      <c r="E33" s="338" t="s">
        <v>15</v>
      </c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  <row r="35" spans="1:9" ht="15.6" x14ac:dyDescent="0.3">
      <c r="A35" s="138"/>
      <c r="B35" s="138"/>
      <c r="C35" s="138"/>
      <c r="D35" s="138"/>
      <c r="E35" s="138"/>
      <c r="F35" s="138"/>
      <c r="G35" s="138"/>
      <c r="H35" s="138"/>
      <c r="I35" s="138"/>
    </row>
  </sheetData>
  <mergeCells count="2">
    <mergeCell ref="F17:H17"/>
    <mergeCell ref="B20:H20"/>
  </mergeCells>
  <hyperlinks>
    <hyperlink ref="E33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183</v>
      </c>
      <c r="C2" s="461"/>
      <c r="D2" s="461"/>
      <c r="E2" s="361"/>
      <c r="G2" s="461" t="s">
        <v>184</v>
      </c>
      <c r="H2" s="461"/>
      <c r="I2" s="461"/>
      <c r="P2" s="462" t="s">
        <v>185</v>
      </c>
      <c r="Q2" s="462"/>
      <c r="R2" s="462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186</v>
      </c>
      <c r="E4" s="246" t="s">
        <v>187</v>
      </c>
      <c r="G4" s="362">
        <v>50</v>
      </c>
      <c r="H4" s="362">
        <v>100</v>
      </c>
      <c r="I4" s="367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5">
        <v>40</v>
      </c>
      <c r="C5" s="365">
        <v>90</v>
      </c>
      <c r="D5" s="366" t="s">
        <v>190</v>
      </c>
      <c r="E5" s="246" t="s">
        <v>191</v>
      </c>
      <c r="G5" s="362">
        <v>50</v>
      </c>
      <c r="H5" s="362"/>
      <c r="I5" s="367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5">
        <v>40</v>
      </c>
      <c r="C6" s="365">
        <v>100</v>
      </c>
      <c r="D6" s="366" t="s">
        <v>194</v>
      </c>
      <c r="E6" s="246" t="s">
        <v>195</v>
      </c>
      <c r="G6" s="365">
        <v>50</v>
      </c>
      <c r="H6" s="365">
        <v>100</v>
      </c>
      <c r="I6" s="366" t="s">
        <v>194</v>
      </c>
      <c r="P6">
        <v>50</v>
      </c>
      <c r="Q6">
        <v>-30</v>
      </c>
      <c r="R6" t="s">
        <v>196</v>
      </c>
    </row>
    <row r="7" spans="2:18" x14ac:dyDescent="0.3">
      <c r="B7" s="365">
        <v>40</v>
      </c>
      <c r="C7" s="365">
        <v>150</v>
      </c>
      <c r="D7" s="366" t="s">
        <v>197</v>
      </c>
      <c r="E7" s="246" t="s">
        <v>198</v>
      </c>
      <c r="G7" s="365">
        <v>50</v>
      </c>
      <c r="H7" s="365"/>
      <c r="I7" s="366" t="s">
        <v>197</v>
      </c>
      <c r="P7">
        <v>50</v>
      </c>
      <c r="Q7">
        <v>-30</v>
      </c>
      <c r="R7" t="s">
        <v>199</v>
      </c>
    </row>
    <row r="8" spans="2:18" x14ac:dyDescent="0.3">
      <c r="B8" s="365">
        <v>40</v>
      </c>
      <c r="C8" s="365">
        <v>100</v>
      </c>
      <c r="D8" s="366" t="s">
        <v>200</v>
      </c>
      <c r="E8" s="246" t="s">
        <v>201</v>
      </c>
      <c r="G8" s="365">
        <v>50</v>
      </c>
      <c r="H8" s="365">
        <v>100</v>
      </c>
      <c r="I8" s="366" t="s">
        <v>200</v>
      </c>
      <c r="L8" s="462" t="s">
        <v>185</v>
      </c>
      <c r="M8" s="462"/>
      <c r="N8" s="462"/>
      <c r="P8">
        <v>50</v>
      </c>
      <c r="Q8">
        <v>-30</v>
      </c>
      <c r="R8" t="s">
        <v>202</v>
      </c>
    </row>
    <row r="9" spans="2:18" x14ac:dyDescent="0.3">
      <c r="B9" s="365">
        <v>40</v>
      </c>
      <c r="C9" s="365">
        <v>50</v>
      </c>
      <c r="D9" s="366" t="s">
        <v>203</v>
      </c>
      <c r="E9" s="246" t="s">
        <v>204</v>
      </c>
      <c r="G9" s="365">
        <v>50</v>
      </c>
      <c r="H9" s="365">
        <v>100</v>
      </c>
      <c r="I9" s="366" t="s">
        <v>205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206</v>
      </c>
    </row>
    <row r="10" spans="2:18" x14ac:dyDescent="0.3">
      <c r="B10" s="365">
        <v>40</v>
      </c>
      <c r="C10" s="365">
        <v>80</v>
      </c>
      <c r="D10" s="366" t="s">
        <v>207</v>
      </c>
      <c r="E10" s="246" t="s">
        <v>208</v>
      </c>
      <c r="G10" s="365">
        <v>50</v>
      </c>
      <c r="H10" s="365"/>
      <c r="I10" s="366" t="s">
        <v>209</v>
      </c>
      <c r="L10" s="365">
        <v>50</v>
      </c>
      <c r="M10" s="365">
        <v>-30</v>
      </c>
      <c r="N10" s="366" t="s">
        <v>189</v>
      </c>
      <c r="P10">
        <v>50</v>
      </c>
      <c r="Q10">
        <v>0</v>
      </c>
      <c r="R10" t="s">
        <v>210</v>
      </c>
    </row>
    <row r="11" spans="2:18" x14ac:dyDescent="0.3">
      <c r="B11" s="365">
        <v>40</v>
      </c>
      <c r="C11" s="365">
        <v>60</v>
      </c>
      <c r="D11" s="366" t="s">
        <v>211</v>
      </c>
      <c r="E11" s="246" t="s">
        <v>212</v>
      </c>
      <c r="G11" s="365">
        <v>50</v>
      </c>
      <c r="H11" s="365">
        <v>100</v>
      </c>
      <c r="I11" s="366" t="s">
        <v>203</v>
      </c>
      <c r="L11" s="365">
        <v>50</v>
      </c>
      <c r="M11" s="365">
        <v>0</v>
      </c>
      <c r="N11" s="366" t="s">
        <v>213</v>
      </c>
      <c r="P11">
        <v>50</v>
      </c>
      <c r="Q11">
        <v>0</v>
      </c>
      <c r="R11" t="s">
        <v>214</v>
      </c>
    </row>
    <row r="12" spans="2:18" x14ac:dyDescent="0.3">
      <c r="B12" s="365">
        <v>40</v>
      </c>
      <c r="C12" s="365">
        <v>100</v>
      </c>
      <c r="D12" s="366" t="s">
        <v>215</v>
      </c>
      <c r="E12" s="246" t="s">
        <v>216</v>
      </c>
      <c r="G12" s="365">
        <v>50</v>
      </c>
      <c r="H12" s="365"/>
      <c r="I12" s="366" t="s">
        <v>207</v>
      </c>
      <c r="L12" s="365">
        <v>50</v>
      </c>
      <c r="M12" s="365">
        <v>-2</v>
      </c>
      <c r="N12" s="366" t="s">
        <v>217</v>
      </c>
      <c r="P12">
        <v>50</v>
      </c>
      <c r="Q12">
        <v>0</v>
      </c>
      <c r="R12" t="s">
        <v>218</v>
      </c>
    </row>
    <row r="13" spans="2:18" x14ac:dyDescent="0.3">
      <c r="B13" s="365">
        <v>40</v>
      </c>
      <c r="C13" s="365">
        <v>130</v>
      </c>
      <c r="D13" s="366" t="s">
        <v>219</v>
      </c>
      <c r="E13" s="246" t="s">
        <v>220</v>
      </c>
      <c r="G13" s="365">
        <v>50</v>
      </c>
      <c r="H13" s="365">
        <v>-30</v>
      </c>
      <c r="I13" s="366" t="s">
        <v>189</v>
      </c>
      <c r="P13">
        <v>50</v>
      </c>
      <c r="Q13">
        <v>0</v>
      </c>
      <c r="R13" t="s">
        <v>221</v>
      </c>
    </row>
    <row r="14" spans="2:18" x14ac:dyDescent="0.3">
      <c r="B14" s="365">
        <v>40</v>
      </c>
      <c r="C14" s="365">
        <v>150</v>
      </c>
      <c r="D14" s="366" t="s">
        <v>196</v>
      </c>
      <c r="E14" s="246"/>
      <c r="G14" s="365">
        <v>50</v>
      </c>
      <c r="H14" s="365">
        <v>-30</v>
      </c>
      <c r="I14" s="366" t="s">
        <v>196</v>
      </c>
    </row>
    <row r="15" spans="2:18" x14ac:dyDescent="0.3">
      <c r="B15" s="365">
        <v>40</v>
      </c>
      <c r="C15" s="365">
        <v>150</v>
      </c>
      <c r="D15" s="366" t="s">
        <v>222</v>
      </c>
      <c r="E15" s="246" t="s">
        <v>223</v>
      </c>
      <c r="G15" s="365">
        <v>50</v>
      </c>
      <c r="H15" s="365">
        <v>-30</v>
      </c>
      <c r="I15" s="366" t="s">
        <v>199</v>
      </c>
      <c r="P15">
        <v>50</v>
      </c>
      <c r="Q15">
        <v>0</v>
      </c>
      <c r="R15" t="s">
        <v>224</v>
      </c>
    </row>
    <row r="16" spans="2:18" x14ac:dyDescent="0.3">
      <c r="B16" s="365">
        <v>40</v>
      </c>
      <c r="C16" s="365">
        <v>130</v>
      </c>
      <c r="D16" s="366" t="s">
        <v>225</v>
      </c>
      <c r="E16" s="246" t="s">
        <v>226</v>
      </c>
      <c r="G16" s="365">
        <v>50</v>
      </c>
      <c r="H16" s="365">
        <v>-30</v>
      </c>
      <c r="I16" s="366" t="s">
        <v>227</v>
      </c>
      <c r="P16">
        <v>50</v>
      </c>
      <c r="Q16">
        <v>0</v>
      </c>
      <c r="R16" t="s">
        <v>228</v>
      </c>
    </row>
    <row r="17" spans="2:18" x14ac:dyDescent="0.3">
      <c r="B17" s="365">
        <v>40</v>
      </c>
      <c r="C17" s="365">
        <v>150</v>
      </c>
      <c r="D17" s="366" t="s">
        <v>214</v>
      </c>
      <c r="E17" s="246" t="s">
        <v>229</v>
      </c>
      <c r="G17" s="365">
        <v>50</v>
      </c>
      <c r="H17" s="365"/>
      <c r="I17" s="366" t="s">
        <v>214</v>
      </c>
      <c r="P17">
        <v>50</v>
      </c>
      <c r="Q17">
        <v>0</v>
      </c>
      <c r="R17" t="s">
        <v>230</v>
      </c>
    </row>
    <row r="18" spans="2:18" x14ac:dyDescent="0.3">
      <c r="B18" s="365">
        <v>140</v>
      </c>
      <c r="C18" s="365">
        <v>150</v>
      </c>
      <c r="D18" s="366" t="s">
        <v>218</v>
      </c>
      <c r="E18" s="246" t="s">
        <v>231</v>
      </c>
      <c r="G18" s="365">
        <v>50</v>
      </c>
      <c r="H18" s="365"/>
      <c r="I18" s="366" t="s">
        <v>218</v>
      </c>
      <c r="P18">
        <v>50</v>
      </c>
      <c r="Q18">
        <v>0</v>
      </c>
      <c r="R18" t="s">
        <v>232</v>
      </c>
    </row>
    <row r="19" spans="2:18" x14ac:dyDescent="0.3">
      <c r="B19" s="365">
        <v>150</v>
      </c>
      <c r="C19" s="365">
        <v>150</v>
      </c>
      <c r="D19" s="366" t="s">
        <v>221</v>
      </c>
      <c r="E19" s="246" t="s">
        <v>233</v>
      </c>
      <c r="G19" s="365">
        <v>50</v>
      </c>
      <c r="H19" s="365"/>
      <c r="I19" s="366" t="s">
        <v>221</v>
      </c>
      <c r="P19">
        <v>50</v>
      </c>
      <c r="Q19">
        <v>0</v>
      </c>
      <c r="R19" t="s">
        <v>234</v>
      </c>
    </row>
    <row r="20" spans="2:18" x14ac:dyDescent="0.3">
      <c r="B20" s="365">
        <v>40</v>
      </c>
      <c r="C20" s="365">
        <v>100</v>
      </c>
      <c r="D20" s="366" t="s">
        <v>235</v>
      </c>
      <c r="E20" s="246" t="s">
        <v>236</v>
      </c>
      <c r="G20" s="365">
        <v>50</v>
      </c>
      <c r="H20" s="365">
        <v>0</v>
      </c>
      <c r="I20" s="366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5">
        <v>100</v>
      </c>
      <c r="C21" s="365">
        <v>100</v>
      </c>
      <c r="D21" s="366" t="s">
        <v>239</v>
      </c>
      <c r="E21" s="246" t="s">
        <v>240</v>
      </c>
      <c r="G21" s="365">
        <v>50</v>
      </c>
      <c r="H21" s="365">
        <v>0</v>
      </c>
      <c r="I21" s="366" t="s">
        <v>239</v>
      </c>
      <c r="P21">
        <v>50</v>
      </c>
      <c r="Q21">
        <v>0</v>
      </c>
      <c r="R21" t="s">
        <v>241</v>
      </c>
    </row>
    <row r="22" spans="2:18" x14ac:dyDescent="0.3">
      <c r="B22" s="365">
        <v>100</v>
      </c>
      <c r="C22" s="365">
        <v>100</v>
      </c>
      <c r="D22" s="366" t="s">
        <v>224</v>
      </c>
      <c r="E22" s="246" t="s">
        <v>242</v>
      </c>
      <c r="G22" s="362"/>
      <c r="H22" s="362"/>
      <c r="I22" s="367" t="s">
        <v>224</v>
      </c>
      <c r="P22">
        <v>50</v>
      </c>
      <c r="Q22">
        <v>0</v>
      </c>
      <c r="R22" t="s">
        <v>243</v>
      </c>
    </row>
    <row r="23" spans="2:18" x14ac:dyDescent="0.3">
      <c r="B23" s="365">
        <v>40</v>
      </c>
      <c r="C23" s="365">
        <v>150</v>
      </c>
      <c r="D23" s="366" t="s">
        <v>228</v>
      </c>
      <c r="E23" s="246" t="s">
        <v>244</v>
      </c>
      <c r="G23" s="365">
        <v>50</v>
      </c>
      <c r="H23" s="365"/>
      <c r="I23" s="366" t="s">
        <v>228</v>
      </c>
      <c r="R23" t="s">
        <v>245</v>
      </c>
    </row>
    <row r="24" spans="2:18" x14ac:dyDescent="0.3">
      <c r="B24" s="365">
        <v>140</v>
      </c>
      <c r="C24" s="365">
        <v>150</v>
      </c>
      <c r="D24" s="366" t="s">
        <v>230</v>
      </c>
      <c r="E24" s="246" t="s">
        <v>246</v>
      </c>
      <c r="G24" s="365">
        <v>50</v>
      </c>
      <c r="H24" s="365"/>
      <c r="I24" s="366" t="s">
        <v>230</v>
      </c>
      <c r="R24" t="s">
        <v>247</v>
      </c>
    </row>
    <row r="25" spans="2:18" x14ac:dyDescent="0.3">
      <c r="B25" s="365">
        <v>150</v>
      </c>
      <c r="C25" s="365">
        <v>150</v>
      </c>
      <c r="D25" s="366" t="s">
        <v>232</v>
      </c>
      <c r="E25" s="246" t="s">
        <v>248</v>
      </c>
      <c r="G25" s="365">
        <v>50</v>
      </c>
      <c r="H25" s="365"/>
      <c r="I25" s="366" t="s">
        <v>232</v>
      </c>
      <c r="R25" t="s">
        <v>194</v>
      </c>
    </row>
    <row r="26" spans="2:18" x14ac:dyDescent="0.3">
      <c r="B26" s="365">
        <v>40</v>
      </c>
      <c r="C26" s="365">
        <v>77</v>
      </c>
      <c r="D26" s="366" t="s">
        <v>234</v>
      </c>
      <c r="E26" s="246" t="s">
        <v>249</v>
      </c>
      <c r="G26" s="365">
        <v>50</v>
      </c>
      <c r="H26" s="365"/>
      <c r="I26" s="366" t="s">
        <v>234</v>
      </c>
      <c r="R26" t="s">
        <v>197</v>
      </c>
    </row>
    <row r="27" spans="2:18" x14ac:dyDescent="0.3">
      <c r="B27" s="365">
        <v>110</v>
      </c>
      <c r="C27" s="365">
        <v>77</v>
      </c>
      <c r="D27" s="366" t="s">
        <v>238</v>
      </c>
      <c r="E27" s="246" t="s">
        <v>250</v>
      </c>
      <c r="G27" s="365">
        <v>50</v>
      </c>
      <c r="H27" s="365"/>
      <c r="I27" s="366" t="s">
        <v>238</v>
      </c>
      <c r="R27" t="s">
        <v>200</v>
      </c>
    </row>
    <row r="28" spans="2:18" x14ac:dyDescent="0.3">
      <c r="B28" s="365">
        <v>120</v>
      </c>
      <c r="C28" s="365">
        <v>77</v>
      </c>
      <c r="D28" s="366" t="s">
        <v>241</v>
      </c>
      <c r="E28" s="246" t="s">
        <v>251</v>
      </c>
      <c r="G28" s="365">
        <v>50</v>
      </c>
      <c r="H28" s="365"/>
      <c r="I28" s="366" t="s">
        <v>241</v>
      </c>
      <c r="R28" t="s">
        <v>205</v>
      </c>
    </row>
    <row r="29" spans="2:18" x14ac:dyDescent="0.3">
      <c r="B29" s="365">
        <v>40</v>
      </c>
      <c r="C29" s="365">
        <v>50</v>
      </c>
      <c r="D29" s="366" t="s">
        <v>243</v>
      </c>
      <c r="E29" s="246" t="s">
        <v>252</v>
      </c>
      <c r="G29" s="365">
        <v>50</v>
      </c>
      <c r="H29" s="365"/>
      <c r="I29" s="366" t="s">
        <v>243</v>
      </c>
      <c r="R29" t="s">
        <v>209</v>
      </c>
    </row>
    <row r="30" spans="2:18" x14ac:dyDescent="0.3">
      <c r="B30" s="365">
        <v>40</v>
      </c>
      <c r="C30" s="365">
        <v>60</v>
      </c>
      <c r="D30" s="366" t="s">
        <v>253</v>
      </c>
      <c r="E30" s="246" t="s">
        <v>254</v>
      </c>
      <c r="G30" s="365">
        <v>50</v>
      </c>
      <c r="H30" s="365"/>
      <c r="I30" s="366" t="s">
        <v>210</v>
      </c>
      <c r="R30" t="s">
        <v>203</v>
      </c>
    </row>
    <row r="31" spans="2:18" x14ac:dyDescent="0.3">
      <c r="B31" s="365">
        <v>40</v>
      </c>
      <c r="C31" s="365">
        <v>100</v>
      </c>
      <c r="D31" s="366" t="s">
        <v>206</v>
      </c>
      <c r="E31" s="246" t="s">
        <v>255</v>
      </c>
      <c r="G31" s="365">
        <v>50</v>
      </c>
      <c r="H31" s="365"/>
      <c r="I31" s="366" t="s">
        <v>206</v>
      </c>
      <c r="R31" t="s">
        <v>207</v>
      </c>
    </row>
    <row r="32" spans="2:18" x14ac:dyDescent="0.3">
      <c r="B32" s="365">
        <v>40</v>
      </c>
      <c r="C32" s="365">
        <v>60</v>
      </c>
      <c r="D32" s="366" t="s">
        <v>256</v>
      </c>
      <c r="E32" s="246" t="s">
        <v>257</v>
      </c>
      <c r="G32" s="365">
        <v>50</v>
      </c>
      <c r="H32" s="365"/>
      <c r="I32" s="366" t="s">
        <v>256</v>
      </c>
      <c r="R32" t="s">
        <v>258</v>
      </c>
    </row>
    <row r="33" spans="2:18" x14ac:dyDescent="0.3">
      <c r="B33" s="365">
        <v>40</v>
      </c>
      <c r="C33" s="365">
        <v>90</v>
      </c>
      <c r="D33" s="366" t="s">
        <v>259</v>
      </c>
      <c r="E33" s="246" t="s">
        <v>260</v>
      </c>
      <c r="G33" s="365">
        <v>50</v>
      </c>
      <c r="H33" s="365">
        <v>-2</v>
      </c>
      <c r="I33" s="366" t="s">
        <v>259</v>
      </c>
      <c r="R33" t="s">
        <v>261</v>
      </c>
    </row>
    <row r="34" spans="2:18" x14ac:dyDescent="0.3">
      <c r="B34" s="365">
        <v>40</v>
      </c>
      <c r="C34" s="365">
        <v>90</v>
      </c>
      <c r="D34" s="366" t="s">
        <v>262</v>
      </c>
      <c r="E34" s="246"/>
      <c r="G34" s="365">
        <v>50</v>
      </c>
      <c r="H34" s="365">
        <v>-2</v>
      </c>
      <c r="I34" s="366" t="s">
        <v>262</v>
      </c>
    </row>
    <row r="35" spans="2:18" x14ac:dyDescent="0.3">
      <c r="B35" s="365">
        <v>40</v>
      </c>
      <c r="C35" s="365">
        <v>90</v>
      </c>
      <c r="D35" s="366" t="s">
        <v>258</v>
      </c>
      <c r="E35" s="246" t="s">
        <v>263</v>
      </c>
      <c r="G35" s="365">
        <v>50</v>
      </c>
      <c r="H35" s="365">
        <v>-2</v>
      </c>
      <c r="I35" s="366" t="s">
        <v>258</v>
      </c>
      <c r="R35" t="s">
        <v>264</v>
      </c>
    </row>
    <row r="36" spans="2:18" x14ac:dyDescent="0.3">
      <c r="B36" s="368">
        <v>40</v>
      </c>
      <c r="C36" s="368">
        <v>90</v>
      </c>
      <c r="D36" s="369" t="s">
        <v>261</v>
      </c>
      <c r="G36" s="365">
        <v>50</v>
      </c>
      <c r="H36" s="365">
        <v>-2</v>
      </c>
      <c r="I36" s="366" t="s">
        <v>261</v>
      </c>
      <c r="R36" t="s">
        <v>259</v>
      </c>
    </row>
    <row r="37" spans="2:18" x14ac:dyDescent="0.3">
      <c r="B37" s="368">
        <v>40</v>
      </c>
      <c r="C37" s="368">
        <v>90</v>
      </c>
      <c r="D37" s="369" t="s">
        <v>264</v>
      </c>
      <c r="G37" s="365">
        <v>50</v>
      </c>
      <c r="H37" s="365">
        <v>-2</v>
      </c>
      <c r="I37" s="366" t="s">
        <v>264</v>
      </c>
      <c r="R37" t="s">
        <v>262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9"/>
  <sheetViews>
    <sheetView tabSelected="1" topLeftCell="A48" workbookViewId="0">
      <selection activeCell="A55" sqref="A55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23.33203125" customWidth="1"/>
    <col min="4" max="4" width="14.109375" customWidth="1"/>
    <col min="5" max="5" width="11.109375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266</v>
      </c>
      <c r="L3" s="467"/>
      <c r="M3" s="467" t="s">
        <v>267</v>
      </c>
      <c r="N3" s="467"/>
    </row>
    <row r="4" spans="1:14" ht="15.75" customHeight="1" x14ac:dyDescent="0.3">
      <c r="A4" s="138"/>
      <c r="B4" s="138"/>
      <c r="C4" s="370" t="s">
        <v>166</v>
      </c>
      <c r="D4" s="140">
        <f>'NOTA DE VENTA'!G8</f>
        <v>7346</v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268</v>
      </c>
      <c r="D5" s="469" t="str">
        <f>'NOTA DE VENTA'!$C$10</f>
        <v>REPARACION Y CONSTRUCCION DE MUEBLES DAVID LOPEZ VASQUEZ</v>
      </c>
      <c r="E5" s="321"/>
      <c r="F5" s="321"/>
      <c r="G5" s="138"/>
      <c r="K5">
        <f>LOOKUP(F14,REGLAS!$I$4:$I$37,REGLAS!$G$4:$G$37)+J14</f>
        <v>2200</v>
      </c>
      <c r="L5">
        <f>LOOKUP(F14,REGLAS!$I$4:$I$37,REGLAS!$H$4:$H$37)+K14</f>
        <v>345</v>
      </c>
      <c r="M5">
        <f>LOOKUP(F14,REGLAS!$D$4:$D$37,REGLAS!$B$4:$B$37)+J23</f>
        <v>2190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4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0" t="s">
        <v>269</v>
      </c>
      <c r="D8" s="403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266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6" t="s">
        <v>96</v>
      </c>
      <c r="C13" s="376" t="s">
        <v>25</v>
      </c>
      <c r="D13" s="377">
        <v>50</v>
      </c>
      <c r="E13" s="377">
        <v>-2</v>
      </c>
      <c r="F13" s="376" t="s">
        <v>270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293</v>
      </c>
      <c r="B14" s="380">
        <f t="shared" ref="B14" si="0">I14</f>
        <v>1</v>
      </c>
      <c r="C14" s="380"/>
      <c r="D14" s="380">
        <f>LOOKUP(F14,REGLAS!$I$4:$I$37,REGLAS!$G$4:$G$37)+J14</f>
        <v>2200</v>
      </c>
      <c r="E14" s="381">
        <f>LOOKUP(F14,REGLAS!$I$4:$I$37,REGLAS!$H$4:$H$37)+K14</f>
        <v>345</v>
      </c>
      <c r="F14" s="382" t="str">
        <f>C31</f>
        <v>PR6</v>
      </c>
      <c r="G14" s="138"/>
      <c r="I14" s="383">
        <f>I23</f>
        <v>1</v>
      </c>
      <c r="J14" s="150">
        <f t="shared" ref="J14:K14" si="1">D31</f>
        <v>2150</v>
      </c>
      <c r="K14" s="150">
        <f t="shared" si="1"/>
        <v>347</v>
      </c>
    </row>
    <row r="15" spans="1:14" ht="15.6" x14ac:dyDescent="0.3">
      <c r="A15" s="379"/>
      <c r="B15" s="380">
        <f t="shared" ref="B15:B16" si="2">I15</f>
        <v>1</v>
      </c>
      <c r="C15" s="380"/>
      <c r="D15" s="380">
        <f>LOOKUP(F15,REGLAS!$I$4:$I$37,REGLAS!$G$4:$G$37)+J15</f>
        <v>1050</v>
      </c>
      <c r="E15" s="381">
        <f>LOOKUP(F15,REGLAS!$I$4:$I$37,REGLAS!$H$4:$H$37)+K15</f>
        <v>495</v>
      </c>
      <c r="F15" s="382" t="str">
        <f t="shared" ref="F15:F16" si="3">C32</f>
        <v>PR6</v>
      </c>
      <c r="G15" s="138"/>
      <c r="I15" s="383">
        <f t="shared" ref="I15:I16" si="4">I24</f>
        <v>1</v>
      </c>
      <c r="J15" s="150">
        <f t="shared" ref="J15:J16" si="5">D32</f>
        <v>1000</v>
      </c>
      <c r="K15" s="150">
        <f t="shared" ref="K15:K16" si="6">E32</f>
        <v>497</v>
      </c>
    </row>
    <row r="16" spans="1:14" ht="15.6" x14ac:dyDescent="0.3">
      <c r="A16" s="379"/>
      <c r="B16" s="380">
        <f t="shared" si="2"/>
        <v>2</v>
      </c>
      <c r="C16" s="380"/>
      <c r="D16" s="380">
        <f>LOOKUP(F16,REGLAS!$I$4:$I$37,REGLAS!$G$4:$G$37)+J16</f>
        <v>550</v>
      </c>
      <c r="E16" s="381">
        <f>LOOKUP(F16,REGLAS!$I$4:$I$37,REGLAS!$H$4:$H$37)+K16</f>
        <v>245</v>
      </c>
      <c r="F16" s="382" t="str">
        <f t="shared" si="3"/>
        <v>PR6</v>
      </c>
      <c r="G16" s="138"/>
      <c r="I16" s="383">
        <f t="shared" si="4"/>
        <v>2</v>
      </c>
      <c r="J16" s="150">
        <f t="shared" si="5"/>
        <v>500</v>
      </c>
      <c r="K16" s="150">
        <f t="shared" si="6"/>
        <v>247</v>
      </c>
    </row>
    <row r="17" spans="1:11" ht="15.6" x14ac:dyDescent="0.3">
      <c r="A17" s="333"/>
      <c r="B17" s="52"/>
      <c r="C17" s="52"/>
      <c r="D17" s="52"/>
      <c r="E17" s="384"/>
      <c r="F17" s="52"/>
      <c r="G17" s="138"/>
      <c r="I17" s="385"/>
      <c r="J17" s="6"/>
      <c r="K17" s="6"/>
    </row>
    <row r="18" spans="1:11" ht="6.75" customHeight="1" x14ac:dyDescent="0.3">
      <c r="A18" s="138"/>
      <c r="B18" s="138"/>
      <c r="C18" s="138"/>
      <c r="D18" s="138"/>
      <c r="E18" s="138"/>
      <c r="F18" s="138"/>
      <c r="G18" s="138"/>
    </row>
    <row r="19" spans="1:11" ht="15.6" x14ac:dyDescent="0.3">
      <c r="A19" s="468" t="s">
        <v>267</v>
      </c>
      <c r="B19" s="468"/>
      <c r="C19" s="468"/>
      <c r="D19" s="468"/>
      <c r="E19" s="468"/>
      <c r="F19" s="468"/>
      <c r="G19" s="138"/>
    </row>
    <row r="20" spans="1:11" ht="10.5" customHeight="1" x14ac:dyDescent="0.3">
      <c r="A20" s="138"/>
      <c r="B20" s="138"/>
      <c r="C20" s="375"/>
      <c r="D20" s="138"/>
      <c r="E20" s="138"/>
      <c r="F20" s="138"/>
      <c r="G20" s="138"/>
    </row>
    <row r="21" spans="1:11" ht="15.6" x14ac:dyDescent="0.3">
      <c r="A21" s="138"/>
      <c r="B21" s="138"/>
      <c r="C21" s="138"/>
      <c r="D21" s="333" t="s">
        <v>130</v>
      </c>
      <c r="E21" s="333" t="s">
        <v>11</v>
      </c>
      <c r="F21" s="138"/>
      <c r="G21" s="138"/>
    </row>
    <row r="22" spans="1:11" ht="15.6" x14ac:dyDescent="0.3">
      <c r="A22" s="333" t="s">
        <v>87</v>
      </c>
      <c r="B22" s="386" t="s">
        <v>96</v>
      </c>
      <c r="C22" s="386" t="s">
        <v>25</v>
      </c>
      <c r="D22" s="387">
        <v>40</v>
      </c>
      <c r="E22" s="387">
        <v>90</v>
      </c>
      <c r="F22" s="386" t="s">
        <v>270</v>
      </c>
      <c r="G22" s="138"/>
      <c r="J22" s="378" t="s">
        <v>130</v>
      </c>
      <c r="K22" s="378" t="s">
        <v>11</v>
      </c>
    </row>
    <row r="23" spans="1:11" ht="15.6" x14ac:dyDescent="0.3">
      <c r="A23" s="379"/>
      <c r="B23" s="388">
        <f t="shared" ref="B23" si="7">I23</f>
        <v>1</v>
      </c>
      <c r="C23" s="388"/>
      <c r="D23" s="388">
        <f>LOOKUP(F14,REGLAS!$D$4:$D$37,REGLAS!$B$4:$B$37)+J23</f>
        <v>2190</v>
      </c>
      <c r="E23" s="388">
        <f>LOOKUP(F14,REGLAS!$D$4:$D$37,REGLAS!$C$4:$C$37)+K23</f>
        <v>437</v>
      </c>
      <c r="F23" s="389" t="str">
        <f>C31</f>
        <v>PR6</v>
      </c>
      <c r="G23" s="138"/>
      <c r="I23" s="383">
        <f>B31</f>
        <v>1</v>
      </c>
      <c r="J23" s="150">
        <f>D31</f>
        <v>2150</v>
      </c>
      <c r="K23" s="150">
        <f>E31</f>
        <v>347</v>
      </c>
    </row>
    <row r="24" spans="1:11" ht="15.6" x14ac:dyDescent="0.3">
      <c r="A24" s="379"/>
      <c r="B24" s="388">
        <f t="shared" ref="B24:B25" si="8">I24</f>
        <v>1</v>
      </c>
      <c r="C24" s="388"/>
      <c r="D24" s="388">
        <f>LOOKUP(F15,REGLAS!$D$4:$D$37,REGLAS!$B$4:$B$37)+J24</f>
        <v>1040</v>
      </c>
      <c r="E24" s="388">
        <f>LOOKUP(F15,REGLAS!$D$4:$D$37,REGLAS!$C$4:$C$37)+K24</f>
        <v>587</v>
      </c>
      <c r="F24" s="389" t="str">
        <f t="shared" ref="F24:F25" si="9">C32</f>
        <v>PR6</v>
      </c>
      <c r="G24" s="138"/>
      <c r="I24" s="383">
        <f t="shared" ref="I24:I25" si="10">B32</f>
        <v>1</v>
      </c>
      <c r="J24" s="150">
        <f t="shared" ref="J24:K24" si="11">D32</f>
        <v>1000</v>
      </c>
      <c r="K24" s="150">
        <f t="shared" si="11"/>
        <v>497</v>
      </c>
    </row>
    <row r="25" spans="1:11" ht="15.6" x14ac:dyDescent="0.3">
      <c r="A25" s="379"/>
      <c r="B25" s="388">
        <f t="shared" si="8"/>
        <v>2</v>
      </c>
      <c r="C25" s="388"/>
      <c r="D25" s="388">
        <f>LOOKUP(F16,REGLAS!$D$4:$D$37,REGLAS!$B$4:$B$37)+J25</f>
        <v>540</v>
      </c>
      <c r="E25" s="388">
        <f>LOOKUP(F16,REGLAS!$D$4:$D$37,REGLAS!$C$4:$C$37)+K25</f>
        <v>337</v>
      </c>
      <c r="F25" s="389" t="str">
        <f t="shared" si="9"/>
        <v>PR6</v>
      </c>
      <c r="G25" s="138"/>
      <c r="I25" s="383">
        <f t="shared" si="10"/>
        <v>2</v>
      </c>
      <c r="J25" s="150">
        <f t="shared" ref="J25:K25" si="12">D33</f>
        <v>500</v>
      </c>
      <c r="K25" s="150">
        <f t="shared" si="12"/>
        <v>247</v>
      </c>
    </row>
    <row r="26" spans="1:11" ht="15.6" x14ac:dyDescent="0.3">
      <c r="A26" s="390"/>
      <c r="B26" s="52"/>
      <c r="C26" s="52"/>
      <c r="D26" s="52"/>
      <c r="E26" s="52"/>
      <c r="F26" s="52"/>
      <c r="G26" s="138"/>
      <c r="I26" s="385"/>
      <c r="J26" s="6"/>
      <c r="K26" s="6"/>
    </row>
    <row r="27" spans="1:11" ht="16.2" thickBot="1" x14ac:dyDescent="0.35">
      <c r="A27" s="333"/>
      <c r="B27" s="52"/>
      <c r="C27" s="52"/>
      <c r="D27" s="52"/>
      <c r="E27" s="52"/>
      <c r="F27" s="52"/>
      <c r="G27" s="138"/>
      <c r="I27" s="6"/>
      <c r="J27" s="6"/>
      <c r="K27" s="6"/>
    </row>
    <row r="28" spans="1:11" ht="16.2" thickBot="1" x14ac:dyDescent="0.35">
      <c r="A28" s="333"/>
      <c r="B28" s="391" t="s">
        <v>271</v>
      </c>
      <c r="C28" s="392"/>
      <c r="D28" s="392"/>
      <c r="E28" s="392"/>
      <c r="F28" s="393"/>
      <c r="G28" s="138"/>
      <c r="I28" s="6"/>
      <c r="J28" s="6"/>
      <c r="K28" s="6"/>
    </row>
    <row r="29" spans="1:11" ht="10.5" customHeight="1" x14ac:dyDescent="0.3">
      <c r="A29" s="138"/>
      <c r="B29" s="138"/>
      <c r="C29" s="138"/>
      <c r="D29" s="138"/>
      <c r="E29" s="138"/>
      <c r="F29" s="138"/>
      <c r="G29" s="138"/>
    </row>
    <row r="30" spans="1:11" ht="15.6" x14ac:dyDescent="0.3">
      <c r="A30" s="333" t="s">
        <v>87</v>
      </c>
      <c r="B30" s="394" t="s">
        <v>96</v>
      </c>
      <c r="C30" s="394" t="s">
        <v>270</v>
      </c>
      <c r="D30" s="394" t="s">
        <v>130</v>
      </c>
      <c r="E30" s="394" t="s">
        <v>11</v>
      </c>
      <c r="F30" s="394" t="s">
        <v>8</v>
      </c>
      <c r="G30" s="138"/>
    </row>
    <row r="31" spans="1:11" ht="15.6" x14ac:dyDescent="0.3">
      <c r="A31" s="379" t="s">
        <v>294</v>
      </c>
      <c r="B31" s="380">
        <f>B54</f>
        <v>1</v>
      </c>
      <c r="C31" s="382" t="str">
        <f>C54</f>
        <v>PR6</v>
      </c>
      <c r="D31" s="382">
        <f t="shared" ref="D31:F31" si="13">D54</f>
        <v>2150</v>
      </c>
      <c r="E31" s="382">
        <f t="shared" si="13"/>
        <v>347</v>
      </c>
      <c r="F31" s="382" t="str">
        <f t="shared" si="13"/>
        <v>BLANCO MT</v>
      </c>
      <c r="G31" s="138"/>
    </row>
    <row r="32" spans="1:11" ht="15.6" x14ac:dyDescent="0.3">
      <c r="A32" s="390"/>
      <c r="B32" s="380">
        <f t="shared" ref="B32:B33" si="14">B55</f>
        <v>1</v>
      </c>
      <c r="C32" s="382" t="str">
        <f t="shared" ref="C32:F32" si="15">C55</f>
        <v>PR6</v>
      </c>
      <c r="D32" s="382">
        <f t="shared" si="15"/>
        <v>1000</v>
      </c>
      <c r="E32" s="382">
        <f t="shared" si="15"/>
        <v>497</v>
      </c>
      <c r="F32" s="382" t="str">
        <f t="shared" si="15"/>
        <v>BLANCO MT</v>
      </c>
      <c r="G32" s="138"/>
    </row>
    <row r="33" spans="1:7" ht="15.6" x14ac:dyDescent="0.3">
      <c r="A33" s="390"/>
      <c r="B33" s="380">
        <f t="shared" si="14"/>
        <v>2</v>
      </c>
      <c r="C33" s="382" t="str">
        <f t="shared" ref="C33:F33" si="16">C56</f>
        <v>PR6</v>
      </c>
      <c r="D33" s="382">
        <f t="shared" si="16"/>
        <v>500</v>
      </c>
      <c r="E33" s="382">
        <f t="shared" si="16"/>
        <v>247</v>
      </c>
      <c r="F33" s="382" t="str">
        <f t="shared" si="16"/>
        <v>BLANCO MT</v>
      </c>
      <c r="G33" s="138"/>
    </row>
    <row r="34" spans="1:7" ht="15.6" x14ac:dyDescent="0.3">
      <c r="A34" s="333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52"/>
      <c r="C38" s="52"/>
      <c r="D38" s="52"/>
      <c r="E38" s="52"/>
      <c r="F38" s="52"/>
      <c r="G38" s="138"/>
    </row>
    <row r="39" spans="1:7" ht="15.6" x14ac:dyDescent="0.3">
      <c r="A39" s="138"/>
      <c r="B39" s="52"/>
      <c r="C39" s="52"/>
      <c r="D39" s="52"/>
      <c r="E39" s="52"/>
      <c r="F39" s="52"/>
      <c r="G39" s="138"/>
    </row>
    <row r="40" spans="1:7" ht="15.6" x14ac:dyDescent="0.3">
      <c r="A40" s="138"/>
      <c r="B40" s="52"/>
      <c r="C40" s="52"/>
      <c r="D40" s="52"/>
      <c r="E40" s="52"/>
      <c r="F40" s="52"/>
      <c r="G40" s="138"/>
    </row>
    <row r="41" spans="1:7" ht="15.6" x14ac:dyDescent="0.3">
      <c r="A41" s="138"/>
      <c r="B41" s="52"/>
      <c r="C41" s="52"/>
      <c r="D41" s="52"/>
      <c r="E41" s="52"/>
      <c r="F41" s="52"/>
      <c r="G41" s="138"/>
    </row>
    <row r="42" spans="1:7" ht="15.6" x14ac:dyDescent="0.3">
      <c r="A42" s="138"/>
      <c r="B42" s="52"/>
      <c r="C42" s="52"/>
      <c r="D42" s="52"/>
      <c r="E42" s="52"/>
      <c r="F42" s="52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370" t="s">
        <v>166</v>
      </c>
      <c r="D44" s="140">
        <f>'NOTA DE VENTA'!G8</f>
        <v>7346</v>
      </c>
      <c r="E44" s="138"/>
      <c r="F44" s="138"/>
      <c r="G44" s="138"/>
    </row>
    <row r="45" spans="1:7" ht="17.25" customHeight="1" x14ac:dyDescent="0.3">
      <c r="A45" s="138"/>
      <c r="B45" s="138"/>
      <c r="C45" s="371" t="s">
        <v>268</v>
      </c>
      <c r="D45" s="445" t="str">
        <f>'NOTA DE VENTA'!C10</f>
        <v>REPARACION Y CONSTRUCCION DE MUEBLES DAVID LOPEZ VASQUEZ</v>
      </c>
      <c r="E45" s="321"/>
      <c r="F45" s="321"/>
      <c r="G45" s="138"/>
    </row>
    <row r="46" spans="1:7" ht="4.5" customHeight="1" x14ac:dyDescent="0.3">
      <c r="A46" s="138"/>
      <c r="B46" s="138"/>
      <c r="C46" s="372"/>
      <c r="D46" s="373"/>
      <c r="E46" s="138"/>
      <c r="F46" s="138"/>
      <c r="G46" s="138"/>
    </row>
    <row r="47" spans="1:7" ht="15.6" x14ac:dyDescent="0.3">
      <c r="A47" s="138"/>
      <c r="B47" s="138"/>
      <c r="C47" s="395" t="str">
        <f>'[1]4637'!F11</f>
        <v>FECHA LIMITE :</v>
      </c>
      <c r="D47" s="374">
        <f>'NOTA DE VENTA'!G11</f>
        <v>46007</v>
      </c>
      <c r="E47" s="138"/>
      <c r="F47" s="138"/>
      <c r="G47" s="138"/>
    </row>
    <row r="48" spans="1:7" ht="15.6" x14ac:dyDescent="0.3">
      <c r="A48" s="138"/>
      <c r="B48" s="138"/>
      <c r="C48" s="138"/>
      <c r="D48" s="138"/>
      <c r="E48" s="138"/>
      <c r="F48" s="138"/>
      <c r="G48" s="138"/>
    </row>
    <row r="49" spans="1:7" ht="15.6" x14ac:dyDescent="0.3">
      <c r="A49" s="138"/>
      <c r="B49" s="138"/>
      <c r="C49" s="138"/>
      <c r="D49" s="138"/>
      <c r="E49" s="138"/>
      <c r="F49" s="138"/>
      <c r="G49" s="138"/>
    </row>
    <row r="50" spans="1:7" ht="15.6" x14ac:dyDescent="0.3">
      <c r="A50" s="468" t="s">
        <v>272</v>
      </c>
      <c r="B50" s="468"/>
      <c r="C50" s="468"/>
      <c r="D50" s="468"/>
      <c r="E50" s="468"/>
      <c r="F50" s="468"/>
      <c r="G50" s="138"/>
    </row>
    <row r="51" spans="1:7" ht="15.6" x14ac:dyDescent="0.3">
      <c r="A51" s="138"/>
      <c r="B51" s="138"/>
      <c r="C51" s="138"/>
      <c r="D51" s="138"/>
      <c r="E51" s="138"/>
      <c r="F51" s="138"/>
      <c r="G51" s="138"/>
    </row>
    <row r="52" spans="1:7" ht="15.75" customHeight="1" x14ac:dyDescent="0.3">
      <c r="A52" s="138"/>
      <c r="B52" s="463" t="s">
        <v>95</v>
      </c>
      <c r="C52" s="464"/>
      <c r="D52" s="465"/>
      <c r="E52" s="465"/>
      <c r="F52" s="466"/>
      <c r="G52" s="138"/>
    </row>
    <row r="53" spans="1:7" s="59" customFormat="1" ht="12.75" customHeight="1" x14ac:dyDescent="0.3">
      <c r="A53" s="138"/>
      <c r="B53" s="386" t="s">
        <v>96</v>
      </c>
      <c r="C53" s="396" t="s">
        <v>25</v>
      </c>
      <c r="D53" s="397" t="s">
        <v>130</v>
      </c>
      <c r="E53" s="397" t="s">
        <v>11</v>
      </c>
      <c r="F53" s="398" t="s">
        <v>273</v>
      </c>
      <c r="G53" s="138"/>
    </row>
    <row r="54" spans="1:7" s="59" customFormat="1" ht="15" customHeight="1" x14ac:dyDescent="0.3">
      <c r="A54" s="379" t="s">
        <v>293</v>
      </c>
      <c r="B54" s="399">
        <f>'NOTA DE VENTA'!B22</f>
        <v>1</v>
      </c>
      <c r="C54" s="400" t="str">
        <f>'NOTA DE VENTA'!C22</f>
        <v>PR6</v>
      </c>
      <c r="D54" s="400">
        <f>'NOTA DE VENTA'!D22</f>
        <v>2150</v>
      </c>
      <c r="E54" s="400">
        <f>'NOTA DE VENTA'!E22</f>
        <v>347</v>
      </c>
      <c r="F54" s="400" t="str">
        <f>'NOTA DE VENTA'!F22</f>
        <v>BLANCO MT</v>
      </c>
      <c r="G54" s="138"/>
    </row>
    <row r="55" spans="1:7" s="59" customFormat="1" ht="15" customHeight="1" x14ac:dyDescent="0.3">
      <c r="A55" s="379"/>
      <c r="B55" s="399">
        <f>'NOTA DE VENTA'!B23</f>
        <v>1</v>
      </c>
      <c r="C55" s="400" t="str">
        <f>'NOTA DE VENTA'!C23</f>
        <v>PR6</v>
      </c>
      <c r="D55" s="400">
        <f>'NOTA DE VENTA'!D23</f>
        <v>1000</v>
      </c>
      <c r="E55" s="400">
        <f>'NOTA DE VENTA'!E23</f>
        <v>497</v>
      </c>
      <c r="F55" s="400" t="str">
        <f>'NOTA DE VENTA'!F23</f>
        <v>BLANCO MT</v>
      </c>
      <c r="G55" s="138"/>
    </row>
    <row r="56" spans="1:7" s="59" customFormat="1" ht="15" customHeight="1" x14ac:dyDescent="0.3">
      <c r="A56" s="379"/>
      <c r="B56" s="399">
        <f>'NOTA DE VENTA'!B24</f>
        <v>2</v>
      </c>
      <c r="C56" s="400" t="str">
        <f>'NOTA DE VENTA'!C24</f>
        <v>PR6</v>
      </c>
      <c r="D56" s="400">
        <f>'NOTA DE VENTA'!D24</f>
        <v>500</v>
      </c>
      <c r="E56" s="400">
        <f>'NOTA DE VENTA'!E24</f>
        <v>247</v>
      </c>
      <c r="F56" s="400" t="str">
        <f>'NOTA DE VENTA'!F24</f>
        <v>BLANCO MT</v>
      </c>
      <c r="G56" s="138"/>
    </row>
    <row r="57" spans="1:7" s="59" customFormat="1" ht="15" customHeight="1" x14ac:dyDescent="0.3">
      <c r="A57" s="390"/>
      <c r="B57" s="333"/>
      <c r="C57" s="401"/>
      <c r="D57" s="333"/>
      <c r="E57" s="333"/>
      <c r="F57" s="333"/>
      <c r="G57" s="138"/>
    </row>
    <row r="58" spans="1:7" s="59" customFormat="1" ht="15" customHeight="1" x14ac:dyDescent="0.3">
      <c r="A58" s="139"/>
      <c r="B58" s="333"/>
      <c r="C58" s="333"/>
      <c r="D58" s="333"/>
      <c r="E58" s="333"/>
      <c r="F58" s="333"/>
      <c r="G58" s="138"/>
    </row>
    <row r="59" spans="1:7" ht="15.6" x14ac:dyDescent="0.3">
      <c r="A59" s="52"/>
      <c r="B59" s="52"/>
      <c r="C59" s="138"/>
      <c r="D59" s="52"/>
      <c r="E59" s="52"/>
      <c r="F59" s="372"/>
      <c r="G59" s="138"/>
    </row>
    <row r="60" spans="1:7" ht="15.6" x14ac:dyDescent="0.3">
      <c r="A60" s="52"/>
      <c r="B60" s="52"/>
      <c r="C60" s="138"/>
      <c r="D60" s="52"/>
      <c r="E60" s="52"/>
      <c r="F60" s="52"/>
      <c r="G60" s="138"/>
    </row>
    <row r="61" spans="1:7" ht="15.6" x14ac:dyDescent="0.3">
      <c r="A61" s="138"/>
      <c r="B61" s="138"/>
      <c r="C61" s="138"/>
      <c r="D61" s="138"/>
      <c r="E61" s="138"/>
      <c r="F61" s="138"/>
      <c r="G61" s="138"/>
    </row>
    <row r="62" spans="1:7" ht="15.6" x14ac:dyDescent="0.3">
      <c r="A62" s="138"/>
      <c r="B62" s="138"/>
      <c r="C62" s="138"/>
      <c r="D62" s="138"/>
      <c r="E62" s="138"/>
      <c r="F62" s="138"/>
      <c r="G62" s="138"/>
    </row>
    <row r="63" spans="1:7" ht="15.6" x14ac:dyDescent="0.3">
      <c r="A63" s="138"/>
      <c r="B63" s="138"/>
      <c r="C63" s="138"/>
      <c r="D63" s="138"/>
      <c r="E63" s="138"/>
      <c r="F63" s="138"/>
      <c r="G63" s="138"/>
    </row>
    <row r="64" spans="1:7" ht="15" customHeight="1" x14ac:dyDescent="0.3">
      <c r="A64" s="138"/>
      <c r="B64" s="138"/>
      <c r="C64" s="138"/>
      <c r="D64" s="138"/>
      <c r="E64" s="138"/>
      <c r="F64" s="138"/>
      <c r="G64" s="138"/>
    </row>
    <row r="65" spans="1:7" ht="15.6" x14ac:dyDescent="0.3">
      <c r="A65" s="138"/>
      <c r="B65" s="138"/>
      <c r="C65" s="138"/>
      <c r="D65" s="138"/>
      <c r="E65" s="138"/>
      <c r="F65" s="138"/>
      <c r="G65" s="138"/>
    </row>
    <row r="66" spans="1:7" ht="15.6" x14ac:dyDescent="0.3">
      <c r="A66" s="52"/>
      <c r="B66" s="402"/>
      <c r="C66" s="138"/>
      <c r="D66" s="138"/>
      <c r="E66" s="138"/>
      <c r="F66" s="138"/>
      <c r="G66" s="138"/>
    </row>
    <row r="67" spans="1:7" ht="15.6" x14ac:dyDescent="0.3">
      <c r="A67" s="138"/>
      <c r="B67" s="138"/>
      <c r="C67" s="138"/>
      <c r="D67" s="138"/>
      <c r="E67" s="138"/>
      <c r="F67" s="138"/>
      <c r="G67" s="138"/>
    </row>
    <row r="68" spans="1:7" x14ac:dyDescent="0.3">
      <c r="B68" s="29"/>
      <c r="C68" s="29"/>
      <c r="D68" s="29"/>
      <c r="E68" s="29"/>
      <c r="F68" s="29"/>
    </row>
    <row r="69" spans="1:7" x14ac:dyDescent="0.3">
      <c r="B69" s="29"/>
      <c r="C69" s="29"/>
      <c r="E69" s="29"/>
      <c r="F69" s="29"/>
    </row>
  </sheetData>
  <mergeCells count="6">
    <mergeCell ref="B52:F52"/>
    <mergeCell ref="K3:L3"/>
    <mergeCell ref="M3:N3"/>
    <mergeCell ref="A10:F10"/>
    <mergeCell ref="A19:F19"/>
    <mergeCell ref="A50:F50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274</v>
      </c>
      <c r="B1" s="412" t="s">
        <v>275</v>
      </c>
      <c r="C1" s="411" t="s">
        <v>276</v>
      </c>
      <c r="D1" s="411" t="s">
        <v>277</v>
      </c>
      <c r="E1" s="411" t="s">
        <v>278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279</v>
      </c>
      <c r="L1" s="413" t="s">
        <v>280</v>
      </c>
      <c r="M1" s="411" t="s">
        <v>281</v>
      </c>
    </row>
    <row r="2" spans="1:13" x14ac:dyDescent="0.3">
      <c r="A2">
        <f>'NOTA DE VENTA'!$G$8</f>
        <v>7346</v>
      </c>
      <c r="B2" t="str">
        <f>'NOTA DE VENTA'!$D$8</f>
        <v>N° 11794</v>
      </c>
      <c r="C2" s="1">
        <f>'NOTA DE VENTA'!$G$10</f>
        <v>46000</v>
      </c>
      <c r="D2" s="1">
        <f>'NOTA DE VENTA'!$G$11</f>
        <v>46007</v>
      </c>
      <c r="E2" t="str">
        <f>'NOTA DE VENTA'!$C$10</f>
        <v>REPARACION Y CONSTRUCCION DE MUEBLES DAVID LOPEZ VASQUEZ</v>
      </c>
      <c r="F2" t="str">
        <f>'NOTA DE VENTA'!$C$22</f>
        <v>PR6</v>
      </c>
      <c r="G2" t="str">
        <f>'NOTA DE VENTA'!$F$22</f>
        <v>BLANCO MT</v>
      </c>
      <c r="H2" s="414">
        <f>'NOTA DE VENTA'!$H$26</f>
        <v>99766.333800000022</v>
      </c>
      <c r="I2" s="414">
        <f>H2*0.19</f>
        <v>18955.603422000004</v>
      </c>
      <c r="J2" s="414">
        <f>I2+H2</f>
        <v>118721.93722200002</v>
      </c>
      <c r="L2" s="61">
        <f>J2-K2</f>
        <v>118721.93722200002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  <vt:lpstr>PRODUCCION!Área_de_impresión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2025-12-10T12:23:01Z</cp:lastPrinted>
  <dcterms:created xsi:type="dcterms:W3CDTF">2013-03-18T13:35:42Z</dcterms:created>
  <dcterms:modified xsi:type="dcterms:W3CDTF">2025-12-10T12:24:48Z</dcterms:modified>
</cp:coreProperties>
</file>