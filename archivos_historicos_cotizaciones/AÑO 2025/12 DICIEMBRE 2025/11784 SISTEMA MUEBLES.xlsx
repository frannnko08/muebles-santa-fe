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88C3E0D0-6D4D-4C36-AAA0-A4C7BBC3CA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6" l="1"/>
  <c r="F21" i="6"/>
  <c r="N5" i="6"/>
  <c r="D21" i="6"/>
  <c r="M5" i="6"/>
  <c r="K5" i="6"/>
  <c r="E14" i="6"/>
  <c r="L5" i="6"/>
  <c r="D14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B27" i="6"/>
  <c r="I21" i="6" s="1"/>
  <c r="K21" i="6"/>
  <c r="J21" i="6"/>
  <c r="K14" i="6"/>
  <c r="J14" i="6"/>
  <c r="F14" i="6"/>
  <c r="G22" i="4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H22" i="4" l="1"/>
  <c r="H25" i="4" s="1"/>
  <c r="H2" i="7" s="1"/>
  <c r="I2" i="7" s="1"/>
  <c r="J2" i="7" s="1"/>
  <c r="L2" i="7" s="1"/>
  <c r="D5" i="6"/>
  <c r="G11" i="4"/>
  <c r="D7" i="6"/>
  <c r="I14" i="6"/>
  <c r="B14" i="6" s="1"/>
  <c r="B21" i="6"/>
  <c r="H26" i="4"/>
  <c r="H27" i="4" s="1"/>
  <c r="N21" i="1"/>
  <c r="D2" i="7" l="1"/>
  <c r="D8" i="6"/>
  <c r="M21" i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<sst xmlns="http://schemas.openxmlformats.org/spreadsheetml/2006/main" count="488" uniqueCount="298">
  <si>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</si>
  <si>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</si>
  <si>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</si>
  <si>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</si>
  <si>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</si>
  <si>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</si>
  <si>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</si>
  <si>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</si>
  <si>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</si>
  <si>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</si>
  <si>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</si>
  <si>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</si>
  <si>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</si>
  <si>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</si>
  <si>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</si>
  <si>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</si>
  <si>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</si>
  <si>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</si>
  <si>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</si>
  <si>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</si>
  <si>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</si>
  <si>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</si>
  <si>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</si>
  <si>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</si>
  <si>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</si>
  <si>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</si>
  <si>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</si>
  <si>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</si>
  <si>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</si>
  <si>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</si>
  <si>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</si>
  <si>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</si>
  <si>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</si>
  <si>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</si>
  <si>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</si>
  <si>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</si>
  <si>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</si>
  <si>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</si>
  <si>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</si>
  <si>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</si>
  <si>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</si>
  <si>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</si>
  <si>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</si>
  <si>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</si>
  <si>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</si>
  <si>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</si>
  <si>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</si>
  <si>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</si>
  <si>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</si>
  <si>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</si>
  <si>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</si>
  <si>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</si>
  <si>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</si>
  <si>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</si>
  <si>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</si>
  <si>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</si>
  <si>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</si>
  <si>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</si>
  <si>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</si>
  <si>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</si>
  <si>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</si>
  <si>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</si>
  <si>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</si>
  <si>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</si>
  <si>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</si>
  <si>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</si>
  <si>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</si>
  <si>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</si>
  <si>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</si>
  <si>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</si>
  <si>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</si>
  <si>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</si>
  <si>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</si>
  <si>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</si>
  <si>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</si>
  <si>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</si>
  <si>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</si>
  <si>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</si>
  <si>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</si>
  <si>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</si>
  <si>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</si>
  <si>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</si>
  <si>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</si>
  <si>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</si>
  <si>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</si>
  <si>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</si>
  <si>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</si>
  <si>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</si>
  <si>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</si>
  <si>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</si>
  <si>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</si>
  <si>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</si>
  <si>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</si>
  <si>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</si>
  <si>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</si>
  <si>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</si>
  <si>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</si>
  <si>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</si>
  <si>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</si>
  <si>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</si>
  <si>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</si>
  <si>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</si>
  <si>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</si>
  <si>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</si>
  <si>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</si>
  <si>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</si>
  <si>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</si>
  <si>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</si>
  <si>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</si>
  <si>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</si>
  <si>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</si>
  <si>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</si>
  <si>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</si>
  <si>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</si>
  <si>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</si>
  <si>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</si>
  <si>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</si>
  <si>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</si>
  <si>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</si>
  <si>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</si>
  <si>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</si>
  <si>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</si>
  <si>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</si>
  <si>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</si>
  <si>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</si>
  <si>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</si>
  <si>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</si>
  <si>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</si>
  <si>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</si>
  <si>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</si>
  <si>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</si>
  <si>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</si>
  <si>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</si>
  <si>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</si>
  <si>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</si>
  <si>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</si>
  <si>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</si>
  <si>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</si>
  <si>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</si>
  <si>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</si>
  <si>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</si>
  <si>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</si>
  <si>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</si>
  <si>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</si>
  <si>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</si>
  <si>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</si>
  <si>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</si>
  <si>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</si>
  <si>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</si>
  <si>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</si>
  <si>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</si>
  <si>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</si>
  <si>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</si>
  <si>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</si>
  <si>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</si>
  <si>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</si>
  <si>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</si>
  <si>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</si>
  <si>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</si>
  <si>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</si>
  <si>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</si>
  <si>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</si>
  <si>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</si>
  <si>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</si>
  <si>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</si>
  <si>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SI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</si>
  <si>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</si>
  <si>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</si>
  <si>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</si>
  <si>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</si>
  <si>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</si>
  <si>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</si>
  <si>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</si>
  <si>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</si>
  <si>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</si>
  <si>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</si>
  <si>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</si>
  <si>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</si>
  <si>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</si>
  <si>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</si>
  <si>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</si>
  <si>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</si>
  <si>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</si>
  <si>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</si>
  <si>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</si>
  <si>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</si>
  <si>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</si>
  <si>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</si>
  <si>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</si>
  <si>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</si>
  <si>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</si>
  <si>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</si>
  <si>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</si>
  <si>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</si>
  <si>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</si>
  <si>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</si>
  <si>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</si>
  <si>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</si>
  <si>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</si>
  <si>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</si>
  <si>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</si>
  <si>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</si>
  <si>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</si>
  <si>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</si>
  <si>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</si>
  <si>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</si>
  <si>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</si>
  <si>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</si>
  <si>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</si>
  <si>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</si>
  <si>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</si>
  <si>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</si>
  <si>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</si>
  <si>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</si>
  <si>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</si>
  <si>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</si>
  <si>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</si>
  <si>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</si>
  <si>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</si>
  <si>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</si>
  <si>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</si>
  <si>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</si>
  <si>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</si>
  <si>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</si>
  <si>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</si>
  <si>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</si>
  <si>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</si>
  <si>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</si>
  <si>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</si>
  <si>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</si>
  <si>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</si>
  <si>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</si>
  <si>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</si>
  <si>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</si>
  <si>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</si>
  <si>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</si>
  <si>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</si>
  <si>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</si>
  <si>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</si>
  <si>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</si>
  <si>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</si>
  <si>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</si>
  <si>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</si>
  <si>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</si>
  <si>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</si>
  <si>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</si>
  <si>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</si>
  <si>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</si>
  <si>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</si>
  <si>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</si>
  <si>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</si>
  <si>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</si>
  <si>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</si>
  <si>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</si>
  <si>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</si>
  <si>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</si>
  <si>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</si>
  <si>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</si>
  <si>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</si>
  <si>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</si>
  <si>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</si>
  <si>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</si>
  <si>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</si>
  <si>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</si>
  <si>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</si>
  <si>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</si>
  <si>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</si>
  <si>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</si>
  <si>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</si>
  <si>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</si>
  <si>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</si>
  <si>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</si>
  <si>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</si>
  <si>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</si>
  <si>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</si>
  <si>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</si>
  <si>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</si>
  <si>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</si>
  <si>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</si>
  <si>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</si>
  <si>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</si>
  <si>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</si>
  <si>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</si>
  <si>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</si>
  <si>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</si>
  <si>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</si>
  <si>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</si>
  <si>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N° 11784</t>
  </si>
  <si>
    <t>10 DIAS HABILES</t>
  </si>
  <si>
    <t>CEN 1V R19 MDF 30MM</t>
  </si>
  <si>
    <t>SISTEMAS SERVICIOS SPA</t>
  </si>
  <si>
    <t>77.091.475-2</t>
  </si>
  <si>
    <t>FCA. DE MUEBLES</t>
  </si>
  <si>
    <t>MARIOLI CONCHA</t>
  </si>
  <si>
    <t>recepciondte@sistemamuebles.cl</t>
  </si>
  <si>
    <t>+569 9408 2633</t>
  </si>
  <si>
    <t>AV. SALVADOR ALLENDE 5040 CERRILLOS</t>
  </si>
  <si>
    <t>TRAIGHT WALNUT 10848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</si>
</sst>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0" xfId="0" applyFont="1" applyAlignment="1">
      <alignment horizontal="left"/>
    </xf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0" fillId="20" borderId="0" xfId="0" applyNumberFormat="1" applyFill="1"/>
    <xf numFmtId="166" fontId="3" fillId="20" borderId="0" xfId="0" applyNumberFormat="1" applyFont="1" applyFill="1"/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18" fillId="0" borderId="37" xfId="0" applyFont="1" applyBorder="1"/>
    <xf numFmtId="0" fontId="18" fillId="0" borderId="56" xfId="0" applyFont="1" applyBorder="1"/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1" borderId="40" xfId="0" applyFont="1" applyFill="1" applyBorder="1" applyAlignment="1">
      <alignment horizontal="center" vertical="center"/>
    </xf>
    <xf numFmtId="0" fontId="44" fillId="21" borderId="39" xfId="0" applyFont="1" applyFill="1" applyBorder="1" applyAlignment="1">
      <alignment horizontal="center" vertical="center"/>
    </xf>
    <xf numFmtId="0" fontId="44" fillId="21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2" borderId="1" xfId="0" applyFont="1" applyFill="1" applyBorder="1" applyAlignment="1">
      <alignment horizontal="center"/>
    </xf>
    <xf numFmtId="0" fontId="45" fillId="22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3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3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1" borderId="2" xfId="0" applyFont="1" applyFill="1" applyBorder="1" applyAlignment="1">
      <alignment horizontal="left" indent="1"/>
    </xf>
    <xf numFmtId="0" fontId="48" fillId="21" borderId="9" xfId="0" applyFont="1" applyFill="1" applyBorder="1"/>
    <xf numFmtId="0" fontId="47" fillId="21" borderId="3" xfId="0" applyFont="1" applyFill="1" applyBorder="1" applyAlignment="1">
      <alignment horizontal="center"/>
    </xf>
    <xf numFmtId="0" fontId="49" fillId="21" borderId="40" xfId="0" applyFont="1" applyFill="1" applyBorder="1" applyAlignment="1">
      <alignment horizontal="center" vertical="center"/>
    </xf>
    <xf numFmtId="0" fontId="49" fillId="21" borderId="39" xfId="0" applyFont="1" applyFill="1" applyBorder="1" applyAlignment="1">
      <alignment horizontal="center" vertical="center"/>
    </xf>
    <xf numFmtId="0" fontId="49" fillId="21" borderId="43" xfId="0" applyFont="1" applyFill="1" applyBorder="1" applyAlignment="1">
      <alignment horizontal="center" vertical="center"/>
    </xf>
    <xf numFmtId="0" fontId="35" fillId="25" borderId="0" xfId="0" applyFont="1" applyFill="1" applyAlignment="1">
      <alignment horizontal="center"/>
    </xf>
    <xf numFmtId="0" fontId="35" fillId="25" borderId="0" xfId="0" applyFont="1" applyFill="1" applyAlignment="1">
      <alignment horizontal="left"/>
    </xf>
    <xf numFmtId="42" fontId="35" fillId="25" borderId="0" xfId="8" applyFont="1" applyFill="1" applyAlignment="1">
      <alignment horizontal="center"/>
    </xf>
    <xf numFmtId="42" fontId="0" fillId="0" borderId="0" xfId="8" applyFont="1"/>
    <xf numFmtId="0" fontId="30" fillId="0" borderId="1" xfId="0" applyFont="1" applyBorder="1" applyAlignment="1">
      <alignment horizontal="center" vertical="center"/>
    </xf>
    <xf numFmtId="0" fontId="16" fillId="24" borderId="40" xfId="0" applyFont="1" applyFill="1" applyBorder="1" applyAlignment="1">
      <alignment horizontal="center" vertical="center"/>
    </xf>
    <xf numFmtId="0" fontId="16" fillId="24" borderId="39" xfId="0" applyFont="1" applyFill="1" applyBorder="1" applyAlignment="1">
      <alignment horizontal="center" vertical="center"/>
    </xf>
    <xf numFmtId="0" fontId="16" fillId="24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ENCHAPE INTERIOR DE 1,5MM AL LARGO, CLIENTE APORTA LAMINA</a:t>
          </a:r>
          <a:r>
            <a:rPr lang="es-C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TRAIGHT WALNUT 10848 SF</a:t>
          </a:r>
          <a:r>
            <a:rPr lang="es-CL" sz="1200">
              <a:effectLst/>
            </a:rPr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epciondte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K6" sqref="K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24" t="s">
        <v>126</v>
      </c>
      <c r="C8" s="425"/>
      <c r="D8" s="426" t="s">
        <v>287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2" t="s">
        <v>161</v>
      </c>
      <c r="C10" s="278" t="s">
        <v>290</v>
      </c>
      <c r="D10" s="243"/>
      <c r="E10" s="243"/>
      <c r="F10" s="244" t="s">
        <v>0</v>
      </c>
      <c r="G10" s="276">
        <v>45995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 t="s">
        <v>291</v>
      </c>
      <c r="F11" t="s">
        <v>123</v>
      </c>
      <c r="G11" s="288" t="s">
        <v>288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3" t="s">
        <v>292</v>
      </c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293</v>
      </c>
      <c r="G13" s="304"/>
      <c r="H13" s="289"/>
      <c r="Q13" s="19"/>
      <c r="R13" s="25"/>
      <c r="S13" s="19"/>
    </row>
    <row r="14" spans="2:24" x14ac:dyDescent="0.3">
      <c r="B14" s="246" t="s">
        <v>139</v>
      </c>
      <c r="C14" s="311" t="s">
        <v>294</v>
      </c>
      <c r="D14" s="247"/>
      <c r="E14" s="247"/>
      <c r="F14" s="312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6" t="s">
        <v>295</v>
      </c>
      <c r="D15" s="307"/>
      <c r="F15" t="s">
        <v>134</v>
      </c>
      <c r="G15" s="305" t="s">
        <v>165</v>
      </c>
      <c r="H15" s="289"/>
    </row>
    <row r="16" spans="2:24" ht="16.8" x14ac:dyDescent="0.4">
      <c r="B16" s="313" t="s">
        <v>3</v>
      </c>
      <c r="C16" s="303" t="s">
        <v>296</v>
      </c>
      <c r="D16" s="247"/>
      <c r="E16" s="247"/>
      <c r="F16" s="314" t="s">
        <v>129</v>
      </c>
      <c r="G16" s="315" t="s">
        <v>162</v>
      </c>
      <c r="H16" s="248"/>
    </row>
    <row r="17" spans="1:25" ht="15" thickBot="1" x14ac:dyDescent="0.35">
      <c r="B17" s="308" t="s">
        <v>13</v>
      </c>
      <c r="C17" s="309" t="s">
        <v>164</v>
      </c>
      <c r="D17" s="310"/>
      <c r="E17" s="119"/>
      <c r="F17" s="354" t="s">
        <v>183</v>
      </c>
      <c r="G17" s="354" t="s">
        <v>184</v>
      </c>
      <c r="H17" s="35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427" t="s">
        <v>7</v>
      </c>
      <c r="C20" s="428" t="s">
        <v>1</v>
      </c>
      <c r="D20" s="428" t="s">
        <v>10</v>
      </c>
      <c r="E20" s="428" t="s">
        <v>11</v>
      </c>
      <c r="F20" s="428" t="s">
        <v>8</v>
      </c>
      <c r="G20" s="428" t="s">
        <v>5</v>
      </c>
      <c r="H20" s="429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29160.52884615384</v>
      </c>
      <c r="R20" s="258">
        <v>6000</v>
      </c>
      <c r="S20" s="38"/>
      <c r="T20" s="14" t="s">
        <v>128</v>
      </c>
      <c r="U20" s="9"/>
      <c r="X20" s="4"/>
    </row>
    <row r="21" spans="1:25" ht="17.399999999999999" x14ac:dyDescent="0.3">
      <c r="B21" s="323">
        <v>12</v>
      </c>
      <c r="C21" s="324" t="s">
        <v>289</v>
      </c>
      <c r="D21" s="325">
        <v>2</v>
      </c>
      <c r="E21" s="325">
        <v>0.16</v>
      </c>
      <c r="F21" s="434" t="s">
        <v>297</v>
      </c>
      <c r="G21" s="326">
        <v>17270</v>
      </c>
      <c r="H21" s="327">
        <f>G21*B21</f>
        <v>207240</v>
      </c>
      <c r="I21" s="317"/>
      <c r="J21" s="265"/>
      <c r="K21" s="47"/>
      <c r="L21" s="328">
        <f>B21</f>
        <v>12</v>
      </c>
      <c r="M21" s="329">
        <f>D21+M$19</f>
        <v>2.08</v>
      </c>
      <c r="N21" s="329">
        <f>E21+$N$19</f>
        <v>0.16</v>
      </c>
      <c r="O21" s="261">
        <f t="shared" ref="O21" si="1">M21*N21</f>
        <v>0.33280000000000004</v>
      </c>
      <c r="P21" s="259">
        <f t="shared" ref="P21" si="2">O21*L21</f>
        <v>3.9936000000000007</v>
      </c>
      <c r="Q21" s="252">
        <f t="shared" ref="Q21" si="3">Q$20*O21</f>
        <v>9704.6239999999998</v>
      </c>
      <c r="R21" s="316">
        <f t="shared" ref="R21" si="4">Q21+R$20</f>
        <v>15704.624</v>
      </c>
      <c r="S21" s="295">
        <f>L21*M21*2</f>
        <v>49.92</v>
      </c>
      <c r="T21" s="46">
        <f>N21*2*L21*2</f>
        <v>7.68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7"/>
      <c r="H22" s="317"/>
      <c r="I22" s="317"/>
      <c r="J22" s="265"/>
      <c r="K22" s="47"/>
      <c r="L22" s="47"/>
      <c r="M22" s="39"/>
      <c r="N22" s="39"/>
      <c r="O22" s="261"/>
      <c r="P22" s="259"/>
      <c r="Q22" s="252"/>
      <c r="R22" s="316"/>
      <c r="S22" s="295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18"/>
      <c r="I23" s="320"/>
      <c r="J23" s="233"/>
      <c r="K23" s="47"/>
      <c r="L23" s="47"/>
      <c r="M23" s="39"/>
      <c r="N23" s="39"/>
      <c r="O23" s="261"/>
      <c r="P23" s="259"/>
      <c r="Q23" s="252"/>
      <c r="R23" s="258"/>
      <c r="S23" s="295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1" t="s">
        <v>28</v>
      </c>
      <c r="H24" s="322">
        <f>SUM(H21:H23)</f>
        <v>207240</v>
      </c>
      <c r="I24" s="319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5"/>
      <c r="T24" s="46">
        <f>SUM(T21:T23)</f>
        <v>7.68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4" t="s">
        <v>51</v>
      </c>
      <c r="H25" s="292">
        <f>H24*19%</f>
        <v>39375.599999999999</v>
      </c>
      <c r="I25" s="319"/>
      <c r="J25" s="265"/>
      <c r="K25" s="47"/>
      <c r="L25" s="47"/>
      <c r="M25" s="39">
        <f>SUM(M21:M24)</f>
        <v>2.08</v>
      </c>
      <c r="N25" s="12"/>
      <c r="O25" s="12"/>
      <c r="P25" s="253">
        <f>SUM(P21:P21)</f>
        <v>3.9936000000000007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3">
        <f>H24+H25</f>
        <v>246615.6</v>
      </c>
      <c r="I26" s="319"/>
      <c r="J26" s="265"/>
      <c r="K26" s="47"/>
      <c r="L26" s="47"/>
      <c r="M26" s="39"/>
      <c r="N26" s="12"/>
      <c r="O26" s="12"/>
      <c r="P26" s="253">
        <f>P25</f>
        <v>3.9936000000000007</v>
      </c>
      <c r="Q26" s="14"/>
      <c r="R26" s="12"/>
      <c r="S26" s="239">
        <f>SUM(S21:S25)</f>
        <v>49.92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0.79872000000000021</v>
      </c>
      <c r="Q27" s="39" t="s">
        <v>130</v>
      </c>
      <c r="R27" s="42"/>
      <c r="S27" s="240">
        <f>S26+T24</f>
        <v>57.6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4.792320000000001</v>
      </c>
      <c r="Q28" s="14"/>
      <c r="R28" s="14"/>
      <c r="S28" s="238">
        <f>S27*20%</f>
        <v>11.520000000000001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69.12</v>
      </c>
      <c r="T29" s="14"/>
      <c r="U29" s="299" t="s">
        <v>21</v>
      </c>
      <c r="V29" s="296" t="s">
        <v>151</v>
      </c>
      <c r="W29" s="300">
        <v>44971</v>
      </c>
      <c r="X29" s="301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4.792320000000001</v>
      </c>
      <c r="N30" s="12">
        <v>3500</v>
      </c>
      <c r="O30" s="12">
        <f t="shared" ref="O30:O35" si="5">M30*N30</f>
        <v>16773.120000000003</v>
      </c>
      <c r="P30" s="14" t="s">
        <v>21</v>
      </c>
      <c r="Q30" s="14"/>
      <c r="R30" s="14"/>
      <c r="S30" s="241"/>
      <c r="T30" s="14"/>
      <c r="U30" s="299" t="s">
        <v>152</v>
      </c>
      <c r="V30" s="296">
        <v>3625</v>
      </c>
      <c r="W30" s="59" t="s">
        <v>153</v>
      </c>
      <c r="X30" s="301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23500</v>
      </c>
      <c r="O31" s="12">
        <f t="shared" si="5"/>
        <v>11750</v>
      </c>
      <c r="P31" s="39" t="s">
        <v>31</v>
      </c>
      <c r="Q31" s="42"/>
      <c r="R31" s="14"/>
      <c r="S31" s="240"/>
      <c r="T31" s="14"/>
      <c r="U31" s="299"/>
      <c r="V31" s="59">
        <v>906.25</v>
      </c>
      <c r="W31" s="59" t="s">
        <v>154</v>
      </c>
      <c r="X31" s="301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71000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1" t="s">
        <v>155</v>
      </c>
      <c r="X32" s="59"/>
    </row>
    <row r="33" spans="2:24" s="230" customFormat="1" ht="17.399999999999999" x14ac:dyDescent="0.35">
      <c r="B33" s="24" t="s">
        <v>166</v>
      </c>
      <c r="C33"/>
      <c r="D33"/>
      <c r="E33"/>
      <c r="F33"/>
      <c r="J33" s="262"/>
      <c r="K33" s="232"/>
      <c r="L33" s="250"/>
      <c r="M33" s="14">
        <v>1</v>
      </c>
      <c r="N33" s="250">
        <v>20000</v>
      </c>
      <c r="O33" s="12">
        <f t="shared" si="5"/>
        <v>20000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1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1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48523.12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O36*2.4</f>
        <v>116455.488</v>
      </c>
      <c r="P37" s="14" t="s">
        <v>140</v>
      </c>
      <c r="Q37" s="14"/>
      <c r="R37" s="40">
        <f>P28/R36</f>
        <v>1.2921484037963764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28500</v>
      </c>
      <c r="L38" s="250"/>
      <c r="M38" s="14"/>
      <c r="N38" s="12"/>
      <c r="O38" s="12">
        <f>O37/P26</f>
        <v>29160.52884615384</v>
      </c>
      <c r="P38" s="45" t="s">
        <v>24</v>
      </c>
      <c r="Q38" s="14"/>
      <c r="R38" s="14"/>
      <c r="S38"/>
      <c r="T38" s="238"/>
      <c r="U38" s="59" t="s">
        <v>157</v>
      </c>
      <c r="V38" s="296">
        <v>43650</v>
      </c>
    </row>
    <row r="39" spans="2:24" s="230" customFormat="1" ht="17.399999999999999" x14ac:dyDescent="0.35">
      <c r="G39"/>
      <c r="K39" s="230">
        <f>K38/1.19</f>
        <v>23949.579831932773</v>
      </c>
      <c r="L39" s="250"/>
      <c r="M39" s="13"/>
      <c r="N39" s="14"/>
      <c r="O39" s="17">
        <f>O37/O36</f>
        <v>2.4</v>
      </c>
      <c r="P39" s="15"/>
      <c r="Q39"/>
      <c r="R39"/>
      <c r="S39"/>
      <c r="T39" s="238"/>
      <c r="U39" s="59" t="s">
        <v>159</v>
      </c>
      <c r="V39" s="297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298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1">
    <mergeCell ref="B19:H19"/>
  </mergeCells>
  <phoneticPr fontId="32" type="noConversion"/>
  <hyperlinks>
    <hyperlink ref="F34" r:id="rId1" xr:uid="{00000000-0004-0000-0000-000000000000}"/>
    <hyperlink ref="C14" r:id="rId2" xr:uid="{DBC35A76-1A4B-4490-A5A7-3D3DBFD34CA1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45995</v>
      </c>
    </row>
    <row r="6" spans="2:31" ht="16.2" thickBot="1" x14ac:dyDescent="0.35">
      <c r="B6" s="140" t="s">
        <v>2</v>
      </c>
      <c r="C6" s="139" t="str">
        <f>'2229'!C10</f>
        <v>SISTEMAS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11784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-18491.767033454107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207240</v>
      </c>
      <c r="E11" s="132">
        <f>D11*0.19</f>
        <v>39375.599999999999</v>
      </c>
      <c r="F11" s="131">
        <f>E11+D11</f>
        <v>246615.6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87498.232966545896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58357.210787439617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69498.232966545896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148882.7892125604</v>
      </c>
      <c r="E13" s="221">
        <f>(D11/D12)-1</f>
        <v>2.5512320963188464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60498.232966545896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21498.232966545893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96289.397799275364</v>
      </c>
      <c r="F15" s="216">
        <f>E15-D12</f>
        <v>37932.187011835747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21498.232966545893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61498.232966545896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16773.120000000003</v>
      </c>
      <c r="E20" s="121">
        <f>D20*0.19</f>
        <v>3186.8928000000005</v>
      </c>
      <c r="F20" s="120">
        <f>SUM(D20:E20)</f>
        <v>19960.012800000004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28523.120000000003</v>
      </c>
      <c r="E21" s="116">
        <f>SUM(E18:E20)</f>
        <v>5419.3928000000005</v>
      </c>
      <c r="F21" s="115">
        <f>SUM(F18:F20)</f>
        <v>33942.512800000004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33956.207199999997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207240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28523.120000000003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148882.7892125604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148882.7892125604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142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138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143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167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168</v>
      </c>
      <c r="G7" s="138"/>
      <c r="H7" s="138"/>
      <c r="I7" s="138"/>
    </row>
    <row r="8" spans="1:17" ht="16.2" thickBot="1" x14ac:dyDescent="0.35">
      <c r="A8" s="138"/>
      <c r="B8" s="330" t="s">
        <v>126</v>
      </c>
      <c r="C8" s="331"/>
      <c r="D8" s="332" t="str">
        <f>'2229'!D8</f>
        <v>N° 11784</v>
      </c>
      <c r="E8" s="138"/>
      <c r="F8" s="333" t="s">
        <v>169</v>
      </c>
      <c r="G8" s="334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66" t="s">
        <v>170</v>
      </c>
      <c r="C10" s="367" t="str">
        <f>IF('2229'!C10="","",'2229'!C10)</f>
        <v>SISTEMAS SERVICIOS SPA</v>
      </c>
      <c r="D10" s="367"/>
      <c r="E10" s="367"/>
      <c r="F10" s="368" t="s">
        <v>171</v>
      </c>
      <c r="G10" s="369">
        <f>'2229'!G10</f>
        <v>45995</v>
      </c>
      <c r="H10" s="370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56" t="s">
        <v>12</v>
      </c>
      <c r="C11" s="247" t="str">
        <f>IF('2229'!C11="","",'2229'!C11)</f>
        <v>77.091.475-2</v>
      </c>
      <c r="D11" s="362"/>
      <c r="E11" s="362"/>
      <c r="F11" s="362" t="s">
        <v>172</v>
      </c>
      <c r="G11" s="357">
        <f>WORKDAY(G10,5)</f>
        <v>46002</v>
      </c>
      <c r="H11" s="358"/>
      <c r="I11" s="138"/>
    </row>
    <row r="12" spans="1:17" ht="15.6" x14ac:dyDescent="0.3">
      <c r="A12" s="138"/>
      <c r="B12" s="371" t="s">
        <v>173</v>
      </c>
      <c r="C12" s="372" t="str">
        <f>IF('2229'!C12="","",'2229'!C12)</f>
        <v>FCA. DE MUEBLES</v>
      </c>
      <c r="D12" s="372"/>
      <c r="E12" s="372"/>
      <c r="F12" s="372" t="s">
        <v>185</v>
      </c>
      <c r="G12" s="372" t="str">
        <f>'2229'!G15</f>
        <v>SI</v>
      </c>
      <c r="H12" s="373"/>
      <c r="I12" s="138"/>
    </row>
    <row r="13" spans="1:17" ht="15.6" x14ac:dyDescent="0.3">
      <c r="A13" s="138"/>
      <c r="B13" s="246" t="s">
        <v>145</v>
      </c>
      <c r="C13" s="247" t="str">
        <f>IF('2229'!C13="","",'2229'!C13)</f>
        <v>MARIOLI CONCHA</v>
      </c>
      <c r="D13" s="247"/>
      <c r="E13" s="247"/>
      <c r="F13" s="247" t="s">
        <v>174</v>
      </c>
      <c r="G13" s="363"/>
      <c r="H13" s="248"/>
      <c r="I13" s="138"/>
    </row>
    <row r="14" spans="1:17" ht="15.6" x14ac:dyDescent="0.3">
      <c r="A14" s="138"/>
      <c r="B14" s="371" t="s">
        <v>139</v>
      </c>
      <c r="C14" s="372" t="str">
        <f>IF('2229'!C14="","",'2229'!C14)</f>
        <v>recepciondte@sistemamuebles.cl</v>
      </c>
      <c r="D14" s="372"/>
      <c r="E14" s="372"/>
      <c r="F14" s="372" t="s">
        <v>175</v>
      </c>
      <c r="G14" s="374" t="s">
        <v>176</v>
      </c>
      <c r="H14" s="373"/>
      <c r="I14" s="138"/>
    </row>
    <row r="15" spans="1:17" ht="15.6" x14ac:dyDescent="0.3">
      <c r="A15" s="138"/>
      <c r="B15" s="356" t="s">
        <v>4</v>
      </c>
      <c r="C15" s="247" t="str">
        <f>IF('2229'!C15="","",'2229'!C15)</f>
        <v>+569 9408 2633</v>
      </c>
      <c r="D15" s="364"/>
      <c r="E15" s="362"/>
      <c r="F15" s="362" t="s">
        <v>177</v>
      </c>
      <c r="G15" s="362" t="str">
        <f>'2229'!G12</f>
        <v>NO</v>
      </c>
      <c r="H15" s="358"/>
      <c r="I15" s="138"/>
    </row>
    <row r="16" spans="1:17" ht="15.6" x14ac:dyDescent="0.3">
      <c r="A16" s="138"/>
      <c r="B16" s="371" t="s">
        <v>3</v>
      </c>
      <c r="C16" s="372" t="str">
        <f>IF('2229'!C16="","",'2229'!C16)</f>
        <v>AV. SALVADOR ALLENDE 5040 CERRILLOS</v>
      </c>
      <c r="D16" s="372"/>
      <c r="E16" s="372"/>
      <c r="F16" s="372" t="s">
        <v>178</v>
      </c>
      <c r="G16" s="372" t="str">
        <f>'2229'!G16</f>
        <v>ABONO 50% SALDO C/ENTREGA</v>
      </c>
      <c r="H16" s="373"/>
      <c r="I16" s="138"/>
    </row>
    <row r="17" spans="1:16" ht="16.2" thickBot="1" x14ac:dyDescent="0.35">
      <c r="A17" s="138"/>
      <c r="B17" s="359" t="s">
        <v>13</v>
      </c>
      <c r="C17" s="365" t="str">
        <f>IF('2229'!C17="","",'2229'!C17)</f>
        <v>SANTIAGO</v>
      </c>
      <c r="D17" s="360"/>
      <c r="E17" s="361"/>
      <c r="F17" s="445" t="s">
        <v>179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180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75" t="s">
        <v>7</v>
      </c>
      <c r="C21" s="376" t="s">
        <v>1</v>
      </c>
      <c r="D21" s="376" t="s">
        <v>10</v>
      </c>
      <c r="E21" s="376" t="s">
        <v>11</v>
      </c>
      <c r="F21" s="377" t="s">
        <v>8</v>
      </c>
      <c r="G21" s="375" t="s">
        <v>5</v>
      </c>
      <c r="H21" s="377" t="s">
        <v>6</v>
      </c>
      <c r="I21" s="138"/>
    </row>
    <row r="22" spans="1:16" ht="15.6" x14ac:dyDescent="0.3">
      <c r="A22" s="138"/>
      <c r="B22" s="323">
        <f>'2229'!B21</f>
        <v>12</v>
      </c>
      <c r="C22" s="324" t="str">
        <f>'2229'!C21</f>
        <v>CEN 1V R19 MDF 30MM</v>
      </c>
      <c r="D22" s="336">
        <f>'2229'!D21*1000</f>
        <v>2000</v>
      </c>
      <c r="E22" s="336">
        <f>'2229'!E21*1000</f>
        <v>160</v>
      </c>
      <c r="F22" s="337" t="str">
        <f>'2229'!F21</f>
        <v>TRAIGHT WALNUT 10848 SF</v>
      </c>
      <c r="G22" s="326">
        <f>'2229'!G21</f>
        <v>17270</v>
      </c>
      <c r="H22" s="338">
        <f>G22*B22</f>
        <v>207240</v>
      </c>
      <c r="I22" s="138"/>
      <c r="K22" s="5"/>
      <c r="L22" s="264"/>
      <c r="M22" s="5"/>
      <c r="N22" s="5"/>
      <c r="O22" s="264"/>
      <c r="P22" s="47"/>
    </row>
    <row r="23" spans="1:16" ht="15.6" x14ac:dyDescent="0.3">
      <c r="A23" s="138"/>
      <c r="B23" s="285"/>
      <c r="C23" s="285"/>
      <c r="D23" s="285"/>
      <c r="E23" s="285"/>
      <c r="F23" s="285"/>
      <c r="G23" s="339"/>
      <c r="H23" s="339"/>
      <c r="I23" s="138"/>
      <c r="K23" s="5"/>
      <c r="L23" s="264"/>
      <c r="M23" s="5"/>
      <c r="N23" s="5"/>
      <c r="O23" s="264"/>
      <c r="P23" s="47"/>
    </row>
    <row r="24" spans="1:16" ht="16.2" thickBot="1" x14ac:dyDescent="0.35">
      <c r="A24" s="138"/>
      <c r="B24" s="285"/>
      <c r="C24" s="285"/>
      <c r="D24" s="285"/>
      <c r="E24" s="285"/>
      <c r="F24" s="340"/>
      <c r="G24" s="339"/>
      <c r="H24" s="339"/>
      <c r="I24" s="138"/>
      <c r="K24" s="5"/>
      <c r="L24" s="264"/>
      <c r="M24" s="5"/>
      <c r="N24" s="5"/>
      <c r="O24" s="264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42" t="s">
        <v>28</v>
      </c>
      <c r="H25" s="343">
        <f>SUM(H22:H24)</f>
        <v>207240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44" t="s">
        <v>29</v>
      </c>
      <c r="H26" s="345">
        <f>H25*19%</f>
        <v>39375.599999999999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46" t="s">
        <v>6</v>
      </c>
      <c r="H27" s="347">
        <f>H25+H26</f>
        <v>246615.6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48"/>
      <c r="H28" s="349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50" t="s">
        <v>181</v>
      </c>
      <c r="C30" s="351"/>
      <c r="D30" s="352"/>
      <c r="E30" s="352"/>
      <c r="F30" s="341"/>
      <c r="G30" s="138"/>
      <c r="H30" s="138"/>
      <c r="I30" s="138"/>
    </row>
    <row r="31" spans="1:16" ht="15.6" x14ac:dyDescent="0.3">
      <c r="A31" s="138"/>
      <c r="B31" s="350" t="s">
        <v>182</v>
      </c>
      <c r="C31" s="351"/>
      <c r="D31" s="352"/>
      <c r="E31" s="352"/>
      <c r="F31" s="341"/>
      <c r="G31" s="138"/>
      <c r="H31" s="138"/>
      <c r="I31" s="138"/>
    </row>
    <row r="32" spans="1:16" ht="15.6" x14ac:dyDescent="0.3">
      <c r="A32" s="138"/>
      <c r="B32" s="138" t="s">
        <v>125</v>
      </c>
      <c r="C32" s="138"/>
      <c r="D32" s="138"/>
      <c r="E32" s="353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186</v>
      </c>
      <c r="C2" s="450"/>
      <c r="D2" s="450"/>
      <c r="E2" s="378"/>
      <c r="G2" s="450" t="s">
        <v>187</v>
      </c>
      <c r="H2" s="450"/>
      <c r="I2" s="450"/>
      <c r="P2" s="451" t="s">
        <v>188</v>
      </c>
      <c r="Q2" s="451"/>
      <c r="R2" s="451"/>
    </row>
    <row r="3" spans="2:18" x14ac:dyDescent="0.3">
      <c r="B3" s="380" t="s">
        <v>131</v>
      </c>
      <c r="C3" s="380" t="s">
        <v>11</v>
      </c>
      <c r="D3" s="380" t="s">
        <v>1</v>
      </c>
      <c r="E3" s="381"/>
      <c r="G3" s="380" t="s">
        <v>131</v>
      </c>
      <c r="H3" s="380" t="s">
        <v>11</v>
      </c>
      <c r="I3" s="380" t="s">
        <v>1</v>
      </c>
      <c r="P3" s="380" t="s">
        <v>131</v>
      </c>
      <c r="Q3" s="380" t="s">
        <v>11</v>
      </c>
      <c r="R3" s="380" t="s">
        <v>1</v>
      </c>
    </row>
    <row r="4" spans="2:18" x14ac:dyDescent="0.3">
      <c r="B4" s="382">
        <v>40</v>
      </c>
      <c r="C4" s="382">
        <v>60</v>
      </c>
      <c r="D4" s="383" t="s">
        <v>189</v>
      </c>
      <c r="E4" s="247" t="s">
        <v>190</v>
      </c>
      <c r="G4" s="379">
        <v>50</v>
      </c>
      <c r="H4" s="379">
        <v>100</v>
      </c>
      <c r="I4" s="384" t="s">
        <v>189</v>
      </c>
      <c r="J4" s="54" t="s">
        <v>191</v>
      </c>
      <c r="K4" s="54"/>
      <c r="L4" s="54"/>
      <c r="M4" s="54"/>
      <c r="P4">
        <v>50</v>
      </c>
      <c r="Q4">
        <v>-30</v>
      </c>
      <c r="R4" t="s">
        <v>192</v>
      </c>
    </row>
    <row r="5" spans="2:18" x14ac:dyDescent="0.3">
      <c r="B5" s="382">
        <v>40</v>
      </c>
      <c r="C5" s="382">
        <v>90</v>
      </c>
      <c r="D5" s="383" t="s">
        <v>193</v>
      </c>
      <c r="E5" s="247" t="s">
        <v>194</v>
      </c>
      <c r="G5" s="379">
        <v>50</v>
      </c>
      <c r="H5" s="379"/>
      <c r="I5" s="384" t="s">
        <v>195</v>
      </c>
      <c r="J5" s="54" t="s">
        <v>196</v>
      </c>
      <c r="K5" s="54"/>
      <c r="L5" s="54"/>
      <c r="M5" s="54"/>
      <c r="P5">
        <v>50</v>
      </c>
      <c r="Q5">
        <v>-30</v>
      </c>
      <c r="R5" t="s">
        <v>192</v>
      </c>
    </row>
    <row r="6" spans="2:18" x14ac:dyDescent="0.3">
      <c r="B6" s="382">
        <v>40</v>
      </c>
      <c r="C6" s="382">
        <v>100</v>
      </c>
      <c r="D6" s="383" t="s">
        <v>197</v>
      </c>
      <c r="E6" s="247" t="s">
        <v>198</v>
      </c>
      <c r="G6" s="382">
        <v>50</v>
      </c>
      <c r="H6" s="382">
        <v>100</v>
      </c>
      <c r="I6" s="383" t="s">
        <v>197</v>
      </c>
      <c r="P6">
        <v>50</v>
      </c>
      <c r="Q6">
        <v>-30</v>
      </c>
      <c r="R6" t="s">
        <v>199</v>
      </c>
    </row>
    <row r="7" spans="2:18" x14ac:dyDescent="0.3">
      <c r="B7" s="382">
        <v>40</v>
      </c>
      <c r="C7" s="382">
        <v>150</v>
      </c>
      <c r="D7" s="383" t="s">
        <v>200</v>
      </c>
      <c r="E7" s="247" t="s">
        <v>201</v>
      </c>
      <c r="G7" s="382">
        <v>50</v>
      </c>
      <c r="H7" s="382"/>
      <c r="I7" s="383" t="s">
        <v>200</v>
      </c>
      <c r="P7">
        <v>50</v>
      </c>
      <c r="Q7">
        <v>-30</v>
      </c>
      <c r="R7" t="s">
        <v>202</v>
      </c>
    </row>
    <row r="8" spans="2:18" x14ac:dyDescent="0.3">
      <c r="B8" s="382">
        <v>40</v>
      </c>
      <c r="C8" s="382">
        <v>100</v>
      </c>
      <c r="D8" s="383" t="s">
        <v>203</v>
      </c>
      <c r="E8" s="247" t="s">
        <v>204</v>
      </c>
      <c r="G8" s="382">
        <v>50</v>
      </c>
      <c r="H8" s="382">
        <v>100</v>
      </c>
      <c r="I8" s="383" t="s">
        <v>203</v>
      </c>
      <c r="L8" s="451" t="s">
        <v>188</v>
      </c>
      <c r="M8" s="451"/>
      <c r="N8" s="451"/>
      <c r="P8">
        <v>50</v>
      </c>
      <c r="Q8">
        <v>-30</v>
      </c>
      <c r="R8" t="s">
        <v>205</v>
      </c>
    </row>
    <row r="9" spans="2:18" x14ac:dyDescent="0.3">
      <c r="B9" s="382">
        <v>40</v>
      </c>
      <c r="C9" s="382">
        <v>50</v>
      </c>
      <c r="D9" s="383" t="s">
        <v>206</v>
      </c>
      <c r="E9" s="247" t="s">
        <v>207</v>
      </c>
      <c r="G9" s="382">
        <v>50</v>
      </c>
      <c r="H9" s="382">
        <v>100</v>
      </c>
      <c r="I9" s="383" t="s">
        <v>208</v>
      </c>
      <c r="L9" s="380" t="s">
        <v>131</v>
      </c>
      <c r="M9" s="380" t="s">
        <v>11</v>
      </c>
      <c r="N9" s="380" t="s">
        <v>1</v>
      </c>
      <c r="P9">
        <v>50</v>
      </c>
      <c r="Q9">
        <v>0</v>
      </c>
      <c r="R9" t="s">
        <v>209</v>
      </c>
    </row>
    <row r="10" spans="2:18" x14ac:dyDescent="0.3">
      <c r="B10" s="382">
        <v>40</v>
      </c>
      <c r="C10" s="382">
        <v>80</v>
      </c>
      <c r="D10" s="383" t="s">
        <v>210</v>
      </c>
      <c r="E10" s="247" t="s">
        <v>211</v>
      </c>
      <c r="G10" s="382">
        <v>50</v>
      </c>
      <c r="H10" s="382"/>
      <c r="I10" s="383" t="s">
        <v>212</v>
      </c>
      <c r="L10" s="382">
        <v>50</v>
      </c>
      <c r="M10" s="382">
        <v>-30</v>
      </c>
      <c r="N10" s="383" t="s">
        <v>192</v>
      </c>
      <c r="P10">
        <v>50</v>
      </c>
      <c r="Q10">
        <v>0</v>
      </c>
      <c r="R10" t="s">
        <v>213</v>
      </c>
    </row>
    <row r="11" spans="2:18" x14ac:dyDescent="0.3">
      <c r="B11" s="382">
        <v>40</v>
      </c>
      <c r="C11" s="382">
        <v>60</v>
      </c>
      <c r="D11" s="383" t="s">
        <v>214</v>
      </c>
      <c r="E11" s="247" t="s">
        <v>215</v>
      </c>
      <c r="G11" s="382">
        <v>50</v>
      </c>
      <c r="H11" s="382">
        <v>100</v>
      </c>
      <c r="I11" s="383" t="s">
        <v>206</v>
      </c>
      <c r="L11" s="382">
        <v>50</v>
      </c>
      <c r="M11" s="382">
        <v>0</v>
      </c>
      <c r="N11" s="383" t="s">
        <v>216</v>
      </c>
      <c r="P11">
        <v>50</v>
      </c>
      <c r="Q11">
        <v>0</v>
      </c>
      <c r="R11" t="s">
        <v>217</v>
      </c>
    </row>
    <row r="12" spans="2:18" x14ac:dyDescent="0.3">
      <c r="B12" s="382">
        <v>40</v>
      </c>
      <c r="C12" s="382">
        <v>100</v>
      </c>
      <c r="D12" s="383" t="s">
        <v>218</v>
      </c>
      <c r="E12" s="247" t="s">
        <v>219</v>
      </c>
      <c r="G12" s="382">
        <v>50</v>
      </c>
      <c r="H12" s="382"/>
      <c r="I12" s="383" t="s">
        <v>210</v>
      </c>
      <c r="L12" s="382">
        <v>50</v>
      </c>
      <c r="M12" s="382">
        <v>-2</v>
      </c>
      <c r="N12" s="383" t="s">
        <v>220</v>
      </c>
      <c r="P12">
        <v>50</v>
      </c>
      <c r="Q12">
        <v>0</v>
      </c>
      <c r="R12" t="s">
        <v>221</v>
      </c>
    </row>
    <row r="13" spans="2:18" x14ac:dyDescent="0.3">
      <c r="B13" s="382">
        <v>40</v>
      </c>
      <c r="C13" s="382">
        <v>130</v>
      </c>
      <c r="D13" s="383" t="s">
        <v>222</v>
      </c>
      <c r="E13" s="247" t="s">
        <v>223</v>
      </c>
      <c r="G13" s="382">
        <v>50</v>
      </c>
      <c r="H13" s="382">
        <v>-30</v>
      </c>
      <c r="I13" s="383" t="s">
        <v>192</v>
      </c>
      <c r="P13">
        <v>50</v>
      </c>
      <c r="Q13">
        <v>0</v>
      </c>
      <c r="R13" t="s">
        <v>224</v>
      </c>
    </row>
    <row r="14" spans="2:18" x14ac:dyDescent="0.3">
      <c r="B14" s="382">
        <v>40</v>
      </c>
      <c r="C14" s="382">
        <v>150</v>
      </c>
      <c r="D14" s="383" t="s">
        <v>199</v>
      </c>
      <c r="E14" s="247"/>
      <c r="G14" s="382">
        <v>50</v>
      </c>
      <c r="H14" s="382">
        <v>-30</v>
      </c>
      <c r="I14" s="383" t="s">
        <v>199</v>
      </c>
    </row>
    <row r="15" spans="2:18" x14ac:dyDescent="0.3">
      <c r="B15" s="382">
        <v>40</v>
      </c>
      <c r="C15" s="382">
        <v>150</v>
      </c>
      <c r="D15" s="383" t="s">
        <v>225</v>
      </c>
      <c r="E15" s="247" t="s">
        <v>226</v>
      </c>
      <c r="G15" s="382">
        <v>50</v>
      </c>
      <c r="H15" s="382">
        <v>-30</v>
      </c>
      <c r="I15" s="383" t="s">
        <v>202</v>
      </c>
      <c r="P15">
        <v>50</v>
      </c>
      <c r="Q15">
        <v>0</v>
      </c>
      <c r="R15" t="s">
        <v>227</v>
      </c>
    </row>
    <row r="16" spans="2:18" x14ac:dyDescent="0.3">
      <c r="B16" s="382">
        <v>40</v>
      </c>
      <c r="C16" s="382">
        <v>130</v>
      </c>
      <c r="D16" s="383" t="s">
        <v>228</v>
      </c>
      <c r="E16" s="247" t="s">
        <v>229</v>
      </c>
      <c r="G16" s="382">
        <v>50</v>
      </c>
      <c r="H16" s="382">
        <v>-30</v>
      </c>
      <c r="I16" s="383" t="s">
        <v>230</v>
      </c>
      <c r="P16">
        <v>50</v>
      </c>
      <c r="Q16">
        <v>0</v>
      </c>
      <c r="R16" t="s">
        <v>231</v>
      </c>
    </row>
    <row r="17" spans="2:18" x14ac:dyDescent="0.3">
      <c r="B17" s="382">
        <v>40</v>
      </c>
      <c r="C17" s="382">
        <v>150</v>
      </c>
      <c r="D17" s="383" t="s">
        <v>217</v>
      </c>
      <c r="E17" s="247" t="s">
        <v>232</v>
      </c>
      <c r="G17" s="382">
        <v>50</v>
      </c>
      <c r="H17" s="382"/>
      <c r="I17" s="383" t="s">
        <v>217</v>
      </c>
      <c r="P17">
        <v>50</v>
      </c>
      <c r="Q17">
        <v>0</v>
      </c>
      <c r="R17" t="s">
        <v>233</v>
      </c>
    </row>
    <row r="18" spans="2:18" x14ac:dyDescent="0.3">
      <c r="B18" s="382">
        <v>140</v>
      </c>
      <c r="C18" s="382">
        <v>150</v>
      </c>
      <c r="D18" s="383" t="s">
        <v>221</v>
      </c>
      <c r="E18" s="247" t="s">
        <v>234</v>
      </c>
      <c r="G18" s="382">
        <v>50</v>
      </c>
      <c r="H18" s="382"/>
      <c r="I18" s="383" t="s">
        <v>221</v>
      </c>
      <c r="P18">
        <v>50</v>
      </c>
      <c r="Q18">
        <v>0</v>
      </c>
      <c r="R18" t="s">
        <v>235</v>
      </c>
    </row>
    <row r="19" spans="2:18" x14ac:dyDescent="0.3">
      <c r="B19" s="382">
        <v>150</v>
      </c>
      <c r="C19" s="382">
        <v>150</v>
      </c>
      <c r="D19" s="383" t="s">
        <v>224</v>
      </c>
      <c r="E19" s="247" t="s">
        <v>236</v>
      </c>
      <c r="G19" s="382">
        <v>50</v>
      </c>
      <c r="H19" s="382"/>
      <c r="I19" s="383" t="s">
        <v>224</v>
      </c>
      <c r="P19">
        <v>50</v>
      </c>
      <c r="Q19">
        <v>0</v>
      </c>
      <c r="R19" t="s">
        <v>237</v>
      </c>
    </row>
    <row r="20" spans="2:18" x14ac:dyDescent="0.3">
      <c r="B20" s="382">
        <v>40</v>
      </c>
      <c r="C20" s="382">
        <v>100</v>
      </c>
      <c r="D20" s="383" t="s">
        <v>238</v>
      </c>
      <c r="E20" s="247" t="s">
        <v>239</v>
      </c>
      <c r="G20" s="382">
        <v>50</v>
      </c>
      <c r="H20" s="382">
        <v>0</v>
      </c>
      <c r="I20" s="383" t="s">
        <v>238</v>
      </c>
      <c r="J20" s="54" t="s">
        <v>240</v>
      </c>
      <c r="K20" s="54"/>
      <c r="L20" s="54"/>
      <c r="M20" s="54"/>
      <c r="P20">
        <v>50</v>
      </c>
      <c r="Q20">
        <v>0</v>
      </c>
      <c r="R20" t="s">
        <v>241</v>
      </c>
    </row>
    <row r="21" spans="2:18" x14ac:dyDescent="0.3">
      <c r="B21" s="382">
        <v>100</v>
      </c>
      <c r="C21" s="382">
        <v>100</v>
      </c>
      <c r="D21" s="383" t="s">
        <v>242</v>
      </c>
      <c r="E21" s="247" t="s">
        <v>243</v>
      </c>
      <c r="G21" s="382">
        <v>50</v>
      </c>
      <c r="H21" s="382">
        <v>0</v>
      </c>
      <c r="I21" s="383" t="s">
        <v>242</v>
      </c>
      <c r="P21">
        <v>50</v>
      </c>
      <c r="Q21">
        <v>0</v>
      </c>
      <c r="R21" t="s">
        <v>244</v>
      </c>
    </row>
    <row r="22" spans="2:18" x14ac:dyDescent="0.3">
      <c r="B22" s="382">
        <v>100</v>
      </c>
      <c r="C22" s="382">
        <v>100</v>
      </c>
      <c r="D22" s="383" t="s">
        <v>227</v>
      </c>
      <c r="E22" s="247" t="s">
        <v>245</v>
      </c>
      <c r="G22" s="379"/>
      <c r="H22" s="379"/>
      <c r="I22" s="384" t="s">
        <v>227</v>
      </c>
      <c r="P22">
        <v>50</v>
      </c>
      <c r="Q22">
        <v>0</v>
      </c>
      <c r="R22" t="s">
        <v>246</v>
      </c>
    </row>
    <row r="23" spans="2:18" x14ac:dyDescent="0.3">
      <c r="B23" s="382">
        <v>40</v>
      </c>
      <c r="C23" s="382">
        <v>150</v>
      </c>
      <c r="D23" s="383" t="s">
        <v>231</v>
      </c>
      <c r="E23" s="247" t="s">
        <v>247</v>
      </c>
      <c r="G23" s="382">
        <v>50</v>
      </c>
      <c r="H23" s="382"/>
      <c r="I23" s="383" t="s">
        <v>231</v>
      </c>
      <c r="R23" t="s">
        <v>248</v>
      </c>
    </row>
    <row r="24" spans="2:18" x14ac:dyDescent="0.3">
      <c r="B24" s="382">
        <v>140</v>
      </c>
      <c r="C24" s="382">
        <v>150</v>
      </c>
      <c r="D24" s="383" t="s">
        <v>233</v>
      </c>
      <c r="E24" s="247" t="s">
        <v>249</v>
      </c>
      <c r="G24" s="382">
        <v>50</v>
      </c>
      <c r="H24" s="382"/>
      <c r="I24" s="383" t="s">
        <v>233</v>
      </c>
      <c r="R24" t="s">
        <v>250</v>
      </c>
    </row>
    <row r="25" spans="2:18" x14ac:dyDescent="0.3">
      <c r="B25" s="382">
        <v>150</v>
      </c>
      <c r="C25" s="382">
        <v>150</v>
      </c>
      <c r="D25" s="383" t="s">
        <v>235</v>
      </c>
      <c r="E25" s="247" t="s">
        <v>251</v>
      </c>
      <c r="G25" s="382">
        <v>50</v>
      </c>
      <c r="H25" s="382"/>
      <c r="I25" s="383" t="s">
        <v>235</v>
      </c>
      <c r="R25" t="s">
        <v>197</v>
      </c>
    </row>
    <row r="26" spans="2:18" x14ac:dyDescent="0.3">
      <c r="B26" s="382">
        <v>40</v>
      </c>
      <c r="C26" s="382">
        <v>77</v>
      </c>
      <c r="D26" s="383" t="s">
        <v>237</v>
      </c>
      <c r="E26" s="247" t="s">
        <v>252</v>
      </c>
      <c r="G26" s="382">
        <v>50</v>
      </c>
      <c r="H26" s="382"/>
      <c r="I26" s="383" t="s">
        <v>237</v>
      </c>
      <c r="R26" t="s">
        <v>200</v>
      </c>
    </row>
    <row r="27" spans="2:18" x14ac:dyDescent="0.3">
      <c r="B27" s="382">
        <v>110</v>
      </c>
      <c r="C27" s="382">
        <v>77</v>
      </c>
      <c r="D27" s="383" t="s">
        <v>241</v>
      </c>
      <c r="E27" s="247" t="s">
        <v>253</v>
      </c>
      <c r="G27" s="382">
        <v>50</v>
      </c>
      <c r="H27" s="382"/>
      <c r="I27" s="383" t="s">
        <v>241</v>
      </c>
      <c r="R27" t="s">
        <v>203</v>
      </c>
    </row>
    <row r="28" spans="2:18" x14ac:dyDescent="0.3">
      <c r="B28" s="382">
        <v>120</v>
      </c>
      <c r="C28" s="382">
        <v>77</v>
      </c>
      <c r="D28" s="383" t="s">
        <v>244</v>
      </c>
      <c r="E28" s="247" t="s">
        <v>254</v>
      </c>
      <c r="G28" s="382">
        <v>50</v>
      </c>
      <c r="H28" s="382"/>
      <c r="I28" s="383" t="s">
        <v>244</v>
      </c>
      <c r="R28" t="s">
        <v>208</v>
      </c>
    </row>
    <row r="29" spans="2:18" x14ac:dyDescent="0.3">
      <c r="B29" s="382">
        <v>40</v>
      </c>
      <c r="C29" s="382">
        <v>50</v>
      </c>
      <c r="D29" s="383" t="s">
        <v>246</v>
      </c>
      <c r="E29" s="247" t="s">
        <v>255</v>
      </c>
      <c r="G29" s="382">
        <v>50</v>
      </c>
      <c r="H29" s="382"/>
      <c r="I29" s="383" t="s">
        <v>246</v>
      </c>
      <c r="R29" t="s">
        <v>212</v>
      </c>
    </row>
    <row r="30" spans="2:18" x14ac:dyDescent="0.3">
      <c r="B30" s="382">
        <v>40</v>
      </c>
      <c r="C30" s="382">
        <v>60</v>
      </c>
      <c r="D30" s="383" t="s">
        <v>256</v>
      </c>
      <c r="E30" s="247" t="s">
        <v>257</v>
      </c>
      <c r="G30" s="382">
        <v>50</v>
      </c>
      <c r="H30" s="382"/>
      <c r="I30" s="383" t="s">
        <v>213</v>
      </c>
      <c r="R30" t="s">
        <v>206</v>
      </c>
    </row>
    <row r="31" spans="2:18" x14ac:dyDescent="0.3">
      <c r="B31" s="382">
        <v>40</v>
      </c>
      <c r="C31" s="382">
        <v>100</v>
      </c>
      <c r="D31" s="383" t="s">
        <v>209</v>
      </c>
      <c r="E31" s="247" t="s">
        <v>258</v>
      </c>
      <c r="G31" s="382">
        <v>50</v>
      </c>
      <c r="H31" s="382"/>
      <c r="I31" s="383" t="s">
        <v>209</v>
      </c>
      <c r="R31" t="s">
        <v>210</v>
      </c>
    </row>
    <row r="32" spans="2:18" x14ac:dyDescent="0.3">
      <c r="B32" s="382">
        <v>40</v>
      </c>
      <c r="C32" s="382">
        <v>60</v>
      </c>
      <c r="D32" s="383" t="s">
        <v>259</v>
      </c>
      <c r="E32" s="247" t="s">
        <v>260</v>
      </c>
      <c r="G32" s="382">
        <v>50</v>
      </c>
      <c r="H32" s="382"/>
      <c r="I32" s="383" t="s">
        <v>259</v>
      </c>
      <c r="R32" t="s">
        <v>261</v>
      </c>
    </row>
    <row r="33" spans="2:18" x14ac:dyDescent="0.3">
      <c r="B33" s="382">
        <v>40</v>
      </c>
      <c r="C33" s="382">
        <v>90</v>
      </c>
      <c r="D33" s="383" t="s">
        <v>262</v>
      </c>
      <c r="E33" s="247" t="s">
        <v>263</v>
      </c>
      <c r="G33" s="382">
        <v>50</v>
      </c>
      <c r="H33" s="382">
        <v>-2</v>
      </c>
      <c r="I33" s="383" t="s">
        <v>262</v>
      </c>
      <c r="R33" t="s">
        <v>264</v>
      </c>
    </row>
    <row r="34" spans="2:18" x14ac:dyDescent="0.3">
      <c r="B34" s="382">
        <v>40</v>
      </c>
      <c r="C34" s="382">
        <v>90</v>
      </c>
      <c r="D34" s="383" t="s">
        <v>265</v>
      </c>
      <c r="E34" s="247"/>
      <c r="G34" s="382">
        <v>50</v>
      </c>
      <c r="H34" s="382">
        <v>-2</v>
      </c>
      <c r="I34" s="383" t="s">
        <v>265</v>
      </c>
    </row>
    <row r="35" spans="2:18" x14ac:dyDescent="0.3">
      <c r="B35" s="382">
        <v>40</v>
      </c>
      <c r="C35" s="382">
        <v>90</v>
      </c>
      <c r="D35" s="383" t="s">
        <v>261</v>
      </c>
      <c r="E35" s="247" t="s">
        <v>266</v>
      </c>
      <c r="G35" s="382">
        <v>50</v>
      </c>
      <c r="H35" s="382">
        <v>-2</v>
      </c>
      <c r="I35" s="383" t="s">
        <v>261</v>
      </c>
      <c r="R35" t="s">
        <v>267</v>
      </c>
    </row>
    <row r="36" spans="2:18" x14ac:dyDescent="0.3">
      <c r="B36" s="385">
        <v>40</v>
      </c>
      <c r="C36" s="385">
        <v>90</v>
      </c>
      <c r="D36" s="386" t="s">
        <v>264</v>
      </c>
      <c r="G36" s="382">
        <v>50</v>
      </c>
      <c r="H36" s="382">
        <v>-2</v>
      </c>
      <c r="I36" s="383" t="s">
        <v>264</v>
      </c>
      <c r="R36" t="s">
        <v>262</v>
      </c>
    </row>
    <row r="37" spans="2:18" x14ac:dyDescent="0.3">
      <c r="B37" s="385">
        <v>40</v>
      </c>
      <c r="C37" s="385">
        <v>90</v>
      </c>
      <c r="D37" s="386" t="s">
        <v>267</v>
      </c>
      <c r="G37" s="382">
        <v>50</v>
      </c>
      <c r="H37" s="382">
        <v>-2</v>
      </c>
      <c r="I37" s="383" t="s">
        <v>267</v>
      </c>
      <c r="R37" t="s">
        <v>265</v>
      </c>
    </row>
    <row r="48" spans="2:18" x14ac:dyDescent="0.3">
      <c r="B48" s="382">
        <v>40</v>
      </c>
      <c r="C48" s="382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268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269</v>
      </c>
      <c r="L3" s="456"/>
      <c r="M3" s="456" t="s">
        <v>270</v>
      </c>
      <c r="N3" s="456"/>
    </row>
    <row r="4" spans="1:14" ht="15.75" customHeight="1" x14ac:dyDescent="0.3">
      <c r="A4" s="138"/>
      <c r="B4" s="138"/>
      <c r="C4" s="387" t="s">
        <v>169</v>
      </c>
      <c r="D4" s="140" t="str">
        <f>IF('NOTA DE VENTA'!$G$8="","",'NOTA DE VENTA'!$G$8)</f>
        <v/>
      </c>
      <c r="E4" s="138"/>
      <c r="F4" s="138"/>
      <c r="G4" s="138"/>
      <c r="K4" t="s">
        <v>131</v>
      </c>
      <c r="L4" t="s">
        <v>11</v>
      </c>
      <c r="M4" t="s">
        <v>131</v>
      </c>
      <c r="N4" t="s">
        <v>11</v>
      </c>
    </row>
    <row r="5" spans="1:14" ht="18" customHeight="1" x14ac:dyDescent="0.3">
      <c r="A5" s="138"/>
      <c r="B5" s="138"/>
      <c r="C5" s="388" t="s">
        <v>271</v>
      </c>
      <c r="D5" s="389" t="str">
        <f>'NOTA DE VENTA'!$C$10</f>
        <v>SISTEMAS SERVICIOS SPA</v>
      </c>
      <c r="E5" s="335"/>
      <c r="F5" s="335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90"/>
      <c r="D6" s="391"/>
      <c r="E6" s="138"/>
      <c r="F6" s="138"/>
      <c r="G6" s="138"/>
    </row>
    <row r="7" spans="1:14" ht="15.6" x14ac:dyDescent="0.3">
      <c r="A7" s="138"/>
      <c r="B7" s="138"/>
      <c r="C7" s="413" t="str">
        <f>'NOTA DE VENTA'!$F$10</f>
        <v>FECHA :</v>
      </c>
      <c r="D7" s="423">
        <f>'NOTA DE VENTA'!$G$10</f>
        <v>45995</v>
      </c>
      <c r="E7" s="138"/>
      <c r="F7" s="138"/>
      <c r="G7" s="138"/>
    </row>
    <row r="8" spans="1:14" ht="15.6" x14ac:dyDescent="0.3">
      <c r="A8" s="138"/>
      <c r="B8" s="138"/>
      <c r="C8" s="387" t="s">
        <v>272</v>
      </c>
      <c r="D8" s="422">
        <f>'NOTA DE VENTA'!$G$11</f>
        <v>46002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269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93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48" t="s">
        <v>131</v>
      </c>
      <c r="E12" s="348" t="s">
        <v>11</v>
      </c>
      <c r="F12" s="138"/>
      <c r="G12" s="138"/>
    </row>
    <row r="13" spans="1:14" ht="15.6" x14ac:dyDescent="0.3">
      <c r="A13" s="348" t="s">
        <v>87</v>
      </c>
      <c r="B13" s="394" t="s">
        <v>96</v>
      </c>
      <c r="C13" s="394" t="s">
        <v>25</v>
      </c>
      <c r="D13" s="395">
        <v>80</v>
      </c>
      <c r="E13" s="395">
        <v>-30</v>
      </c>
      <c r="F13" s="394" t="s">
        <v>273</v>
      </c>
      <c r="G13" s="138"/>
      <c r="J13" s="396" t="s">
        <v>131</v>
      </c>
      <c r="K13" s="396" t="s">
        <v>11</v>
      </c>
    </row>
    <row r="14" spans="1:14" ht="15.6" x14ac:dyDescent="0.3">
      <c r="A14" s="397" t="s">
        <v>31</v>
      </c>
      <c r="B14" s="398">
        <f t="shared" ref="B14" si="0">I14</f>
        <v>1</v>
      </c>
      <c r="C14" s="398"/>
      <c r="D14" s="398">
        <f>LOOKUP(F14,REGLAS!$I$4:$I$37,REGLAS!$G$4:$G$37)+J14</f>
        <v>1850</v>
      </c>
      <c r="E14" s="399">
        <f>LOOKUP(F14,REGLAS!$I$4:$I$37,REGLAS!$H$4:$H$37)+K14</f>
        <v>470</v>
      </c>
      <c r="F14" s="400" t="str">
        <f>C27</f>
        <v>CUB C/R R8</v>
      </c>
      <c r="G14" s="138"/>
      <c r="I14" s="401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48"/>
      <c r="B15" s="52"/>
      <c r="C15" s="52"/>
      <c r="D15" s="52"/>
      <c r="E15" s="402"/>
      <c r="F15" s="52"/>
      <c r="G15" s="138"/>
      <c r="I15" s="403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270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93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48" t="s">
        <v>131</v>
      </c>
      <c r="E19" s="348" t="s">
        <v>11</v>
      </c>
      <c r="F19" s="138"/>
      <c r="G19" s="138"/>
    </row>
    <row r="20" spans="1:11" ht="15.6" x14ac:dyDescent="0.3">
      <c r="A20" s="348" t="s">
        <v>87</v>
      </c>
      <c r="B20" s="404" t="s">
        <v>96</v>
      </c>
      <c r="C20" s="404" t="s">
        <v>25</v>
      </c>
      <c r="D20" s="405">
        <v>40</v>
      </c>
      <c r="E20" s="405">
        <v>130</v>
      </c>
      <c r="F20" s="404" t="s">
        <v>273</v>
      </c>
      <c r="G20" s="138"/>
      <c r="J20" s="396" t="s">
        <v>131</v>
      </c>
      <c r="K20" s="396" t="s">
        <v>11</v>
      </c>
    </row>
    <row r="21" spans="1:11" ht="15.6" x14ac:dyDescent="0.3">
      <c r="A21" s="397" t="s">
        <v>274</v>
      </c>
      <c r="B21" s="406">
        <f t="shared" ref="B21" si="2">I21</f>
        <v>1</v>
      </c>
      <c r="C21" s="406"/>
      <c r="D21" s="406">
        <f>LOOKUP(F14,REGLAS!$D$4:$D$37,REGLAS!$B$4:$B$37)+J21</f>
        <v>1840</v>
      </c>
      <c r="E21" s="406">
        <f>LOOKUP(F14,REGLAS!$D$4:$D$37,REGLAS!$C$4:$C$37)+K21</f>
        <v>630</v>
      </c>
      <c r="F21" s="407" t="str">
        <f>C27</f>
        <v>CUB C/R R8</v>
      </c>
      <c r="G21" s="138"/>
      <c r="I21" s="401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408"/>
      <c r="B22" s="52"/>
      <c r="C22" s="52"/>
      <c r="D22" s="52"/>
      <c r="E22" s="52"/>
      <c r="F22" s="52"/>
      <c r="G22" s="138"/>
      <c r="I22" s="403"/>
      <c r="J22" s="6"/>
      <c r="K22" s="6"/>
    </row>
    <row r="23" spans="1:11" ht="16.2" thickBot="1" x14ac:dyDescent="0.35">
      <c r="A23" s="348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48"/>
      <c r="B24" s="409" t="s">
        <v>275</v>
      </c>
      <c r="C24" s="410"/>
      <c r="D24" s="410"/>
      <c r="E24" s="410"/>
      <c r="F24" s="411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48" t="s">
        <v>87</v>
      </c>
      <c r="B26" s="412" t="s">
        <v>96</v>
      </c>
      <c r="C26" s="412" t="s">
        <v>273</v>
      </c>
      <c r="D26" s="412" t="s">
        <v>131</v>
      </c>
      <c r="E26" s="412" t="s">
        <v>11</v>
      </c>
      <c r="F26" s="412" t="s">
        <v>8</v>
      </c>
      <c r="G26" s="138"/>
    </row>
    <row r="27" spans="1:11" ht="15.6" x14ac:dyDescent="0.3">
      <c r="A27" s="397" t="s">
        <v>31</v>
      </c>
      <c r="B27" s="398">
        <f>'[1]4637'!B21</f>
        <v>1</v>
      </c>
      <c r="C27" s="400" t="str">
        <f>'[1]4637'!C21</f>
        <v>CUB C/R R8</v>
      </c>
      <c r="D27" s="398">
        <f>'[1]4637'!D21</f>
        <v>1800</v>
      </c>
      <c r="E27" s="398">
        <f>'[1]4637'!E21</f>
        <v>500</v>
      </c>
      <c r="F27" s="398" t="str">
        <f>'[1]4637'!F21</f>
        <v>LATE 2167 MT</v>
      </c>
      <c r="G27" s="138"/>
    </row>
    <row r="28" spans="1:11" ht="15.6" x14ac:dyDescent="0.3">
      <c r="A28" s="408"/>
      <c r="B28" s="52"/>
      <c r="C28" s="52"/>
      <c r="D28" s="52"/>
      <c r="E28" s="52"/>
      <c r="F28" s="52"/>
      <c r="G28" s="138"/>
    </row>
    <row r="29" spans="1:11" ht="15.6" x14ac:dyDescent="0.3">
      <c r="A29" s="348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87" t="s">
        <v>169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88" t="s">
        <v>271</v>
      </c>
      <c r="D40" s="389" t="str">
        <f>'[1]4637'!C10</f>
        <v>FMR MAKING SPA</v>
      </c>
      <c r="E40" s="335"/>
      <c r="F40" s="335"/>
      <c r="G40" s="138"/>
    </row>
    <row r="41" spans="1:7" ht="4.5" customHeight="1" x14ac:dyDescent="0.3">
      <c r="A41" s="138"/>
      <c r="B41" s="138"/>
      <c r="C41" s="390"/>
      <c r="D41" s="391"/>
      <c r="E41" s="138"/>
      <c r="F41" s="138"/>
      <c r="G41" s="138"/>
    </row>
    <row r="42" spans="1:7" ht="15.6" x14ac:dyDescent="0.3">
      <c r="A42" s="138"/>
      <c r="B42" s="138"/>
      <c r="C42" s="413" t="str">
        <f>'[1]4637'!F11</f>
        <v>FECHA LIMITE :</v>
      </c>
      <c r="D42" s="392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276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404" t="s">
        <v>96</v>
      </c>
      <c r="C48" s="414" t="s">
        <v>25</v>
      </c>
      <c r="D48" s="415" t="s">
        <v>131</v>
      </c>
      <c r="E48" s="415" t="s">
        <v>11</v>
      </c>
      <c r="F48" s="416" t="s">
        <v>277</v>
      </c>
      <c r="G48" s="138"/>
    </row>
    <row r="49" spans="1:7" s="59" customFormat="1" ht="15" customHeight="1" x14ac:dyDescent="0.3">
      <c r="A49" s="397" t="s">
        <v>278</v>
      </c>
      <c r="B49" s="417">
        <f>'[1]4637'!B21</f>
        <v>1</v>
      </c>
      <c r="C49" s="418" t="str">
        <f>'[1]4637'!C21</f>
        <v>CUB C/R R8</v>
      </c>
      <c r="D49" s="419">
        <f>'[1]4637'!D21</f>
        <v>1800</v>
      </c>
      <c r="E49" s="419">
        <f>'[1]4637'!E21</f>
        <v>500</v>
      </c>
      <c r="F49" s="417" t="str">
        <f>'[1]4637'!F21</f>
        <v>LATE 2167 MT</v>
      </c>
      <c r="G49" s="138"/>
    </row>
    <row r="50" spans="1:7" s="59" customFormat="1" ht="15" customHeight="1" x14ac:dyDescent="0.3">
      <c r="A50" s="408"/>
      <c r="B50" s="348"/>
      <c r="C50" s="420"/>
      <c r="D50" s="348"/>
      <c r="E50" s="348"/>
      <c r="F50" s="348"/>
      <c r="G50" s="138"/>
    </row>
    <row r="51" spans="1:7" s="59" customFormat="1" ht="15" customHeight="1" x14ac:dyDescent="0.3">
      <c r="A51" s="139"/>
      <c r="B51" s="348"/>
      <c r="C51" s="348"/>
      <c r="D51" s="348"/>
      <c r="E51" s="348"/>
      <c r="F51" s="348"/>
      <c r="G51" s="138"/>
    </row>
    <row r="52" spans="1:7" ht="15.6" x14ac:dyDescent="0.3">
      <c r="A52" s="52"/>
      <c r="B52" s="52"/>
      <c r="C52" s="138"/>
      <c r="D52" s="52"/>
      <c r="E52" s="52"/>
      <c r="F52" s="390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21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33"/>
  </cols>
  <sheetData>
    <row r="1" spans="1:13" x14ac:dyDescent="0.3">
      <c r="A1" s="430" t="s">
        <v>279</v>
      </c>
      <c r="B1" s="431" t="s">
        <v>280</v>
      </c>
      <c r="C1" s="430" t="s">
        <v>281</v>
      </c>
      <c r="D1" s="430" t="s">
        <v>282</v>
      </c>
      <c r="E1" s="430" t="s">
        <v>283</v>
      </c>
      <c r="F1" s="430" t="s">
        <v>95</v>
      </c>
      <c r="G1" s="430" t="s">
        <v>8</v>
      </c>
      <c r="H1" s="432" t="s">
        <v>28</v>
      </c>
      <c r="I1" s="432" t="s">
        <v>51</v>
      </c>
      <c r="J1" s="432" t="s">
        <v>6</v>
      </c>
      <c r="K1" s="432" t="s">
        <v>284</v>
      </c>
      <c r="L1" s="432" t="s">
        <v>285</v>
      </c>
      <c r="M1" s="430" t="s">
        <v>286</v>
      </c>
    </row>
    <row r="2" spans="1:13" x14ac:dyDescent="0.3">
      <c r="A2">
        <f>'NOTA DE VENTA'!$G$8</f>
        <v>0</v>
      </c>
      <c r="B2" t="str">
        <f>'NOTA DE VENTA'!$D$8</f>
        <v>N° 11784</v>
      </c>
      <c r="C2" s="1">
        <f>'NOTA DE VENTA'!$G$10</f>
        <v>45995</v>
      </c>
      <c r="D2" s="1">
        <f>'NOTA DE VENTA'!$G$11</f>
        <v>46002</v>
      </c>
      <c r="E2" t="str">
        <f>'NOTA DE VENTA'!$C$10</f>
        <v>SISTEMAS SERVICIOS SPA</v>
      </c>
      <c r="F2" t="str">
        <f>'NOTA DE VENTA'!$C$22</f>
        <v>CEN 1V R19 MDF 30MM</v>
      </c>
      <c r="G2" t="str">
        <f>'NOTA DE VENTA'!$F$22</f>
        <v>TRAIGHT WALNUT 10848 SF</v>
      </c>
      <c r="H2" s="433">
        <f>'NOTA DE VENTA'!$H$25</f>
        <v>207240</v>
      </c>
      <c r="I2" s="433">
        <f>H2*0.19</f>
        <v>39375.599999999999</v>
      </c>
      <c r="J2" s="433">
        <f>I2+H2</f>
        <v>246615.6</v>
      </c>
      <c r="L2" s="61">
        <f>J2-K2</f>
        <v>246615.6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2025-12-02T20:22:35Z</cp:lastPrinted>
  <dcterms:created xsi:type="dcterms:W3CDTF">2013-03-18T13:35:42Z</dcterms:created>
  <dcterms:modified xsi:type="dcterms:W3CDTF">2025-12-15T19:03:20Z</dcterms:modified>
</cp:coreProperties>
</file>