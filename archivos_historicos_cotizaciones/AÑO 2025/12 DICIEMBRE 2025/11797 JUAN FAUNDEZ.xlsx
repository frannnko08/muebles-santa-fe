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2 DICIEMBRE 2025\"/>
    </mc:Choice>
  </mc:AlternateContent>
  <xr:revisionPtr revIDLastSave="0" documentId="13_ncr:1_{A5386D76-6D75-41CF-9E9A-A69953B188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S22" i="1" l="1"/>
  <c r="L22" i="1"/>
  <c r="M22" i="1"/>
  <c r="N22" i="1"/>
  <c r="O22" i="1" s="1"/>
  <c r="P22" i="1" s="1"/>
  <c r="L21" i="1" l="1"/>
  <c r="N5" i="6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6" i="1" l="1"/>
  <c r="S21" i="1"/>
  <c r="T21" i="1"/>
  <c r="T25" i="1" s="1"/>
  <c r="S27" i="1"/>
  <c r="O21" i="1"/>
  <c r="P21" i="1" s="1"/>
  <c r="P26" i="1" s="1"/>
  <c r="K40" i="1"/>
  <c r="S28" i="1" l="1"/>
  <c r="S29" i="1" s="1"/>
  <c r="S30" i="1" s="1"/>
  <c r="V33" i="1"/>
  <c r="V34" i="1" s="1"/>
  <c r="P27" i="1" l="1"/>
  <c r="N20" i="1"/>
  <c r="L20" i="1"/>
  <c r="P28" i="1" l="1"/>
  <c r="P29" i="1" s="1"/>
  <c r="M31" i="1" s="1"/>
  <c r="O33" i="1"/>
  <c r="R37" i="1"/>
  <c r="R38" i="1" l="1"/>
  <c r="O32" i="1" s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D20" i="3" l="1"/>
  <c r="E20" i="3" s="1"/>
  <c r="E21" i="3" s="1"/>
  <c r="O39" i="1" l="1"/>
  <c r="Q20" i="1" s="1"/>
  <c r="Q22" i="1" s="1"/>
  <c r="R22" i="1" s="1"/>
  <c r="D21" i="3"/>
  <c r="M43" i="3" s="1"/>
  <c r="D12" i="3" s="1"/>
  <c r="F20" i="3"/>
  <c r="F21" i="3" s="1"/>
  <c r="O40" i="1" l="1"/>
  <c r="E15" i="3"/>
  <c r="Q21" i="1" l="1"/>
  <c r="F15" i="3"/>
  <c r="R21" i="1" l="1"/>
  <c r="H21" i="1" l="1"/>
  <c r="H25" i="1" s="1"/>
  <c r="H26" i="1" s="1"/>
  <c r="G22" i="4" l="1"/>
  <c r="H22" i="4" s="1"/>
  <c r="H25" i="4" s="1"/>
  <c r="H27" i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<sst xmlns="http://schemas.openxmlformats.org/spreadsheetml/2006/main" count="491" uniqueCount="298">
  <si>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</si>
  <si>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</si>
  <si>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</si>
  <si>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</si>
  <si>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</si>
  <si>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</si>
  <si>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</si>
  <si>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</si>
  <si>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</si>
  <si>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</si>
  <si>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</si>
  <si>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</si>
  <si>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</si>
  <si>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</si>
  <si>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</si>
  <si>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</si>
  <si>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</si>
  <si>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</si>
  <si>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</si>
  <si>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</si>
  <si>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</si>
  <si>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</si>
  <si>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</si>
  <si>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</si>
  <si>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</si>
  <si>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</si>
  <si>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</si>
  <si>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</si>
  <si>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</si>
  <si>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</si>
  <si>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</si>
  <si>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</si>
  <si>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</si>
  <si>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</si>
  <si>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</si>
  <si>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</si>
  <si>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</si>
  <si>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</si>
  <si>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</si>
  <si>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</si>
  <si>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</si>
  <si>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</si>
  <si>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</si>
  <si>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</si>
  <si>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</si>
  <si>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</si>
  <si>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</si>
  <si>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</si>
  <si>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</si>
  <si>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</si>
  <si>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</si>
  <si>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</si>
  <si>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</si>
  <si>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</si>
  <si>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</si>
  <si>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</si>
  <si>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</si>
  <si>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</si>
  <si>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</si>
  <si>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</si>
  <si>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</si>
  <si>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</si>
  <si>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</si>
  <si>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</si>
  <si>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</si>
  <si>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</si>
  <si>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</si>
  <si>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</si>
  <si>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</si>
  <si>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</si>
  <si>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</si>
  <si>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</si>
  <si>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</si>
  <si>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</si>
  <si>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</si>
  <si>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</si>
  <si>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</si>
  <si>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</si>
  <si>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</si>
  <si>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</si>
  <si>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</si>
  <si>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</si>
  <si>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</si>
  <si>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</si>
  <si>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</si>
  <si>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</si>
  <si>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</si>
  <si>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</si>
  <si>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</si>
  <si>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</si>
  <si>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</si>
  <si>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</si>
  <si>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</si>
  <si>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</si>
  <si>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</si>
  <si>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</si>
  <si>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</si>
  <si>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</si>
  <si>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</si>
  <si>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</si>
  <si>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</si>
  <si>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</si>
  <si>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</si>
  <si>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</si>
  <si>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</si>
  <si>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</si>
  <si>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</si>
  <si>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</si>
  <si>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</si>
  <si>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</si>
  <si>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</si>
  <si>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</si>
  <si>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</si>
  <si>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</si>
  <si>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</si>
  <si>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</si>
  <si>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</si>
  <si>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</si>
  <si>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</si>
  <si>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</si>
  <si>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</si>
  <si>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</si>
  <si>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</si>
  <si>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</si>
  <si>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</si>
  <si>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</si>
  <si>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</si>
  <si>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</si>
  <si>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</si>
  <si>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</si>
  <si>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</si>
  <si>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</si>
  <si>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</si>
  <si>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</si>
  <si>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</si>
  <si>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</si>
  <si>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</si>
  <si>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</si>
  <si>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</si>
  <si>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</si>
  <si>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</si>
  <si>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</si>
  <si>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</si>
  <si>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</si>
  <si>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</si>
  <si>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</si>
  <si>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</si>
  <si>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</si>
  <si>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</si>
  <si>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</si>
  <si>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</si>
  <si>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</si>
  <si>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</si>
  <si>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</si>
  <si>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</si>
  <si>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</si>
  <si>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</si>
  <si>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</si>
  <si>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</si>
  <si>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</si>
  <si>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</si>
  <si>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</si>
  <si>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</si>
  <si>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</si>
  <si>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</si>
  <si>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</si>
  <si>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</si>
  <si>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</si>
  <si>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</si>
  <si>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</si>
  <si>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</si>
  <si>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</si>
  <si>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</si>
  <si>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</si>
  <si>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</si>
  <si>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</si>
  <si>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</si>
  <si>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</si>
  <si>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</si>
  <si>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</si>
  <si>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</si>
  <si>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</si>
  <si>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</si>
  <si>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</si>
  <si>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</si>
  <si>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</si>
  <si>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</si>
  <si>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</si>
  <si>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</si>
  <si>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</si>
  <si>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</si>
  <si>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</si>
  <si>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</si>
  <si>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</si>
  <si>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</si>
  <si>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</si>
  <si>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</si>
  <si>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</si>
  <si>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</si>
  <si>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</si>
  <si>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</si>
  <si>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</si>
  <si>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</si>
  <si>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</si>
  <si>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</si>
  <si>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</si>
  <si>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</si>
  <si>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</si>
  <si>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</si>
  <si>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</si>
  <si>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</si>
  <si>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</si>
  <si>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</si>
  <si>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</si>
  <si>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</si>
  <si>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</si>
  <si>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</si>
  <si>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</si>
  <si>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</si>
  <si>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</si>
  <si>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</si>
  <si>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</si>
  <si>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</si>
  <si>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</si>
  <si>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</si>
  <si>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</si>
  <si>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</si>
  <si>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</si>
  <si>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</si>
  <si>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</si>
  <si>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</si>
  <si>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</si>
  <si>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</si>
  <si>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</si>
  <si>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</si>
  <si>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</si>
  <si>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</si>
  <si>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</si>
  <si>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</si>
  <si>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</si>
  <si>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</si>
  <si>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</si>
  <si>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</si>
  <si>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</si>
  <si>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</si>
  <si>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</si>
  <si>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</si>
  <si>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</si>
  <si>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</si>
  <si>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</si>
  <si>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</si>
  <si>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</si>
  <si>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</si>
  <si>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</si>
  <si>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</si>
  <si>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</si>
  <si>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</si>
  <si>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</si>
  <si>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</si>
  <si>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</si>
  <si>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</si>
  <si>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</si>
  <si>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</si>
  <si>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</si>
  <si>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</si>
  <si>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</si>
  <si>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</si>
  <si>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</si>
  <si>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</si>
  <si>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</si>
  <si>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</si>
  <si>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</si>
  <si>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</si>
  <si>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</si>
  <si>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</si>
  <si>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</si>
  <si>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</si>
  <si>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</si>
  <si>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</si>
  <si>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</si>
  <si>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</si>
  <si>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</si>
  <si>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</si>
  <si>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</si>
  <si>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</si>
  <si>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</si>
  <si>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</si>
  <si>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N° 11797</t>
  </si>
  <si>
    <t>+569 8428 7472</t>
  </si>
  <si>
    <t>SANTIAGO</t>
  </si>
  <si>
    <t>12.267.245-K</t>
  </si>
  <si>
    <t>OBRAS MENORES</t>
  </si>
  <si>
    <t>JUAN CRISTOBAL 5331 HUECHURABA</t>
  </si>
  <si>
    <t>JUAN FAUNDEZ LOPEZ</t>
  </si>
  <si>
    <t>2 DIAS HABILES</t>
  </si>
  <si>
    <t xml:space="preserve">CUB CON RESPALDO FRENTE 90° </t>
  </si>
  <si>
    <t>LUNA GRANITE BR</t>
  </si>
  <si>
    <t>NEW BLACK CHRANITE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</si>
</sst>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5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34" fillId="0" borderId="0" xfId="0" quotePrefix="1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30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46" fillId="8" borderId="46" xfId="0" applyFont="1" applyFill="1" applyBorder="1"/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214364</xdr:rowOff>
    </xdr:from>
    <xdr:to>
      <xdr:col>5</xdr:col>
      <xdr:colOff>1728839</xdr:colOff>
      <xdr:row>26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56945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CUBIERTA</a:t>
          </a:r>
          <a:r>
            <a:rPr lang="es-CL" sz="1200" b="1" baseline="0"/>
            <a:t> SE ENTREGA CON SOBRE MEDIDA EN EL LARGO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  <a:p>
          <a:pPr algn="l"/>
          <a:endParaRPr lang="es-CL" sz="1200" b="1" i="1" u="sng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topLeftCell="A3" zoomScale="93" zoomScaleNormal="93" workbookViewId="0">
      <selection activeCell="B21" sqref="B21:H22"/>
    </sheetView>
  </sheetViews>
  <sheetFormatPr baseColWidth="10" defaultRowHeight="14.4" x14ac:dyDescent="0.3"/>
  <cols>
    <col min="1" max="1" width="6" customWidth="1"/>
    <col min="2" max="2" width="10.5546875" customWidth="1"/>
    <col min="3" max="3" width="39.4414062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125</v>
      </c>
      <c r="C8" s="408"/>
      <c r="D8" s="409" t="s">
        <v>287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33" t="s">
        <v>293</v>
      </c>
      <c r="D10" s="243"/>
      <c r="E10" s="243"/>
      <c r="F10" s="418" t="s">
        <v>277</v>
      </c>
      <c r="G10" s="275">
        <v>46001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9" t="s">
        <v>12</v>
      </c>
      <c r="C11" s="420" t="s">
        <v>290</v>
      </c>
      <c r="F11" s="29" t="s">
        <v>286</v>
      </c>
      <c r="G11" s="421" t="s">
        <v>294</v>
      </c>
      <c r="H11" s="422"/>
      <c r="Q11" s="19"/>
      <c r="R11" s="25" t="s">
        <v>18</v>
      </c>
      <c r="S11" s="19"/>
    </row>
    <row r="12" spans="2:24" x14ac:dyDescent="0.3">
      <c r="B12" s="245" t="s">
        <v>142</v>
      </c>
      <c r="C12" s="417" t="s">
        <v>291</v>
      </c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9" t="s">
        <v>143</v>
      </c>
      <c r="F13" s="29" t="s">
        <v>134</v>
      </c>
      <c r="G13" s="423" t="s">
        <v>133</v>
      </c>
      <c r="H13" s="422"/>
      <c r="Q13" s="19"/>
      <c r="R13" s="25"/>
      <c r="S13" s="19"/>
    </row>
    <row r="14" spans="2:24" x14ac:dyDescent="0.3">
      <c r="B14" s="245" t="s">
        <v>137</v>
      </c>
      <c r="C14" s="429"/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24" t="s">
        <v>288</v>
      </c>
      <c r="D15" s="425"/>
      <c r="F15" s="29" t="s">
        <v>284</v>
      </c>
      <c r="G15" s="75" t="s">
        <v>133</v>
      </c>
      <c r="H15" s="422"/>
    </row>
    <row r="16" spans="2:24" ht="16.8" x14ac:dyDescent="0.4">
      <c r="B16" s="302" t="s">
        <v>3</v>
      </c>
      <c r="C16" s="298" t="s">
        <v>292</v>
      </c>
      <c r="D16" s="246"/>
      <c r="E16" s="246"/>
      <c r="F16" s="303" t="s">
        <v>128</v>
      </c>
      <c r="G16" s="304" t="s">
        <v>160</v>
      </c>
      <c r="H16" s="247"/>
    </row>
    <row r="17" spans="1:25" ht="15" thickBot="1" x14ac:dyDescent="0.35">
      <c r="B17" s="426" t="s">
        <v>13</v>
      </c>
      <c r="C17" s="299" t="s">
        <v>289</v>
      </c>
      <c r="D17" s="300"/>
      <c r="E17" s="119"/>
      <c r="F17" s="427" t="s">
        <v>179</v>
      </c>
      <c r="G17" s="427" t="s">
        <v>180</v>
      </c>
      <c r="H17" s="428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4" t="s">
        <v>95</v>
      </c>
      <c r="C19" s="435"/>
      <c r="D19" s="435"/>
      <c r="E19" s="435"/>
      <c r="F19" s="435"/>
      <c r="G19" s="435"/>
      <c r="H19" s="436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7.399999999999999" x14ac:dyDescent="0.3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O39</f>
        <v>66558.071625344353</v>
      </c>
      <c r="R20" s="257">
        <v>3000</v>
      </c>
      <c r="S20" s="38"/>
      <c r="T20" s="14" t="s">
        <v>127</v>
      </c>
      <c r="U20" s="9"/>
      <c r="X20" s="4"/>
    </row>
    <row r="21" spans="1:25" ht="17.399999999999999" x14ac:dyDescent="0.3">
      <c r="B21" s="430">
        <v>1</v>
      </c>
      <c r="C21" s="430" t="s">
        <v>295</v>
      </c>
      <c r="D21" s="431">
        <v>3</v>
      </c>
      <c r="E21" s="431">
        <v>0.5</v>
      </c>
      <c r="F21" s="430" t="s">
        <v>296</v>
      </c>
      <c r="G21" s="432">
        <v>99955</v>
      </c>
      <c r="H21" s="432">
        <f>G21*B21</f>
        <v>99955</v>
      </c>
      <c r="I21" s="306"/>
      <c r="J21" s="264"/>
      <c r="K21" s="47"/>
      <c r="L21" s="47">
        <f>B21</f>
        <v>1</v>
      </c>
      <c r="M21" s="39">
        <f>D21+M$19</f>
        <v>3.08</v>
      </c>
      <c r="N21" s="39">
        <f>E21+$N$19</f>
        <v>0.5</v>
      </c>
      <c r="O21" s="260">
        <f t="shared" ref="O21" si="0">M21*N21</f>
        <v>1.54</v>
      </c>
      <c r="P21" s="258">
        <f t="shared" ref="P21" si="1">O21*L21</f>
        <v>1.54</v>
      </c>
      <c r="Q21" s="251">
        <f t="shared" ref="Q21" si="2">Q$20*O21</f>
        <v>102499.43030303031</v>
      </c>
      <c r="R21" s="305">
        <f t="shared" ref="R21" si="3">Q21+R$20</f>
        <v>105499.43030303031</v>
      </c>
      <c r="S21" s="290">
        <f>M21*L21</f>
        <v>3.08</v>
      </c>
      <c r="T21" s="46">
        <f>N21*2*L21*2</f>
        <v>2</v>
      </c>
      <c r="U21" s="9"/>
      <c r="X21" s="4"/>
    </row>
    <row r="22" spans="1:25" ht="17.399999999999999" x14ac:dyDescent="0.3">
      <c r="B22" s="430">
        <v>1</v>
      </c>
      <c r="C22" s="430" t="s">
        <v>295</v>
      </c>
      <c r="D22" s="431">
        <v>2.4</v>
      </c>
      <c r="E22" s="431">
        <v>0.55000000000000004</v>
      </c>
      <c r="F22" s="430" t="s">
        <v>297</v>
      </c>
      <c r="G22" s="432">
        <v>94785</v>
      </c>
      <c r="H22" s="432">
        <f>G22*B22</f>
        <v>94785</v>
      </c>
      <c r="I22" s="306"/>
      <c r="J22" s="264"/>
      <c r="K22" s="47"/>
      <c r="L22" s="47">
        <f>B22</f>
        <v>1</v>
      </c>
      <c r="M22" s="39">
        <f>D22+M$19</f>
        <v>2.48</v>
      </c>
      <c r="N22" s="39">
        <f>E22+$N$19</f>
        <v>0.55000000000000004</v>
      </c>
      <c r="O22" s="260">
        <f t="shared" ref="O22" si="4">M22*N22</f>
        <v>1.3640000000000001</v>
      </c>
      <c r="P22" s="258">
        <f t="shared" ref="P22" si="5">O22*L22</f>
        <v>1.3640000000000001</v>
      </c>
      <c r="Q22" s="251">
        <f t="shared" ref="Q22" si="6">Q$20*O22</f>
        <v>90785.209696969701</v>
      </c>
      <c r="R22" s="305">
        <f t="shared" ref="R22" si="7">Q22+R$20</f>
        <v>93785.209696969701</v>
      </c>
      <c r="S22" s="290">
        <f>M22*L22</f>
        <v>2.48</v>
      </c>
      <c r="T22" s="46"/>
      <c r="U22" s="9"/>
      <c r="X22" s="4"/>
    </row>
    <row r="23" spans="1:25" ht="17.399999999999999" x14ac:dyDescent="0.3">
      <c r="B23" s="283"/>
      <c r="C23" s="283"/>
      <c r="D23" s="284"/>
      <c r="E23" s="284"/>
      <c r="F23" s="283"/>
      <c r="G23" s="306"/>
      <c r="H23" s="306"/>
      <c r="I23" s="306"/>
      <c r="J23" s="264"/>
      <c r="K23" s="47"/>
      <c r="L23" s="47"/>
      <c r="M23" s="39"/>
      <c r="N23" s="39"/>
      <c r="O23" s="260"/>
      <c r="P23" s="258"/>
      <c r="Q23" s="251"/>
      <c r="R23" s="305"/>
      <c r="S23" s="290"/>
      <c r="T23" s="46"/>
      <c r="U23" s="9"/>
      <c r="X23" s="4"/>
    </row>
    <row r="24" spans="1:25" ht="18" thickBot="1" x14ac:dyDescent="0.35">
      <c r="B24" s="283"/>
      <c r="C24" s="283"/>
      <c r="D24" s="284"/>
      <c r="E24" s="284"/>
      <c r="F24" s="283"/>
      <c r="G24" s="264"/>
      <c r="H24" s="307"/>
      <c r="I24" s="309"/>
      <c r="J24" s="233"/>
      <c r="K24" s="47"/>
      <c r="L24" s="47"/>
      <c r="M24" s="39"/>
      <c r="N24" s="39"/>
      <c r="O24" s="260"/>
      <c r="P24" s="258"/>
      <c r="Q24" s="251"/>
      <c r="R24" s="257"/>
      <c r="S24" s="290"/>
      <c r="T24" s="14"/>
      <c r="U24" s="9"/>
      <c r="X24" s="4"/>
    </row>
    <row r="25" spans="1:25" ht="17.399999999999999" x14ac:dyDescent="0.3">
      <c r="B25" s="283"/>
      <c r="C25" s="283"/>
      <c r="D25" s="284"/>
      <c r="E25" s="284"/>
      <c r="F25" s="283"/>
      <c r="G25" s="310" t="s">
        <v>28</v>
      </c>
      <c r="H25" s="311">
        <f>SUM(H21:H24)</f>
        <v>194740</v>
      </c>
      <c r="I25" s="308"/>
      <c r="J25" s="264"/>
      <c r="K25" s="47">
        <v>2600000</v>
      </c>
      <c r="L25" s="47"/>
      <c r="M25" s="39"/>
      <c r="N25" s="39"/>
      <c r="O25" s="260"/>
      <c r="P25" s="258"/>
      <c r="Q25" s="251"/>
      <c r="R25" s="257"/>
      <c r="S25" s="290"/>
      <c r="T25" s="46">
        <f>SUM(T21:T24)</f>
        <v>2</v>
      </c>
      <c r="U25" s="9"/>
      <c r="X25" s="4"/>
    </row>
    <row r="26" spans="1:25" ht="17.399999999999999" x14ac:dyDescent="0.3">
      <c r="B26" s="277"/>
      <c r="C26" s="280"/>
      <c r="D26" s="281"/>
      <c r="E26" s="281"/>
      <c r="F26" s="282"/>
      <c r="G26" s="289" t="s">
        <v>51</v>
      </c>
      <c r="H26" s="287">
        <f>H25*19%</f>
        <v>37000.6</v>
      </c>
      <c r="I26" s="308"/>
      <c r="J26" s="264"/>
      <c r="K26" s="47"/>
      <c r="L26" s="47"/>
      <c r="M26" s="39">
        <f>SUM(M21:M25)</f>
        <v>5.5600000000000005</v>
      </c>
      <c r="N26" s="12"/>
      <c r="O26" s="12"/>
      <c r="P26" s="252">
        <f>SUM(P21:P22)</f>
        <v>2.9039999999999999</v>
      </c>
      <c r="Q26" s="14"/>
      <c r="R26" s="12"/>
      <c r="S26" s="239"/>
      <c r="T26" s="46"/>
      <c r="U26" s="9"/>
      <c r="X26" s="4"/>
    </row>
    <row r="27" spans="1:25" ht="18" thickBot="1" x14ac:dyDescent="0.35">
      <c r="B27" s="274"/>
      <c r="C27" s="279"/>
      <c r="D27" s="271"/>
      <c r="E27" s="271"/>
      <c r="F27" s="272"/>
      <c r="G27" s="278" t="s">
        <v>6</v>
      </c>
      <c r="H27" s="288">
        <f>H25+H26</f>
        <v>231740.6</v>
      </c>
      <c r="I27" s="308"/>
      <c r="J27" s="264"/>
      <c r="K27" s="47"/>
      <c r="L27" s="47"/>
      <c r="M27" s="39"/>
      <c r="N27" s="12"/>
      <c r="O27" s="12"/>
      <c r="P27" s="252">
        <f>P26</f>
        <v>2.9039999999999999</v>
      </c>
      <c r="Q27" s="14"/>
      <c r="R27" s="12"/>
      <c r="S27" s="239">
        <f>SUM(S21:S26)</f>
        <v>5.5600000000000005</v>
      </c>
      <c r="T27" s="46"/>
      <c r="U27" s="9"/>
      <c r="X27" s="4"/>
    </row>
    <row r="28" spans="1:25" ht="17.399999999999999" x14ac:dyDescent="0.3">
      <c r="B28" s="274"/>
      <c r="C28" s="270"/>
      <c r="D28" s="271"/>
      <c r="E28" s="271"/>
      <c r="F28" s="272"/>
      <c r="J28" s="264"/>
      <c r="K28" s="47"/>
      <c r="L28" s="47"/>
      <c r="M28" s="14"/>
      <c r="N28" s="12"/>
      <c r="O28" s="12"/>
      <c r="P28" s="39">
        <f>P27*20%</f>
        <v>0.58079999999999998</v>
      </c>
      <c r="Q28" s="39" t="s">
        <v>129</v>
      </c>
      <c r="R28" s="42"/>
      <c r="S28" s="240">
        <f>S27+T25</f>
        <v>7.5600000000000005</v>
      </c>
      <c r="T28" s="14"/>
      <c r="U28" s="9"/>
      <c r="X28" s="4"/>
    </row>
    <row r="29" spans="1:25" ht="17.399999999999999" x14ac:dyDescent="0.35">
      <c r="B29" s="268"/>
      <c r="C29" s="230"/>
      <c r="D29" s="230"/>
      <c r="E29" s="233"/>
      <c r="F29" s="234"/>
      <c r="G29" s="230"/>
      <c r="H29" s="273"/>
      <c r="I29" s="273"/>
      <c r="J29" s="264"/>
      <c r="K29" s="47"/>
      <c r="L29" s="47"/>
      <c r="M29" s="14"/>
      <c r="N29" s="12"/>
      <c r="O29" s="12"/>
      <c r="P29" s="46">
        <f>P27+P28</f>
        <v>3.4847999999999999</v>
      </c>
      <c r="Q29" s="14"/>
      <c r="R29" s="14"/>
      <c r="S29" s="238">
        <f>S28*20%</f>
        <v>1.5120000000000002</v>
      </c>
      <c r="T29" s="14"/>
      <c r="U29" s="9"/>
      <c r="X29" s="4"/>
    </row>
    <row r="30" spans="1:25" ht="17.399999999999999" x14ac:dyDescent="0.35">
      <c r="B30" s="235"/>
      <c r="C30" s="236"/>
      <c r="D30" s="237"/>
      <c r="E30" s="235"/>
      <c r="F30" s="230"/>
      <c r="G30" s="230"/>
      <c r="I30" s="273"/>
      <c r="J30" s="264"/>
      <c r="K30" s="47"/>
      <c r="L30" s="47"/>
      <c r="M30" s="14"/>
      <c r="N30" s="14"/>
      <c r="O30" s="14"/>
      <c r="P30" s="14"/>
      <c r="Q30" s="14"/>
      <c r="R30" s="14"/>
      <c r="S30" s="240">
        <f>S28+S29</f>
        <v>9.072000000000001</v>
      </c>
      <c r="T30" s="14"/>
      <c r="U30" s="294" t="s">
        <v>21</v>
      </c>
      <c r="V30" s="291" t="s">
        <v>149</v>
      </c>
      <c r="W30" s="295">
        <v>44971</v>
      </c>
      <c r="X30" s="296"/>
    </row>
    <row r="31" spans="1:25" ht="17.399999999999999" x14ac:dyDescent="0.35">
      <c r="B31" s="230"/>
      <c r="C31" s="230"/>
      <c r="D31" s="230"/>
      <c r="E31" s="230"/>
      <c r="F31" s="230"/>
      <c r="G31" s="230"/>
      <c r="J31" s="264"/>
      <c r="K31" s="47"/>
      <c r="L31" s="47"/>
      <c r="M31" s="39">
        <f>P29</f>
        <v>3.4847999999999999</v>
      </c>
      <c r="N31" s="12">
        <v>3500</v>
      </c>
      <c r="O31" s="12">
        <f t="shared" ref="O31:O36" si="8">M31*N31</f>
        <v>12196.8</v>
      </c>
      <c r="P31" s="14" t="s">
        <v>21</v>
      </c>
      <c r="Q31" s="14"/>
      <c r="R31" s="14"/>
      <c r="S31" s="241"/>
      <c r="T31" s="14"/>
      <c r="U31" s="294" t="s">
        <v>150</v>
      </c>
      <c r="V31" s="291">
        <v>3625</v>
      </c>
      <c r="W31" s="59" t="s">
        <v>151</v>
      </c>
      <c r="X31" s="296"/>
    </row>
    <row r="32" spans="1:25" ht="17.399999999999999" x14ac:dyDescent="0.35">
      <c r="A32" s="230"/>
      <c r="B32" s="230"/>
      <c r="C32" s="230"/>
      <c r="D32" s="230"/>
      <c r="E32" s="230"/>
      <c r="F32" s="230"/>
      <c r="G32" s="230"/>
      <c r="H32" s="230"/>
      <c r="J32" s="264"/>
      <c r="K32" s="47"/>
      <c r="L32" s="47"/>
      <c r="M32" s="248">
        <v>1</v>
      </c>
      <c r="N32" s="12">
        <v>23500</v>
      </c>
      <c r="O32" s="12">
        <f t="shared" si="8"/>
        <v>23500</v>
      </c>
      <c r="P32" s="39" t="s">
        <v>31</v>
      </c>
      <c r="Q32" s="42"/>
      <c r="R32" s="14"/>
      <c r="S32" s="240"/>
      <c r="T32" s="14"/>
      <c r="U32" s="294"/>
      <c r="V32" s="59">
        <v>906.25</v>
      </c>
      <c r="W32" s="59" t="s">
        <v>152</v>
      </c>
      <c r="X32" s="296"/>
    </row>
    <row r="33" spans="1:24" s="230" customFormat="1" ht="17.399999999999999" x14ac:dyDescent="0.35">
      <c r="B33" s="24" t="s">
        <v>148</v>
      </c>
      <c r="J33" s="261"/>
      <c r="K33" s="232"/>
      <c r="L33" s="249"/>
      <c r="M33" s="14"/>
      <c r="N33" s="249">
        <v>58860</v>
      </c>
      <c r="O33" s="12">
        <f t="shared" si="8"/>
        <v>0</v>
      </c>
      <c r="P33" s="39" t="s">
        <v>30</v>
      </c>
      <c r="Q33" s="42"/>
      <c r="S33" s="240"/>
      <c r="T33" s="255"/>
      <c r="U33" s="59"/>
      <c r="V33" s="59">
        <f>V32*20%</f>
        <v>181.25</v>
      </c>
      <c r="W33" s="296" t="s">
        <v>153</v>
      </c>
      <c r="X33" s="59"/>
    </row>
    <row r="34" spans="1:24" s="230" customFormat="1" ht="17.399999999999999" x14ac:dyDescent="0.35">
      <c r="B34" s="24" t="s">
        <v>162</v>
      </c>
      <c r="C34"/>
      <c r="D34"/>
      <c r="E34"/>
      <c r="F34"/>
      <c r="J34" s="261"/>
      <c r="K34" s="232"/>
      <c r="L34" s="249"/>
      <c r="M34" s="14">
        <v>2</v>
      </c>
      <c r="N34" s="249">
        <v>20000</v>
      </c>
      <c r="O34" s="12">
        <f t="shared" si="8"/>
        <v>40000</v>
      </c>
      <c r="P34" s="14" t="s">
        <v>139</v>
      </c>
      <c r="Q34" s="17"/>
      <c r="S34" s="238"/>
      <c r="T34" s="255"/>
      <c r="U34" s="59"/>
      <c r="V34" s="59">
        <f>V32+V33</f>
        <v>1087.5</v>
      </c>
      <c r="W34" s="296" t="s">
        <v>154</v>
      </c>
      <c r="X34" s="59"/>
    </row>
    <row r="35" spans="1:24" s="230" customFormat="1" ht="17.399999999999999" x14ac:dyDescent="0.35">
      <c r="A35" s="230" t="s">
        <v>283</v>
      </c>
      <c r="B35" s="29" t="s">
        <v>124</v>
      </c>
      <c r="C35"/>
      <c r="D35"/>
      <c r="E35"/>
      <c r="F35" s="229" t="s">
        <v>15</v>
      </c>
      <c r="J35" s="261"/>
      <c r="K35" s="259"/>
      <c r="L35" s="249"/>
      <c r="M35" s="248"/>
      <c r="N35" s="249">
        <v>900</v>
      </c>
      <c r="O35" s="12">
        <f t="shared" si="8"/>
        <v>0</v>
      </c>
      <c r="P35" s="14" t="s">
        <v>32</v>
      </c>
      <c r="Q35" s="14"/>
      <c r="R35" s="230">
        <v>1.52</v>
      </c>
      <c r="S35" s="238"/>
      <c r="T35" s="238"/>
    </row>
    <row r="36" spans="1:24" s="230" customFormat="1" ht="17.399999999999999" x14ac:dyDescent="0.35">
      <c r="J36" s="286"/>
      <c r="K36" s="259"/>
      <c r="L36" s="249"/>
      <c r="M36" s="265">
        <v>5.56</v>
      </c>
      <c r="N36" s="12">
        <v>1500</v>
      </c>
      <c r="O36" s="12">
        <f t="shared" si="8"/>
        <v>8340</v>
      </c>
      <c r="P36" s="14" t="s">
        <v>22</v>
      </c>
      <c r="Q36" s="14"/>
      <c r="R36">
        <v>2.44</v>
      </c>
      <c r="S36"/>
      <c r="T36" s="238"/>
      <c r="X36" s="231"/>
    </row>
    <row r="37" spans="1:24" s="230" customFormat="1" ht="17.399999999999999" x14ac:dyDescent="0.35">
      <c r="K37" s="259"/>
      <c r="L37" s="249"/>
      <c r="M37" s="14"/>
      <c r="N37" s="12"/>
      <c r="O37" s="12">
        <f>SUM(O31:O36)</f>
        <v>84036.800000000003</v>
      </c>
      <c r="P37" s="39" t="s">
        <v>23</v>
      </c>
      <c r="Q37" s="14"/>
      <c r="R37">
        <f>R35*R36</f>
        <v>3.7088000000000001</v>
      </c>
      <c r="S37"/>
      <c r="T37" s="238"/>
      <c r="X37" s="231"/>
    </row>
    <row r="38" spans="1:24" s="230" customFormat="1" ht="17.399999999999999" x14ac:dyDescent="0.35">
      <c r="L38" s="249"/>
      <c r="M38" s="253" t="s">
        <v>33</v>
      </c>
      <c r="N38" s="12"/>
      <c r="O38" s="254">
        <f>O37*2.3</f>
        <v>193284.63999999998</v>
      </c>
      <c r="P38" s="14" t="s">
        <v>138</v>
      </c>
      <c r="Q38" s="14"/>
      <c r="R38" s="40">
        <f>P29/R37</f>
        <v>0.93960310612597064</v>
      </c>
      <c r="S38"/>
      <c r="T38" s="256"/>
    </row>
    <row r="39" spans="1:24" s="230" customFormat="1" ht="17.399999999999999" x14ac:dyDescent="0.35">
      <c r="G39"/>
      <c r="H39" s="259"/>
      <c r="I39" s="259"/>
      <c r="J39" s="259"/>
      <c r="K39" s="230">
        <v>49710</v>
      </c>
      <c r="L39" s="249"/>
      <c r="M39" s="14"/>
      <c r="N39" s="12"/>
      <c r="O39" s="12">
        <f>O38/P27</f>
        <v>66558.071625344353</v>
      </c>
      <c r="P39" s="45" t="s">
        <v>24</v>
      </c>
      <c r="Q39" s="14"/>
      <c r="R39" s="14"/>
      <c r="S39"/>
      <c r="T39" s="238"/>
      <c r="U39" s="59" t="s">
        <v>155</v>
      </c>
      <c r="V39" s="291">
        <v>43650</v>
      </c>
    </row>
    <row r="40" spans="1:24" s="230" customFormat="1" ht="17.399999999999999" x14ac:dyDescent="0.35">
      <c r="G40"/>
      <c r="K40" s="230">
        <f>K39/1.19</f>
        <v>41773.10924369748</v>
      </c>
      <c r="L40" s="249"/>
      <c r="M40" s="13"/>
      <c r="N40" s="14"/>
      <c r="O40" s="17">
        <f>O38/O37</f>
        <v>2.2999999999999998</v>
      </c>
      <c r="P40" s="15"/>
      <c r="Q40"/>
      <c r="R40"/>
      <c r="S40"/>
      <c r="T40" s="238"/>
      <c r="U40" s="59" t="s">
        <v>157</v>
      </c>
      <c r="V40" s="292" t="s">
        <v>156</v>
      </c>
      <c r="W40" s="59">
        <v>2.4</v>
      </c>
    </row>
    <row r="41" spans="1:24" s="230" customFormat="1" ht="17.399999999999999" x14ac:dyDescent="0.35">
      <c r="G41" s="23"/>
      <c r="L41" s="12"/>
      <c r="T41" s="238"/>
      <c r="U41" s="59" t="s">
        <v>158</v>
      </c>
      <c r="V41" s="293">
        <v>395.37</v>
      </c>
    </row>
    <row r="42" spans="1:24" s="230" customFormat="1" ht="17.399999999999999" x14ac:dyDescent="0.35">
      <c r="B42"/>
      <c r="C42" s="228"/>
      <c r="D42" s="22"/>
      <c r="E42" s="22"/>
      <c r="F42" s="21"/>
      <c r="G42" s="23"/>
      <c r="L42" s="12"/>
      <c r="T42" s="238"/>
      <c r="U42" s="59" t="s">
        <v>153</v>
      </c>
      <c r="V42" s="59">
        <v>474.45</v>
      </c>
    </row>
    <row r="43" spans="1:24" ht="14.4" customHeight="1" x14ac:dyDescent="0.3">
      <c r="L43" s="12"/>
      <c r="U43" s="59"/>
      <c r="V43" s="59"/>
    </row>
    <row r="44" spans="1:24" x14ac:dyDescent="0.3">
      <c r="L44" s="249"/>
    </row>
    <row r="45" spans="1:24" x14ac:dyDescent="0.3">
      <c r="L45" s="249"/>
      <c r="T45" s="269"/>
    </row>
    <row r="46" spans="1:24" x14ac:dyDescent="0.3">
      <c r="L46" s="249"/>
    </row>
    <row r="47" spans="1:24" ht="15" customHeight="1" x14ac:dyDescent="0.3"/>
    <row r="49" spans="15:20" x14ac:dyDescent="0.3">
      <c r="O49">
        <v>40935</v>
      </c>
      <c r="P49" t="s">
        <v>16</v>
      </c>
      <c r="Q49" t="s">
        <v>26</v>
      </c>
    </row>
    <row r="51" spans="15:20" x14ac:dyDescent="0.3">
      <c r="O51" s="54"/>
      <c r="P51" s="54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3" spans="15:20" x14ac:dyDescent="0.3">
      <c r="O63" s="43"/>
    </row>
    <row r="64" spans="15:20" x14ac:dyDescent="0.3">
      <c r="O64" s="43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145</v>
      </c>
    </row>
    <row r="75" spans="3:15" x14ac:dyDescent="0.3">
      <c r="C75" t="s">
        <v>144</v>
      </c>
    </row>
    <row r="78" spans="3:15" x14ac:dyDescent="0.3">
      <c r="C78" t="s">
        <v>144</v>
      </c>
    </row>
    <row r="155" spans="3:3" x14ac:dyDescent="0.3">
      <c r="C155" t="s">
        <v>144</v>
      </c>
    </row>
    <row r="156" spans="3:3" x14ac:dyDescent="0.3">
      <c r="C156" t="s">
        <v>146</v>
      </c>
    </row>
    <row r="157" spans="3:3" x14ac:dyDescent="0.3">
      <c r="C157" t="s">
        <v>147</v>
      </c>
    </row>
    <row r="582" spans="3:3" x14ac:dyDescent="0.3">
      <c r="C582" t="s">
        <v>144</v>
      </c>
    </row>
  </sheetData>
  <mergeCells count="1">
    <mergeCell ref="B19:H19"/>
  </mergeCells>
  <phoneticPr fontId="32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46001</v>
      </c>
    </row>
    <row r="6" spans="2:31" ht="16.2" thickBot="1" x14ac:dyDescent="0.35">
      <c r="B6" s="140" t="s">
        <v>2</v>
      </c>
      <c r="C6" s="139" t="str">
        <f>'2229'!C10</f>
        <v>JUAN FAUNDEZ LOPEZ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8" t="s">
        <v>98</v>
      </c>
      <c r="I7" s="439"/>
      <c r="J7" s="439"/>
      <c r="K7" s="440"/>
      <c r="N7" s="75"/>
      <c r="O7" s="437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11797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7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-14435.671700120773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'2229'!H25</f>
        <v>194740</v>
      </c>
      <c r="E11" s="132">
        <f>D11*0.19</f>
        <v>37000.6</v>
      </c>
      <c r="F11" s="131">
        <f>E11+D11</f>
        <v>231740.6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91554.328299879227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65530.890787439617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73554.328299879227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129209.10921256038</v>
      </c>
      <c r="E13" s="221">
        <f>(D11/D12)-1</f>
        <v>1.9717282591453196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64554.328299879227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25554.328299879227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108125.96979927536</v>
      </c>
      <c r="F15" s="216">
        <f>E15-D12</f>
        <v>42595.079011835747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25554.328299879227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65554.328299879227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'2229'!O32</f>
        <v>23500</v>
      </c>
      <c r="E19" s="123">
        <f>D19*0.19</f>
        <v>4465</v>
      </c>
      <c r="F19" s="120">
        <f>SUM(D19:E19)</f>
        <v>27965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'2229'!O31</f>
        <v>12196.8</v>
      </c>
      <c r="E20" s="121">
        <f>D20*0.19</f>
        <v>2317.3919999999998</v>
      </c>
      <c r="F20" s="120">
        <f>SUM(D20:E20)</f>
        <v>14514.191999999999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35696.800000000003</v>
      </c>
      <c r="E21" s="116">
        <f>SUM(E18:E20)</f>
        <v>6782.3919999999998</v>
      </c>
      <c r="F21" s="115">
        <f>SUM(F18:F20)</f>
        <v>42479.191999999995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30218.207999999999</v>
      </c>
    </row>
    <row r="41" spans="2:16" ht="15" thickBot="1" x14ac:dyDescent="0.35">
      <c r="H41" s="441" t="s">
        <v>60</v>
      </c>
      <c r="I41" s="442"/>
      <c r="J41" s="442"/>
      <c r="K41" s="442"/>
      <c r="L41" s="442"/>
      <c r="M41" s="443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194740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35696.800000000003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129209.10921256038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129209.10921256038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11797</v>
      </c>
      <c r="E8" s="138"/>
      <c r="F8" s="318" t="s">
        <v>165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IF('2229'!C10="","",'2229'!C10)</f>
        <v>JUAN FAUNDEZ LOPEZ</v>
      </c>
      <c r="D10" s="350"/>
      <c r="E10" s="350"/>
      <c r="F10" s="351" t="s">
        <v>167</v>
      </c>
      <c r="G10" s="352">
        <f>'2229'!G10</f>
        <v>46001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>12.267.245-K</v>
      </c>
      <c r="D11" s="345"/>
      <c r="E11" s="345"/>
      <c r="F11" s="345" t="s">
        <v>168</v>
      </c>
      <c r="G11" s="340">
        <f>WORKDAY(G10,5)</f>
        <v>46008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IF('2229'!C12="","",'2229'!C12)</f>
        <v>OBRAS MENORES</v>
      </c>
      <c r="D12" s="355"/>
      <c r="E12" s="355"/>
      <c r="F12" s="355" t="s">
        <v>181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IF('2229'!C14="","",'2229'!C14)</f>
        <v/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+569 8428 7472</v>
      </c>
      <c r="D15" s="347"/>
      <c r="E15" s="345"/>
      <c r="F15" s="345" t="s">
        <v>173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>JUAN CRISTOBAL 5331 HUECHURABA</v>
      </c>
      <c r="D16" s="355"/>
      <c r="E16" s="355"/>
      <c r="F16" s="355" t="s">
        <v>174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4" t="s">
        <v>175</v>
      </c>
      <c r="G17" s="444"/>
      <c r="H17" s="445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6" t="s">
        <v>176</v>
      </c>
      <c r="C20" s="447"/>
      <c r="D20" s="447"/>
      <c r="E20" s="447"/>
      <c r="F20" s="447"/>
      <c r="G20" s="447"/>
      <c r="H20" s="448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1</v>
      </c>
      <c r="C22" s="313" t="str">
        <f>'2229'!C21</f>
        <v xml:space="preserve">CUB CON RESPALDO FRENTE 90° </v>
      </c>
      <c r="D22" s="321">
        <f>'2229'!D21*1000</f>
        <v>3000</v>
      </c>
      <c r="E22" s="321">
        <f>'2229'!E21*1000</f>
        <v>500</v>
      </c>
      <c r="F22" s="322" t="str">
        <f>'2229'!F21</f>
        <v>LUNA GRANITE BR</v>
      </c>
      <c r="G22" s="314">
        <f>'2229'!G21</f>
        <v>99955</v>
      </c>
      <c r="H22" s="323">
        <f>G22*B22</f>
        <v>99955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99955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18991.45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118946.45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49" t="s">
        <v>182</v>
      </c>
      <c r="C2" s="449"/>
      <c r="D2" s="449"/>
      <c r="E2" s="361"/>
      <c r="G2" s="449" t="s">
        <v>183</v>
      </c>
      <c r="H2" s="449"/>
      <c r="I2" s="449"/>
      <c r="P2" s="450" t="s">
        <v>184</v>
      </c>
      <c r="Q2" s="450"/>
      <c r="R2" s="450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50" t="s">
        <v>184</v>
      </c>
      <c r="M8" s="450"/>
      <c r="N8" s="450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5" t="s">
        <v>265</v>
      </c>
      <c r="L3" s="455"/>
      <c r="M3" s="455" t="s">
        <v>266</v>
      </c>
      <c r="N3" s="455"/>
    </row>
    <row r="4" spans="1:14" ht="15.75" customHeight="1" x14ac:dyDescent="0.3">
      <c r="A4" s="138"/>
      <c r="B4" s="138"/>
      <c r="C4" s="370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>JUAN FAUNDEZ LOPEZ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46001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5">
        <f>'NOTA DE VENTA'!$G$11</f>
        <v>46008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6" t="s">
        <v>265</v>
      </c>
      <c r="B10" s="456"/>
      <c r="C10" s="456"/>
      <c r="D10" s="456"/>
      <c r="E10" s="456"/>
      <c r="F10" s="456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6" t="s">
        <v>266</v>
      </c>
      <c r="B17" s="456"/>
      <c r="C17" s="456"/>
      <c r="D17" s="456"/>
      <c r="E17" s="456"/>
      <c r="F17" s="456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6" t="s">
        <v>272</v>
      </c>
      <c r="B45" s="456"/>
      <c r="C45" s="456"/>
      <c r="D45" s="456"/>
      <c r="E45" s="456"/>
      <c r="F45" s="456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1" t="s">
        <v>95</v>
      </c>
      <c r="C47" s="452"/>
      <c r="D47" s="453"/>
      <c r="E47" s="453"/>
      <c r="F47" s="454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275</v>
      </c>
      <c r="B1" s="414" t="s">
        <v>276</v>
      </c>
      <c r="C1" s="413" t="s">
        <v>277</v>
      </c>
      <c r="D1" s="413" t="s">
        <v>278</v>
      </c>
      <c r="E1" s="413" t="s">
        <v>279</v>
      </c>
      <c r="F1" s="413" t="s">
        <v>95</v>
      </c>
      <c r="G1" s="413" t="s">
        <v>8</v>
      </c>
      <c r="H1" s="415" t="s">
        <v>28</v>
      </c>
      <c r="I1" s="415" t="s">
        <v>51</v>
      </c>
      <c r="J1" s="415" t="s">
        <v>6</v>
      </c>
      <c r="K1" s="415" t="s">
        <v>280</v>
      </c>
      <c r="L1" s="415" t="s">
        <v>281</v>
      </c>
      <c r="M1" s="413" t="s">
        <v>282</v>
      </c>
    </row>
    <row r="2" spans="1:13" x14ac:dyDescent="0.3">
      <c r="A2">
        <f>'NOTA DE VENTA'!$G$8</f>
        <v>0</v>
      </c>
      <c r="B2" t="str">
        <f>'NOTA DE VENTA'!$D$8</f>
        <v>N° 11797</v>
      </c>
      <c r="C2" s="1">
        <f>'NOTA DE VENTA'!$G$10</f>
        <v>46001</v>
      </c>
      <c r="D2" s="1">
        <f>'NOTA DE VENTA'!$G$11</f>
        <v>46008</v>
      </c>
      <c r="E2" t="str">
        <f>'NOTA DE VENTA'!$C$10</f>
        <v>JUAN FAUNDEZ LOPEZ</v>
      </c>
      <c r="F2" t="str">
        <f>'NOTA DE VENTA'!$C$22</f>
        <v xml:space="preserve">CUB CON RESPALDO FRENTE 90° </v>
      </c>
      <c r="G2" t="str">
        <f>'NOTA DE VENTA'!$F$22</f>
        <v>LUNA GRANITE BR</v>
      </c>
      <c r="H2" s="416">
        <f>'NOTA DE VENTA'!$H$25</f>
        <v>99955</v>
      </c>
      <c r="I2" s="416">
        <f>H2*0.19</f>
        <v>18991.45</v>
      </c>
      <c r="J2" s="416">
        <f>I2+H2</f>
        <v>118946.45</v>
      </c>
      <c r="L2" s="61">
        <f>J2-K2</f>
        <v>118946.45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2025-12-10T16:02:03Z</cp:lastPrinted>
  <dcterms:created xsi:type="dcterms:W3CDTF">2013-03-18T13:35:42Z</dcterms:created>
  <dcterms:modified xsi:type="dcterms:W3CDTF">2025-12-10T19:14:38Z</dcterms:modified>
</cp:coreProperties>
</file>