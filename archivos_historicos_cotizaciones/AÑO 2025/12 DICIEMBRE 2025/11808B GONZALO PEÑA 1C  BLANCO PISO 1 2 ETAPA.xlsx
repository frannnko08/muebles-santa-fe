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F9EBAA3E-4E03-4F26-A177-4130B12F81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T30" i="1" s="1"/>
  <c r="O30" i="1"/>
  <c r="M31" i="1"/>
  <c r="N31" i="1"/>
  <c r="O31" i="1"/>
  <c r="T26" i="1" l="1"/>
  <c r="T24" i="1"/>
  <c r="T31" i="1"/>
  <c r="T27" i="1"/>
  <c r="T23" i="1"/>
  <c r="T28" i="1"/>
  <c r="T29" i="1"/>
  <c r="T25" i="1"/>
  <c r="P31" i="1"/>
  <c r="Q31" i="1" s="1"/>
  <c r="P27" i="1"/>
  <c r="Q27" i="1" s="1"/>
  <c r="P23" i="1"/>
  <c r="Q23" i="1" s="1"/>
  <c r="P28" i="1"/>
  <c r="Q28" i="1" s="1"/>
  <c r="P24" i="1"/>
  <c r="Q24" i="1" s="1"/>
  <c r="P29" i="1"/>
  <c r="Q29" i="1" s="1"/>
  <c r="P25" i="1"/>
  <c r="Q25" i="1" s="1"/>
  <c r="P30" i="1"/>
  <c r="Q30" i="1" s="1"/>
  <c r="P26" i="1"/>
  <c r="Q26" i="1" s="1"/>
  <c r="M22" i="1"/>
  <c r="N22" i="1"/>
  <c r="O22" i="1"/>
  <c r="M21" i="1"/>
  <c r="N5" i="6"/>
  <c r="A2" i="7"/>
  <c r="T22" i="1" l="1"/>
  <c r="P22" i="1"/>
  <c r="Q22" i="1" s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K14" i="6" s="1"/>
  <c r="D27" i="6"/>
  <c r="J14" i="6" s="1"/>
  <c r="C27" i="6"/>
  <c r="F21" i="6" s="1"/>
  <c r="B27" i="6"/>
  <c r="I21" i="6" s="1"/>
  <c r="K21" i="6"/>
  <c r="J21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O21" i="1"/>
  <c r="K5" i="6" l="1"/>
  <c r="D14" i="6"/>
  <c r="E14" i="6"/>
  <c r="E21" i="6"/>
  <c r="D21" i="6"/>
  <c r="L5" i="6"/>
  <c r="M5" i="6"/>
  <c r="D2" i="7"/>
  <c r="D8" i="6"/>
  <c r="N21" i="1"/>
  <c r="T21" i="1" s="1"/>
  <c r="T37" i="1" s="1"/>
  <c r="N36" i="1" l="1"/>
  <c r="U35" i="1"/>
  <c r="P21" i="1"/>
  <c r="Q21" i="1" s="1"/>
  <c r="Q36" i="1" s="1"/>
  <c r="L50" i="1"/>
  <c r="T38" i="1" l="1"/>
  <c r="T39" i="1" s="1"/>
  <c r="T40" i="1" s="1"/>
  <c r="W43" i="1"/>
  <c r="W44" i="1" s="1"/>
  <c r="Q37" i="1" l="1"/>
  <c r="O20" i="1"/>
  <c r="M20" i="1"/>
  <c r="Q38" i="1" l="1"/>
  <c r="Q39" i="1" s="1"/>
  <c r="N41" i="1" s="1"/>
  <c r="P43" i="1"/>
  <c r="S47" i="1"/>
  <c r="S48" i="1" l="1"/>
  <c r="P42" i="1" s="1"/>
  <c r="P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P46" i="1"/>
  <c r="P45" i="1"/>
  <c r="F18" i="3" l="1"/>
  <c r="P41" i="1" l="1"/>
  <c r="P47" i="1" s="1"/>
  <c r="P48" i="1" s="1"/>
  <c r="D20" i="3" l="1"/>
  <c r="E20" i="3" s="1"/>
  <c r="E21" i="3" s="1"/>
  <c r="P49" i="1" l="1"/>
  <c r="R20" i="1" s="1"/>
  <c r="D21" i="3"/>
  <c r="M43" i="3" s="1"/>
  <c r="D12" i="3" s="1"/>
  <c r="F20" i="3"/>
  <c r="F21" i="3" s="1"/>
  <c r="R22" i="1" l="1"/>
  <c r="S22" i="1" s="1"/>
  <c r="H22" i="1" s="1"/>
  <c r="I22" i="1" s="1"/>
  <c r="R30" i="1"/>
  <c r="S30" i="1" s="1"/>
  <c r="H30" i="1" s="1"/>
  <c r="I30" i="1" s="1"/>
  <c r="R26" i="1"/>
  <c r="S26" i="1" s="1"/>
  <c r="H26" i="1" s="1"/>
  <c r="I26" i="1" s="1"/>
  <c r="R24" i="1"/>
  <c r="S24" i="1" s="1"/>
  <c r="H24" i="1" s="1"/>
  <c r="I24" i="1" s="1"/>
  <c r="R27" i="1"/>
  <c r="S27" i="1" s="1"/>
  <c r="H27" i="1" s="1"/>
  <c r="I27" i="1" s="1"/>
  <c r="R29" i="1"/>
  <c r="S29" i="1" s="1"/>
  <c r="H29" i="1" s="1"/>
  <c r="I29" i="1" s="1"/>
  <c r="R25" i="1"/>
  <c r="S25" i="1" s="1"/>
  <c r="H25" i="1" s="1"/>
  <c r="I25" i="1" s="1"/>
  <c r="R28" i="1"/>
  <c r="S28" i="1" s="1"/>
  <c r="H28" i="1" s="1"/>
  <c r="I28" i="1" s="1"/>
  <c r="R31" i="1"/>
  <c r="S31" i="1" s="1"/>
  <c r="H31" i="1" s="1"/>
  <c r="I31" i="1" s="1"/>
  <c r="R23" i="1"/>
  <c r="S23" i="1" s="1"/>
  <c r="H23" i="1" s="1"/>
  <c r="I23" i="1" s="1"/>
  <c r="P50" i="1"/>
  <c r="E15" i="3"/>
  <c r="R21" i="1" l="1"/>
  <c r="F15" i="3"/>
  <c r="S21" i="1" l="1"/>
  <c r="H21" i="1" s="1"/>
  <c r="I21" i="1" l="1"/>
  <c r="I35" i="1" s="1"/>
  <c r="I36" i="1" s="1"/>
  <c r="G22" i="4" l="1"/>
  <c r="H22" i="4" s="1"/>
  <c r="H25" i="4" s="1"/>
  <c r="I37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<sst xmlns="http://schemas.openxmlformats.org/spreadsheetml/2006/main" count="518" uniqueCount="296">
  <si>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</si>
  <si>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</si>
  <si>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</si>
  <si>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</si>
  <si>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</si>
  <si>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</si>
  <si>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</si>
  <si>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</si>
  <si>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</si>
  <si>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</si>
  <si>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</si>
  <si>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</si>
  <si>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</si>
  <si>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</si>
  <si>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</si>
  <si>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</si>
  <si>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</si>
  <si>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</si>
  <si>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</si>
  <si>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</si>
  <si>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</si>
  <si>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</si>
  <si>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</si>
  <si>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</si>
  <si>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</si>
  <si>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</si>
  <si>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</si>
  <si>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</si>
  <si>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</si>
  <si>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</si>
  <si>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</si>
  <si>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</si>
  <si>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</si>
  <si>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</si>
  <si>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</si>
  <si>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</si>
  <si>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</si>
  <si>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</si>
  <si>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</si>
  <si>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</si>
  <si>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</si>
  <si>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</si>
  <si>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</si>
  <si>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</si>
  <si>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</si>
  <si>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</si>
  <si>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</si>
  <si>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</si>
  <si>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</si>
  <si>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</si>
  <si>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</si>
  <si>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</si>
  <si>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</si>
  <si>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</si>
  <si>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</si>
  <si>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</si>
  <si>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</si>
  <si>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</si>
  <si>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</si>
  <si>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</si>
  <si>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</si>
  <si>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</si>
  <si>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</si>
  <si>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</si>
  <si>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</si>
  <si>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</si>
  <si>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</si>
  <si>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</si>
  <si>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</si>
  <si>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</si>
  <si>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</si>
  <si>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</si>
  <si>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</si>
  <si>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</si>
  <si>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</si>
  <si>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</si>
  <si>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</si>
  <si>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</si>
  <si>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</si>
  <si>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</si>
  <si>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</si>
  <si>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</si>
  <si>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</si>
  <si>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</si>
  <si>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</si>
  <si>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</si>
  <si>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</si>
  <si>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</si>
  <si>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</si>
  <si>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</si>
  <si>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</si>
  <si>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</si>
  <si>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</si>
  <si>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</si>
  <si>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</si>
  <si>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</si>
  <si>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</si>
  <si>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</si>
  <si>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</si>
  <si>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</si>
  <si>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</si>
  <si>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</si>
  <si>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</si>
  <si>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</si>
  <si>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</si>
  <si>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</si>
  <si>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</si>
  <si>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</si>
  <si>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</si>
  <si>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</si>
  <si>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</si>
  <si>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</si>
  <si>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</si>
  <si>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</si>
  <si>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</si>
  <si>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</si>
  <si>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</si>
  <si>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</si>
  <si>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</si>
  <si>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</si>
  <si>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</si>
  <si>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</si>
  <si>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</si>
  <si>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</si>
  <si>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</si>
  <si>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</si>
  <si>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</si>
  <si>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</si>
  <si>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</si>
  <si>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</si>
  <si>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</si>
  <si>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</si>
  <si>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</si>
  <si>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</si>
  <si>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</si>
  <si>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</si>
  <si>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</si>
  <si>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</si>
  <si>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</si>
  <si>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</si>
  <si>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</si>
  <si>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</si>
  <si>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</si>
  <si>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</si>
  <si>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</si>
  <si>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</si>
  <si>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</si>
  <si>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</si>
  <si>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</si>
  <si>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</si>
  <si>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</si>
  <si>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</si>
  <si>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</si>
  <si>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</si>
  <si>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</si>
  <si>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</si>
  <si>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</si>
  <si>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</si>
  <si>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</si>
  <si>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</si>
  <si>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</si>
  <si>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</si>
  <si>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</si>
  <si>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</si>
  <si>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</si>
  <si>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</si>
  <si>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</si>
  <si>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</si>
  <si>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</si>
  <si>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</si>
  <si>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</si>
  <si>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</si>
  <si>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</si>
  <si>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</si>
  <si>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</si>
  <si>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</si>
  <si>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</si>
  <si>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</si>
  <si>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</si>
  <si>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</si>
  <si>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</si>
  <si>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</si>
  <si>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</si>
  <si>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</si>
  <si>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</si>
  <si>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</si>
  <si>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</si>
  <si>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</si>
  <si>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</si>
  <si>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</si>
  <si>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</si>
  <si>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</si>
  <si>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</si>
  <si>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</si>
  <si>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</si>
  <si>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</si>
  <si>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</si>
  <si>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</si>
  <si>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</si>
  <si>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</si>
  <si>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</si>
  <si>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</si>
  <si>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</si>
  <si>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</si>
  <si>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</si>
  <si>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</si>
  <si>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</si>
  <si>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</si>
  <si>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</si>
  <si>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</si>
  <si>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</si>
  <si>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</si>
  <si>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</si>
  <si>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</si>
  <si>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</si>
  <si>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</si>
  <si>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</si>
  <si>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</si>
  <si>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</si>
  <si>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</si>
  <si>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</si>
  <si>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</si>
  <si>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</si>
  <si>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</si>
  <si>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</si>
  <si>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</si>
  <si>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</si>
  <si>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</si>
  <si>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</si>
  <si>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</si>
  <si>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</si>
  <si>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</si>
  <si>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</si>
  <si>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</si>
  <si>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</si>
  <si>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</si>
  <si>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</si>
  <si>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</si>
  <si>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</si>
  <si>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</si>
  <si>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</si>
  <si>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</si>
  <si>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</si>
  <si>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</si>
  <si>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</si>
  <si>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</si>
  <si>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</si>
  <si>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</si>
  <si>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</si>
  <si>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</si>
  <si>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</si>
  <si>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</si>
  <si>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</si>
  <si>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</si>
  <si>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</si>
  <si>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</si>
  <si>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</si>
  <si>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</si>
  <si>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</si>
  <si>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</si>
  <si>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</si>
  <si>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</si>
  <si>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</si>
  <si>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</si>
  <si>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</si>
  <si>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</si>
  <si>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</si>
  <si>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</si>
  <si>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</si>
  <si>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</si>
  <si>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</si>
  <si>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</si>
  <si>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</si>
  <si>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</si>
  <si>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</si>
  <si>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</si>
  <si>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</si>
  <si>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</si>
  <si>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</si>
  <si>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</si>
  <si>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</si>
  <si>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</si>
  <si>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</si>
  <si>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</si>
  <si>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</si>
  <si>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</si>
  <si>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+569 8466 2944</t>
  </si>
  <si>
    <t>TAPACANTO 100 MTS 1,5X22</t>
  </si>
  <si>
    <t>GONZALO PEÑA</t>
  </si>
  <si>
    <t>15 DIAS HABILES</t>
  </si>
  <si>
    <t>SI</t>
  </si>
  <si>
    <t>Cotizado por: Fernando Donoso</t>
  </si>
  <si>
    <t>1L</t>
  </si>
  <si>
    <t>ENCHAPE RECTO 1 CARA MDF 18MM</t>
  </si>
  <si>
    <t>BLANCO MT</t>
  </si>
  <si>
    <t>N° 11808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</si>
</sst>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38</xdr:row>
      <xdr:rowOff>8194</xdr:rowOff>
    </xdr:from>
    <xdr:to>
      <xdr:col>9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7</xdr:col>
      <xdr:colOff>222885</xdr:colOff>
      <xdr:row>40</xdr:row>
      <xdr:rowOff>154305</xdr:rowOff>
    </xdr:from>
    <xdr:to>
      <xdr:col>8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6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33</xdr:row>
      <xdr:rowOff>214364</xdr:rowOff>
    </xdr:from>
    <xdr:to>
      <xdr:col>6</xdr:col>
      <xdr:colOff>1728839</xdr:colOff>
      <xdr:row>36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CORTADOS A LA MEDIDA Y ENCHAPADOS CON TAPACANTO PVC 1MM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592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5.5546875" customWidth="1"/>
    <col min="4" max="4" width="12.44140625" customWidth="1"/>
    <col min="5" max="5" width="10.5546875" customWidth="1"/>
    <col min="6" max="6" width="11.77734375" customWidth="1"/>
    <col min="7" max="7" width="30.77734375" customWidth="1"/>
    <col min="8" max="8" width="14" customWidth="1"/>
    <col min="9" max="10" width="15.44140625" customWidth="1"/>
    <col min="11" max="11" width="13.44140625" customWidth="1"/>
    <col min="13" max="13" width="9.5546875" style="18" customWidth="1"/>
    <col min="14" max="14" width="8.88671875" customWidth="1"/>
    <col min="15" max="15" width="8.33203125" customWidth="1"/>
    <col min="16" max="16" width="9.44140625" customWidth="1"/>
    <col min="17" max="17" width="7.6640625" customWidth="1"/>
    <col min="18" max="18" width="9.44140625" customWidth="1"/>
    <col min="19" max="19" width="10.109375" customWidth="1"/>
    <col min="20" max="20" width="8.88671875" customWidth="1"/>
    <col min="21" max="21" width="9.6640625" customWidth="1"/>
    <col min="22" max="22" width="9.33203125" customWidth="1"/>
    <col min="23" max="23" width="9.6640625" customWidth="1"/>
    <col min="24" max="24" width="10.88671875" customWidth="1"/>
    <col min="25" max="25" width="10.44140625" customWidth="1"/>
    <col min="26" max="26" width="9" customWidth="1"/>
  </cols>
  <sheetData>
    <row r="2" spans="2:25" ht="15.6" x14ac:dyDescent="0.3">
      <c r="G2" s="242" t="s">
        <v>139</v>
      </c>
      <c r="R2" s="2"/>
      <c r="S2" s="2"/>
      <c r="T2" s="3"/>
      <c r="U2" s="3"/>
      <c r="V2" s="2"/>
      <c r="W2" s="2"/>
      <c r="X2" s="3"/>
      <c r="Y2" s="4"/>
    </row>
    <row r="3" spans="2:25" x14ac:dyDescent="0.3">
      <c r="G3" s="59" t="s">
        <v>135</v>
      </c>
      <c r="R3" s="2"/>
      <c r="S3" s="2"/>
      <c r="T3" s="3"/>
      <c r="U3" s="3"/>
      <c r="V3" s="2"/>
      <c r="W3" s="2"/>
      <c r="X3" s="3"/>
      <c r="Y3" s="4"/>
    </row>
    <row r="4" spans="2:25" x14ac:dyDescent="0.3">
      <c r="G4" s="59" t="s">
        <v>140</v>
      </c>
      <c r="R4" s="2"/>
      <c r="S4" s="2"/>
      <c r="T4" s="3"/>
      <c r="U4" s="3"/>
      <c r="V4" s="2"/>
      <c r="W4" s="2"/>
      <c r="X4" s="3"/>
      <c r="Y4" s="4"/>
    </row>
    <row r="5" spans="2:25" x14ac:dyDescent="0.3">
      <c r="G5" s="59" t="s">
        <v>14</v>
      </c>
      <c r="R5" s="2"/>
      <c r="S5" s="2"/>
      <c r="T5" s="3"/>
      <c r="U5" s="3"/>
      <c r="V5" s="2"/>
      <c r="W5" s="2"/>
      <c r="X5" s="3"/>
      <c r="Y5" s="4"/>
    </row>
    <row r="6" spans="2:25" ht="15.6" x14ac:dyDescent="0.3">
      <c r="G6" s="59" t="s">
        <v>160</v>
      </c>
      <c r="P6" s="33" t="s">
        <v>19</v>
      </c>
      <c r="R6" s="2"/>
      <c r="S6" s="2"/>
      <c r="T6" s="3"/>
      <c r="U6" s="3"/>
      <c r="V6" s="2"/>
      <c r="W6" s="2"/>
      <c r="X6" s="3"/>
    </row>
    <row r="7" spans="2:25" ht="15" thickBot="1" x14ac:dyDescent="0.35">
      <c r="G7" s="59" t="s">
        <v>123</v>
      </c>
      <c r="R7" s="2"/>
      <c r="S7" s="2"/>
      <c r="T7" s="3"/>
      <c r="U7" s="3"/>
      <c r="V7" s="2"/>
      <c r="W7" s="2"/>
      <c r="X7" s="3"/>
    </row>
    <row r="8" spans="2:25" ht="21.6" thickBot="1" x14ac:dyDescent="0.45">
      <c r="B8" s="407" t="s">
        <v>125</v>
      </c>
      <c r="C8" s="408"/>
      <c r="D8" s="409" t="s">
        <v>295</v>
      </c>
      <c r="G8" s="59"/>
      <c r="L8" s="52"/>
      <c r="S8" s="2"/>
      <c r="T8" s="3"/>
      <c r="U8" s="3"/>
      <c r="V8" s="2"/>
      <c r="W8" s="2"/>
      <c r="X8" s="3"/>
    </row>
    <row r="9" spans="2:25" ht="15" thickBot="1" x14ac:dyDescent="0.35">
      <c r="S9" s="2"/>
      <c r="T9" s="3"/>
      <c r="U9" s="3"/>
      <c r="V9" s="4"/>
      <c r="W9" s="2"/>
      <c r="X9" s="3"/>
    </row>
    <row r="10" spans="2:25" x14ac:dyDescent="0.3">
      <c r="B10" s="297" t="s">
        <v>158</v>
      </c>
      <c r="C10" s="433" t="s">
        <v>288</v>
      </c>
      <c r="D10" s="243"/>
      <c r="E10" s="243"/>
      <c r="F10" s="243"/>
      <c r="G10" s="418" t="s">
        <v>275</v>
      </c>
      <c r="H10" s="275">
        <v>46008</v>
      </c>
      <c r="I10" s="244"/>
      <c r="L10" s="1"/>
      <c r="S10" s="2"/>
      <c r="T10" s="3"/>
      <c r="U10" s="3"/>
      <c r="V10" s="4"/>
      <c r="W10" s="2"/>
      <c r="X10" s="3"/>
    </row>
    <row r="11" spans="2:25" ht="16.8" x14ac:dyDescent="0.4">
      <c r="B11" s="419" t="s">
        <v>12</v>
      </c>
      <c r="C11" s="420"/>
      <c r="G11" s="29" t="s">
        <v>284</v>
      </c>
      <c r="H11" s="421" t="s">
        <v>289</v>
      </c>
      <c r="I11" s="422"/>
      <c r="R11" s="19"/>
      <c r="S11" s="25" t="s">
        <v>18</v>
      </c>
      <c r="T11" s="19"/>
    </row>
    <row r="12" spans="2:25" x14ac:dyDescent="0.3">
      <c r="B12" s="245" t="s">
        <v>141</v>
      </c>
      <c r="C12" s="417"/>
      <c r="D12" s="246"/>
      <c r="E12" s="246"/>
      <c r="F12" s="246"/>
      <c r="G12" s="301" t="s">
        <v>126</v>
      </c>
      <c r="H12" s="276" t="s">
        <v>132</v>
      </c>
      <c r="I12" s="247"/>
      <c r="R12" s="19"/>
      <c r="S12" s="25"/>
      <c r="T12" s="19"/>
    </row>
    <row r="13" spans="2:25" x14ac:dyDescent="0.3">
      <c r="B13" s="419" t="s">
        <v>142</v>
      </c>
      <c r="G13" s="29" t="s">
        <v>133</v>
      </c>
      <c r="H13" s="423" t="s">
        <v>290</v>
      </c>
      <c r="I13" s="422"/>
      <c r="R13" s="19"/>
      <c r="S13" s="25"/>
      <c r="T13" s="19"/>
    </row>
    <row r="14" spans="2:25" x14ac:dyDescent="0.3">
      <c r="B14" s="245" t="s">
        <v>136</v>
      </c>
      <c r="C14" s="429"/>
      <c r="D14" s="246"/>
      <c r="E14" s="246"/>
      <c r="F14" s="246"/>
      <c r="G14" s="301" t="s">
        <v>283</v>
      </c>
      <c r="H14" s="285" t="s">
        <v>132</v>
      </c>
      <c r="I14" s="247"/>
      <c r="L14" s="29"/>
      <c r="R14" s="20"/>
      <c r="S14" s="26" t="s">
        <v>17</v>
      </c>
      <c r="T14" s="20"/>
    </row>
    <row r="15" spans="2:25" ht="15.6" x14ac:dyDescent="0.3">
      <c r="B15" s="419" t="s">
        <v>4</v>
      </c>
      <c r="C15" s="424" t="s">
        <v>286</v>
      </c>
      <c r="D15" s="425"/>
      <c r="G15" s="29" t="s">
        <v>282</v>
      </c>
      <c r="H15" s="75" t="s">
        <v>132</v>
      </c>
      <c r="I15" s="422"/>
    </row>
    <row r="16" spans="2:25" ht="16.8" x14ac:dyDescent="0.4">
      <c r="B16" s="302" t="s">
        <v>3</v>
      </c>
      <c r="C16" s="298"/>
      <c r="D16" s="246"/>
      <c r="E16" s="246"/>
      <c r="F16" s="246"/>
      <c r="G16" s="303" t="s">
        <v>127</v>
      </c>
      <c r="H16" s="304" t="s">
        <v>159</v>
      </c>
      <c r="I16" s="247"/>
    </row>
    <row r="17" spans="2:26" ht="15" thickBot="1" x14ac:dyDescent="0.35">
      <c r="B17" s="426" t="s">
        <v>13</v>
      </c>
      <c r="C17" s="299" t="s">
        <v>285</v>
      </c>
      <c r="D17" s="300"/>
      <c r="E17" s="119"/>
      <c r="F17" s="119"/>
      <c r="G17" s="427" t="s">
        <v>178</v>
      </c>
      <c r="H17" s="427" t="s">
        <v>291</v>
      </c>
      <c r="I17" s="428"/>
      <c r="J17" s="262"/>
      <c r="K17" s="262"/>
      <c r="U17" s="6"/>
      <c r="V17" s="6"/>
    </row>
    <row r="18" spans="2:26" ht="15.75" customHeight="1" thickBot="1" x14ac:dyDescent="0.35">
      <c r="K18" s="47"/>
      <c r="L18" s="5"/>
      <c r="W18" s="9"/>
      <c r="Y18" s="6"/>
      <c r="Z18" s="6"/>
    </row>
    <row r="19" spans="2:26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5"/>
      <c r="I19" s="436"/>
      <c r="J19" s="263"/>
      <c r="K19" s="263"/>
      <c r="L19" s="5"/>
      <c r="M19" s="249"/>
      <c r="N19" s="14">
        <v>0.02</v>
      </c>
      <c r="O19" s="14">
        <v>0.02</v>
      </c>
      <c r="P19" s="14"/>
      <c r="Q19" s="250" t="s">
        <v>6</v>
      </c>
      <c r="R19" s="36" t="s">
        <v>20</v>
      </c>
      <c r="S19" s="37" t="s">
        <v>131</v>
      </c>
      <c r="T19" s="10" t="s">
        <v>134</v>
      </c>
      <c r="V19" s="9"/>
      <c r="W19" s="9"/>
      <c r="Y19" s="6"/>
      <c r="Z19" s="6"/>
    </row>
    <row r="20" spans="2:26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131</v>
      </c>
      <c r="G20" s="411" t="s">
        <v>8</v>
      </c>
      <c r="H20" s="411" t="s">
        <v>5</v>
      </c>
      <c r="I20" s="412" t="s">
        <v>6</v>
      </c>
      <c r="J20" s="264"/>
      <c r="K20" s="264"/>
      <c r="L20" s="47"/>
      <c r="M20" s="267" t="str">
        <f>B20</f>
        <v>UNIDAD</v>
      </c>
      <c r="N20" s="266" t="s">
        <v>129</v>
      </c>
      <c r="O20" s="39" t="str">
        <f>E20</f>
        <v>ANCHO</v>
      </c>
      <c r="P20" s="260" t="s">
        <v>130</v>
      </c>
      <c r="Q20" s="258" t="s">
        <v>16</v>
      </c>
      <c r="R20" s="251">
        <f>P49</f>
        <v>38819.388060630605</v>
      </c>
      <c r="S20" s="257">
        <v>1000</v>
      </c>
      <c r="T20" s="38" t="s">
        <v>10</v>
      </c>
      <c r="U20" s="43" t="s">
        <v>11</v>
      </c>
      <c r="V20" s="9"/>
      <c r="Y20" s="4"/>
    </row>
    <row r="21" spans="2:26" ht="17.399999999999999" x14ac:dyDescent="0.3">
      <c r="B21" s="430">
        <v>9</v>
      </c>
      <c r="C21" s="430" t="s">
        <v>293</v>
      </c>
      <c r="D21" s="431">
        <v>0.44600000000000001</v>
      </c>
      <c r="E21" s="431">
        <v>0.1</v>
      </c>
      <c r="F21" s="431" t="s">
        <v>292</v>
      </c>
      <c r="G21" s="430" t="s">
        <v>294</v>
      </c>
      <c r="H21" s="432">
        <f>S21</f>
        <v>3170.7801803504635</v>
      </c>
      <c r="I21" s="432">
        <f>H21*B21</f>
        <v>28537.021623154171</v>
      </c>
      <c r="J21" s="306"/>
      <c r="K21" s="264"/>
      <c r="L21" s="47"/>
      <c r="M21" s="47">
        <f>B21</f>
        <v>9</v>
      </c>
      <c r="N21" s="39">
        <f>D21+N$19</f>
        <v>0.46600000000000003</v>
      </c>
      <c r="O21" s="39">
        <f>E21+$O$19</f>
        <v>0.12000000000000001</v>
      </c>
      <c r="P21" s="260">
        <f t="shared" ref="P21" si="0">N21*O21</f>
        <v>5.5920000000000004E-2</v>
      </c>
      <c r="Q21" s="258">
        <f t="shared" ref="Q21" si="1">P21*M21</f>
        <v>0.50328000000000006</v>
      </c>
      <c r="R21" s="251">
        <f t="shared" ref="R21" si="2">R$20*P21</f>
        <v>2170.7801803504635</v>
      </c>
      <c r="S21" s="305">
        <f t="shared" ref="S21" si="3">R21+S$20</f>
        <v>3170.7801803504635</v>
      </c>
      <c r="T21" s="290">
        <f>N21*M21</f>
        <v>4.194</v>
      </c>
      <c r="U21" s="46"/>
      <c r="V21" s="9"/>
      <c r="Y21" s="4"/>
    </row>
    <row r="22" spans="2:26" ht="17.399999999999999" x14ac:dyDescent="0.3">
      <c r="B22" s="430">
        <v>9</v>
      </c>
      <c r="C22" s="430" t="s">
        <v>293</v>
      </c>
      <c r="D22" s="431">
        <v>0.44600000000000001</v>
      </c>
      <c r="E22" s="431">
        <v>0.1</v>
      </c>
      <c r="F22" s="431" t="s">
        <v>292</v>
      </c>
      <c r="G22" s="430" t="s">
        <v>294</v>
      </c>
      <c r="H22" s="432">
        <f t="shared" ref="H22:H31" si="4">S22</f>
        <v>3170.7801803504635</v>
      </c>
      <c r="I22" s="432">
        <f t="shared" ref="I22:I31" si="5">H22*B22</f>
        <v>28537.021623154171</v>
      </c>
      <c r="J22" s="306"/>
      <c r="K22" s="264"/>
      <c r="L22" s="47"/>
      <c r="M22" s="47">
        <f>B22</f>
        <v>9</v>
      </c>
      <c r="N22" s="39">
        <f>D22+N$19</f>
        <v>0.46600000000000003</v>
      </c>
      <c r="O22" s="39">
        <f>E22+$O$19</f>
        <v>0.12000000000000001</v>
      </c>
      <c r="P22" s="260">
        <f t="shared" ref="P22" si="6">N22*O22</f>
        <v>5.5920000000000004E-2</v>
      </c>
      <c r="Q22" s="258">
        <f t="shared" ref="Q22" si="7">P22*M22</f>
        <v>0.50328000000000006</v>
      </c>
      <c r="R22" s="251">
        <f t="shared" ref="R22" si="8">R$20*P22</f>
        <v>2170.7801803504635</v>
      </c>
      <c r="S22" s="305">
        <f t="shared" ref="S22" si="9">R22+S$20</f>
        <v>3170.7801803504635</v>
      </c>
      <c r="T22" s="290">
        <f t="shared" ref="T22:T31" si="10">N22*M22</f>
        <v>4.194</v>
      </c>
      <c r="U22" s="46"/>
      <c r="V22" s="9"/>
      <c r="Y22" s="4"/>
    </row>
    <row r="23" spans="2:26" ht="17.399999999999999" x14ac:dyDescent="0.3">
      <c r="B23" s="430">
        <v>9</v>
      </c>
      <c r="C23" s="430" t="s">
        <v>293</v>
      </c>
      <c r="D23" s="431">
        <v>0.53</v>
      </c>
      <c r="E23" s="431">
        <v>0.52300000000000002</v>
      </c>
      <c r="F23" s="431" t="s">
        <v>292</v>
      </c>
      <c r="G23" s="430" t="s">
        <v>294</v>
      </c>
      <c r="H23" s="432">
        <f t="shared" si="4"/>
        <v>12593.410244307332</v>
      </c>
      <c r="I23" s="432">
        <f t="shared" si="5"/>
        <v>113340.69219876599</v>
      </c>
      <c r="J23" s="306"/>
      <c r="K23" s="264"/>
      <c r="L23" s="47"/>
      <c r="M23" s="47">
        <f t="shared" ref="M23:M31" si="11">B23</f>
        <v>9</v>
      </c>
      <c r="N23" s="39">
        <f t="shared" ref="N23:N31" si="12">D23+N$19</f>
        <v>0.55000000000000004</v>
      </c>
      <c r="O23" s="39">
        <f t="shared" ref="O23:O31" si="13">E23+$O$19</f>
        <v>0.54300000000000004</v>
      </c>
      <c r="P23" s="260">
        <f t="shared" ref="P23:P31" si="14">N23*O23</f>
        <v>0.29865000000000003</v>
      </c>
      <c r="Q23" s="258">
        <f t="shared" ref="Q23:Q31" si="15">P23*M23</f>
        <v>2.6878500000000001</v>
      </c>
      <c r="R23" s="251">
        <f t="shared" ref="R23:R31" si="16">R$20*P23</f>
        <v>11593.410244307332</v>
      </c>
      <c r="S23" s="305">
        <f t="shared" ref="S23:S31" si="17">R23+S$20</f>
        <v>12593.410244307332</v>
      </c>
      <c r="T23" s="290">
        <f t="shared" si="10"/>
        <v>4.95</v>
      </c>
      <c r="U23" s="46"/>
      <c r="V23" s="9"/>
      <c r="Y23" s="4"/>
    </row>
    <row r="24" spans="2:26" ht="17.399999999999999" x14ac:dyDescent="0.3">
      <c r="B24" s="430">
        <v>9</v>
      </c>
      <c r="C24" s="430" t="s">
        <v>293</v>
      </c>
      <c r="D24" s="431">
        <v>0.51400000000000001</v>
      </c>
      <c r="E24" s="431">
        <v>0.1</v>
      </c>
      <c r="F24" s="431" t="s">
        <v>292</v>
      </c>
      <c r="G24" s="430" t="s">
        <v>294</v>
      </c>
      <c r="H24" s="432">
        <f t="shared" si="4"/>
        <v>3487.5463869252094</v>
      </c>
      <c r="I24" s="432">
        <f t="shared" si="5"/>
        <v>31387.917482326884</v>
      </c>
      <c r="J24" s="306"/>
      <c r="K24" s="264"/>
      <c r="L24" s="47"/>
      <c r="M24" s="47">
        <f t="shared" si="11"/>
        <v>9</v>
      </c>
      <c r="N24" s="39">
        <f t="shared" si="12"/>
        <v>0.53400000000000003</v>
      </c>
      <c r="O24" s="39">
        <f t="shared" si="13"/>
        <v>0.12000000000000001</v>
      </c>
      <c r="P24" s="260">
        <f t="shared" si="14"/>
        <v>6.4080000000000012E-2</v>
      </c>
      <c r="Q24" s="258">
        <f t="shared" si="15"/>
        <v>0.57672000000000012</v>
      </c>
      <c r="R24" s="251">
        <f t="shared" si="16"/>
        <v>2487.5463869252094</v>
      </c>
      <c r="S24" s="305">
        <f t="shared" si="17"/>
        <v>3487.5463869252094</v>
      </c>
      <c r="T24" s="290">
        <f t="shared" si="10"/>
        <v>4.806</v>
      </c>
      <c r="U24" s="46"/>
      <c r="V24" s="9"/>
      <c r="Y24" s="4"/>
    </row>
    <row r="25" spans="2:26" ht="17.399999999999999" x14ac:dyDescent="0.3">
      <c r="B25" s="430">
        <v>9</v>
      </c>
      <c r="C25" s="430" t="s">
        <v>293</v>
      </c>
      <c r="D25" s="431">
        <v>0.51400000000000001</v>
      </c>
      <c r="E25" s="431">
        <v>0.1</v>
      </c>
      <c r="F25" s="431" t="s">
        <v>292</v>
      </c>
      <c r="G25" s="430" t="s">
        <v>294</v>
      </c>
      <c r="H25" s="432">
        <f t="shared" si="4"/>
        <v>3487.5463869252094</v>
      </c>
      <c r="I25" s="432">
        <f t="shared" si="5"/>
        <v>31387.917482326884</v>
      </c>
      <c r="J25" s="306"/>
      <c r="K25" s="264"/>
      <c r="L25" s="47"/>
      <c r="M25" s="47">
        <f t="shared" si="11"/>
        <v>9</v>
      </c>
      <c r="N25" s="39">
        <f t="shared" si="12"/>
        <v>0.53400000000000003</v>
      </c>
      <c r="O25" s="39">
        <f t="shared" si="13"/>
        <v>0.12000000000000001</v>
      </c>
      <c r="P25" s="260">
        <f t="shared" si="14"/>
        <v>6.4080000000000012E-2</v>
      </c>
      <c r="Q25" s="258">
        <f t="shared" si="15"/>
        <v>0.57672000000000012</v>
      </c>
      <c r="R25" s="251">
        <f t="shared" si="16"/>
        <v>2487.5463869252094</v>
      </c>
      <c r="S25" s="305">
        <f t="shared" si="17"/>
        <v>3487.5463869252094</v>
      </c>
      <c r="T25" s="290">
        <f t="shared" si="10"/>
        <v>4.806</v>
      </c>
      <c r="U25" s="46"/>
      <c r="V25" s="9"/>
      <c r="Y25" s="4"/>
    </row>
    <row r="26" spans="2:26" ht="17.399999999999999" x14ac:dyDescent="0.3">
      <c r="B26" s="430">
        <v>9</v>
      </c>
      <c r="C26" s="430" t="s">
        <v>293</v>
      </c>
      <c r="D26" s="431">
        <v>0.69599999999999995</v>
      </c>
      <c r="E26" s="431">
        <v>0.1</v>
      </c>
      <c r="F26" s="431" t="s">
        <v>292</v>
      </c>
      <c r="G26" s="430" t="s">
        <v>294</v>
      </c>
      <c r="H26" s="432">
        <f t="shared" si="4"/>
        <v>4335.3618221693814</v>
      </c>
      <c r="I26" s="432">
        <f t="shared" si="5"/>
        <v>39018.256399524435</v>
      </c>
      <c r="J26" s="306"/>
      <c r="K26" s="264"/>
      <c r="L26" s="47"/>
      <c r="M26" s="47">
        <f t="shared" si="11"/>
        <v>9</v>
      </c>
      <c r="N26" s="39">
        <f t="shared" si="12"/>
        <v>0.71599999999999997</v>
      </c>
      <c r="O26" s="39">
        <f t="shared" si="13"/>
        <v>0.12000000000000001</v>
      </c>
      <c r="P26" s="260">
        <f t="shared" si="14"/>
        <v>8.5919999999999996E-2</v>
      </c>
      <c r="Q26" s="258">
        <f t="shared" si="15"/>
        <v>0.77327999999999997</v>
      </c>
      <c r="R26" s="251">
        <f t="shared" si="16"/>
        <v>3335.3618221693814</v>
      </c>
      <c r="S26" s="305">
        <f t="shared" si="17"/>
        <v>4335.3618221693814</v>
      </c>
      <c r="T26" s="290">
        <f t="shared" si="10"/>
        <v>6.444</v>
      </c>
      <c r="U26" s="46"/>
      <c r="V26" s="9"/>
      <c r="Y26" s="4"/>
    </row>
    <row r="27" spans="2:26" ht="17.399999999999999" x14ac:dyDescent="0.3">
      <c r="B27" s="430">
        <v>9</v>
      </c>
      <c r="C27" s="430" t="s">
        <v>293</v>
      </c>
      <c r="D27" s="431">
        <v>0.69599999999999995</v>
      </c>
      <c r="E27" s="431">
        <v>0.1</v>
      </c>
      <c r="F27" s="431" t="s">
        <v>292</v>
      </c>
      <c r="G27" s="430" t="s">
        <v>294</v>
      </c>
      <c r="H27" s="432">
        <f t="shared" si="4"/>
        <v>4335.3618221693814</v>
      </c>
      <c r="I27" s="432">
        <f t="shared" si="5"/>
        <v>39018.256399524435</v>
      </c>
      <c r="J27" s="306"/>
      <c r="K27" s="264"/>
      <c r="L27" s="47"/>
      <c r="M27" s="47">
        <f t="shared" si="11"/>
        <v>9</v>
      </c>
      <c r="N27" s="39">
        <f t="shared" si="12"/>
        <v>0.71599999999999997</v>
      </c>
      <c r="O27" s="39">
        <f t="shared" si="13"/>
        <v>0.12000000000000001</v>
      </c>
      <c r="P27" s="260">
        <f t="shared" si="14"/>
        <v>8.5919999999999996E-2</v>
      </c>
      <c r="Q27" s="258">
        <f t="shared" si="15"/>
        <v>0.77327999999999997</v>
      </c>
      <c r="R27" s="251">
        <f t="shared" si="16"/>
        <v>3335.3618221693814</v>
      </c>
      <c r="S27" s="305">
        <f t="shared" si="17"/>
        <v>4335.3618221693814</v>
      </c>
      <c r="T27" s="290">
        <f t="shared" si="10"/>
        <v>6.444</v>
      </c>
      <c r="U27" s="46"/>
      <c r="V27" s="9"/>
      <c r="Y27" s="4"/>
    </row>
    <row r="28" spans="2:26" ht="17.399999999999999" x14ac:dyDescent="0.3">
      <c r="B28" s="430">
        <v>18</v>
      </c>
      <c r="C28" s="430" t="s">
        <v>293</v>
      </c>
      <c r="D28" s="431">
        <v>0.53</v>
      </c>
      <c r="E28" s="431">
        <v>0.52300000000000002</v>
      </c>
      <c r="F28" s="431" t="s">
        <v>292</v>
      </c>
      <c r="G28" s="430" t="s">
        <v>294</v>
      </c>
      <c r="H28" s="432">
        <f t="shared" si="4"/>
        <v>12593.410244307332</v>
      </c>
      <c r="I28" s="432">
        <f t="shared" si="5"/>
        <v>226681.38439753198</v>
      </c>
      <c r="J28" s="306"/>
      <c r="K28" s="264"/>
      <c r="L28" s="47"/>
      <c r="M28" s="47">
        <f t="shared" si="11"/>
        <v>18</v>
      </c>
      <c r="N28" s="39">
        <f t="shared" si="12"/>
        <v>0.55000000000000004</v>
      </c>
      <c r="O28" s="39">
        <f t="shared" si="13"/>
        <v>0.54300000000000004</v>
      </c>
      <c r="P28" s="260">
        <f t="shared" si="14"/>
        <v>0.29865000000000003</v>
      </c>
      <c r="Q28" s="258">
        <f t="shared" si="15"/>
        <v>5.3757000000000001</v>
      </c>
      <c r="R28" s="251">
        <f t="shared" si="16"/>
        <v>11593.410244307332</v>
      </c>
      <c r="S28" s="305">
        <f t="shared" si="17"/>
        <v>12593.410244307332</v>
      </c>
      <c r="T28" s="290">
        <f t="shared" si="10"/>
        <v>9.9</v>
      </c>
      <c r="U28" s="46"/>
      <c r="V28" s="9"/>
      <c r="Y28" s="4"/>
    </row>
    <row r="29" spans="2:26" ht="17.399999999999999" x14ac:dyDescent="0.3">
      <c r="B29" s="430">
        <v>1</v>
      </c>
      <c r="C29" s="430" t="s">
        <v>293</v>
      </c>
      <c r="D29" s="431">
        <v>1.3640000000000001</v>
      </c>
      <c r="E29" s="431">
        <v>0.42899999999999999</v>
      </c>
      <c r="F29" s="431" t="s">
        <v>292</v>
      </c>
      <c r="G29" s="430" t="s">
        <v>294</v>
      </c>
      <c r="H29" s="432">
        <f t="shared" si="4"/>
        <v>25122.988851084832</v>
      </c>
      <c r="I29" s="432">
        <f t="shared" si="5"/>
        <v>25122.988851084832</v>
      </c>
      <c r="J29" s="306"/>
      <c r="K29" s="264"/>
      <c r="L29" s="47"/>
      <c r="M29" s="47">
        <f t="shared" si="11"/>
        <v>1</v>
      </c>
      <c r="N29" s="39">
        <f t="shared" si="12"/>
        <v>1.3840000000000001</v>
      </c>
      <c r="O29" s="39">
        <f t="shared" si="13"/>
        <v>0.44900000000000001</v>
      </c>
      <c r="P29" s="260">
        <f t="shared" si="14"/>
        <v>0.62141600000000008</v>
      </c>
      <c r="Q29" s="258">
        <f t="shared" si="15"/>
        <v>0.62141600000000008</v>
      </c>
      <c r="R29" s="251">
        <f t="shared" si="16"/>
        <v>24122.988851084832</v>
      </c>
      <c r="S29" s="305">
        <f t="shared" si="17"/>
        <v>25122.988851084832</v>
      </c>
      <c r="T29" s="290">
        <f t="shared" si="10"/>
        <v>1.3840000000000001</v>
      </c>
      <c r="U29" s="46"/>
      <c r="V29" s="9"/>
      <c r="Y29" s="4"/>
    </row>
    <row r="30" spans="2:26" ht="17.399999999999999" x14ac:dyDescent="0.3">
      <c r="B30" s="430">
        <v>1</v>
      </c>
      <c r="C30" s="430" t="s">
        <v>293</v>
      </c>
      <c r="D30" s="431">
        <v>0.73199999999999998</v>
      </c>
      <c r="E30" s="431">
        <v>0.1</v>
      </c>
      <c r="F30" s="431" t="s">
        <v>292</v>
      </c>
      <c r="G30" s="430" t="s">
        <v>294</v>
      </c>
      <c r="H30" s="432">
        <f t="shared" si="4"/>
        <v>4503.061578591306</v>
      </c>
      <c r="I30" s="432">
        <f t="shared" si="5"/>
        <v>4503.061578591306</v>
      </c>
      <c r="J30" s="306"/>
      <c r="K30" s="264"/>
      <c r="L30" s="47"/>
      <c r="M30" s="47">
        <f t="shared" si="11"/>
        <v>1</v>
      </c>
      <c r="N30" s="39">
        <f t="shared" si="12"/>
        <v>0.752</v>
      </c>
      <c r="O30" s="39">
        <f t="shared" si="13"/>
        <v>0.12000000000000001</v>
      </c>
      <c r="P30" s="260">
        <f t="shared" si="14"/>
        <v>9.0240000000000001E-2</v>
      </c>
      <c r="Q30" s="258">
        <f t="shared" si="15"/>
        <v>9.0240000000000001E-2</v>
      </c>
      <c r="R30" s="251">
        <f t="shared" si="16"/>
        <v>3503.061578591306</v>
      </c>
      <c r="S30" s="305">
        <f t="shared" si="17"/>
        <v>4503.061578591306</v>
      </c>
      <c r="T30" s="290">
        <f t="shared" si="10"/>
        <v>0.752</v>
      </c>
      <c r="U30" s="46"/>
      <c r="V30" s="9"/>
      <c r="Y30" s="4"/>
    </row>
    <row r="31" spans="2:26" ht="17.399999999999999" x14ac:dyDescent="0.3">
      <c r="B31" s="430">
        <v>1</v>
      </c>
      <c r="C31" s="430" t="s">
        <v>293</v>
      </c>
      <c r="D31" s="431">
        <v>2.1</v>
      </c>
      <c r="E31" s="431">
        <v>1.2</v>
      </c>
      <c r="F31" s="431"/>
      <c r="G31" s="430" t="s">
        <v>294</v>
      </c>
      <c r="H31" s="432">
        <f t="shared" si="4"/>
        <v>101402.46528001501</v>
      </c>
      <c r="I31" s="432">
        <f t="shared" si="5"/>
        <v>101402.46528001501</v>
      </c>
      <c r="J31" s="306"/>
      <c r="K31" s="264"/>
      <c r="L31" s="47"/>
      <c r="M31" s="47">
        <f t="shared" si="11"/>
        <v>1</v>
      </c>
      <c r="N31" s="39">
        <f t="shared" si="12"/>
        <v>2.12</v>
      </c>
      <c r="O31" s="39">
        <f t="shared" si="13"/>
        <v>1.22</v>
      </c>
      <c r="P31" s="260">
        <f t="shared" si="14"/>
        <v>2.5864000000000003</v>
      </c>
      <c r="Q31" s="258">
        <f t="shared" si="15"/>
        <v>2.5864000000000003</v>
      </c>
      <c r="R31" s="251">
        <f t="shared" si="16"/>
        <v>100402.46528001501</v>
      </c>
      <c r="S31" s="305">
        <f t="shared" si="17"/>
        <v>101402.46528001501</v>
      </c>
      <c r="T31" s="290">
        <f t="shared" si="10"/>
        <v>2.12</v>
      </c>
      <c r="U31" s="46"/>
      <c r="V31" s="9"/>
      <c r="Y31" s="4"/>
    </row>
    <row r="32" spans="2:26" ht="17.399999999999999" x14ac:dyDescent="0.3">
      <c r="B32" s="283"/>
      <c r="C32" s="283"/>
      <c r="D32" s="284"/>
      <c r="E32" s="284"/>
      <c r="F32" s="284"/>
      <c r="G32" s="283"/>
      <c r="H32" s="306"/>
      <c r="I32" s="306"/>
      <c r="J32" s="306"/>
      <c r="K32" s="264"/>
      <c r="L32" s="47"/>
      <c r="M32" s="47"/>
      <c r="N32" s="39"/>
      <c r="O32" s="39"/>
      <c r="P32" s="260"/>
      <c r="Q32" s="258"/>
      <c r="R32" s="251"/>
      <c r="S32" s="305"/>
      <c r="T32" s="290"/>
      <c r="U32" s="46"/>
      <c r="V32" s="9"/>
      <c r="Y32" s="4"/>
    </row>
    <row r="33" spans="1:25" ht="17.399999999999999" x14ac:dyDescent="0.3">
      <c r="B33" s="283">
        <f>SUM(B21:B31)</f>
        <v>84</v>
      </c>
      <c r="C33" s="283"/>
      <c r="D33" s="284"/>
      <c r="E33" s="284"/>
      <c r="F33" s="284"/>
      <c r="G33" s="283"/>
      <c r="H33" s="306"/>
      <c r="I33" s="306"/>
      <c r="J33" s="306"/>
      <c r="K33" s="264"/>
      <c r="L33" s="47"/>
      <c r="M33" s="47"/>
      <c r="N33" s="39"/>
      <c r="O33" s="39"/>
      <c r="P33" s="260"/>
      <c r="Q33" s="258"/>
      <c r="R33" s="251"/>
      <c r="S33" s="305"/>
      <c r="T33" s="290"/>
      <c r="U33" s="46"/>
      <c r="V33" s="9"/>
      <c r="Y33" s="4"/>
    </row>
    <row r="34" spans="1:25" ht="18" thickBot="1" x14ac:dyDescent="0.35">
      <c r="B34" s="283"/>
      <c r="C34" s="283"/>
      <c r="D34" s="284"/>
      <c r="E34" s="284"/>
      <c r="F34" s="284"/>
      <c r="G34" s="283"/>
      <c r="H34" s="264"/>
      <c r="I34" s="307"/>
      <c r="J34" s="309"/>
      <c r="K34" s="233"/>
      <c r="L34" s="47"/>
      <c r="M34" s="47"/>
      <c r="N34" s="39"/>
      <c r="O34" s="39"/>
      <c r="P34" s="260"/>
      <c r="Q34" s="258"/>
      <c r="R34" s="251"/>
      <c r="S34" s="257"/>
      <c r="T34" s="290"/>
      <c r="U34" s="14"/>
      <c r="V34" s="9"/>
      <c r="Y34" s="4"/>
    </row>
    <row r="35" spans="1:25" ht="17.399999999999999" x14ac:dyDescent="0.3">
      <c r="B35" s="283"/>
      <c r="C35" s="283"/>
      <c r="D35" s="284"/>
      <c r="E35" s="284"/>
      <c r="F35" s="284"/>
      <c r="G35" s="283"/>
      <c r="H35" s="310" t="s">
        <v>28</v>
      </c>
      <c r="I35" s="311">
        <f>SUM(I21:I34)</f>
        <v>668936.9833160002</v>
      </c>
      <c r="J35" s="308"/>
      <c r="K35" s="264"/>
      <c r="L35" s="47">
        <v>2600000</v>
      </c>
      <c r="M35" s="47"/>
      <c r="N35" s="39"/>
      <c r="O35" s="39"/>
      <c r="P35" s="260"/>
      <c r="Q35" s="258"/>
      <c r="R35" s="251"/>
      <c r="S35" s="257"/>
      <c r="T35" s="290"/>
      <c r="U35" s="46">
        <f>SUM(U21:U34)</f>
        <v>0</v>
      </c>
      <c r="V35" s="9"/>
      <c r="Y35" s="4"/>
    </row>
    <row r="36" spans="1:25" ht="17.399999999999999" x14ac:dyDescent="0.3">
      <c r="B36" s="277"/>
      <c r="C36" s="280"/>
      <c r="D36" s="281"/>
      <c r="E36" s="281"/>
      <c r="F36" s="281"/>
      <c r="G36" s="282"/>
      <c r="H36" s="289" t="s">
        <v>51</v>
      </c>
      <c r="I36" s="287">
        <f>I35*19%</f>
        <v>127098.02683004003</v>
      </c>
      <c r="J36" s="308"/>
      <c r="K36" s="264"/>
      <c r="L36" s="47"/>
      <c r="M36" s="47"/>
      <c r="N36" s="39">
        <f>SUM(N21:N35)</f>
        <v>8.7880000000000003</v>
      </c>
      <c r="O36" s="12"/>
      <c r="P36" s="12"/>
      <c r="Q36" s="252">
        <f>SUM(Q21:Q33)</f>
        <v>15.068165999999998</v>
      </c>
      <c r="R36" s="14"/>
      <c r="S36" s="12"/>
      <c r="T36" s="239"/>
      <c r="U36" s="46"/>
      <c r="V36" s="9"/>
      <c r="Y36" s="4"/>
    </row>
    <row r="37" spans="1:25" ht="18" thickBot="1" x14ac:dyDescent="0.35">
      <c r="B37" s="274"/>
      <c r="C37" s="279"/>
      <c r="D37" s="271"/>
      <c r="E37" s="271"/>
      <c r="F37" s="271"/>
      <c r="G37" s="272"/>
      <c r="H37" s="278" t="s">
        <v>6</v>
      </c>
      <c r="I37" s="288">
        <f>I35+I36</f>
        <v>796035.01014604024</v>
      </c>
      <c r="J37" s="308"/>
      <c r="K37" s="264"/>
      <c r="L37" s="47"/>
      <c r="M37" s="47"/>
      <c r="N37" s="39"/>
      <c r="O37" s="12"/>
      <c r="P37" s="12"/>
      <c r="Q37" s="252">
        <f>Q36</f>
        <v>15.068165999999998</v>
      </c>
      <c r="R37" s="14"/>
      <c r="S37" s="12"/>
      <c r="T37" s="239">
        <f>SUM(T21:T36)</f>
        <v>49.994</v>
      </c>
      <c r="U37" s="46"/>
      <c r="V37" s="9"/>
      <c r="Y37" s="4"/>
    </row>
    <row r="38" spans="1:25" ht="17.399999999999999" x14ac:dyDescent="0.3">
      <c r="B38" s="274"/>
      <c r="C38" s="270"/>
      <c r="D38" s="271"/>
      <c r="E38" s="271"/>
      <c r="F38" s="271"/>
      <c r="G38" s="272"/>
      <c r="K38" s="264"/>
      <c r="L38" s="47"/>
      <c r="M38" s="47"/>
      <c r="N38" s="14"/>
      <c r="O38" s="12"/>
      <c r="P38" s="12"/>
      <c r="Q38" s="39">
        <f>Q37*20%</f>
        <v>3.0136331999999997</v>
      </c>
      <c r="R38" s="39" t="s">
        <v>128</v>
      </c>
      <c r="S38" s="42"/>
      <c r="T38" s="240">
        <f>T37+U35</f>
        <v>49.994</v>
      </c>
      <c r="U38" s="14"/>
      <c r="V38" s="9"/>
      <c r="Y38" s="4"/>
    </row>
    <row r="39" spans="1:25" ht="17.399999999999999" x14ac:dyDescent="0.35">
      <c r="B39" s="268"/>
      <c r="C39" s="230"/>
      <c r="D39" s="230"/>
      <c r="E39" s="233"/>
      <c r="F39" s="233"/>
      <c r="G39" s="234"/>
      <c r="H39" s="230"/>
      <c r="I39" s="273"/>
      <c r="J39" s="273"/>
      <c r="K39" s="264"/>
      <c r="L39" s="47"/>
      <c r="M39" s="47"/>
      <c r="N39" s="14"/>
      <c r="O39" s="12"/>
      <c r="P39" s="12"/>
      <c r="Q39" s="46">
        <f>Q37+Q38</f>
        <v>18.081799199999999</v>
      </c>
      <c r="R39" s="14"/>
      <c r="S39" s="14"/>
      <c r="T39" s="238">
        <f>T38*20%</f>
        <v>9.998800000000001</v>
      </c>
      <c r="U39" s="14"/>
      <c r="V39" s="9"/>
      <c r="Y39" s="4"/>
    </row>
    <row r="40" spans="1:25" ht="17.399999999999999" x14ac:dyDescent="0.35">
      <c r="B40" s="235"/>
      <c r="C40" s="236"/>
      <c r="D40" s="237"/>
      <c r="E40" s="235"/>
      <c r="F40" s="235"/>
      <c r="G40" s="230"/>
      <c r="H40" s="230"/>
      <c r="J40" s="273"/>
      <c r="K40" s="264"/>
      <c r="L40" s="47"/>
      <c r="M40" s="47"/>
      <c r="N40" s="14"/>
      <c r="O40" s="14"/>
      <c r="P40" s="14"/>
      <c r="Q40" s="14"/>
      <c r="R40" s="14"/>
      <c r="S40" s="14"/>
      <c r="T40" s="240">
        <f>T38+T39</f>
        <v>59.992800000000003</v>
      </c>
      <c r="U40" s="14"/>
      <c r="V40" s="294" t="s">
        <v>21</v>
      </c>
      <c r="W40" s="291" t="s">
        <v>148</v>
      </c>
      <c r="X40" s="295">
        <v>44971</v>
      </c>
      <c r="Y40" s="296"/>
    </row>
    <row r="41" spans="1:25" ht="17.399999999999999" x14ac:dyDescent="0.35">
      <c r="B41" s="230"/>
      <c r="C41" s="230"/>
      <c r="D41" s="230"/>
      <c r="E41" s="230"/>
      <c r="F41" s="230"/>
      <c r="G41" s="230"/>
      <c r="H41" s="230"/>
      <c r="K41" s="264"/>
      <c r="L41" s="47"/>
      <c r="M41" s="47"/>
      <c r="N41" s="39">
        <f>Q39</f>
        <v>18.081799199999999</v>
      </c>
      <c r="O41" s="12">
        <v>3500</v>
      </c>
      <c r="P41" s="12">
        <f t="shared" ref="P41:P46" si="18">N41*O41</f>
        <v>63286.297199999994</v>
      </c>
      <c r="Q41" s="14" t="s">
        <v>21</v>
      </c>
      <c r="R41" s="14"/>
      <c r="S41" s="14"/>
      <c r="T41" s="241"/>
      <c r="U41" s="14"/>
      <c r="V41" s="294" t="s">
        <v>149</v>
      </c>
      <c r="W41" s="291">
        <v>3625</v>
      </c>
      <c r="X41" s="59" t="s">
        <v>150</v>
      </c>
      <c r="Y41" s="296"/>
    </row>
    <row r="42" spans="1:25" ht="17.399999999999999" x14ac:dyDescent="0.35">
      <c r="A42" s="230"/>
      <c r="B42" s="230"/>
      <c r="C42" s="230"/>
      <c r="D42" s="230"/>
      <c r="E42" s="230"/>
      <c r="F42" s="230"/>
      <c r="G42" s="230"/>
      <c r="H42" s="230"/>
      <c r="I42" s="230"/>
      <c r="K42" s="264"/>
      <c r="L42" s="47"/>
      <c r="M42" s="47"/>
      <c r="N42" s="248">
        <v>5</v>
      </c>
      <c r="O42" s="12">
        <v>23500</v>
      </c>
      <c r="P42" s="12">
        <f t="shared" si="18"/>
        <v>117500</v>
      </c>
      <c r="Q42" s="39" t="s">
        <v>31</v>
      </c>
      <c r="R42" s="42"/>
      <c r="S42" s="14"/>
      <c r="T42" s="240"/>
      <c r="U42" s="14"/>
      <c r="V42" s="294"/>
      <c r="W42" s="59">
        <v>906.25</v>
      </c>
      <c r="X42" s="59" t="s">
        <v>151</v>
      </c>
      <c r="Y42" s="296"/>
    </row>
    <row r="43" spans="1:25" s="230" customFormat="1" ht="17.399999999999999" x14ac:dyDescent="0.35">
      <c r="B43" s="24" t="s">
        <v>147</v>
      </c>
      <c r="K43" s="261"/>
      <c r="L43" s="232"/>
      <c r="M43" s="249"/>
      <c r="N43" s="14">
        <v>5</v>
      </c>
      <c r="O43" s="249">
        <v>15700</v>
      </c>
      <c r="P43" s="12">
        <f t="shared" si="18"/>
        <v>78500</v>
      </c>
      <c r="Q43" s="39" t="s">
        <v>30</v>
      </c>
      <c r="R43" s="42"/>
      <c r="T43" s="240"/>
      <c r="U43" s="255"/>
      <c r="V43" s="59"/>
      <c r="W43" s="59">
        <f>W42*20%</f>
        <v>181.25</v>
      </c>
      <c r="X43" s="296" t="s">
        <v>152</v>
      </c>
      <c r="Y43" s="59"/>
    </row>
    <row r="44" spans="1:25" s="230" customFormat="1" ht="17.399999999999999" x14ac:dyDescent="0.35">
      <c r="B44" s="24" t="s">
        <v>161</v>
      </c>
      <c r="C44"/>
      <c r="D44"/>
      <c r="E44"/>
      <c r="F44"/>
      <c r="G44"/>
      <c r="K44" s="261"/>
      <c r="L44" s="232"/>
      <c r="M44" s="249"/>
      <c r="N44" s="14"/>
      <c r="O44" s="249">
        <v>28500</v>
      </c>
      <c r="P44" s="12">
        <f t="shared" si="18"/>
        <v>0</v>
      </c>
      <c r="Q44" s="14" t="s">
        <v>138</v>
      </c>
      <c r="R44" s="17"/>
      <c r="T44" s="238"/>
      <c r="U44" s="255"/>
      <c r="V44" s="59"/>
      <c r="W44" s="59">
        <f>W42+W43</f>
        <v>1087.5</v>
      </c>
      <c r="X44" s="296" t="s">
        <v>153</v>
      </c>
      <c r="Y44" s="59"/>
    </row>
    <row r="45" spans="1:25" s="230" customFormat="1" ht="17.399999999999999" x14ac:dyDescent="0.35">
      <c r="A45" s="230" t="s">
        <v>281</v>
      </c>
      <c r="B45" s="29" t="s">
        <v>124</v>
      </c>
      <c r="C45"/>
      <c r="D45"/>
      <c r="E45"/>
      <c r="F45"/>
      <c r="G45" s="229" t="s">
        <v>15</v>
      </c>
      <c r="K45" s="261"/>
      <c r="L45" s="259"/>
      <c r="M45" s="249"/>
      <c r="N45" s="248">
        <v>60</v>
      </c>
      <c r="O45" s="249">
        <v>481</v>
      </c>
      <c r="P45" s="12">
        <f t="shared" si="18"/>
        <v>28860</v>
      </c>
      <c r="Q45" s="14" t="s">
        <v>287</v>
      </c>
      <c r="R45" s="14"/>
      <c r="S45" s="230">
        <v>1.22</v>
      </c>
      <c r="T45" s="238"/>
      <c r="U45" s="238"/>
    </row>
    <row r="46" spans="1:25" s="230" customFormat="1" ht="17.399999999999999" x14ac:dyDescent="0.35">
      <c r="K46" s="286"/>
      <c r="L46" s="259"/>
      <c r="M46" s="249"/>
      <c r="N46" s="265"/>
      <c r="O46" s="12">
        <v>1500</v>
      </c>
      <c r="P46" s="12">
        <f t="shared" si="18"/>
        <v>0</v>
      </c>
      <c r="Q46" s="14" t="s">
        <v>22</v>
      </c>
      <c r="R46" s="14"/>
      <c r="S46">
        <v>3.05</v>
      </c>
      <c r="T46"/>
      <c r="U46" s="238"/>
      <c r="Y46" s="231"/>
    </row>
    <row r="47" spans="1:25" s="230" customFormat="1" ht="17.399999999999999" x14ac:dyDescent="0.35">
      <c r="L47" s="259"/>
      <c r="M47" s="249"/>
      <c r="N47" s="14"/>
      <c r="O47" s="12"/>
      <c r="P47" s="12">
        <f>SUM(P41:P46)</f>
        <v>288146.29720000003</v>
      </c>
      <c r="Q47" s="39" t="s">
        <v>23</v>
      </c>
      <c r="R47" s="14"/>
      <c r="S47">
        <f>S45*S46</f>
        <v>3.7209999999999996</v>
      </c>
      <c r="T47"/>
      <c r="U47" s="238"/>
      <c r="Y47" s="231"/>
    </row>
    <row r="48" spans="1:25" s="230" customFormat="1" ht="17.399999999999999" x14ac:dyDescent="0.35">
      <c r="M48" s="249"/>
      <c r="N48" s="253" t="s">
        <v>33</v>
      </c>
      <c r="O48" s="12"/>
      <c r="P48" s="254">
        <f>P47*2.03</f>
        <v>584936.98331599997</v>
      </c>
      <c r="Q48" s="14" t="s">
        <v>137</v>
      </c>
      <c r="R48" s="14"/>
      <c r="S48" s="40">
        <f>Q39/S47</f>
        <v>4.8593924213920987</v>
      </c>
      <c r="T48"/>
      <c r="U48" s="256"/>
    </row>
    <row r="49" spans="2:24" s="230" customFormat="1" ht="17.399999999999999" x14ac:dyDescent="0.35">
      <c r="H49"/>
      <c r="I49" s="259"/>
      <c r="J49" s="259"/>
      <c r="K49" s="259"/>
      <c r="L49" s="230">
        <v>46000</v>
      </c>
      <c r="M49" s="249"/>
      <c r="N49" s="14"/>
      <c r="O49" s="12"/>
      <c r="P49" s="12">
        <f>P48/Q37</f>
        <v>38819.388060630605</v>
      </c>
      <c r="Q49" s="45" t="s">
        <v>24</v>
      </c>
      <c r="R49" s="14"/>
      <c r="S49" s="14"/>
      <c r="T49"/>
      <c r="U49" s="238"/>
      <c r="V49" s="59" t="s">
        <v>154</v>
      </c>
      <c r="W49" s="291">
        <v>43650</v>
      </c>
    </row>
    <row r="50" spans="2:24" s="230" customFormat="1" ht="17.399999999999999" x14ac:dyDescent="0.35">
      <c r="H50"/>
      <c r="L50" s="230">
        <f>L49/1.19</f>
        <v>38655.462184873948</v>
      </c>
      <c r="M50" s="249"/>
      <c r="N50" s="13"/>
      <c r="O50" s="14"/>
      <c r="P50" s="17">
        <f>P48/P47</f>
        <v>2.0299999999999998</v>
      </c>
      <c r="Q50" s="15"/>
      <c r="R50"/>
      <c r="S50"/>
      <c r="T50"/>
      <c r="U50" s="238"/>
      <c r="V50" s="59" t="s">
        <v>156</v>
      </c>
      <c r="W50" s="292" t="s">
        <v>155</v>
      </c>
      <c r="X50" s="59">
        <v>2.4</v>
      </c>
    </row>
    <row r="51" spans="2:24" s="230" customFormat="1" ht="17.399999999999999" x14ac:dyDescent="0.35">
      <c r="H51" s="23"/>
      <c r="M51" s="12"/>
      <c r="U51" s="238"/>
      <c r="V51" s="59" t="s">
        <v>157</v>
      </c>
      <c r="W51" s="293">
        <v>395.37</v>
      </c>
    </row>
    <row r="52" spans="2:24" s="230" customFormat="1" ht="17.399999999999999" x14ac:dyDescent="0.35">
      <c r="B52"/>
      <c r="C52" s="228"/>
      <c r="D52" s="22"/>
      <c r="E52" s="22"/>
      <c r="F52" s="22"/>
      <c r="G52" s="21"/>
      <c r="H52" s="23"/>
      <c r="M52" s="12"/>
      <c r="U52" s="238"/>
      <c r="V52" s="59" t="s">
        <v>152</v>
      </c>
      <c r="W52" s="59">
        <v>474.45</v>
      </c>
    </row>
    <row r="53" spans="2:24" ht="14.4" customHeight="1" x14ac:dyDescent="0.3">
      <c r="M53" s="12"/>
      <c r="V53" s="59"/>
      <c r="W53" s="59"/>
    </row>
    <row r="54" spans="2:24" x14ac:dyDescent="0.3">
      <c r="M54" s="249"/>
    </row>
    <row r="55" spans="2:24" x14ac:dyDescent="0.3">
      <c r="M55" s="249"/>
      <c r="U55" s="269"/>
    </row>
    <row r="56" spans="2:24" x14ac:dyDescent="0.3">
      <c r="M56" s="249"/>
    </row>
    <row r="57" spans="2:24" ht="15" customHeight="1" x14ac:dyDescent="0.3"/>
    <row r="59" spans="2:24" x14ac:dyDescent="0.3">
      <c r="P59">
        <v>40935</v>
      </c>
      <c r="Q59" t="s">
        <v>16</v>
      </c>
      <c r="R59" t="s">
        <v>26</v>
      </c>
    </row>
    <row r="61" spans="2:24" x14ac:dyDescent="0.3">
      <c r="P61" s="54"/>
      <c r="Q61" s="54"/>
    </row>
    <row r="62" spans="2:24" x14ac:dyDescent="0.3">
      <c r="T62" s="18"/>
      <c r="U62" s="18"/>
    </row>
    <row r="63" spans="2:24" x14ac:dyDescent="0.3">
      <c r="T63" s="18"/>
      <c r="U63" s="18"/>
    </row>
    <row r="64" spans="2:24" x14ac:dyDescent="0.3">
      <c r="T64" s="18"/>
      <c r="U64" s="18"/>
    </row>
    <row r="65" spans="16:21" x14ac:dyDescent="0.3">
      <c r="T65" s="18"/>
      <c r="U65" s="18"/>
    </row>
    <row r="66" spans="16:21" x14ac:dyDescent="0.3">
      <c r="T66" s="18"/>
      <c r="U66" s="18"/>
    </row>
    <row r="67" spans="16:21" x14ac:dyDescent="0.3">
      <c r="T67" s="18"/>
      <c r="U67" s="18"/>
    </row>
    <row r="68" spans="16:21" x14ac:dyDescent="0.3">
      <c r="T68" s="18"/>
      <c r="U68" s="18"/>
    </row>
    <row r="69" spans="16:21" x14ac:dyDescent="0.3">
      <c r="T69" s="18"/>
      <c r="U69" s="18"/>
    </row>
    <row r="70" spans="16:21" x14ac:dyDescent="0.3">
      <c r="T70" s="18"/>
      <c r="U70" s="18"/>
    </row>
    <row r="73" spans="16:21" x14ac:dyDescent="0.3">
      <c r="P73" s="43"/>
    </row>
    <row r="74" spans="16:21" x14ac:dyDescent="0.3">
      <c r="P74" s="43"/>
    </row>
    <row r="75" spans="16:21" x14ac:dyDescent="0.3">
      <c r="P75" s="6"/>
    </row>
    <row r="76" spans="16:21" x14ac:dyDescent="0.3">
      <c r="P76" s="6"/>
    </row>
    <row r="84" spans="3:3" x14ac:dyDescent="0.3">
      <c r="C84" t="s">
        <v>144</v>
      </c>
    </row>
    <row r="85" spans="3:3" x14ac:dyDescent="0.3">
      <c r="C85" t="s">
        <v>143</v>
      </c>
    </row>
    <row r="88" spans="3:3" x14ac:dyDescent="0.3">
      <c r="C88" t="s">
        <v>143</v>
      </c>
    </row>
    <row r="165" spans="3:3" x14ac:dyDescent="0.3">
      <c r="C165" t="s">
        <v>143</v>
      </c>
    </row>
    <row r="166" spans="3:3" x14ac:dyDescent="0.3">
      <c r="C166" t="s">
        <v>145</v>
      </c>
    </row>
    <row r="167" spans="3:3" x14ac:dyDescent="0.3">
      <c r="C167" t="s">
        <v>146</v>
      </c>
    </row>
    <row r="592" spans="3:3" x14ac:dyDescent="0.3">
      <c r="C592" t="s">
        <v>143</v>
      </c>
    </row>
  </sheetData>
  <mergeCells count="1">
    <mergeCell ref="B19:I19"/>
  </mergeCells>
  <phoneticPr fontId="32" type="noConversion"/>
  <hyperlinks>
    <hyperlink ref="G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'2229'!H10</f>
        <v>46008</v>
      </c>
    </row>
    <row r="6" spans="2:31" ht="16.2" thickBot="1" x14ac:dyDescent="0.35">
      <c r="B6" s="140" t="s">
        <v>2</v>
      </c>
      <c r="C6" s="139" t="str">
        <f>'2229'!C10</f>
        <v>GONZALO PEÑA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11808 B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-31981.390522787475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'2229'!I35</f>
        <v>668936.9833160002</v>
      </c>
      <c r="E11" s="132">
        <f>D11*0.19</f>
        <v>127098.02683004003</v>
      </c>
      <c r="F11" s="131">
        <f>E11+D11</f>
        <v>796035.01014604024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74008.609477212522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289120.38798743964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56008.609477212522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379816.59532856056</v>
      </c>
      <c r="E13" s="221">
        <f>(D11/D12)-1</f>
        <v>1.3136970310964755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47008.609477212522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8008.6094772125252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477048.64017927536</v>
      </c>
      <c r="F15" s="216">
        <f>E15-D12</f>
        <v>187928.25219183572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8008.6094772125252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48008.609477212522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'2229'!P43</f>
        <v>78500</v>
      </c>
      <c r="E18" s="123">
        <f>D18*0.19</f>
        <v>14915</v>
      </c>
      <c r="F18" s="120">
        <f>SUM(D18:E18)</f>
        <v>93415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'2229'!P42</f>
        <v>117500</v>
      </c>
      <c r="E19" s="123">
        <f>D19*0.19</f>
        <v>22325</v>
      </c>
      <c r="F19" s="120">
        <f>SUM(D19:E19)</f>
        <v>139825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'2229'!P41</f>
        <v>63286.297199999994</v>
      </c>
      <c r="E20" s="121">
        <f>D20*0.19</f>
        <v>12024.396467999999</v>
      </c>
      <c r="F20" s="120">
        <f>SUM(D20:E20)</f>
        <v>75310.693667999993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259286.2972</v>
      </c>
      <c r="E21" s="116">
        <f>SUM(E18:E20)</f>
        <v>49264.396467999999</v>
      </c>
      <c r="F21" s="115">
        <f>SUM(F18:F20)</f>
        <v>308550.69366799999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77833.630362040043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668936.9833160002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259286.2972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379816.59532856056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379816.59532856056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11808 B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GONZALO PEÑA</v>
      </c>
      <c r="D10" s="350"/>
      <c r="E10" s="350"/>
      <c r="F10" s="351" t="s">
        <v>166</v>
      </c>
      <c r="G10" s="352">
        <f>'2229'!H10</f>
        <v>46008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46015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'2229'!H14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+569 8466 2944</v>
      </c>
      <c r="D15" s="347"/>
      <c r="E15" s="345"/>
      <c r="F15" s="345" t="s">
        <v>172</v>
      </c>
      <c r="G15" s="345" t="str">
        <f>'2229'!H12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'2229'!H16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174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175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9</v>
      </c>
      <c r="C22" s="313" t="str">
        <f>'2229'!C21</f>
        <v>ENCHAPE RECTO 1 CARA MDF 18MM</v>
      </c>
      <c r="D22" s="321">
        <f>'2229'!D21*1000</f>
        <v>446</v>
      </c>
      <c r="E22" s="321">
        <f>'2229'!E21*1000</f>
        <v>100</v>
      </c>
      <c r="F22" s="322" t="str">
        <f>'2229'!G21</f>
        <v>BLANCO MT</v>
      </c>
      <c r="G22" s="314">
        <f>'2229'!H21</f>
        <v>3170.7801803504635</v>
      </c>
      <c r="H22" s="323">
        <f>G22*B22</f>
        <v>28537.021623154171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28537.021623154171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5422.0341083992926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33959.055731553461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180</v>
      </c>
      <c r="C2" s="449"/>
      <c r="D2" s="449"/>
      <c r="E2" s="361"/>
      <c r="G2" s="449" t="s">
        <v>181</v>
      </c>
      <c r="H2" s="449"/>
      <c r="I2" s="449"/>
      <c r="P2" s="450" t="s">
        <v>182</v>
      </c>
      <c r="Q2" s="450"/>
      <c r="R2" s="450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0" t="s">
        <v>182</v>
      </c>
      <c r="M8" s="450"/>
      <c r="N8" s="450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263</v>
      </c>
      <c r="L3" s="455"/>
      <c r="M3" s="455" t="s">
        <v>264</v>
      </c>
      <c r="N3" s="455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GONZALO PEÑA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46008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46015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263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264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270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11808 B</v>
      </c>
      <c r="C2" s="1">
        <f>'NOTA DE VENTA'!$G$10</f>
        <v>46008</v>
      </c>
      <c r="D2" s="1">
        <f>'NOTA DE VENTA'!$G$11</f>
        <v>46015</v>
      </c>
      <c r="E2" t="str">
        <f>'NOTA DE VENTA'!$C$10</f>
        <v>GONZALO PEÑA</v>
      </c>
      <c r="F2" t="str">
        <f>'NOTA DE VENTA'!$C$22</f>
        <v>ENCHAPE RECTO 1 CARA MDF 18MM</v>
      </c>
      <c r="G2" t="str">
        <f>'NOTA DE VENTA'!$F$22</f>
        <v>BLANCO MT</v>
      </c>
      <c r="H2" s="416">
        <f>'NOTA DE VENTA'!$H$25</f>
        <v>28537.021623154171</v>
      </c>
      <c r="I2" s="416">
        <f>H2*0.19</f>
        <v>5422.0341083992926</v>
      </c>
      <c r="J2" s="416">
        <f>I2+H2</f>
        <v>33959.055731553461</v>
      </c>
      <c r="L2" s="61">
        <f>J2-K2</f>
        <v>33959.055731553461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2025-12-18T00:56:15Z</cp:lastPrinted>
  <dcterms:created xsi:type="dcterms:W3CDTF">2013-03-18T13:35:42Z</dcterms:created>
  <dcterms:modified xsi:type="dcterms:W3CDTF">2025-12-18T00:57:54Z</dcterms:modified>
</cp:coreProperties>
</file>