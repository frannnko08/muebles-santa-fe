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2 DICIEMBRE 2025\"/>
    </mc:Choice>
  </mc:AlternateContent>
  <xr:revisionPtr revIDLastSave="0" documentId="13_ncr:1_{7011139B-05FB-4534-A7C4-0F6108AFD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5" i="1" l="1"/>
  <c r="S26" i="1"/>
  <c r="T24" i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<sst xmlns="http://schemas.openxmlformats.org/spreadsheetml/2006/main" count="485" uniqueCount="293">
  <si>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</si>
  <si>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</si>
  <si>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</si>
  <si>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</si>
  <si>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</si>
  <si>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</si>
  <si>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</si>
  <si>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</si>
  <si>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</si>
  <si>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</si>
  <si>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</si>
  <si>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</si>
  <si>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</si>
  <si>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</si>
  <si>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</si>
  <si>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</si>
  <si>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</si>
  <si>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</si>
  <si>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</si>
  <si>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</si>
  <si>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</si>
  <si>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</si>
  <si>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</si>
  <si>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</si>
  <si>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</si>
  <si>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</si>
  <si>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</si>
  <si>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</si>
  <si>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</si>
  <si>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</si>
  <si>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</si>
  <si>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</si>
  <si>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</si>
  <si>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</si>
  <si>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</si>
  <si>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</si>
  <si>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</si>
  <si>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</si>
  <si>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</si>
  <si>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</si>
  <si>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</si>
  <si>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</si>
  <si>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</si>
  <si>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</si>
  <si>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</si>
  <si>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</si>
  <si>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</si>
  <si>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</si>
  <si>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</si>
  <si>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</si>
  <si>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</si>
  <si>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</si>
  <si>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</si>
  <si>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</si>
  <si>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</si>
  <si>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</si>
  <si>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</si>
  <si>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</si>
  <si>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</si>
  <si>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</si>
  <si>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</si>
  <si>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</si>
  <si>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</si>
  <si>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</si>
  <si>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</si>
  <si>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</si>
  <si>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</si>
  <si>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</si>
  <si>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</si>
  <si>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</si>
  <si>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</si>
  <si>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</si>
  <si>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</si>
  <si>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</si>
  <si>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</si>
  <si>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</si>
  <si>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</si>
  <si>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</si>
  <si>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</si>
  <si>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</si>
  <si>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</si>
  <si>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</si>
  <si>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</si>
  <si>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</si>
  <si>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</si>
  <si>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</si>
  <si>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</si>
  <si>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</si>
  <si>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</si>
  <si>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</si>
  <si>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</si>
  <si>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</si>
  <si>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</si>
  <si>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</si>
  <si>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</si>
  <si>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</si>
  <si>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</si>
  <si>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</si>
  <si>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</si>
  <si>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</si>
  <si>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</si>
  <si>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</si>
  <si>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</si>
  <si>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</si>
  <si>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</si>
  <si>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</si>
  <si>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</si>
  <si>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</si>
  <si>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</si>
  <si>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</si>
  <si>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</si>
  <si>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</si>
  <si>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</si>
  <si>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</si>
  <si>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</si>
  <si>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</si>
  <si>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</si>
  <si>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</si>
  <si>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</si>
  <si>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</si>
  <si>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</si>
  <si>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</si>
  <si>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</si>
  <si>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</si>
  <si>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</si>
  <si>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</si>
  <si>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</si>
  <si>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</si>
  <si>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</si>
  <si>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</si>
  <si>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</si>
  <si>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</si>
  <si>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</si>
  <si>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</si>
  <si>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</si>
  <si>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</si>
  <si>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</si>
  <si>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</si>
  <si>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</si>
  <si>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</si>
  <si>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</si>
  <si>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</si>
  <si>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</si>
  <si>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</si>
  <si>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</si>
  <si>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</si>
  <si>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</si>
  <si>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</si>
  <si>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</si>
  <si>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</si>
  <si>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</si>
  <si>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</si>
  <si>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</si>
  <si>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</si>
  <si>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</si>
  <si>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</si>
  <si>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</si>
  <si>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</si>
  <si>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</si>
  <si>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</si>
  <si>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</si>
  <si>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</si>
  <si>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</si>
  <si>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</si>
  <si>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</si>
  <si>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</si>
  <si>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</si>
  <si>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</si>
  <si>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</si>
  <si>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</si>
  <si>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</si>
  <si>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</si>
  <si>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</si>
  <si>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</si>
  <si>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</si>
  <si>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</si>
  <si>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</si>
  <si>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</si>
  <si>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</si>
  <si>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</si>
  <si>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</si>
  <si>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</si>
  <si>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</si>
  <si>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</si>
  <si>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</si>
  <si>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</si>
  <si>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</si>
  <si>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</si>
  <si>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</si>
  <si>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</si>
  <si>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</si>
  <si>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</si>
  <si>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</si>
  <si>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</si>
  <si>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</si>
  <si>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</si>
  <si>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</si>
  <si>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</si>
  <si>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</si>
  <si>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</si>
  <si>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</si>
  <si>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</si>
  <si>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</si>
  <si>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</si>
  <si>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</si>
  <si>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</si>
  <si>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</si>
  <si>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</si>
  <si>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</si>
  <si>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</si>
  <si>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</si>
  <si>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</si>
  <si>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</si>
  <si>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</si>
  <si>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</si>
  <si>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</si>
  <si>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</si>
  <si>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</si>
  <si>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</si>
  <si>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</si>
  <si>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</si>
  <si>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</si>
  <si>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</si>
  <si>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</si>
  <si>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</si>
  <si>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</si>
  <si>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</si>
  <si>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</si>
  <si>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</si>
  <si>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</si>
  <si>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</si>
  <si>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</si>
  <si>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</si>
  <si>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</si>
  <si>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</si>
  <si>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</si>
  <si>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</si>
  <si>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</si>
  <si>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</si>
  <si>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</si>
  <si>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</si>
  <si>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</si>
  <si>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</si>
  <si>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</si>
  <si>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</si>
  <si>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</si>
  <si>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</si>
  <si>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</si>
  <si>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</si>
  <si>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</si>
  <si>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</si>
  <si>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</si>
  <si>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</si>
  <si>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</si>
  <si>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</si>
  <si>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</si>
  <si>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</si>
  <si>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</si>
  <si>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</si>
  <si>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</si>
  <si>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</si>
  <si>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</si>
  <si>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</si>
  <si>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</si>
  <si>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</si>
  <si>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</si>
  <si>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</si>
  <si>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</si>
  <si>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</si>
  <si>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</si>
  <si>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</si>
  <si>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</si>
  <si>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</si>
  <si>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</si>
  <si>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</si>
  <si>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</si>
  <si>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</si>
  <si>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</si>
  <si>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</si>
  <si>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</si>
  <si>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</si>
  <si>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</si>
  <si>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</si>
  <si>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</si>
  <si>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</si>
  <si>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</si>
  <si>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</si>
  <si>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</si>
  <si>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8 DIAS HABILES</t>
  </si>
  <si>
    <t>N° 11818</t>
  </si>
  <si>
    <t>CUB E/R SIN RESPALDO</t>
  </si>
  <si>
    <t xml:space="preserve">BLANCO VAINILLA </t>
  </si>
  <si>
    <t>+569 9083 8879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</si>
</sst>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 ENCHAPA CON LA MISMA LAMINA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7" sqref="A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/>
      <c r="D10" s="243"/>
      <c r="E10" s="243"/>
      <c r="F10" s="418" t="s">
        <v>277</v>
      </c>
      <c r="G10" s="275">
        <v>46021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292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52164.907407407409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9">
        <v>1</v>
      </c>
      <c r="C21" s="433" t="s">
        <v>290</v>
      </c>
      <c r="D21" s="430">
        <v>1.6</v>
      </c>
      <c r="E21" s="430">
        <v>0.3</v>
      </c>
      <c r="F21" s="429" t="s">
        <v>291</v>
      </c>
      <c r="G21" s="431">
        <f>Q21</f>
        <v>27042.288000000004</v>
      </c>
      <c r="H21" s="431">
        <f>G21*B21</f>
        <v>27042.288000000004</v>
      </c>
      <c r="I21" s="306"/>
      <c r="J21" s="264"/>
      <c r="K21" s="47"/>
      <c r="L21" s="47">
        <f>B21</f>
        <v>1</v>
      </c>
      <c r="M21" s="39">
        <f>D21+M$19</f>
        <v>1.62</v>
      </c>
      <c r="N21" s="39">
        <f>E21+$N$19</f>
        <v>0.32</v>
      </c>
      <c r="O21" s="260">
        <f t="shared" ref="O21" si="0">M21*N21</f>
        <v>0.51840000000000008</v>
      </c>
      <c r="P21" s="258">
        <f t="shared" ref="P21" si="1">O21*L21</f>
        <v>0.51840000000000008</v>
      </c>
      <c r="Q21" s="251">
        <f t="shared" ref="Q21" si="2">Q$20*O21</f>
        <v>27042.288000000004</v>
      </c>
      <c r="R21" s="305">
        <f t="shared" ref="R21" si="3">Q21+R$20</f>
        <v>30042.288000000004</v>
      </c>
      <c r="S21" s="290">
        <f>M21*L21*2</f>
        <v>3.24</v>
      </c>
      <c r="T21" s="46">
        <f>N21*2*L21*2</f>
        <v>1.28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27042.288000000004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1.28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5138.0347200000006</v>
      </c>
      <c r="I25" s="308"/>
      <c r="J25" s="264"/>
      <c r="K25" s="47"/>
      <c r="L25" s="47"/>
      <c r="M25" s="39">
        <f>SUM(M21:M24)</f>
        <v>1.62</v>
      </c>
      <c r="N25" s="12"/>
      <c r="O25" s="12"/>
      <c r="P25" s="252">
        <f>SUM(P21:P21)</f>
        <v>0.51840000000000008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32180.322720000004</v>
      </c>
      <c r="I26" s="308"/>
      <c r="J26" s="264"/>
      <c r="K26" s="47"/>
      <c r="L26" s="47"/>
      <c r="M26" s="39"/>
      <c r="N26" s="12"/>
      <c r="O26" s="12"/>
      <c r="P26" s="252">
        <f>P25</f>
        <v>0.51840000000000008</v>
      </c>
      <c r="Q26" s="14"/>
      <c r="R26" s="12"/>
      <c r="S26" s="239">
        <f>SUM(S21:S25)</f>
        <v>3.24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0.10368000000000002</v>
      </c>
      <c r="Q27" s="39" t="s">
        <v>129</v>
      </c>
      <c r="R27" s="42"/>
      <c r="S27" s="240">
        <f>S26+T24</f>
        <v>4.5200000000000005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0.62208000000000008</v>
      </c>
      <c r="Q28" s="14"/>
      <c r="R28" s="14"/>
      <c r="S28" s="238">
        <f>S27*20%</f>
        <v>0.90400000000000014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5.4240000000000004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0.62208000000000008</v>
      </c>
      <c r="N30" s="12">
        <v>3500</v>
      </c>
      <c r="O30" s="12">
        <f t="shared" ref="O30:O35" si="4">M30*N30</f>
        <v>2177.2800000000002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0.2</v>
      </c>
      <c r="N31" s="12">
        <v>23500</v>
      </c>
      <c r="O31" s="12">
        <f t="shared" si="4"/>
        <v>4700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0.3</v>
      </c>
      <c r="N33" s="249">
        <v>20000</v>
      </c>
      <c r="O33" s="12">
        <f t="shared" si="4"/>
        <v>6000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12877.28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O36*2.1</f>
        <v>27042.288000000004</v>
      </c>
      <c r="P37" s="14" t="s">
        <v>138</v>
      </c>
      <c r="Q37" s="14"/>
      <c r="R37" s="40">
        <f>P28/R36</f>
        <v>0.16773080241587576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52164.907407407409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46021</v>
      </c>
    </row>
    <row r="6" spans="2:31" ht="16.2" thickBot="1" x14ac:dyDescent="0.35">
      <c r="B6" s="140" t="s">
        <v>2</v>
      </c>
      <c r="C6" s="139">
        <f>'2229'!C10</f>
        <v>0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11818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5588.5789665458915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27042.288000000004</v>
      </c>
      <c r="E11" s="132">
        <f>D11*0.19</f>
        <v>5138.0347200000006</v>
      </c>
      <c r="F11" s="131">
        <f>E11+D11</f>
        <v>32180.322720000004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111578.57896654589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36711.370787439613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93578.578966545887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-9669.0827874396091</v>
      </c>
      <c r="E13" s="221">
        <f>(D11/D12)-1</f>
        <v>-0.26338114268257662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84578.578966545887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45578.578966545894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60573.761799275358</v>
      </c>
      <c r="F15" s="216">
        <f>E15-D12</f>
        <v>23862.391011835745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45578.578966545894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85578.578966545887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4700</v>
      </c>
      <c r="E19" s="123">
        <f>D19*0.19</f>
        <v>893</v>
      </c>
      <c r="F19" s="120">
        <f>SUM(D19:E19)</f>
        <v>5593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2177.2800000000002</v>
      </c>
      <c r="E20" s="121">
        <f>D20*0.19</f>
        <v>413.68320000000006</v>
      </c>
      <c r="F20" s="120">
        <f>SUM(D20:E20)</f>
        <v>2590.9632000000001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6877.2800000000007</v>
      </c>
      <c r="E21" s="116">
        <f>SUM(E18:E20)</f>
        <v>1306.6831999999999</v>
      </c>
      <c r="F21" s="115">
        <f>SUM(F18:F20)</f>
        <v>8183.9632000000001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3831.3515200000006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27042.288000000004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6877.2800000000007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-9669.0827874396091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-9669.0827874396091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11818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/>
      </c>
      <c r="D10" s="350"/>
      <c r="E10" s="350"/>
      <c r="F10" s="351" t="s">
        <v>167</v>
      </c>
      <c r="G10" s="352">
        <f>'2229'!G10</f>
        <v>46021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46028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+569 9083 8879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E/R SIN RESPALDO</v>
      </c>
      <c r="D22" s="321">
        <f>'2229'!D21*1000</f>
        <v>1600</v>
      </c>
      <c r="E22" s="321">
        <f>'2229'!E21*1000</f>
        <v>300</v>
      </c>
      <c r="F22" s="322" t="str">
        <f>'2229'!F21</f>
        <v xml:space="preserve">BLANCO VAINILLA </v>
      </c>
      <c r="G22" s="314">
        <f>'2229'!G21</f>
        <v>27042.288000000004</v>
      </c>
      <c r="H22" s="323">
        <f>G22*B22</f>
        <v>27042.288000000004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27042.288000000004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5138.0347200000006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32180.322720000004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/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46021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46028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11818</v>
      </c>
      <c r="C2" s="1">
        <f>'NOTA DE VENTA'!$G$10</f>
        <v>46021</v>
      </c>
      <c r="D2" s="1">
        <f>'NOTA DE VENTA'!$G$11</f>
        <v>46028</v>
      </c>
      <c r="E2" t="str">
        <f>'NOTA DE VENTA'!$C$10</f>
        <v/>
      </c>
      <c r="F2" t="str">
        <f>'NOTA DE VENTA'!$C$22</f>
        <v>CUB E/R SIN RESPALDO</v>
      </c>
      <c r="G2" t="str">
        <f>'NOTA DE VENTA'!$F$22</f>
        <v xml:space="preserve">BLANCO VAINILLA </v>
      </c>
      <c r="H2" s="416">
        <f>'NOTA DE VENTA'!$H$25</f>
        <v>27042.288000000004</v>
      </c>
      <c r="I2" s="416">
        <f>H2*0.19</f>
        <v>5138.0347200000006</v>
      </c>
      <c r="J2" s="416">
        <f>I2+H2</f>
        <v>32180.322720000004</v>
      </c>
      <c r="L2" s="61">
        <f>J2-K2</f>
        <v>32180.322720000004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2025-12-30T12:46:01Z</cp:lastPrinted>
  <dcterms:created xsi:type="dcterms:W3CDTF">2013-03-18T13:35:42Z</dcterms:created>
  <dcterms:modified xsi:type="dcterms:W3CDTF">2025-12-30T12:47:30Z</dcterms:modified>
</cp:coreProperties>
</file>