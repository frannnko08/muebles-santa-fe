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2E592A07-B6A0-41A2-B914-496C09F10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G22" i="1"/>
  <c r="H22" i="1" s="1"/>
  <c r="G23" i="1"/>
  <c r="H23" i="1" s="1"/>
  <c r="P26" i="1"/>
  <c r="L22" i="1"/>
  <c r="M22" i="1"/>
  <c r="S22" i="1" s="1"/>
  <c r="N22" i="1"/>
  <c r="O22" i="1"/>
  <c r="P22" i="1" s="1"/>
  <c r="L23" i="1"/>
  <c r="M23" i="1"/>
  <c r="N23" i="1"/>
  <c r="O23" i="1"/>
  <c r="P23" i="1" s="1"/>
  <c r="S23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3" i="1"/>
  <c r="R23" i="1" s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<sst xmlns="http://schemas.openxmlformats.org/spreadsheetml/2006/main" count="490" uniqueCount="294">
  <si>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</si>
  <si>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</si>
  <si>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</si>
  <si>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</si>
  <si>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</si>
  <si>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</si>
  <si>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</si>
  <si>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</si>
  <si>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</si>
  <si>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</si>
  <si>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</si>
  <si>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</si>
  <si>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</si>
  <si>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</si>
  <si>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</si>
  <si>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</si>
  <si>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</si>
  <si>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</si>
  <si>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</si>
  <si>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</si>
  <si>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</si>
  <si>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</si>
  <si>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</si>
  <si>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</si>
  <si>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</si>
  <si>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</si>
  <si>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</si>
  <si>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</si>
  <si>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</si>
  <si>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</si>
  <si>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</si>
  <si>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</si>
  <si>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</si>
  <si>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</si>
  <si>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</si>
  <si>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</si>
  <si>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</si>
  <si>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</si>
  <si>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</si>
  <si>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</si>
  <si>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</si>
  <si>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</si>
  <si>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</si>
  <si>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</si>
  <si>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</si>
  <si>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</si>
  <si>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</si>
  <si>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</si>
  <si>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</si>
  <si>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</si>
  <si>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</si>
  <si>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</si>
  <si>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</si>
  <si>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</si>
  <si>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</si>
  <si>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</si>
  <si>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</si>
  <si>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</si>
  <si>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</si>
  <si>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</si>
  <si>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</si>
  <si>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</si>
  <si>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</si>
  <si>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</si>
  <si>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</si>
  <si>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</si>
  <si>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</si>
  <si>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</si>
  <si>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</si>
  <si>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</si>
  <si>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</si>
  <si>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</si>
  <si>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</si>
  <si>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</si>
  <si>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</si>
  <si>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</si>
  <si>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</si>
  <si>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</si>
  <si>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</si>
  <si>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</si>
  <si>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</si>
  <si>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</si>
  <si>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</si>
  <si>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</si>
  <si>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</si>
  <si>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</si>
  <si>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</si>
  <si>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</si>
  <si>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</si>
  <si>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</si>
  <si>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</si>
  <si>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</si>
  <si>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</si>
  <si>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</si>
  <si>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</si>
  <si>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</si>
  <si>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</si>
  <si>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</si>
  <si>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</si>
  <si>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</si>
  <si>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</si>
  <si>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</si>
  <si>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</si>
  <si>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</si>
  <si>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</si>
  <si>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</si>
  <si>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</si>
  <si>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</si>
  <si>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</si>
  <si>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</si>
  <si>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</si>
  <si>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</si>
  <si>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</si>
  <si>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</si>
  <si>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</si>
  <si>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</si>
  <si>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</si>
  <si>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</si>
  <si>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</si>
  <si>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</si>
  <si>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</si>
  <si>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</si>
  <si>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</si>
  <si>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</si>
  <si>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</si>
  <si>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</si>
  <si>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</si>
  <si>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</si>
  <si>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</si>
  <si>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</si>
  <si>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</si>
  <si>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</si>
  <si>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</si>
  <si>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</si>
  <si>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</si>
  <si>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</si>
  <si>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</si>
  <si>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</si>
  <si>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</si>
  <si>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</si>
  <si>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</si>
  <si>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</si>
  <si>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</si>
  <si>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</si>
  <si>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</si>
  <si>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</si>
  <si>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</si>
  <si>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</si>
  <si>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</si>
  <si>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</si>
  <si>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</si>
  <si>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</si>
  <si>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</si>
  <si>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</si>
  <si>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</si>
  <si>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</si>
  <si>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</si>
  <si>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</si>
  <si>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</si>
  <si>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</si>
  <si>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</si>
  <si>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</si>
  <si>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</si>
  <si>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</si>
  <si>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</si>
  <si>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</si>
  <si>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</si>
  <si>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</si>
  <si>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</si>
  <si>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</si>
  <si>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</si>
  <si>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</si>
  <si>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</si>
  <si>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</si>
  <si>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</si>
  <si>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</si>
  <si>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</si>
  <si>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</si>
  <si>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</si>
  <si>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</si>
  <si>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</si>
  <si>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</si>
  <si>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</si>
  <si>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</si>
  <si>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</si>
  <si>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</si>
  <si>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</si>
  <si>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</si>
  <si>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</si>
  <si>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</si>
  <si>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</si>
  <si>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</si>
  <si>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</si>
  <si>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</si>
  <si>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</si>
  <si>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</si>
  <si>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</si>
  <si>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</si>
  <si>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</si>
  <si>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</si>
  <si>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</si>
  <si>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</si>
  <si>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</si>
  <si>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</si>
  <si>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</si>
  <si>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</si>
  <si>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</si>
  <si>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</si>
  <si>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</si>
  <si>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</si>
  <si>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</si>
  <si>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</si>
  <si>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</si>
  <si>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</si>
  <si>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</si>
  <si>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</si>
  <si>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</si>
  <si>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</si>
  <si>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</si>
  <si>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</si>
  <si>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</si>
  <si>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</si>
  <si>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</si>
  <si>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</si>
  <si>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</si>
  <si>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</si>
  <si>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</si>
  <si>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</si>
  <si>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</si>
  <si>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</si>
  <si>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</si>
  <si>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</si>
  <si>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</si>
  <si>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</si>
  <si>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</si>
  <si>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</si>
  <si>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</si>
  <si>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</si>
  <si>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</si>
  <si>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</si>
  <si>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</si>
  <si>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</si>
  <si>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</si>
  <si>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</si>
  <si>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</si>
  <si>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</si>
  <si>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</si>
  <si>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</si>
  <si>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</si>
  <si>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</si>
  <si>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</si>
  <si>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</si>
  <si>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</si>
  <si>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</si>
  <si>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</si>
  <si>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</si>
  <si>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</si>
  <si>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</si>
  <si>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</si>
  <si>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</si>
  <si>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</si>
  <si>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</si>
  <si>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</si>
  <si>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</si>
  <si>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</si>
  <si>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</si>
  <si>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</si>
  <si>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</si>
  <si>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</si>
  <si>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</si>
  <si>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</si>
  <si>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</si>
  <si>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</si>
  <si>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</si>
  <si>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</si>
  <si>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</si>
  <si>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</si>
  <si>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</si>
  <si>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</si>
  <si>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</si>
  <si>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</si>
  <si>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</si>
  <si>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</si>
  <si>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</si>
  <si>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</si>
  <si>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</si>
  <si>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</si>
  <si>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</si>
  <si>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</si>
  <si>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CUBIERTA CON RESPALDO Y FRENTE 90°</t>
  </si>
  <si>
    <t>SLATE 22099 SF</t>
  </si>
  <si>
    <t>EDUARDO GONZALEZ</t>
  </si>
  <si>
    <t>+569 4082 6574</t>
  </si>
  <si>
    <t>N° 11814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</si>
</sst>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J9" sqref="J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46014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87647.94163972477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289</v>
      </c>
      <c r="D21" s="431">
        <v>1.6</v>
      </c>
      <c r="E21" s="431">
        <v>0.56999999999999995</v>
      </c>
      <c r="F21" s="430" t="s">
        <v>290</v>
      </c>
      <c r="G21" s="432">
        <f>Q21</f>
        <v>83931.668914200447</v>
      </c>
      <c r="H21" s="432">
        <f>G21*B21</f>
        <v>83931.668914200447</v>
      </c>
      <c r="I21" s="306">
        <v>83</v>
      </c>
      <c r="J21" s="264"/>
      <c r="K21" s="47"/>
      <c r="L21" s="47">
        <f>B21</f>
        <v>1</v>
      </c>
      <c r="M21" s="39">
        <f>D21+M$19</f>
        <v>1.6800000000000002</v>
      </c>
      <c r="N21" s="39">
        <f>E21+$N$19</f>
        <v>0.56999999999999995</v>
      </c>
      <c r="O21" s="260">
        <f t="shared" ref="O21" si="0">M21*N21</f>
        <v>0.95760000000000001</v>
      </c>
      <c r="P21" s="258">
        <f t="shared" ref="P21" si="1">O21*L21</f>
        <v>0.95760000000000001</v>
      </c>
      <c r="Q21" s="251">
        <f t="shared" ref="Q21" si="2">Q$20*O21</f>
        <v>83931.668914200447</v>
      </c>
      <c r="R21" s="305">
        <f t="shared" ref="R21" si="3">Q21+R$20</f>
        <v>86931.668914200447</v>
      </c>
      <c r="S21" s="290">
        <f>M21*L21</f>
        <v>1.6800000000000002</v>
      </c>
      <c r="T21" s="46">
        <f>N21*2*L21*2</f>
        <v>2.2799999999999998</v>
      </c>
      <c r="U21" s="9"/>
      <c r="X21" s="4"/>
    </row>
    <row r="22" spans="1:25" ht="17.399999999999999" x14ac:dyDescent="0.3">
      <c r="B22" s="430">
        <v>1</v>
      </c>
      <c r="C22" s="434" t="s">
        <v>289</v>
      </c>
      <c r="D22" s="431">
        <v>1.4</v>
      </c>
      <c r="E22" s="431">
        <v>0.5</v>
      </c>
      <c r="F22" s="430" t="s">
        <v>290</v>
      </c>
      <c r="G22" s="432">
        <f t="shared" ref="G22:G23" si="4">Q22</f>
        <v>64859.47681339633</v>
      </c>
      <c r="H22" s="432">
        <f t="shared" ref="H22:H23" si="5">G22*B22</f>
        <v>64859.47681339633</v>
      </c>
      <c r="I22" s="306">
        <v>65</v>
      </c>
      <c r="J22" s="264"/>
      <c r="K22" s="47"/>
      <c r="L22" s="47">
        <f t="shared" ref="L22:L23" si="6">B22</f>
        <v>1</v>
      </c>
      <c r="M22" s="39">
        <f t="shared" ref="M22:M23" si="7">D22+M$19</f>
        <v>1.48</v>
      </c>
      <c r="N22" s="39">
        <f t="shared" ref="N22:N23" si="8">E22+$N$19</f>
        <v>0.5</v>
      </c>
      <c r="O22" s="260">
        <f t="shared" ref="O22:O23" si="9">M22*N22</f>
        <v>0.74</v>
      </c>
      <c r="P22" s="258">
        <f t="shared" ref="P22:P23" si="10">O22*L22</f>
        <v>0.74</v>
      </c>
      <c r="Q22" s="251">
        <f t="shared" ref="Q22:Q23" si="11">Q$20*O22</f>
        <v>64859.47681339633</v>
      </c>
      <c r="R22" s="305">
        <f t="shared" ref="R22:R23" si="12">Q22+R$20</f>
        <v>67859.476813396323</v>
      </c>
      <c r="S22" s="290">
        <f t="shared" ref="S22:S23" si="13">M22*L22</f>
        <v>1.48</v>
      </c>
      <c r="T22" s="46"/>
      <c r="U22" s="9"/>
      <c r="X22" s="4"/>
    </row>
    <row r="23" spans="1:25" ht="17.399999999999999" x14ac:dyDescent="0.3">
      <c r="B23" s="430">
        <v>1</v>
      </c>
      <c r="C23" s="434" t="s">
        <v>289</v>
      </c>
      <c r="D23" s="431">
        <v>1.35</v>
      </c>
      <c r="E23" s="431">
        <v>0.5</v>
      </c>
      <c r="F23" s="430" t="s">
        <v>290</v>
      </c>
      <c r="G23" s="432">
        <f t="shared" si="4"/>
        <v>62668.278272403215</v>
      </c>
      <c r="H23" s="432">
        <f t="shared" si="5"/>
        <v>62668.278272403215</v>
      </c>
      <c r="I23" s="306">
        <v>62</v>
      </c>
      <c r="J23" s="264"/>
      <c r="K23" s="47"/>
      <c r="L23" s="47">
        <f t="shared" si="6"/>
        <v>1</v>
      </c>
      <c r="M23" s="39">
        <f t="shared" si="7"/>
        <v>1.4300000000000002</v>
      </c>
      <c r="N23" s="39">
        <f t="shared" si="8"/>
        <v>0.5</v>
      </c>
      <c r="O23" s="260">
        <f t="shared" si="9"/>
        <v>0.71500000000000008</v>
      </c>
      <c r="P23" s="258">
        <f t="shared" si="10"/>
        <v>0.71500000000000008</v>
      </c>
      <c r="Q23" s="251">
        <f t="shared" si="11"/>
        <v>62668.278272403215</v>
      </c>
      <c r="R23" s="305">
        <f t="shared" si="12"/>
        <v>65668.278272403215</v>
      </c>
      <c r="S23" s="290">
        <f t="shared" si="13"/>
        <v>1.4300000000000002</v>
      </c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>
        <f>SUM(I21:I23)</f>
        <v>210</v>
      </c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211459.424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2.2799999999999998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40177.290560000001</v>
      </c>
      <c r="I26" s="308"/>
      <c r="J26" s="264"/>
      <c r="K26" s="47"/>
      <c r="L26" s="47"/>
      <c r="M26" s="39">
        <f>SUM(M21:M25)</f>
        <v>4.59</v>
      </c>
      <c r="N26" s="12"/>
      <c r="O26" s="12"/>
      <c r="P26" s="252">
        <f>SUM(P21:P23)</f>
        <v>2.4126000000000003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251636.71455999999</v>
      </c>
      <c r="I27" s="308"/>
      <c r="J27" s="264"/>
      <c r="K27" s="47"/>
      <c r="L27" s="47"/>
      <c r="M27" s="39"/>
      <c r="N27" s="12"/>
      <c r="O27" s="12"/>
      <c r="P27" s="252">
        <f>P26</f>
        <v>2.4126000000000003</v>
      </c>
      <c r="Q27" s="14"/>
      <c r="R27" s="12"/>
      <c r="S27" s="239">
        <f>SUM(S21:S26)</f>
        <v>4.59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0.48252000000000006</v>
      </c>
      <c r="Q28" s="39" t="s">
        <v>129</v>
      </c>
      <c r="R28" s="42"/>
      <c r="S28" s="240">
        <f>S27+T25</f>
        <v>6.8699999999999992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2.8951200000000004</v>
      </c>
      <c r="Q29" s="14"/>
      <c r="R29" s="14"/>
      <c r="S29" s="238">
        <f>S28*20%</f>
        <v>1.3739999999999999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8.2439999999999998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2.8951200000000004</v>
      </c>
      <c r="N31" s="12">
        <v>3500</v>
      </c>
      <c r="O31" s="12">
        <f t="shared" ref="O31:O36" si="14">M31*N31</f>
        <v>10132.920000000002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23500</v>
      </c>
      <c r="O32" s="12">
        <f t="shared" si="14"/>
        <v>23500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1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2</v>
      </c>
      <c r="N34" s="249">
        <v>27800</v>
      </c>
      <c r="O34" s="12">
        <f t="shared" si="14"/>
        <v>55600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4.59</v>
      </c>
      <c r="N36" s="12">
        <v>1500</v>
      </c>
      <c r="O36" s="12">
        <f t="shared" si="14"/>
        <v>6885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96117.92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211459.424</v>
      </c>
      <c r="P38" s="14" t="s">
        <v>138</v>
      </c>
      <c r="Q38" s="14"/>
      <c r="R38" s="40">
        <f>P29/R37</f>
        <v>0.78060828300258855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46000</v>
      </c>
      <c r="L39" s="249"/>
      <c r="M39" s="14"/>
      <c r="N39" s="12"/>
      <c r="O39" s="12">
        <f>O38/P27</f>
        <v>87647.94163972477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38655.462184873948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46014</v>
      </c>
    </row>
    <row r="6" spans="2:31" ht="16.2" thickBot="1" x14ac:dyDescent="0.35">
      <c r="B6" s="140" t="s">
        <v>2</v>
      </c>
      <c r="C6" s="139" t="str">
        <f>'2229'!C10</f>
        <v>EDUARDO GONZALEZ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-17789.809366787442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211459.424</v>
      </c>
      <c r="E11" s="132">
        <f>D11*0.19</f>
        <v>40177.290560000001</v>
      </c>
      <c r="F11" s="131">
        <f>E11+D11</f>
        <v>251636.71455999999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88200.190633212565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63467.010787439613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70200.190633212565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147992.41321256038</v>
      </c>
      <c r="E13" s="221">
        <f>(D11/D12)-1</f>
        <v>2.3318005902028194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61200.190633212558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22200.190633212558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104720.56779927535</v>
      </c>
      <c r="F15" s="216">
        <f>E15-D12</f>
        <v>41253.557011835735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22200.190633212558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62200.190633212558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10132.920000000002</v>
      </c>
      <c r="E20" s="121">
        <f>D20*0.19</f>
        <v>1925.2548000000004</v>
      </c>
      <c r="F20" s="120">
        <f>SUM(D20:E20)</f>
        <v>12058.174800000003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33632.92</v>
      </c>
      <c r="E21" s="116">
        <f>SUM(E18:E20)</f>
        <v>6390.2548000000006</v>
      </c>
      <c r="F21" s="115">
        <f>SUM(F18:F20)</f>
        <v>40023.174800000001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33787.035759999999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211459.424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33632.92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147992.41321256038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147992.41321256038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EDUARDO GONZALEZ</v>
      </c>
      <c r="D10" s="350"/>
      <c r="E10" s="350"/>
      <c r="F10" s="351" t="s">
        <v>167</v>
      </c>
      <c r="G10" s="352">
        <f>'2229'!G10</f>
        <v>46014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46021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+569 4082 6574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CUBIERTA CON RESPALDO Y FRENTE 90°</v>
      </c>
      <c r="D22" s="321">
        <f>'2229'!D21*1000</f>
        <v>1600</v>
      </c>
      <c r="E22" s="321">
        <f>'2229'!E21*1000</f>
        <v>570</v>
      </c>
      <c r="F22" s="322" t="str">
        <f>'2229'!F21</f>
        <v>SLATE 22099 SF</v>
      </c>
      <c r="G22" s="314">
        <f>'2229'!G21</f>
        <v>83931.668914200447</v>
      </c>
      <c r="H22" s="323">
        <f>G22*B22</f>
        <v>83931.668914200447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83931.668914200447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15947.017093698085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99878.686007898534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EDUARDO GONZALEZ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46014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46021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11814</v>
      </c>
      <c r="C2" s="1">
        <f>'NOTA DE VENTA'!$G$10</f>
        <v>46014</v>
      </c>
      <c r="D2" s="1">
        <f>'NOTA DE VENTA'!$G$11</f>
        <v>46021</v>
      </c>
      <c r="E2" t="str">
        <f>'NOTA DE VENTA'!$C$10</f>
        <v>EDUARDO GONZALEZ</v>
      </c>
      <c r="F2" t="str">
        <f>'NOTA DE VENTA'!$C$22</f>
        <v>CUBIERTA CON RESPALDO Y FRENTE 90°</v>
      </c>
      <c r="G2" t="str">
        <f>'NOTA DE VENTA'!$F$22</f>
        <v>SLATE 22099 SF</v>
      </c>
      <c r="H2" s="416">
        <f>'NOTA DE VENTA'!$H$25</f>
        <v>83931.668914200447</v>
      </c>
      <c r="I2" s="416">
        <f>H2*0.19</f>
        <v>15947.017093698085</v>
      </c>
      <c r="J2" s="416">
        <f>I2+H2</f>
        <v>99878.686007898534</v>
      </c>
      <c r="L2" s="61">
        <f>J2-K2</f>
        <v>99878.686007898534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2025-12-23T15:04:39Z</cp:lastPrinted>
  <dcterms:created xsi:type="dcterms:W3CDTF">2013-03-18T13:35:42Z</dcterms:created>
  <dcterms:modified xsi:type="dcterms:W3CDTF">2025-12-23T19:51:54Z</dcterms:modified>
</cp:coreProperties>
</file>