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3D0F36BF-2F4F-470D-93A9-300E3D9B6E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S22" i="1" l="1"/>
  <c r="S21" i="1"/>
  <c r="P26" i="1"/>
  <c r="L22" i="1"/>
  <c r="M22" i="1"/>
  <c r="N22" i="1"/>
  <c r="O22" i="1"/>
  <c r="P22" i="1" s="1"/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T21" i="1" l="1"/>
  <c r="T25" i="1" s="1"/>
  <c r="S27" i="1"/>
  <c r="O21" i="1"/>
  <c r="P21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G22" i="4" l="1"/>
  <c r="H22" i="4" s="1"/>
  <c r="H25" i="4" s="1"/>
  <c r="H27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<sst xmlns="http://schemas.openxmlformats.org/spreadsheetml/2006/main" count="491" uniqueCount="298">
  <si>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</si>
  <si>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</si>
  <si>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</si>
  <si>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</si>
  <si>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</si>
  <si>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</si>
  <si>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</si>
  <si>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</si>
  <si>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</si>
  <si>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</si>
  <si>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</si>
  <si>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</si>
  <si>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</si>
  <si>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</si>
  <si>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</si>
  <si>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</si>
  <si>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</si>
  <si>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</si>
  <si>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</si>
  <si>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</si>
  <si>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</si>
  <si>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</si>
  <si>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</si>
  <si>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</si>
  <si>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</si>
  <si>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</si>
  <si>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</si>
  <si>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</si>
  <si>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</si>
  <si>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</si>
  <si>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</si>
  <si>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</si>
  <si>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</si>
  <si>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</si>
  <si>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</si>
  <si>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</si>
  <si>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</si>
  <si>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</si>
  <si>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</si>
  <si>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</si>
  <si>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</si>
  <si>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</si>
  <si>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</si>
  <si>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</si>
  <si>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</si>
  <si>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</si>
  <si>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</si>
  <si>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</si>
  <si>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</si>
  <si>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</si>
  <si>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</si>
  <si>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</si>
  <si>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</si>
  <si>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</si>
  <si>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</si>
  <si>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</si>
  <si>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</si>
  <si>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</si>
  <si>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</si>
  <si>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</si>
  <si>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</si>
  <si>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</si>
  <si>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</si>
  <si>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</si>
  <si>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</si>
  <si>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</si>
  <si>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</si>
  <si>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</si>
  <si>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</si>
  <si>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</si>
  <si>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</si>
  <si>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</si>
  <si>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</si>
  <si>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</si>
  <si>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</si>
  <si>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</si>
  <si>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</si>
  <si>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</si>
  <si>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</si>
  <si>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</si>
  <si>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</si>
  <si>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</si>
  <si>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</si>
  <si>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</si>
  <si>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</si>
  <si>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</si>
  <si>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</si>
  <si>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</si>
  <si>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</si>
  <si>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</si>
  <si>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</si>
  <si>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</si>
  <si>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</si>
  <si>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</si>
  <si>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</si>
  <si>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</si>
  <si>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</si>
  <si>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</si>
  <si>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</si>
  <si>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</si>
  <si>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</si>
  <si>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</si>
  <si>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</si>
  <si>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</si>
  <si>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</si>
  <si>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</si>
  <si>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</si>
  <si>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</si>
  <si>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</si>
  <si>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</si>
  <si>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</si>
  <si>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</si>
  <si>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</si>
  <si>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</si>
  <si>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</si>
  <si>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</si>
  <si>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</si>
  <si>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</si>
  <si>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</si>
  <si>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</si>
  <si>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</si>
  <si>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</si>
  <si>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</si>
  <si>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</si>
  <si>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</si>
  <si>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</si>
  <si>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</si>
  <si>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</si>
  <si>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</si>
  <si>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</si>
  <si>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</si>
  <si>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</si>
  <si>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</si>
  <si>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</si>
  <si>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</si>
  <si>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</si>
  <si>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</si>
  <si>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</si>
  <si>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</si>
  <si>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</si>
  <si>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</si>
  <si>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</si>
  <si>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</si>
  <si>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</si>
  <si>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</si>
  <si>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</si>
  <si>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</si>
  <si>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</si>
  <si>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</si>
  <si>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</si>
  <si>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</si>
  <si>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</si>
  <si>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</si>
  <si>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</si>
  <si>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</si>
  <si>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</si>
  <si>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</si>
  <si>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</si>
  <si>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</si>
  <si>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</si>
  <si>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</si>
  <si>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</si>
  <si>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</si>
  <si>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</si>
  <si>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</si>
  <si>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</si>
  <si>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</si>
  <si>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</si>
  <si>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</si>
  <si>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</si>
  <si>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</si>
  <si>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</si>
  <si>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</si>
  <si>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</si>
  <si>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</si>
  <si>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</si>
  <si>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</si>
  <si>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</si>
  <si>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</si>
  <si>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</si>
  <si>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</si>
  <si>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</si>
  <si>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</si>
  <si>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</si>
  <si>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</si>
  <si>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</si>
  <si>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</si>
  <si>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</si>
  <si>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</si>
  <si>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</si>
  <si>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</si>
  <si>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</si>
  <si>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</si>
  <si>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</si>
  <si>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</si>
  <si>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</si>
  <si>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</si>
  <si>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</si>
  <si>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</si>
  <si>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</si>
  <si>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</si>
  <si>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</si>
  <si>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</si>
  <si>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</si>
  <si>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</si>
  <si>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</si>
  <si>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</si>
  <si>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</si>
  <si>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</si>
  <si>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</si>
  <si>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</si>
  <si>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</si>
  <si>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</si>
  <si>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</si>
  <si>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</si>
  <si>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</si>
  <si>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</si>
  <si>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</si>
  <si>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</si>
  <si>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</si>
  <si>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</si>
  <si>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</si>
  <si>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</si>
  <si>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</si>
  <si>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</si>
  <si>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</si>
  <si>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</si>
  <si>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</si>
  <si>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</si>
  <si>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</si>
  <si>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</si>
  <si>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</si>
  <si>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</si>
  <si>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</si>
  <si>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</si>
  <si>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</si>
  <si>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</si>
  <si>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</si>
  <si>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</si>
  <si>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</si>
  <si>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</si>
  <si>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</si>
  <si>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</si>
  <si>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</si>
  <si>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</si>
  <si>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</si>
  <si>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</si>
  <si>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</si>
  <si>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</si>
  <si>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</si>
  <si>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</si>
  <si>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</si>
  <si>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</si>
  <si>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</si>
  <si>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</si>
  <si>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</si>
  <si>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</si>
  <si>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</si>
  <si>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</si>
  <si>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</si>
  <si>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</si>
  <si>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</si>
  <si>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</si>
  <si>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</si>
  <si>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</si>
  <si>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</si>
  <si>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</si>
  <si>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</si>
  <si>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</si>
  <si>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</si>
  <si>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</si>
  <si>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</si>
  <si>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</si>
  <si>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</si>
  <si>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</si>
  <si>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</si>
  <si>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</si>
  <si>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</si>
  <si>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</si>
  <si>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</si>
  <si>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</si>
  <si>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</si>
  <si>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</si>
  <si>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</si>
  <si>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</si>
  <si>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</si>
  <si>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</si>
  <si>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</si>
  <si>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HUMO 2108 MT</t>
  </si>
  <si>
    <t>GASTON PEREZ</t>
  </si>
  <si>
    <t>EMPRESA CONSTRUCTORA GASTON FERNANDO PAVEZ CABRERA E.I.R.L.</t>
  </si>
  <si>
    <t>77.362.753-3</t>
  </si>
  <si>
    <t>PASAJE 4 2143 EL BOLDO CURICO</t>
  </si>
  <si>
    <t>CURICO</t>
  </si>
  <si>
    <t>+569 9373 4659</t>
  </si>
  <si>
    <t>N° 11796</t>
  </si>
  <si>
    <t>UN LADO</t>
  </si>
  <si>
    <t>CUB SIN RESPALDO 180°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</si>
</sst>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REGRUESO INTERIOR DE 7 CMS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2" zoomScale="93" zoomScaleNormal="93" workbookViewId="0">
      <selection activeCell="C10" sqref="C10: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290</v>
      </c>
      <c r="D10" s="243"/>
      <c r="E10" s="243"/>
      <c r="F10" s="418" t="s">
        <v>277</v>
      </c>
      <c r="G10" s="275">
        <v>46001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291</v>
      </c>
      <c r="F11" s="29" t="s">
        <v>286</v>
      </c>
      <c r="G11" s="421" t="s">
        <v>287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289</v>
      </c>
      <c r="F13" s="29" t="s">
        <v>134</v>
      </c>
      <c r="G13" s="423" t="s">
        <v>296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294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292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293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70906.883702293897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297</v>
      </c>
      <c r="D21" s="431">
        <v>2.6</v>
      </c>
      <c r="E21" s="431">
        <v>0.63</v>
      </c>
      <c r="F21" s="430" t="s">
        <v>288</v>
      </c>
      <c r="G21" s="432">
        <v>119719</v>
      </c>
      <c r="H21" s="432">
        <f>G21*B21</f>
        <v>119719</v>
      </c>
      <c r="I21" s="306"/>
      <c r="J21" s="264"/>
      <c r="K21" s="47"/>
      <c r="L21" s="47">
        <f>B21</f>
        <v>1</v>
      </c>
      <c r="M21" s="39">
        <f>D21+M$19</f>
        <v>2.68</v>
      </c>
      <c r="N21" s="39">
        <f>E21+$N$19</f>
        <v>0.63</v>
      </c>
      <c r="O21" s="260">
        <f t="shared" ref="O21" si="0">M21*N21</f>
        <v>1.6884000000000001</v>
      </c>
      <c r="P21" s="258">
        <f t="shared" ref="P21" si="1">O21*L21</f>
        <v>1.6884000000000001</v>
      </c>
      <c r="Q21" s="251">
        <f t="shared" ref="Q21" si="2">Q$20*O21</f>
        <v>119719.18244295302</v>
      </c>
      <c r="R21" s="305">
        <f t="shared" ref="R21" si="3">Q21+R$20</f>
        <v>122719.18244295302</v>
      </c>
      <c r="S21" s="290">
        <f>M21*L21</f>
        <v>2.68</v>
      </c>
      <c r="T21" s="46">
        <f>N21*2*L21*2</f>
        <v>2.52</v>
      </c>
      <c r="U21" s="9"/>
      <c r="X21" s="4"/>
    </row>
    <row r="22" spans="1:25" ht="17.399999999999999" x14ac:dyDescent="0.3">
      <c r="B22" s="430">
        <v>2</v>
      </c>
      <c r="C22" s="430" t="s">
        <v>297</v>
      </c>
      <c r="D22" s="431">
        <v>2.6</v>
      </c>
      <c r="E22" s="431">
        <v>0.43</v>
      </c>
      <c r="F22" s="430" t="s">
        <v>288</v>
      </c>
      <c r="G22" s="432">
        <v>81713</v>
      </c>
      <c r="H22" s="432">
        <f>G22*B22</f>
        <v>163426</v>
      </c>
      <c r="I22" s="306"/>
      <c r="J22" s="264"/>
      <c r="K22" s="47"/>
      <c r="L22" s="47">
        <f>B22</f>
        <v>2</v>
      </c>
      <c r="M22" s="39">
        <f>D22+M$19</f>
        <v>2.68</v>
      </c>
      <c r="N22" s="39">
        <f>E22+$N$19</f>
        <v>0.43</v>
      </c>
      <c r="O22" s="260">
        <f t="shared" ref="O22" si="4">M22*N22</f>
        <v>1.1524000000000001</v>
      </c>
      <c r="P22" s="258">
        <f t="shared" ref="P22" si="5">O22*L22</f>
        <v>2.3048000000000002</v>
      </c>
      <c r="Q22" s="251">
        <f t="shared" ref="Q22" si="6">Q$20*O22</f>
        <v>81713.092778523496</v>
      </c>
      <c r="R22" s="305">
        <f t="shared" ref="R22" si="7">Q22+R$20</f>
        <v>84713.092778523496</v>
      </c>
      <c r="S22" s="290">
        <f>M22*L22</f>
        <v>5.36</v>
      </c>
      <c r="T22" s="46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283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SUM(H21:H24)</f>
        <v>283145</v>
      </c>
      <c r="I25" s="308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0"/>
      <c r="T25" s="46">
        <f>SUM(T21:T24)</f>
        <v>2.52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53797.55</v>
      </c>
      <c r="I26" s="308"/>
      <c r="J26" s="264"/>
      <c r="K26" s="47"/>
      <c r="L26" s="47"/>
      <c r="M26" s="39">
        <f>SUM(M21:M25)</f>
        <v>5.36</v>
      </c>
      <c r="N26" s="12"/>
      <c r="O26" s="12"/>
      <c r="P26" s="252">
        <f>SUM(P21:P22)</f>
        <v>3.9932000000000003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336942.55</v>
      </c>
      <c r="I27" s="308"/>
      <c r="J27" s="264"/>
      <c r="K27" s="47"/>
      <c r="L27" s="47"/>
      <c r="M27" s="39"/>
      <c r="N27" s="12"/>
      <c r="O27" s="12"/>
      <c r="P27" s="252">
        <f>P26</f>
        <v>3.9932000000000003</v>
      </c>
      <c r="Q27" s="14"/>
      <c r="R27" s="12"/>
      <c r="S27" s="239">
        <f>SUM(S21:S26)</f>
        <v>8.0400000000000009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0.79864000000000013</v>
      </c>
      <c r="Q28" s="39" t="s">
        <v>129</v>
      </c>
      <c r="R28" s="42"/>
      <c r="S28" s="240">
        <f>S27+T25</f>
        <v>10.56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4.7918400000000005</v>
      </c>
      <c r="Q29" s="14"/>
      <c r="R29" s="14"/>
      <c r="S29" s="238">
        <f>S28*20%</f>
        <v>2.1120000000000001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12.672000000000001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4.7918400000000005</v>
      </c>
      <c r="N31" s="12">
        <v>3500</v>
      </c>
      <c r="O31" s="12">
        <f t="shared" ref="O31:O36" si="8">M31*N31</f>
        <v>16771.440000000002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1.5</v>
      </c>
      <c r="N32" s="12">
        <v>23500</v>
      </c>
      <c r="O32" s="12">
        <f t="shared" si="8"/>
        <v>35250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>
        <v>1</v>
      </c>
      <c r="N33" s="249">
        <v>46983</v>
      </c>
      <c r="O33" s="12">
        <f t="shared" si="8"/>
        <v>46983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29698</v>
      </c>
      <c r="O34" s="12">
        <f t="shared" si="8"/>
        <v>29698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8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/>
      <c r="N36" s="12">
        <v>1500</v>
      </c>
      <c r="O36" s="12">
        <f t="shared" si="8"/>
        <v>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128702.44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283145.36800000002</v>
      </c>
      <c r="P38" s="14" t="s">
        <v>138</v>
      </c>
      <c r="Q38" s="14"/>
      <c r="R38" s="40">
        <f>P29/R37</f>
        <v>1.292018981880932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49710</v>
      </c>
      <c r="L39" s="249"/>
      <c r="M39" s="14"/>
      <c r="N39" s="12"/>
      <c r="O39" s="12">
        <f>O38/P27</f>
        <v>70906.883702293897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41773.10924369748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46001</v>
      </c>
    </row>
    <row r="6" spans="2:31" ht="16.2" thickBot="1" x14ac:dyDescent="0.35">
      <c r="B6" s="140" t="s">
        <v>2</v>
      </c>
      <c r="C6" s="139" t="str">
        <f>'2229'!C10</f>
        <v>EMPRESA CONSTRUCTORA GASTON FERNANDO PAVEZ CABRERA E.I.R.L.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11796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-11760.237366787444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283145</v>
      </c>
      <c r="E11" s="132">
        <f>D11*0.19</f>
        <v>53797.55</v>
      </c>
      <c r="F11" s="131">
        <f>E11+D11</f>
        <v>336942.55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94229.762633212551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128838.53078743961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76229.762633212551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154306.46921256039</v>
      </c>
      <c r="E13" s="221">
        <f>(D11/D12)-1</f>
        <v>1.1976733068086465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67229.762633212551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28229.762633212558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212583.57579927534</v>
      </c>
      <c r="F15" s="216">
        <f>E15-D12</f>
        <v>83745.045011835726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28229.762633212558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68229.762633212551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46983</v>
      </c>
      <c r="E18" s="123">
        <f>D18*0.19</f>
        <v>8926.77</v>
      </c>
      <c r="F18" s="120">
        <f>SUM(D18:E18)</f>
        <v>55909.770000000004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35250</v>
      </c>
      <c r="E19" s="123">
        <f>D19*0.19</f>
        <v>6697.5</v>
      </c>
      <c r="F19" s="120">
        <f>SUM(D19:E19)</f>
        <v>41947.5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16771.440000000002</v>
      </c>
      <c r="E20" s="121">
        <f>D20*0.19</f>
        <v>3186.5736000000006</v>
      </c>
      <c r="F20" s="120">
        <f>SUM(D20:E20)</f>
        <v>19958.013600000002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99004.44</v>
      </c>
      <c r="E21" s="116">
        <f>SUM(E18:E20)</f>
        <v>18810.8436</v>
      </c>
      <c r="F21" s="115">
        <f>SUM(F18:F20)</f>
        <v>117815.28360000001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34986.706400000003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283145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99004.44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154306.46921256039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154306.46921256039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11796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EMPRESA CONSTRUCTORA GASTON FERNANDO PAVEZ CABRERA E.I.R.L.</v>
      </c>
      <c r="D10" s="350"/>
      <c r="E10" s="350"/>
      <c r="F10" s="351" t="s">
        <v>167</v>
      </c>
      <c r="G10" s="352">
        <f>'2229'!G10</f>
        <v>46001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77.362.753-3</v>
      </c>
      <c r="D11" s="345"/>
      <c r="E11" s="345"/>
      <c r="F11" s="345" t="s">
        <v>168</v>
      </c>
      <c r="G11" s="340">
        <f>WORKDAY(G10,5)</f>
        <v>46008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GASTON PEREZ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+569 9373 4659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PASAJE 4 2143 EL BOLDO CURICO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CURICO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SIN RESPALDO 180°</v>
      </c>
      <c r="D22" s="321">
        <f>'2229'!D21*1000</f>
        <v>2600</v>
      </c>
      <c r="E22" s="321">
        <f>'2229'!E21*1000</f>
        <v>630</v>
      </c>
      <c r="F22" s="322" t="str">
        <f>'2229'!F21</f>
        <v>HUMO 2108 MT</v>
      </c>
      <c r="G22" s="314">
        <f>'2229'!G21</f>
        <v>119719</v>
      </c>
      <c r="H22" s="323">
        <f>G22*B22</f>
        <v>119719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119719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22746.61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142465.60999999999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EMPRESA CONSTRUCTORA GASTON FERNANDO PAVEZ CABRERA E.I.R.L.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46008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11796</v>
      </c>
      <c r="C2" s="1">
        <f>'NOTA DE VENTA'!$G$10</f>
        <v>46001</v>
      </c>
      <c r="D2" s="1">
        <f>'NOTA DE VENTA'!$G$11</f>
        <v>46008</v>
      </c>
      <c r="E2" t="str">
        <f>'NOTA DE VENTA'!$C$10</f>
        <v>EMPRESA CONSTRUCTORA GASTON FERNANDO PAVEZ CABRERA E.I.R.L.</v>
      </c>
      <c r="F2" t="str">
        <f>'NOTA DE VENTA'!$C$22</f>
        <v>CUB SIN RESPALDO 180°</v>
      </c>
      <c r="G2" t="str">
        <f>'NOTA DE VENTA'!$F$22</f>
        <v>HUMO 2108 MT</v>
      </c>
      <c r="H2" s="416">
        <f>'NOTA DE VENTA'!$H$25</f>
        <v>119719</v>
      </c>
      <c r="I2" s="416">
        <f>H2*0.19</f>
        <v>22746.61</v>
      </c>
      <c r="J2" s="416">
        <f>I2+H2</f>
        <v>142465.60999999999</v>
      </c>
      <c r="L2" s="61">
        <f>J2-K2</f>
        <v>142465.60999999999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2025-12-10T17:53:58Z</cp:lastPrinted>
  <dcterms:created xsi:type="dcterms:W3CDTF">2013-03-18T13:35:42Z</dcterms:created>
  <dcterms:modified xsi:type="dcterms:W3CDTF">2025-12-10T19:37:15Z</dcterms:modified>
</cp:coreProperties>
</file>