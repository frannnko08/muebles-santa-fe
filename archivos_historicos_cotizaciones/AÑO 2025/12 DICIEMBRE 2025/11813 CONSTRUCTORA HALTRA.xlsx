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33A7C840-8496-4E92-A997-0F8192E80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ERDOR MUEBLE CON REPISAS" sheetId="10" r:id="rId1"/>
    <sheet name="COMEDOR OPERACIONES" sheetId="9" r:id="rId2"/>
    <sheet name="JEFE DE BODEGA" sheetId="8" r:id="rId3"/>
    <sheet name="SALA REUNIONES" sheetId="1" r:id="rId4"/>
    <sheet name="COSTOS" sheetId="3" r:id="rId5"/>
    <sheet name="NOTA DE VENTA" sheetId="4" r:id="rId6"/>
    <sheet name="REGLAS" sheetId="5" r:id="rId7"/>
    <sheet name="PRODUCCION" sheetId="6" r:id="rId8"/>
    <sheet name="SEGUIMIENTO" sheetId="7" r:id="rId9"/>
  </sheets>
  <externalReferences>
    <externalReference r:id="rId10"/>
  </externalReferences>
  <definedNames>
    <definedName name="_xlnm.Print_Area" localSheetId="1">'COMEDOR OPERACIONES'!$B$1:$H$34</definedName>
    <definedName name="_xlnm.Print_Area" localSheetId="0">'COMERDOR MUEBLE CON REPISAS'!$B$1:$H$37</definedName>
    <definedName name="_xlnm.Print_Area" localSheetId="2">'JEFE DE BODEGA'!$B$1:$H$34</definedName>
    <definedName name="_xlnm.Print_Area" localSheetId="3">'SALA REUNIONES'!$B$1:$H$34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10" l="1"/>
  <c r="P27" i="10" l="1"/>
  <c r="L23" i="10"/>
  <c r="M23" i="10"/>
  <c r="N23" i="10"/>
  <c r="O23" i="10"/>
  <c r="P23" i="10" s="1"/>
  <c r="S23" i="10"/>
  <c r="H22" i="10" l="1"/>
  <c r="L22" i="10"/>
  <c r="M22" i="10"/>
  <c r="N22" i="10"/>
  <c r="K41" i="10"/>
  <c r="R38" i="10"/>
  <c r="O37" i="10"/>
  <c r="O36" i="10"/>
  <c r="O35" i="10"/>
  <c r="V34" i="10"/>
  <c r="V35" i="10" s="1"/>
  <c r="O34" i="10"/>
  <c r="O33" i="10"/>
  <c r="N21" i="10"/>
  <c r="M21" i="10"/>
  <c r="H21" i="10"/>
  <c r="N20" i="10"/>
  <c r="L20" i="10"/>
  <c r="M29" i="9"/>
  <c r="K38" i="9"/>
  <c r="R35" i="9"/>
  <c r="O34" i="9"/>
  <c r="O33" i="9"/>
  <c r="O32" i="9"/>
  <c r="V31" i="9"/>
  <c r="V32" i="9" s="1"/>
  <c r="O31" i="9"/>
  <c r="O30" i="9"/>
  <c r="N21" i="9"/>
  <c r="M21" i="9"/>
  <c r="M24" i="9" s="1"/>
  <c r="L21" i="9"/>
  <c r="S21" i="9" s="1"/>
  <c r="S25" i="9" s="1"/>
  <c r="H21" i="9"/>
  <c r="H23" i="9" s="1"/>
  <c r="N20" i="9"/>
  <c r="L20" i="9"/>
  <c r="O22" i="10" l="1"/>
  <c r="M27" i="10"/>
  <c r="S22" i="10"/>
  <c r="P22" i="10"/>
  <c r="H26" i="10"/>
  <c r="H27" i="10" s="1"/>
  <c r="T21" i="10"/>
  <c r="T26" i="10" s="1"/>
  <c r="O21" i="10"/>
  <c r="P21" i="10" s="1"/>
  <c r="S21" i="10"/>
  <c r="O21" i="9"/>
  <c r="P21" i="9"/>
  <c r="P24" i="9" s="1"/>
  <c r="P25" i="9" s="1"/>
  <c r="H24" i="9"/>
  <c r="H25" i="9" s="1"/>
  <c r="T21" i="9"/>
  <c r="T23" i="9" s="1"/>
  <c r="S26" i="9" s="1"/>
  <c r="S28" i="10" l="1"/>
  <c r="S29" i="10" s="1"/>
  <c r="S30" i="10" s="1"/>
  <c r="P28" i="10"/>
  <c r="P29" i="10" s="1"/>
  <c r="P30" i="10" s="1"/>
  <c r="M32" i="10" s="1"/>
  <c r="H28" i="10"/>
  <c r="P26" i="9"/>
  <c r="P27" i="9" s="1"/>
  <c r="S27" i="9"/>
  <c r="S28" i="9" s="1"/>
  <c r="S31" i="10" l="1"/>
  <c r="R39" i="10"/>
  <c r="O32" i="10"/>
  <c r="O38" i="10" s="1"/>
  <c r="O29" i="9"/>
  <c r="O35" i="9" s="1"/>
  <c r="O36" i="9" s="1"/>
  <c r="O38" i="9" s="1"/>
  <c r="R36" i="9"/>
  <c r="O40" i="10" l="1"/>
  <c r="Q20" i="10" s="1"/>
  <c r="Q23" i="10" s="1"/>
  <c r="R23" i="10" s="1"/>
  <c r="O41" i="10"/>
  <c r="O37" i="9"/>
  <c r="Q20" i="9" s="1"/>
  <c r="Q21" i="9" s="1"/>
  <c r="R21" i="9" s="1"/>
  <c r="Q21" i="10" l="1"/>
  <c r="R21" i="10" s="1"/>
  <c r="Q22" i="10"/>
  <c r="R22" i="10" s="1"/>
  <c r="M29" i="1" l="1"/>
  <c r="K38" i="8" l="1"/>
  <c r="R35" i="8"/>
  <c r="O34" i="8"/>
  <c r="O33" i="8"/>
  <c r="O32" i="8"/>
  <c r="V31" i="8"/>
  <c r="V32" i="8" s="1"/>
  <c r="O31" i="8"/>
  <c r="O30" i="8"/>
  <c r="N21" i="8"/>
  <c r="M21" i="8"/>
  <c r="M24" i="8" s="1"/>
  <c r="L21" i="8"/>
  <c r="H21" i="8"/>
  <c r="H23" i="8" s="1"/>
  <c r="N20" i="8"/>
  <c r="L20" i="8"/>
  <c r="L21" i="1"/>
  <c r="N5" i="6"/>
  <c r="A2" i="7"/>
  <c r="S21" i="8" l="1"/>
  <c r="S25" i="8" s="1"/>
  <c r="T21" i="8"/>
  <c r="T23" i="8" s="1"/>
  <c r="S26" i="8" s="1"/>
  <c r="H24" i="8"/>
  <c r="H25" i="8" s="1"/>
  <c r="O21" i="8"/>
  <c r="P21" i="8" s="1"/>
  <c r="P24" i="8" s="1"/>
  <c r="P25" i="8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P26" i="8" l="1"/>
  <c r="P27" i="8" s="1"/>
  <c r="S27" i="8"/>
  <c r="S28" i="8" s="1"/>
  <c r="F14" i="6"/>
  <c r="D5" i="6"/>
  <c r="G11" i="4"/>
  <c r="D7" i="6"/>
  <c r="I14" i="6"/>
  <c r="B14" i="6" s="1"/>
  <c r="B21" i="6"/>
  <c r="N21" i="1"/>
  <c r="M29" i="8" l="1"/>
  <c r="O29" i="8" s="1"/>
  <c r="O35" i="8" s="1"/>
  <c r="O36" i="8" s="1"/>
  <c r="R36" i="8"/>
  <c r="K5" i="6"/>
  <c r="D14" i="6"/>
  <c r="E14" i="6"/>
  <c r="E21" i="6"/>
  <c r="D21" i="6"/>
  <c r="L5" i="6"/>
  <c r="M5" i="6"/>
  <c r="D2" i="7"/>
  <c r="D8" i="6"/>
  <c r="M21" i="1"/>
  <c r="O38" i="8" l="1"/>
  <c r="O37" i="8"/>
  <c r="Q20" i="8" s="1"/>
  <c r="Q21" i="8" s="1"/>
  <c r="R21" i="8" s="1"/>
  <c r="M24" i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<sst xmlns="http://schemas.openxmlformats.org/spreadsheetml/2006/main" count="788" uniqueCount="301">
  <si>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</si>
  <si>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</si>
  <si>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</si>
  <si>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</si>
  <si>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</si>
  <si>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</si>
  <si>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</si>
  <si>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</si>
  <si>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</si>
  <si>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</si>
  <si>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</si>
  <si>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</si>
  <si>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</si>
  <si>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</si>
  <si>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</si>
  <si>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</si>
  <si>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</si>
  <si>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</si>
  <si>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</si>
  <si>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</si>
  <si>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</si>
  <si>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</si>
  <si>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</si>
  <si>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</si>
  <si>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</si>
  <si>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</si>
  <si>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</si>
  <si>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</si>
  <si>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</si>
  <si>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</si>
  <si>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</si>
  <si>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</si>
  <si>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</si>
  <si>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</si>
  <si>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</si>
  <si>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</si>
  <si>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</si>
  <si>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</si>
  <si>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</si>
  <si>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</si>
  <si>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</si>
  <si>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</si>
  <si>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</si>
  <si>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</si>
  <si>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</si>
  <si>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</si>
  <si>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</si>
  <si>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</si>
  <si>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</si>
  <si>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</si>
  <si>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</si>
  <si>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</si>
  <si>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</si>
  <si>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</si>
  <si>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</si>
  <si>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</si>
  <si>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</si>
  <si>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</si>
  <si>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</si>
  <si>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</si>
  <si>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</si>
  <si>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</si>
  <si>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</si>
  <si>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</si>
  <si>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</si>
  <si>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</si>
  <si>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</si>
  <si>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</si>
  <si>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</si>
  <si>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</si>
  <si>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</si>
  <si>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</si>
  <si>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</si>
  <si>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</si>
  <si>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</si>
  <si>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</si>
  <si>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</si>
  <si>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</si>
  <si>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</si>
  <si>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</si>
  <si>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</si>
  <si>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</si>
  <si>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</si>
  <si>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</si>
  <si>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</si>
  <si>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</si>
  <si>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</si>
  <si>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</si>
  <si>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</si>
  <si>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</si>
  <si>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</si>
  <si>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</si>
  <si>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</si>
  <si>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</si>
  <si>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</si>
  <si>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</si>
  <si>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</si>
  <si>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</si>
  <si>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</si>
  <si>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</si>
  <si>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</si>
  <si>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</si>
  <si>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</si>
  <si>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</si>
  <si>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</si>
  <si>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</si>
  <si>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</si>
  <si>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</si>
  <si>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</si>
  <si>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</si>
  <si>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</si>
  <si>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</si>
  <si>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</si>
  <si>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</si>
  <si>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</si>
  <si>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</si>
  <si>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</si>
  <si>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</si>
  <si>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</si>
  <si>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</si>
  <si>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</si>
  <si>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</si>
  <si>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</si>
  <si>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</si>
  <si>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</si>
  <si>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</si>
  <si>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</si>
  <si>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</si>
  <si>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</si>
  <si>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</si>
  <si>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</si>
  <si>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</si>
  <si>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</si>
  <si>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</si>
  <si>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</si>
  <si>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</si>
  <si>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</si>
  <si>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</si>
  <si>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</si>
  <si>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</si>
  <si>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</si>
  <si>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</si>
  <si>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</si>
  <si>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</si>
  <si>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</si>
  <si>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</si>
  <si>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</si>
  <si>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</si>
  <si>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</si>
  <si>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</si>
  <si>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</si>
  <si>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</si>
  <si>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</si>
  <si>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</si>
  <si>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</si>
  <si>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</si>
  <si>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</si>
  <si>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</si>
  <si>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</si>
  <si>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</si>
  <si>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</si>
  <si>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</si>
  <si>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</si>
  <si>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</si>
  <si>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</si>
  <si>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</si>
  <si>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</si>
  <si>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</si>
  <si>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</si>
  <si>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</si>
  <si>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</si>
  <si>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</si>
  <si>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</si>
  <si>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</si>
  <si>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</si>
  <si>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</si>
  <si>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</si>
  <si>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</si>
  <si>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</si>
  <si>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</si>
  <si>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</si>
  <si>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</si>
  <si>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</si>
  <si>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</si>
  <si>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</si>
  <si>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</si>
  <si>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</si>
  <si>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</si>
  <si>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</si>
  <si>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</si>
  <si>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</si>
  <si>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</si>
  <si>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</si>
  <si>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</si>
  <si>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</si>
  <si>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</si>
  <si>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</si>
  <si>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</si>
  <si>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</si>
  <si>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</si>
  <si>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</si>
  <si>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</si>
  <si>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</si>
  <si>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</si>
  <si>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</si>
  <si>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</si>
  <si>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</si>
  <si>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</si>
  <si>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</si>
  <si>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</si>
  <si>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</si>
  <si>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</si>
  <si>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</si>
  <si>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</si>
  <si>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</si>
  <si>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</si>
  <si>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</si>
  <si>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</si>
  <si>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</si>
  <si>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</si>
  <si>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</si>
  <si>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</si>
  <si>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</si>
  <si>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</si>
  <si>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</si>
  <si>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</si>
  <si>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</si>
  <si>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</si>
  <si>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</si>
  <si>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</si>
  <si>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</si>
  <si>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</si>
  <si>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</si>
  <si>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</si>
  <si>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</si>
  <si>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</si>
  <si>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</si>
  <si>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</si>
  <si>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</si>
  <si>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</si>
  <si>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</si>
  <si>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</si>
  <si>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</si>
  <si>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</si>
  <si>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</si>
  <si>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</si>
  <si>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</si>
  <si>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</si>
  <si>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</si>
  <si>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</si>
  <si>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</si>
  <si>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</si>
  <si>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</si>
  <si>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</si>
  <si>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</si>
  <si>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</si>
  <si>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</si>
  <si>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</si>
  <si>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</si>
  <si>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</si>
  <si>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</si>
  <si>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</si>
  <si>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</si>
  <si>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</si>
  <si>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</si>
  <si>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</si>
  <si>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</si>
  <si>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</si>
  <si>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</si>
  <si>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</si>
  <si>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</si>
  <si>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</si>
  <si>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</si>
  <si>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</si>
  <si>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</si>
  <si>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</si>
  <si>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</si>
  <si>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</si>
  <si>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</si>
  <si>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</si>
  <si>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</si>
  <si>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</si>
  <si>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</si>
  <si>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</si>
  <si>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</si>
  <si>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</si>
  <si>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</si>
  <si>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</si>
  <si>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</si>
  <si>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</si>
  <si>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</si>
  <si>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</si>
  <si>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</si>
  <si>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</si>
  <si>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11810</t>
  </si>
  <si>
    <t>2 DIAS HABILES</t>
  </si>
  <si>
    <t>VAINILLA 2109 MT</t>
  </si>
  <si>
    <t>CUB DIAMETRO</t>
  </si>
  <si>
    <t>CUB ENCHAPE RECTO 1 CARA TRASCARA BALENCE</t>
  </si>
  <si>
    <t>PUERTAS</t>
  </si>
  <si>
    <t>E/R 2 CARAS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</si>
</sst>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978051E-8910-4B45-87E6-4079259DBEA3}"/>
            </a:ext>
          </a:extLst>
        </xdr:cNvPr>
        <xdr:cNvSpPr/>
      </xdr:nvSpPr>
      <xdr:spPr>
        <a:xfrm>
          <a:off x="78409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F768D91-FB16-4CF4-B7D4-F7A13CE497F7}"/>
            </a:ext>
          </a:extLst>
        </xdr:cNvPr>
        <xdr:cNvCxnSpPr/>
      </xdr:nvCxnSpPr>
      <xdr:spPr>
        <a:xfrm>
          <a:off x="80638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6A55136-BFAA-4D9C-8E34-550987A41CE7}"/>
            </a:ext>
          </a:extLst>
        </xdr:cNvPr>
        <xdr:cNvSpPr/>
      </xdr:nvSpPr>
      <xdr:spPr>
        <a:xfrm>
          <a:off x="390525" y="5267325"/>
          <a:ext cx="7084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AC1B40D-459C-458A-A479-F59184B120E8}"/>
            </a:ext>
          </a:extLst>
        </xdr:cNvPr>
        <xdr:cNvSpPr/>
      </xdr:nvSpPr>
      <xdr:spPr>
        <a:xfrm>
          <a:off x="411480" y="4352024"/>
          <a:ext cx="7047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9EFDB14-BB02-4985-8D1A-1A57646C8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F49AA8-5F62-4D4B-A6A9-D3503E47B0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8AB9761-6FEF-425A-AEBE-7A06C0865662}"/>
            </a:ext>
          </a:extLst>
        </xdr:cNvPr>
        <xdr:cNvSpPr/>
      </xdr:nvSpPr>
      <xdr:spPr>
        <a:xfrm>
          <a:off x="78409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911E854-6CD2-4807-914A-8398DFD1E28B}"/>
            </a:ext>
          </a:extLst>
        </xdr:cNvPr>
        <xdr:cNvCxnSpPr/>
      </xdr:nvCxnSpPr>
      <xdr:spPr>
        <a:xfrm>
          <a:off x="80638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74AFC12-FD35-46AA-9791-AD6ECE09FEAC}"/>
            </a:ext>
          </a:extLst>
        </xdr:cNvPr>
        <xdr:cNvSpPr/>
      </xdr:nvSpPr>
      <xdr:spPr>
        <a:xfrm>
          <a:off x="390525" y="5267325"/>
          <a:ext cx="7084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6426186-F4DD-4FCD-85B3-140667D37AA8}"/>
            </a:ext>
          </a:extLst>
        </xdr:cNvPr>
        <xdr:cNvSpPr/>
      </xdr:nvSpPr>
      <xdr:spPr>
        <a:xfrm>
          <a:off x="411480" y="4352024"/>
          <a:ext cx="7047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70F0C0-DD3D-4778-B8FA-577B15207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EA75F3-A1E4-4AA3-8F58-7740B54D0E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FF0E264-F9EF-4321-8846-FDEE895E2846}"/>
            </a:ext>
          </a:extLst>
        </xdr:cNvPr>
        <xdr:cNvSpPr/>
      </xdr:nvSpPr>
      <xdr:spPr>
        <a:xfrm>
          <a:off x="71170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5BE907E-12CE-4F68-836F-CC5FBBFC9D8E}"/>
            </a:ext>
          </a:extLst>
        </xdr:cNvPr>
        <xdr:cNvCxnSpPr/>
      </xdr:nvCxnSpPr>
      <xdr:spPr>
        <a:xfrm>
          <a:off x="73399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7DA1D6E-D9B5-40B0-A72F-C70B94650B00}"/>
            </a:ext>
          </a:extLst>
        </xdr:cNvPr>
        <xdr:cNvSpPr/>
      </xdr:nvSpPr>
      <xdr:spPr>
        <a:xfrm>
          <a:off x="390525" y="5267325"/>
          <a:ext cx="63610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9043B55-E1E9-4B48-B76A-3A033A3AD5AF}"/>
            </a:ext>
          </a:extLst>
        </xdr:cNvPr>
        <xdr:cNvSpPr/>
      </xdr:nvSpPr>
      <xdr:spPr>
        <a:xfrm>
          <a:off x="411480" y="4352024"/>
          <a:ext cx="63236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C39D0A-2DEE-4F97-9E6C-F8FD9D4B4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D76912-246F-41A5-B3EF-C25D285199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topmobilichile.c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B1DF-F2BD-4B60-8D7C-6E463FFC8A76}">
  <sheetPr>
    <pageSetUpPr fitToPage="1"/>
  </sheetPr>
  <dimension ref="A2:Y583"/>
  <sheetViews>
    <sheetView tabSelected="1" topLeftCell="D7" zoomScale="93" zoomScaleNormal="93" workbookViewId="0">
      <selection activeCell="O40" sqref="O40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138963.57615894041</v>
      </c>
      <c r="R20" s="257">
        <v>20000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4</v>
      </c>
      <c r="C21" s="434" t="s">
        <v>300</v>
      </c>
      <c r="D21" s="431">
        <v>2.4</v>
      </c>
      <c r="E21" s="431">
        <v>0.35</v>
      </c>
      <c r="F21" s="430" t="s">
        <v>296</v>
      </c>
      <c r="G21" s="432">
        <v>474978</v>
      </c>
      <c r="H21" s="432">
        <f>G21*B21</f>
        <v>1899912</v>
      </c>
      <c r="I21" s="306"/>
      <c r="J21" s="264"/>
      <c r="K21" s="47"/>
      <c r="L21" s="47">
        <v>1</v>
      </c>
      <c r="M21" s="39">
        <f>D21+M$19</f>
        <v>2.48</v>
      </c>
      <c r="N21" s="39">
        <f>E21+$N$19</f>
        <v>0.35</v>
      </c>
      <c r="O21" s="260">
        <f t="shared" ref="O21" si="0">M21*N21</f>
        <v>0.86799999999999999</v>
      </c>
      <c r="P21" s="258">
        <f t="shared" ref="P21" si="1">O21*L21</f>
        <v>0.86799999999999999</v>
      </c>
      <c r="Q21" s="251">
        <f t="shared" ref="Q21" si="2">Q$20*O21</f>
        <v>120620.38410596029</v>
      </c>
      <c r="R21" s="305">
        <f t="shared" ref="R21" si="3">Q21+R$20</f>
        <v>140620.38410596029</v>
      </c>
      <c r="S21" s="290">
        <f>M21*L21</f>
        <v>2.48</v>
      </c>
      <c r="T21" s="46">
        <f>N21*2*L21*2</f>
        <v>1.4</v>
      </c>
      <c r="U21" s="9"/>
      <c r="X21" s="4"/>
    </row>
    <row r="22" spans="2:25" ht="17.399999999999999" x14ac:dyDescent="0.3">
      <c r="B22" s="430">
        <v>2</v>
      </c>
      <c r="C22" s="434" t="s">
        <v>299</v>
      </c>
      <c r="D22" s="431">
        <v>1</v>
      </c>
      <c r="E22" s="431">
        <v>0.35</v>
      </c>
      <c r="F22" s="430"/>
      <c r="G22" s="432">
        <v>22942</v>
      </c>
      <c r="H22" s="432">
        <f>G22*B22</f>
        <v>45884</v>
      </c>
      <c r="I22" s="306"/>
      <c r="J22" s="264"/>
      <c r="K22" s="47"/>
      <c r="L22" s="47">
        <f>B22</f>
        <v>2</v>
      </c>
      <c r="M22" s="39">
        <f>D22+M$19</f>
        <v>1.08</v>
      </c>
      <c r="N22" s="39">
        <f>E22+$N$19</f>
        <v>0.35</v>
      </c>
      <c r="O22" s="260">
        <f t="shared" ref="O22" si="4">M22*N22</f>
        <v>0.378</v>
      </c>
      <c r="P22" s="258">
        <f t="shared" ref="P22" si="5">O22*L22</f>
        <v>0.75600000000000001</v>
      </c>
      <c r="Q22" s="251">
        <f t="shared" ref="Q22" si="6">Q$20*O22</f>
        <v>52528.23178807948</v>
      </c>
      <c r="R22" s="305">
        <f t="shared" ref="R22" si="7">Q22+R$20</f>
        <v>72528.231788079487</v>
      </c>
      <c r="S22" s="290">
        <f>M22*L22</f>
        <v>2.16</v>
      </c>
      <c r="T22" s="46"/>
      <c r="U22" s="9"/>
      <c r="X22" s="4"/>
    </row>
    <row r="23" spans="2:25" ht="17.399999999999999" x14ac:dyDescent="0.3">
      <c r="B23" s="458">
        <v>3</v>
      </c>
      <c r="C23" s="459"/>
      <c r="D23" s="460">
        <v>2.4</v>
      </c>
      <c r="E23" s="460">
        <v>0.35</v>
      </c>
      <c r="F23" s="458"/>
      <c r="G23" s="306"/>
      <c r="H23" s="306"/>
      <c r="I23" s="306"/>
      <c r="J23" s="264"/>
      <c r="K23" s="47"/>
      <c r="L23" s="47">
        <f>B23</f>
        <v>3</v>
      </c>
      <c r="M23" s="39">
        <f>D23+M$19</f>
        <v>2.48</v>
      </c>
      <c r="N23" s="39">
        <f>E23+$N$19</f>
        <v>0.35</v>
      </c>
      <c r="O23" s="260">
        <f t="shared" ref="O23" si="8">M23*N23</f>
        <v>0.86799999999999999</v>
      </c>
      <c r="P23" s="258">
        <f t="shared" ref="P23" si="9">O23*L23</f>
        <v>2.6040000000000001</v>
      </c>
      <c r="Q23" s="251">
        <f t="shared" ref="Q23" si="10">Q$20*O23</f>
        <v>120620.38410596029</v>
      </c>
      <c r="R23" s="305">
        <f t="shared" ref="R23" si="11">Q23+R$20</f>
        <v>140620.38410596029</v>
      </c>
      <c r="S23" s="290">
        <f>M23*L23</f>
        <v>7.4399999999999995</v>
      </c>
      <c r="T23" s="46"/>
      <c r="U23" s="9"/>
      <c r="X23" s="4"/>
    </row>
    <row r="24" spans="2:25" ht="17.399999999999999" x14ac:dyDescent="0.3">
      <c r="B24" s="458"/>
      <c r="C24" s="459"/>
      <c r="D24" s="460"/>
      <c r="E24" s="460"/>
      <c r="F24" s="458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SUM(H21:H25)</f>
        <v>1945796</v>
      </c>
      <c r="I26" s="308"/>
      <c r="J26" s="264"/>
      <c r="K26" s="47">
        <v>2600000</v>
      </c>
      <c r="L26" s="47"/>
      <c r="M26" s="39"/>
      <c r="N26" s="39"/>
      <c r="O26" s="260"/>
      <c r="P26" s="258"/>
      <c r="Q26" s="251"/>
      <c r="R26" s="257"/>
      <c r="S26" s="290"/>
      <c r="T26" s="46">
        <f>SUM(T21:T25)</f>
        <v>1.4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369701.24</v>
      </c>
      <c r="I27" s="308"/>
      <c r="J27" s="264"/>
      <c r="K27" s="47"/>
      <c r="L27" s="47"/>
      <c r="M27" s="39">
        <f>SUM(M21:M26)</f>
        <v>6.04</v>
      </c>
      <c r="N27" s="12"/>
      <c r="O27" s="12"/>
      <c r="P27" s="252">
        <f>SUM(P21:P23)</f>
        <v>4.2279999999999998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2315497.2400000002</v>
      </c>
      <c r="I28" s="308"/>
      <c r="J28" s="264"/>
      <c r="K28" s="47"/>
      <c r="L28" s="47"/>
      <c r="M28" s="39"/>
      <c r="N28" s="12"/>
      <c r="O28" s="12"/>
      <c r="P28" s="252">
        <f>P27</f>
        <v>4.2279999999999998</v>
      </c>
      <c r="Q28" s="14"/>
      <c r="R28" s="12"/>
      <c r="S28" s="239">
        <f>SUM(S21:S27)</f>
        <v>12.08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0.84560000000000002</v>
      </c>
      <c r="Q29" s="39" t="s">
        <v>129</v>
      </c>
      <c r="R29" s="42"/>
      <c r="S29" s="240">
        <f>S28+T26</f>
        <v>13.48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5.0735999999999999</v>
      </c>
      <c r="Q30" s="14"/>
      <c r="R30" s="14"/>
      <c r="S30" s="238">
        <f>S29*20%</f>
        <v>2.6960000000000002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16.176000000000002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P30*2</f>
        <v>10.1472</v>
      </c>
      <c r="N32" s="12">
        <v>3500</v>
      </c>
      <c r="O32" s="12">
        <f t="shared" ref="O32:O37" si="12">M32*N32</f>
        <v>35515.199999999997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2</v>
      </c>
      <c r="N33" s="12">
        <v>23500</v>
      </c>
      <c r="O33" s="12">
        <f t="shared" si="12"/>
        <v>47000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1</v>
      </c>
      <c r="N34" s="249">
        <v>42500</v>
      </c>
      <c r="O34" s="12">
        <f t="shared" si="12"/>
        <v>42500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3</v>
      </c>
      <c r="N35" s="249">
        <v>25000</v>
      </c>
      <c r="O35" s="12">
        <f t="shared" si="12"/>
        <v>75000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>
        <v>1</v>
      </c>
      <c r="N36" s="249">
        <v>35000</v>
      </c>
      <c r="O36" s="12">
        <f t="shared" si="12"/>
        <v>35000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1500</v>
      </c>
      <c r="O37" s="12">
        <f t="shared" si="12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235015.2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O38*2.5</f>
        <v>587538</v>
      </c>
      <c r="P39" s="14" t="s">
        <v>138</v>
      </c>
      <c r="Q39" s="14"/>
      <c r="R39" s="40">
        <f>P30/R38</f>
        <v>1.3679896462467644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138963.57615894041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2.5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hyperlinks>
    <hyperlink ref="F36" r:id="rId1" xr:uid="{717EBBCB-1654-4181-B332-5D9AEC51F231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F7FB-FC0D-453C-A6A4-054B91806C4C}">
  <sheetPr>
    <pageSetUpPr fitToPage="1"/>
  </sheetPr>
  <dimension ref="A2:Y580"/>
  <sheetViews>
    <sheetView topLeftCell="D17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139680.60790273556</v>
      </c>
      <c r="R20" s="257">
        <v>25000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4</v>
      </c>
      <c r="C21" s="434" t="s">
        <v>298</v>
      </c>
      <c r="D21" s="431">
        <v>1.8</v>
      </c>
      <c r="E21" s="431">
        <v>0.7</v>
      </c>
      <c r="F21" s="430" t="s">
        <v>296</v>
      </c>
      <c r="G21" s="432">
        <v>208820</v>
      </c>
      <c r="H21" s="432">
        <f>G21*B21</f>
        <v>835280</v>
      </c>
      <c r="I21" s="306"/>
      <c r="J21" s="264"/>
      <c r="K21" s="47"/>
      <c r="L21" s="47">
        <f>B21</f>
        <v>4</v>
      </c>
      <c r="M21" s="39">
        <f>D21+M$19</f>
        <v>1.8800000000000001</v>
      </c>
      <c r="N21" s="39">
        <f>E21+$N$19</f>
        <v>0.7</v>
      </c>
      <c r="O21" s="260">
        <f t="shared" ref="O21" si="0">M21*N21</f>
        <v>1.3160000000000001</v>
      </c>
      <c r="P21" s="258">
        <f t="shared" ref="P21" si="1">O21*L21</f>
        <v>5.2640000000000002</v>
      </c>
      <c r="Q21" s="251">
        <f t="shared" ref="Q21" si="2">Q$20*O21</f>
        <v>183819.68</v>
      </c>
      <c r="R21" s="305">
        <f t="shared" ref="R21" si="3">Q21+R$20</f>
        <v>208819.68</v>
      </c>
      <c r="S21" s="290">
        <f>M21*L21</f>
        <v>7.5200000000000005</v>
      </c>
      <c r="T21" s="46">
        <f>N21*2*L21*2</f>
        <v>11.2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835280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158703.20000000001</v>
      </c>
      <c r="I24" s="308"/>
      <c r="J24" s="264"/>
      <c r="K24" s="47"/>
      <c r="L24" s="47"/>
      <c r="M24" s="39">
        <f>SUM(M21:M23)</f>
        <v>1.8800000000000001</v>
      </c>
      <c r="N24" s="12"/>
      <c r="O24" s="12"/>
      <c r="P24" s="252">
        <f>SUM(P21:P21)</f>
        <v>5.2640000000000002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993983.2</v>
      </c>
      <c r="I25" s="308"/>
      <c r="J25" s="264"/>
      <c r="K25" s="47"/>
      <c r="L25" s="47"/>
      <c r="M25" s="39"/>
      <c r="N25" s="12"/>
      <c r="O25" s="12"/>
      <c r="P25" s="252">
        <f>P24</f>
        <v>5.2640000000000002</v>
      </c>
      <c r="Q25" s="14"/>
      <c r="R25" s="12"/>
      <c r="S25" s="239">
        <f>SUM(S21:S24)</f>
        <v>7.5200000000000005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1.0528000000000002</v>
      </c>
      <c r="Q26" s="39" t="s">
        <v>129</v>
      </c>
      <c r="R26" s="42"/>
      <c r="S26" s="240">
        <f>S25+T23</f>
        <v>18.72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6.3168000000000006</v>
      </c>
      <c r="Q27" s="14"/>
      <c r="R27" s="14"/>
      <c r="S27" s="238">
        <f>S26*20%</f>
        <v>3.7439999999999998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22.463999999999999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P27*2</f>
        <v>12.633600000000001</v>
      </c>
      <c r="N29" s="12">
        <v>3500</v>
      </c>
      <c r="O29" s="12">
        <f t="shared" ref="O29:O34" si="4">M29*N29</f>
        <v>44217.600000000006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2</v>
      </c>
      <c r="N30" s="12">
        <v>40000</v>
      </c>
      <c r="O30" s="12">
        <f t="shared" si="4"/>
        <v>80000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>
        <v>4</v>
      </c>
      <c r="N31" s="249">
        <v>16500</v>
      </c>
      <c r="O31" s="12">
        <f t="shared" si="4"/>
        <v>66000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4</v>
      </c>
      <c r="N32" s="249">
        <v>36000</v>
      </c>
      <c r="O32" s="12">
        <f t="shared" si="4"/>
        <v>144000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334217.59999999998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735278.72</v>
      </c>
      <c r="P36" s="14" t="s">
        <v>138</v>
      </c>
      <c r="Q36" s="14"/>
      <c r="R36" s="40">
        <f>P27/R35</f>
        <v>1.7031924072476274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139680.60790273556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hyperlinks>
    <hyperlink ref="F33" r:id="rId1" xr:uid="{09679488-49CE-401F-AA32-A6E6C3072B8D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8E1C-F3E7-4348-9D6F-852D7D40502F}">
  <sheetPr>
    <pageSetUpPr fitToPage="1"/>
  </sheetPr>
  <dimension ref="A2:Y580"/>
  <sheetViews>
    <sheetView topLeftCell="A17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85060.78723018321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298</v>
      </c>
      <c r="D21" s="431">
        <v>2.9</v>
      </c>
      <c r="E21" s="431">
        <v>0.74</v>
      </c>
      <c r="F21" s="430" t="s">
        <v>296</v>
      </c>
      <c r="G21" s="432">
        <v>202576</v>
      </c>
      <c r="H21" s="432">
        <f>G21*B21</f>
        <v>202576</v>
      </c>
      <c r="I21" s="306"/>
      <c r="J21" s="264"/>
      <c r="K21" s="47"/>
      <c r="L21" s="47">
        <f>B21</f>
        <v>1</v>
      </c>
      <c r="M21" s="39">
        <f>D21+M$19</f>
        <v>2.98</v>
      </c>
      <c r="N21" s="39">
        <f>E21+$N$19</f>
        <v>0.74</v>
      </c>
      <c r="O21" s="260">
        <f t="shared" ref="O21" si="0">M21*N21</f>
        <v>2.2052</v>
      </c>
      <c r="P21" s="258">
        <f t="shared" ref="P21" si="1">O21*L21</f>
        <v>2.2052</v>
      </c>
      <c r="Q21" s="251">
        <f t="shared" ref="Q21" si="2">Q$20*O21</f>
        <v>187576.04800000001</v>
      </c>
      <c r="R21" s="305">
        <f t="shared" ref="R21" si="3">Q21+R$20</f>
        <v>202576.04800000001</v>
      </c>
      <c r="S21" s="290">
        <f>M21*L21</f>
        <v>2.98</v>
      </c>
      <c r="T21" s="46">
        <f>N21*2*L21*2</f>
        <v>2.96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202576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2.96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38489.440000000002</v>
      </c>
      <c r="I24" s="308"/>
      <c r="J24" s="264"/>
      <c r="K24" s="47"/>
      <c r="L24" s="47"/>
      <c r="M24" s="39">
        <f>SUM(M21:M23)</f>
        <v>2.98</v>
      </c>
      <c r="N24" s="12"/>
      <c r="O24" s="12"/>
      <c r="P24" s="252">
        <f>SUM(P21:P21)</f>
        <v>2.2052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241065.44</v>
      </c>
      <c r="I25" s="308"/>
      <c r="J25" s="264"/>
      <c r="K25" s="47"/>
      <c r="L25" s="47"/>
      <c r="M25" s="39"/>
      <c r="N25" s="12"/>
      <c r="O25" s="12"/>
      <c r="P25" s="252">
        <f>P24</f>
        <v>2.2052</v>
      </c>
      <c r="Q25" s="14"/>
      <c r="R25" s="12"/>
      <c r="S25" s="239">
        <f>SUM(S21:S24)</f>
        <v>2.98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0.44104000000000004</v>
      </c>
      <c r="Q26" s="39" t="s">
        <v>129</v>
      </c>
      <c r="R26" s="42"/>
      <c r="S26" s="240">
        <f>S25+T23</f>
        <v>5.9399999999999995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2.6462400000000001</v>
      </c>
      <c r="Q27" s="14"/>
      <c r="R27" s="14"/>
      <c r="S27" s="238">
        <f>S26*20%</f>
        <v>1.1879999999999999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7.1279999999999992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2.6462400000000001</v>
      </c>
      <c r="N29" s="12">
        <v>3500</v>
      </c>
      <c r="O29" s="12">
        <f t="shared" ref="O29:O34" si="4">M29*N29</f>
        <v>9261.84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</v>
      </c>
      <c r="N30" s="12">
        <v>40000</v>
      </c>
      <c r="O30" s="12">
        <f t="shared" si="4"/>
        <v>40000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85261.84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187576.04800000001</v>
      </c>
      <c r="P36" s="14" t="s">
        <v>138</v>
      </c>
      <c r="Q36" s="14"/>
      <c r="R36" s="40">
        <f>P27/R35</f>
        <v>0.71350301984469378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85060.78723018321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hyperlinks>
    <hyperlink ref="F33" r:id="rId1" xr:uid="{47BEF396-9FDE-497D-802F-29E85EA67C31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C16" zoomScale="93" zoomScaleNormal="93" workbookViewId="0">
      <selection activeCell="M30" sqref="M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107028.75283446713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4" t="s">
        <v>297</v>
      </c>
      <c r="D21" s="431">
        <v>0.9</v>
      </c>
      <c r="E21" s="431">
        <v>0.9</v>
      </c>
      <c r="F21" s="430" t="s">
        <v>296</v>
      </c>
      <c r="G21" s="432">
        <v>84750</v>
      </c>
      <c r="H21" s="432">
        <f>G21*B21</f>
        <v>169500</v>
      </c>
      <c r="I21" s="306"/>
      <c r="J21" s="264"/>
      <c r="K21" s="47"/>
      <c r="L21" s="47">
        <f>B21</f>
        <v>2</v>
      </c>
      <c r="M21" s="39">
        <f>D21+M$19</f>
        <v>0.98</v>
      </c>
      <c r="N21" s="39">
        <f>E21+$N$19</f>
        <v>0.9</v>
      </c>
      <c r="O21" s="260">
        <f t="shared" ref="O21" si="0">M21*N21</f>
        <v>0.88200000000000001</v>
      </c>
      <c r="P21" s="258">
        <f t="shared" ref="P21" si="1">O21*L21</f>
        <v>1.764</v>
      </c>
      <c r="Q21" s="251">
        <f t="shared" ref="Q21" si="2">Q$20*O21</f>
        <v>94399.360000000015</v>
      </c>
      <c r="R21" s="305">
        <f t="shared" ref="R21" si="3">Q21+R$20</f>
        <v>109399.36000000002</v>
      </c>
      <c r="S21" s="290">
        <f>M21*L21</f>
        <v>1.96</v>
      </c>
      <c r="T21" s="46">
        <f>N21*2*L21*2</f>
        <v>7.2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169500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7.2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32205</v>
      </c>
      <c r="I24" s="308"/>
      <c r="J24" s="264"/>
      <c r="K24" s="47"/>
      <c r="L24" s="47"/>
      <c r="M24" s="39">
        <f>SUM(M21:M23)</f>
        <v>0.98</v>
      </c>
      <c r="N24" s="12"/>
      <c r="O24" s="12"/>
      <c r="P24" s="252">
        <f>SUM(P21:P21)</f>
        <v>1.764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201705</v>
      </c>
      <c r="I25" s="308"/>
      <c r="J25" s="264"/>
      <c r="K25" s="47"/>
      <c r="L25" s="47"/>
      <c r="M25" s="39"/>
      <c r="N25" s="12"/>
      <c r="O25" s="12"/>
      <c r="P25" s="252">
        <f>P24</f>
        <v>1.764</v>
      </c>
      <c r="Q25" s="14"/>
      <c r="R25" s="12"/>
      <c r="S25" s="239">
        <f>SUM(S21:S24)</f>
        <v>1.96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0.3528</v>
      </c>
      <c r="Q26" s="39" t="s">
        <v>129</v>
      </c>
      <c r="R26" s="42"/>
      <c r="S26" s="240">
        <f>S25+T23</f>
        <v>9.16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2.1168</v>
      </c>
      <c r="Q27" s="14"/>
      <c r="R27" s="14"/>
      <c r="S27" s="238">
        <f>S26*20%</f>
        <v>1.8320000000000001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10.992000000000001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P27*2</f>
        <v>4.2336</v>
      </c>
      <c r="N29" s="12">
        <v>3500</v>
      </c>
      <c r="O29" s="12">
        <f t="shared" ref="O29:O34" si="4">M29*N29</f>
        <v>14817.6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40000</v>
      </c>
      <c r="O30" s="12">
        <f t="shared" si="4"/>
        <v>20000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>
        <v>1</v>
      </c>
      <c r="N31" s="249">
        <v>15000</v>
      </c>
      <c r="O31" s="12">
        <f t="shared" si="4"/>
        <v>15000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85817.600000000006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188798.72000000003</v>
      </c>
      <c r="P36" s="14" t="s">
        <v>138</v>
      </c>
      <c r="Q36" s="14"/>
      <c r="R36" s="40">
        <f>P27/R35</f>
        <v>0.57075064710957724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107028.75283446713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'SALA REUNIONES'!G10</f>
        <v>46009</v>
      </c>
    </row>
    <row r="6" spans="2:31" ht="16.2" thickBot="1" x14ac:dyDescent="0.35">
      <c r="B6" s="140" t="s">
        <v>2</v>
      </c>
      <c r="C6" s="139" t="str">
        <f>'SALA REUNIONES'!C10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'SALA REUNIONES'!#REF!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'SALA REUNIONES'!D8</f>
        <v>N° 11810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-6345.7850334541099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'SALA REUNIONES'!H23</f>
        <v>169500</v>
      </c>
      <c r="E11" s="132">
        <f>D11*0.19</f>
        <v>32205</v>
      </c>
      <c r="F11" s="131">
        <f>E11+D11</f>
        <v>201705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99644.214966545886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79651.690787439613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81644.214966545886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89848.309212560387</v>
      </c>
      <c r="E13" s="221">
        <f>(D11/D12)-1</f>
        <v>1.1280150907572284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72644.214966545886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33644.214966545893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131425.28979927534</v>
      </c>
      <c r="F15" s="216">
        <f>E15-D12</f>
        <v>51773.599011835729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33644.214966545893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73644.214966545886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'SALA REUNIONES'!O31</f>
        <v>15000</v>
      </c>
      <c r="E18" s="123">
        <f>D18*0.19</f>
        <v>2850</v>
      </c>
      <c r="F18" s="120">
        <f>SUM(D18:E18)</f>
        <v>17850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'SALA REUNIONES'!O30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'SALA REUNIONES'!O29</f>
        <v>14817.6</v>
      </c>
      <c r="E20" s="121">
        <f>D20*0.19</f>
        <v>2815.3440000000001</v>
      </c>
      <c r="F20" s="120">
        <f>SUM(D20:E20)</f>
        <v>17632.944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49817.599999999999</v>
      </c>
      <c r="E21" s="116">
        <f>SUM(E18:E20)</f>
        <v>9465.344000000001</v>
      </c>
      <c r="F21" s="115">
        <f>SUM(F18:F20)</f>
        <v>59282.944000000003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22739.655999999999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169500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49817.599999999999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89848.309212560387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89848.309212560387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'SALA REUNIONES'!D8</f>
        <v>N° 11810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IF('SALA REUNIONES'!C10="","",'SALA REUNIONES'!C10)</f>
        <v>FCA. DE MUEBLES ALVEAR Y ALVEAR LTDA</v>
      </c>
      <c r="D10" s="350"/>
      <c r="E10" s="350"/>
      <c r="F10" s="351" t="s">
        <v>167</v>
      </c>
      <c r="G10" s="352">
        <f>'SALA REUNIONES'!G10</f>
        <v>46009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IF('SALA REUNIONES'!C11="","",'SALA REUNIONES'!C11)</f>
        <v>76.143.978-2</v>
      </c>
      <c r="D11" s="345"/>
      <c r="E11" s="345"/>
      <c r="F11" s="345" t="s">
        <v>168</v>
      </c>
      <c r="G11" s="340">
        <f>WORKDAY(G10,5)</f>
        <v>46016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IF('SALA REUNIONES'!C12="","",'SALA REUNIONES'!C12)</f>
        <v>FCA DE MUEBLES</v>
      </c>
      <c r="D12" s="355"/>
      <c r="E12" s="355"/>
      <c r="F12" s="355" t="s">
        <v>181</v>
      </c>
      <c r="G12" s="355" t="str">
        <f>'SALA REUNIONES'!G14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IF('SALA REUNIONES'!C13="","",'SALA REUNIONES'!C13)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IF('SALA REUNIONES'!C14="","",'SALA REUNIONES'!C14)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IF('SALA REUNIONES'!C15="","",'SALA REUNIONES'!C15)</f>
        <v>56973069852</v>
      </c>
      <c r="D15" s="347"/>
      <c r="E15" s="345"/>
      <c r="F15" s="345" t="s">
        <v>173</v>
      </c>
      <c r="G15" s="345" t="str">
        <f>'SALA REUNIONES'!G12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IF('SALA REUNIONES'!C16="","",'SALA REUNIONES'!C16)</f>
        <v>ROSA ESTER 03281 LA PINTANA</v>
      </c>
      <c r="D16" s="355"/>
      <c r="E16" s="355"/>
      <c r="F16" s="355" t="s">
        <v>174</v>
      </c>
      <c r="G16" s="355" t="str">
        <f>'SALA REUNIONES'!G16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IF('SALA REUNIONES'!C17="","",'SALA REUNIONES'!C17)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'SALA REUNIONES'!B21</f>
        <v>2</v>
      </c>
      <c r="C22" s="313" t="str">
        <f>'SALA REUNIONES'!C21</f>
        <v>CUB DIAMETRO</v>
      </c>
      <c r="D22" s="321">
        <f>'SALA REUNIONES'!D21*1000</f>
        <v>900</v>
      </c>
      <c r="E22" s="321">
        <f>'SALA REUNIONES'!E21*1000</f>
        <v>900</v>
      </c>
      <c r="F22" s="322" t="str">
        <f>'SALA REUNIONES'!F21</f>
        <v>VAINILLA 2109 MT</v>
      </c>
      <c r="G22" s="314">
        <f>'SALA REUNIONES'!G21</f>
        <v>84750</v>
      </c>
      <c r="H22" s="323">
        <f>G22*B22</f>
        <v>169500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169500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32205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201705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11810</v>
      </c>
      <c r="C2" s="1">
        <f>'NOTA DE VENTA'!$G$10</f>
        <v>46009</v>
      </c>
      <c r="D2" s="1">
        <f>'NOTA DE VENTA'!$G$11</f>
        <v>46016</v>
      </c>
      <c r="E2" t="str">
        <f>'NOTA DE VENTA'!$C$10</f>
        <v>FCA. DE MUEBLES ALVEAR Y ALVEAR LTDA</v>
      </c>
      <c r="F2" t="str">
        <f>'NOTA DE VENTA'!$C$22</f>
        <v>CUB DIAMETRO</v>
      </c>
      <c r="G2" t="str">
        <f>'NOTA DE VENTA'!$F$22</f>
        <v>VAINILLA 2109 MT</v>
      </c>
      <c r="H2" s="416">
        <f>'NOTA DE VENTA'!$H$25</f>
        <v>169500</v>
      </c>
      <c r="I2" s="416">
        <f>H2*0.19</f>
        <v>32205</v>
      </c>
      <c r="J2" s="416">
        <f>I2+H2</f>
        <v>201705</v>
      </c>
      <c r="L2" s="61">
        <f>J2-K2</f>
        <v>201705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COMERDOR MUEBLE CON REPISAS</vt:lpstr>
      <vt:lpstr>COMEDOR OPERACIONES</vt:lpstr>
      <vt:lpstr>JEFE DE BODEGA</vt:lpstr>
      <vt:lpstr>SALA REUNIONES</vt:lpstr>
      <vt:lpstr>COSTOS</vt:lpstr>
      <vt:lpstr>NOTA DE VENTA</vt:lpstr>
      <vt:lpstr>REGLAS</vt:lpstr>
      <vt:lpstr>PRODUCCION</vt:lpstr>
      <vt:lpstr>SEGUIMIENTO</vt:lpstr>
      <vt:lpstr>'COMEDOR OPERACIONES'!Área_de_impresión</vt:lpstr>
      <vt:lpstr>'COMERDOR MUEBLE CON REPISAS'!Área_de_impresión</vt:lpstr>
      <vt:lpstr>'JEFE DE BODEGA'!Área_de_impresión</vt:lpstr>
      <vt:lpstr>'SALA REUNIONES'!Área_de_impresión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2025-12-23T19:54:18Z</dcterms:modified>
</cp:coreProperties>
</file>